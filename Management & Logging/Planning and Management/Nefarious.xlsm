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1"/>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<sst xmlns="http://schemas.openxmlformats.org/spreadsheetml/2006/main" count="723" uniqueCount="654">
  <si>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</si>
  <si>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</si>
  <si>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</si>
  <si>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</si>
  <si>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</si>
  <si>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</si>
  <si>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</si>
  <si>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</si>
  <si>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</si>
  <si>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</si>
  <si>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</si>
  <si>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</si>
  <si>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</si>
  <si>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</si>
  <si>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</si>
  <si>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</si>
  <si>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</si>
  <si>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</si>
  <si>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</si>
  <si>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</si>
  <si>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</si>
  <si>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</si>
  <si>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</si>
  <si>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</si>
  <si>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</si>
  <si>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</si>
  <si>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</si>
  <si>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</si>
  <si>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</si>
  <si>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</si>
  <si>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</si>
  <si>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</si>
  <si>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</si>
  <si>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</si>
  <si>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</si>
  <si>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</si>
  <si>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</si>
  <si>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</si>
  <si>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</si>
  <si>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</si>
  <si>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</si>
  <si>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</si>
  <si>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</si>
  <si>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</si>
  <si>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</si>
  <si>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</si>
  <si>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</si>
  <si>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</si>
  <si>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</si>
  <si>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</si>
  <si>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</si>
  <si>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</si>
  <si>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</si>
  <si>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</si>
  <si>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</si>
  <si>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</si>
  <si>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</si>
  <si>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</si>
  <si>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</si>
  <si>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</si>
  <si>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</si>
  <si>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</si>
  <si>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</si>
  <si>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</si>
  <si>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</si>
  <si>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</si>
  <si>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</si>
  <si>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</si>
  <si>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</si>
  <si>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</si>
  <si>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</si>
  <si>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</si>
  <si>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</si>
  <si>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</si>
  <si>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</si>
  <si>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</si>
  <si>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</si>
  <si>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</si>
  <si>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</si>
  <si>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</si>
  <si>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</si>
  <si>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</si>
  <si>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</si>
  <si>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</si>
  <si>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</si>
  <si>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</si>
  <si>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</si>
  <si>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</si>
  <si>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</si>
  <si>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</si>
  <si>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</si>
  <si>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</si>
  <si>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</si>
  <si>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</si>
  <si>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</si>
  <si>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</si>
  <si>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</si>
  <si>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</si>
  <si>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</si>
  <si>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</si>
  <si>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</si>
  <si>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</si>
  <si>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</si>
  <si>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</si>
  <si>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</si>
  <si>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</si>
  <si>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</si>
  <si>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</si>
  <si>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</si>
  <si>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</si>
  <si>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</si>
  <si>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</si>
  <si>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</si>
  <si>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</si>
  <si>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</si>
  <si>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</si>
  <si>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</si>
  <si>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</si>
  <si>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</si>
  <si>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</si>
  <si>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</si>
  <si>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</si>
  <si>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</si>
  <si>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</si>
  <si>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</si>
  <si>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</si>
  <si>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</si>
  <si>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</si>
  <si>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</si>
  <si>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</si>
  <si>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</si>
  <si>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</si>
  <si>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</si>
  <si>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</si>
  <si>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</si>
  <si>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</si>
  <si>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</si>
  <si>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</si>
  <si>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</si>
  <si>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</si>
  <si>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</si>
  <si>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</si>
  <si>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</si>
  <si>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</si>
  <si>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</si>
  <si>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</si>
  <si>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</si>
  <si>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</si>
  <si>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</si>
  <si>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</si>
  <si>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</si>
  <si>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</si>
  <si>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</si>
  <si>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</si>
  <si>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</si>
  <si>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</si>
  <si>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</si>
  <si>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</si>
  <si>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</si>
  <si>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</si>
  <si>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</si>
  <si>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</si>
  <si>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</si>
  <si>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</si>
  <si>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</si>
  <si>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</si>
  <si>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</si>
  <si>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</si>
  <si>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</si>
  <si>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</si>
  <si>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</si>
  <si>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</si>
  <si>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</si>
  <si>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</si>
  <si>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</si>
  <si>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</si>
  <si>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</si>
  <si>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</si>
  <si>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</si>
  <si>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</si>
  <si>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</si>
  <si>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</si>
  <si>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</si>
  <si>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</si>
  <si>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</si>
  <si>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</si>
  <si>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</si>
  <si>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</si>
  <si>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</si>
  <si>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</si>
  <si>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</si>
  <si>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</si>
  <si>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</si>
  <si>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</si>
  <si>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</si>
  <si>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</si>
  <si>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</si>
  <si>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</si>
  <si>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</si>
  <si>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</si>
  <si>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</si>
  <si>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</si>
  <si>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</si>
  <si>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</si>
  <si>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</si>
  <si>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</si>
  <si>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</si>
  <si>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</si>
  <si>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</si>
  <si>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</si>
  <si>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</si>
  <si>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</si>
  <si>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</si>
  <si>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</si>
  <si>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</si>
  <si>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</si>
  <si>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</si>
  <si>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</si>
  <si>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</si>
  <si>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</si>
  <si>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</si>
  <si>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</si>
  <si>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</si>
  <si>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</si>
  <si>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</si>
  <si>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</si>
  <si>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</si>
  <si>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</si>
  <si>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</si>
  <si>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</si>
  <si>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</si>
  <si>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</si>
  <si>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</si>
  <si>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</si>
  <si>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</si>
  <si>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</si>
  <si>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</si>
  <si>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</si>
  <si>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</si>
  <si>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</si>
  <si>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</si>
  <si>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</si>
  <si>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</si>
  <si>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</si>
  <si>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</si>
  <si>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</si>
  <si>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</si>
  <si>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</si>
  <si>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</si>
  <si>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</si>
  <si>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</si>
  <si>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</si>
  <si>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</si>
  <si>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</si>
  <si>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</si>
  <si>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</si>
  <si>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</si>
  <si>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</si>
  <si>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</si>
  <si>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</si>
  <si>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</si>
  <si>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</si>
  <si>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</si>
  <si>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</si>
  <si>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</si>
  <si>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</si>
  <si>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</si>
  <si>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</si>
  <si>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</si>
  <si>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</si>
  <si>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</si>
  <si>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</si>
  <si>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</si>
  <si>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</si>
  <si>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</si>
  <si>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</si>
  <si>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</si>
  <si>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</si>
  <si>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</si>
  <si>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</si>
  <si>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</si>
  <si>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</si>
  <si>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</si>
  <si>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</si>
  <si>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</si>
  <si>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</si>
  <si>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</si>
  <si>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</si>
  <si>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</si>
  <si>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</si>
  <si>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</si>
  <si>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</si>
  <si>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</si>
  <si>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</si>
  <si>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</si>
  <si>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</si>
  <si>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</si>
  <si>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</si>
  <si>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</si>
  <si>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</si>
  <si>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</si>
  <si>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</si>
  <si>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</si>
  <si>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</si>
  <si>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</si>
  <si>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</si>
  <si>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</si>
  <si>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</si>
  <si>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</si>
  <si>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</si>
  <si>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</si>
  <si>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</si>
  <si>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</si>
  <si>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</si>
  <si>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</si>
  <si>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</si>
  <si>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</si>
  <si>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</si>
  <si>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</si>
  <si>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</si>
  <si>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</si>
  <si>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</si>
  <si>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</si>
  <si>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</si>
  <si>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</si>
  <si>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</si>
  <si>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</si>
  <si>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</si>
  <si>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</si>
  <si>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</si>
  <si>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</si>
  <si>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</si>
  <si>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</si>
  <si>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</si>
  <si>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</si>
  <si>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</si>
  <si>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</si>
  <si>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</si>
  <si>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</si>
  <si>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</si>
  <si>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</si>
  <si>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</si>
  <si>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</si>
  <si>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</si>
  <si>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</si>
  <si>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</si>
  <si>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</si>
  <si>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</si>
  <si>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</si>
  <si>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</si>
  <si>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</si>
  <si>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</si>
  <si>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</si>
  <si>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</si>
  <si>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</si>
  <si>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</si>
  <si>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</si>
  <si>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</si>
  <si>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</si>
  <si>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</si>
  <si>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</si>
  <si>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</si>
  <si>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</si>
  <si>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</si>
  <si>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</si>
  <si>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</si>
  <si>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</si>
  <si>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</si>
  <si>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</si>
  <si>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</si>
  <si>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</si>
  <si>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</si>
  <si>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</si>
  <si>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</si>
  <si>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</si>
  <si>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</si>
  <si>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</si>
  <si>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</si>
  <si>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</si>
  <si>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</si>
  <si>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</si>
  <si>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</si>
  <si>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</si>
  <si>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</si>
  <si>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</si>
  <si>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</si>
  <si>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</si>
  <si>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</si>
  <si>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</si>
  <si>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</si>
  <si>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</si>
  <si>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</si>
  <si>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</si>
  <si>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</si>
  <si>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</si>
  <si>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</si>
  <si>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</si>
  <si>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</si>
  <si>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</si>
  <si>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</si>
  <si>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</si>
  <si>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</si>
  <si>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</si>
  <si>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</si>
  <si>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</si>
  <si>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</si>
  <si>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</si>
  <si>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</si>
  <si>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</si>
  <si>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</si>
  <si>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</si>
  <si>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</si>
  <si>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</si>
  <si>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</si>
  <si>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</si>
  <si>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</si>
  <si>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</si>
  <si>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</si>
  <si>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</si>
  <si>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</si>
  <si>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</si>
  <si>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</si>
  <si>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</si>
  <si>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</si>
  <si>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</si>
  <si>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</si>
  <si>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</si>
  <si>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</si>
  <si>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</si>
  <si>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</si>
  <si>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</si>
  <si>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</si>
  <si>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</si>
  <si>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</si>
  <si>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</si>
  <si>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</si>
  <si>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</si>
  <si>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</si>
  <si>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</si>
  <si>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</si>
  <si>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</si>
  <si>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</si>
  <si>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</si>
  <si>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</si>
  <si>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</si>
  <si>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</si>
  <si>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</si>
  <si>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</si>
  <si>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</si>
  <si>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</si>
  <si>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</si>
  <si>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</si>
  <si>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</si>
  <si>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</si>
  <si>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</si>
  <si>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</si>
  <si>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</si>
  <si>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</si>
  <si>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</si>
  <si>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</si>
  <si>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</si>
  <si>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</si>
  <si>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</si>
  <si>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</si>
  <si>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</si>
  <si>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</si>
  <si>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</si>
  <si>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</si>
  <si>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</si>
  <si>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</si>
  <si>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</si>
  <si>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</si>
  <si>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</si>
  <si>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</si>
  <si>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</si>
  <si>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</si>
  <si>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</si>
  <si>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</si>
  <si>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</si>
  <si>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</si>
  <si>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</si>
  <si>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</si>
  <si>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</si>
  <si>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</si>
  <si>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</si>
  <si>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</si>
  <si>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</si>
  <si>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</si>
  <si>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</si>
  <si>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</si>
  <si>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</si>
  <si>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</si>
  <si>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</si>
  <si>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</si>
  <si>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</si>
  <si>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</si>
  <si>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</si>
  <si>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</si>
  <si>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</si>
  <si>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</si>
  <si>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</si>
  <si>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</si>
  <si>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</si>
  <si>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</si>
  <si>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</si>
  <si>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</si>
  <si>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</si>
  <si>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</si>
  <si>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</si>
  <si>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</si>
  <si>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</si>
  <si>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</si>
  <si>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</si>
  <si>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</si>
  <si>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</si>
  <si>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</si>
  <si>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</si>
  <si>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</si>
  <si>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</si>
  <si>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</si>
  <si>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</si>
  <si>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</si>
  <si>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</si>
  <si>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</si>
  <si>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</si>
  <si>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</si>
  <si>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</si>
  <si>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</si>
  <si>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</si>
  <si>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</si>
  <si>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</si>
  <si>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</si>
  <si>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</si>
  <si>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</si>
  <si>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</si>
  <si>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</si>
  <si>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</si>
  <si>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</si>
  <si>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</si>
  <si>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</si>
  <si>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</si>
  <si>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</si>
  <si>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</si>
  <si>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</si>
  <si>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</si>
  <si>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</si>
  <si>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</si>
  <si>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</si>
  <si>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</si>
  <si>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</si>
  <si>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</si>
  <si>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YICT</t>
  </si>
  <si>
    <t>English</t>
  </si>
  <si>
    <t>Polishing Home Page</t>
  </si>
  <si>
    <t>Make sure scripts are in the footer element.</t>
  </si>
  <si>
    <t>Allowing it to work in all browsers</t>
  </si>
  <si>
    <t>Check in - IE, Firefox, Chrome and Opera</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</si>
  <si>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</si>
  <si>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</si>
  <si>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</si>
  <si>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</si>
  <si>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</si>
  <si>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</si>
  <si>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</si>
  <si>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</si>
  <si>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</si>
  <si>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YouTube</t>
  </si>
  <si>
    <t xml:space="preserve">Record the latest video
Edit and Publish the Video
Manage the Video </t>
  </si>
  <si>
    <t>www.youtube.com</t>
  </si>
  <si>
    <t>My Website</t>
  </si>
  <si>
    <t>Finish Adding the Content to the Website</t>
  </si>
  <si>
    <t>I also need to finish desigin the rest of the website and then I have to upload it to the server. So much to do and this is the only way we can begin coding NEFARIOUS</t>
  </si>
  <si>
    <t>Begin the Project</t>
  </si>
  <si>
    <t>We need to decide an idea (possible), talk to the teacher about this idea and make sure we are allowed to do this.</t>
  </si>
  <si>
    <t>School Website</t>
  </si>
  <si>
    <t>This will also help me put this on MYWEBSITE and then I will have a portfolio and my dad can use this as well so it is useful actually… ;)</t>
  </si>
  <si>
    <t>This is needed. You are getting 315 subscirbers now and you cannot LET THEM DOWN. You are doing this for them so put some energy into it.</t>
  </si>
  <si>
    <t>Cyber Safety</t>
  </si>
  <si>
    <t>Nefarious</t>
  </si>
  <si>
    <t>Udemy</t>
  </si>
  <si>
    <t>Cannot begin until the website is complete</t>
  </si>
  <si>
    <t>Cannot start this until the website is complete… Why? Because the website is the only way I can push out my content so that people can read the development logs when I finish something. This way I can interact with people when I Build the game.</t>
  </si>
  <si>
    <t>This will be done throughout the developemtn of NEFARIOUS if that's what we are calling it… It will probably take a new name very soon…</t>
  </si>
  <si>
    <t>Create the player controller and then this can be realeased. A new system for player controller.</t>
  </si>
  <si>
    <t>Get a plan and idea then you can begin development if you like the idea.</t>
  </si>
  <si>
    <t>This time we will be doing it with some friends so I have to be organised to be ready for this LUDUM Dare.</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</si>
  <si>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</si>
  <si>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</si>
  <si>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Create the HTML elements that you need (HAND IN TOMORROW)
Color scheme
Implement</t>
  </si>
  <si>
    <t>https://queenslandacademies.blob.core.windows.net/daymap/Resources/16124/Unit%207%20Marketing.pdf?sv=2017-04-17&amp;sr=b&amp;sig=raNNPS4aZekluJaWF1MyN9LYudqCjmYifWXukHiC9pU%3D&amp;se=2018-04-23T02%3A52%3A58Z&amp;sp=r</t>
  </si>
  <si>
    <t>LD 41 TIMELAPSE</t>
  </si>
  <si>
    <t>Gather all the timelase files and put It together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</si>
  <si>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</si>
  <si>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</si>
  <si>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</si>
  <si>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Physics Questions</t>
  </si>
  <si>
    <t>DO THE SURVEY MONKEY AND THEN LINK THAT ON, DO PROPER MARKET RESEARCH + PRICING STRATEGIES ETC…</t>
  </si>
  <si>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</si>
  <si>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</si>
  <si>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</si>
  <si>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</si>
  <si>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</si>
  <si>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</si>
  <si>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</si>
  <si>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</si>
  <si>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MY WEBSITE + NEXT DESIGN (ILLUSTRATOR ITER)</t>
  </si>
  <si>
    <t>http://www.sparknotes.com/lit/1984/context/historical/why-orwell-wrote-1984/</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</si>
  <si>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</si>
  <si>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</si>
  <si>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</si>
  <si>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 xml:space="preserve">Do the survey monkey based on the 4Ps
Promotion
Price
Product
</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</si>
  <si>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</si>
  <si>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</si>
  <si>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</si>
  <si>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GYM</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</si>
  <si>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</si>
  <si>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</si>
  <si>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ENGLISH</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</si>
  <si>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</si>
  <si>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</si>
  <si>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</si>
  <si>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</si>
  <si>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</si>
  <si>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</si>
  <si>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</si>
  <si>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</si>
  <si>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</si>
  <si>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</si>
  <si>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SPANISH REVISION (NEEDED)</t>
  </si>
  <si>
    <t>Revise the sheet that was giver</t>
  </si>
  <si>
    <t>Do al the activities in that sheet that Miss gave because it has so much valuable information, also revise your vocabulary and make sure that is up to date in terms of the verbs etc..</t>
  </si>
  <si>
    <t>Next Week</t>
  </si>
  <si>
    <t>Make sure you finish the questions in the Physics One note which are on the velocity</t>
  </si>
  <si>
    <t>Responsive Website Resume () also do the PLP for the Computer Science using the OneNote
- file:///C:/Users/progr/Desktop/School/Subjects/COM%20SCI/Resume%20Website/HTML_multistyle.html</t>
  </si>
  <si>
    <t>COMSCI - SS 1 and 2 (w. 1984 sheet)</t>
  </si>
  <si>
    <t>I know I havent talked to you in a while, but I have been really busy with the exams which I have the english sorry today and I need to make sure I do the english today and do it well, just speak clearly and it will be fine..</t>
  </si>
  <si>
    <t>WEBSITE  + PRINT THE ACTIVITY SHEET FOR PHYSICS</t>
  </si>
  <si>
    <t>WEBSITE 1 HOUR</t>
  </si>
  <si>
    <t>EXERCISE 1 HOUR</t>
  </si>
  <si>
    <t>GET READY</t>
  </si>
  <si>
    <t>GIANT DROP</t>
  </si>
  <si>
    <t>TOWER OF TERROR</t>
  </si>
  <si>
    <t>THE BUZZ SAW</t>
  </si>
  <si>
    <t>SOCIAL + EXPORT</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</si>
  <si>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</si>
  <si>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</si>
  <si>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</si>
  <si>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EAT NOODLESSS</t>
  </si>
  <si>
    <t>PLANNING WHAT TO PLAN</t>
  </si>
  <si>
    <t xml:space="preserve">CONTENT PLANNING </t>
  </si>
  <si>
    <t>NEFARIOUS PLAN RESEARCH</t>
  </si>
  <si>
    <t>FINDING A MIC</t>
  </si>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</sst>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sz val="11"/>
      <color theme="1"/>
      <name val="Calibri"/>
      <scheme val="minor"/>
    </font>
    <font>
      <u/>
      <sz val="9"/>
      <color theme="10"/>
      <name val="Calibri"/>
      <family val="2"/>
      <scheme val="minor"/>
    </font>
    <font>
      <b/>
      <sz val="11"/>
      <color theme="0"/>
      <name val="Calibri"/>
      <family val="2"/>
      <scheme val="minor"/>
    </font>
  </fonts>
  <fills count="24">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8" tint="0.39997558519241921"/>
        <bgColor indexed="64"/>
      </patternFill>
    </fill>
    <fill>
      <patternFill patternType="solid">
        <fgColor theme="5"/>
        <bgColor indexed="64"/>
      </patternFill>
    </fill>
    <fill>
      <patternFill patternType="solid">
        <fgColor theme="0" tint="-0.34998626667073579"/>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5" borderId="14" applyNumberFormat="0" applyFont="0" applyAlignment="0" applyProtection="0"/>
    <xf numFmtId="0" fontId="24" fillId="16" borderId="0" applyNumberFormat="0" applyBorder="0" applyAlignment="0" applyProtection="0"/>
    <xf numFmtId="0" fontId="25" fillId="17" borderId="0" applyNumberFormat="0" applyBorder="0" applyAlignment="0" applyProtection="0"/>
    <xf numFmtId="0" fontId="29" fillId="19" borderId="19" applyNumberFormat="0" applyAlignment="0" applyProtection="0"/>
  </cellStyleXfs>
  <cellXfs count="231">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5"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5" borderId="14" xfId="3" applyFont="1" applyAlignment="1">
      <alignment horizontal="center" vertical="center" wrapText="1"/>
    </xf>
    <xf numFmtId="0" fontId="0" fillId="0" borderId="16" xfId="0" applyBorder="1" applyAlignment="1">
      <alignment horizontal="center" vertical="center" wrapText="1"/>
    </xf>
    <xf numFmtId="0" fontId="20" fillId="15"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5"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5" borderId="14" xfId="3" applyFont="1" applyAlignment="1">
      <alignment horizontal="center" vertical="center" wrapText="1"/>
    </xf>
    <xf numFmtId="0" fontId="19" fillId="15"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6" borderId="0" xfId="4" applyFont="1" applyAlignment="1">
      <alignment horizontal="center" vertical="center"/>
    </xf>
    <xf numFmtId="0" fontId="27" fillId="17"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4"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9" borderId="19" xfId="6" applyFont="1" applyAlignment="1">
      <alignment horizontal="center" vertical="center" wrapText="1"/>
    </xf>
    <xf numFmtId="165" fontId="32" fillId="19" borderId="19" xfId="6" applyNumberFormat="1" applyFont="1" applyAlignment="1">
      <alignment horizontal="center" vertical="center" wrapText="1"/>
    </xf>
    <xf numFmtId="49" fontId="32" fillId="19"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8"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8" borderId="0" xfId="0" applyNumberFormat="1" applyFont="1" applyFill="1" applyAlignment="1">
      <alignment horizontal="center" vertical="center" wrapText="1"/>
    </xf>
    <xf numFmtId="165" fontId="29" fillId="19"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14" fontId="0" fillId="7" borderId="0" xfId="0" applyNumberFormat="1" applyFill="1" applyAlignment="1">
      <alignment horizontal="center" vertical="center" wrapText="1"/>
    </xf>
    <xf numFmtId="14" fontId="1" fillId="2" borderId="0" xfId="1" applyNumberFormat="1" applyAlignment="1">
      <alignment horizontal="center" vertical="center" wrapText="1"/>
    </xf>
    <xf numFmtId="49" fontId="24" fillId="16" borderId="12" xfId="4" applyNumberFormat="1" applyBorder="1" applyAlignment="1">
      <alignment horizontal="center" vertical="center" wrapText="1"/>
    </xf>
    <xf numFmtId="49" fontId="24" fillId="16" borderId="11" xfId="4" applyNumberFormat="1" applyBorder="1" applyAlignment="1">
      <alignment horizontal="center" vertical="center" wrapText="1"/>
    </xf>
    <xf numFmtId="2" fontId="24" fillId="16" borderId="11" xfId="4" applyNumberFormat="1" applyBorder="1" applyAlignment="1">
      <alignment horizontal="center" vertical="center" wrapText="1"/>
    </xf>
    <xf numFmtId="0" fontId="1" fillId="0" borderId="0" xfId="1" applyFill="1" applyAlignment="1">
      <alignment horizontal="center" vertical="center" wrapText="1"/>
    </xf>
    <xf numFmtId="14" fontId="1" fillId="0" borderId="0" xfId="1" applyNumberFormat="1" applyFill="1" applyAlignment="1">
      <alignment horizontal="center" vertical="center" wrapText="1"/>
    </xf>
    <xf numFmtId="165" fontId="0" fillId="0" borderId="0" xfId="0" applyNumberFormat="1" applyAlignment="1">
      <alignment wrapText="1"/>
    </xf>
    <xf numFmtId="165" fontId="0" fillId="0" borderId="0" xfId="0" applyNumberFormat="1" applyBorder="1" applyAlignment="1">
      <alignment wrapText="1"/>
    </xf>
    <xf numFmtId="49" fontId="11" fillId="3" borderId="11" xfId="2" applyNumberFormat="1" applyFill="1" applyBorder="1" applyAlignment="1">
      <alignment horizontal="center" vertical="center" wrapText="1"/>
    </xf>
    <xf numFmtId="2" fontId="8" fillId="14" borderId="0" xfId="0" applyNumberFormat="1" applyFont="1" applyFill="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2" fontId="0" fillId="18" borderId="0" xfId="0" applyNumberFormat="1" applyFont="1" applyFill="1" applyAlignment="1">
      <alignment horizontal="center" vertical="center" wrapText="1"/>
    </xf>
    <xf numFmtId="2" fontId="37" fillId="20" borderId="0" xfId="0" applyNumberFormat="1" applyFont="1" applyFill="1" applyAlignment="1">
      <alignment horizontal="center" vertical="center" wrapText="1"/>
    </xf>
    <xf numFmtId="49" fontId="38" fillId="3" borderId="11" xfId="2" applyNumberFormat="1" applyFont="1" applyFill="1" applyBorder="1" applyAlignment="1">
      <alignment horizontal="center" vertical="center" wrapText="1"/>
    </xf>
    <xf numFmtId="2" fontId="0" fillId="21" borderId="0" xfId="0" applyNumberFormat="1" applyFont="1" applyFill="1" applyAlignment="1">
      <alignment horizontal="center" vertical="center" wrapText="1"/>
    </xf>
    <xf numFmtId="2" fontId="39" fillId="9"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37" fillId="8"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669">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A9DA74"/>
      <color rgb="FFFF3B3B"/>
      <color rgb="FFFF2929"/>
      <color rgb="FF00F66F"/>
      <color rgb="FFFBAFAF"/>
      <color rgb="FFA6D86E"/>
      <color rgb="FFEBDD89"/>
      <color rgb="FFABDB77"/>
      <color rgb="FFD1EE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JP31" totalsRowCount="1" headerRowDxfId="625" dataDxfId="624" totalsRowDxfId="623">
  <autoFilter ref="C3:JP30"/>
  <tableColumns count="274">
    <tableColumn id="80" name="Wednesday70" totalsRowFunction="custom" dataDxfId="622" totalsRowDxfId="621">
      <totalsRowFormula>SUM(C7:C30)</totalsRowFormula>
    </tableColumn>
    <tableColumn id="81" name="Thursday71" totalsRowFunction="custom" dataDxfId="620" totalsRowDxfId="619">
      <totalsRowFormula>SUM(D7:D30)</totalsRowFormula>
    </tableColumn>
    <tableColumn id="82" name="Friday72" totalsRowFunction="custom" dataDxfId="618" totalsRowDxfId="617">
      <totalsRowFormula>SUM(E7:E30)</totalsRowFormula>
    </tableColumn>
    <tableColumn id="83" name="Saturday73" totalsRowFunction="custom" dataDxfId="616" totalsRowDxfId="615">
      <totalsRowFormula>SUM(F7:F30)</totalsRowFormula>
    </tableColumn>
    <tableColumn id="84" name="Sunday74" totalsRowFunction="custom" dataDxfId="614" totalsRowDxfId="613">
      <totalsRowFormula>SUM(G7:G30)</totalsRowFormula>
    </tableColumn>
    <tableColumn id="85" name="Monday75" totalsRowFunction="custom" dataDxfId="612" totalsRowDxfId="611">
      <totalsRowFormula>SUM(H7:H30)</totalsRowFormula>
    </tableColumn>
    <tableColumn id="86" name="Tuesday76" totalsRowFunction="custom" dataDxfId="610" totalsRowDxfId="609">
      <totalsRowFormula>SUM(I7:I30)</totalsRowFormula>
    </tableColumn>
    <tableColumn id="87" name="Wednesday77" totalsRowFunction="custom" dataDxfId="608" totalsRowDxfId="607">
      <totalsRowFormula>SUM(J7:J30)</totalsRowFormula>
    </tableColumn>
    <tableColumn id="88" name="Thursday78" totalsRowFunction="custom" dataDxfId="606" totalsRowDxfId="605">
      <totalsRowFormula>SUM(K7:K30)</totalsRowFormula>
    </tableColumn>
    <tableColumn id="89" name="Friday79" totalsRowFunction="custom" dataDxfId="604" totalsRowDxfId="603">
      <totalsRowFormula>SUM(L7:L30)</totalsRowFormula>
    </tableColumn>
    <tableColumn id="90" name="Saturday80" totalsRowFunction="custom" dataDxfId="602" totalsRowDxfId="601">
      <totalsRowFormula>SUM(M7:M30)</totalsRowFormula>
    </tableColumn>
    <tableColumn id="91" name="Sunday81" totalsRowFunction="custom" dataDxfId="600" totalsRowDxfId="599">
      <totalsRowFormula>SUM(N7:N30)</totalsRowFormula>
    </tableColumn>
    <tableColumn id="92" name="Monday82" totalsRowFunction="custom" dataDxfId="598" totalsRowDxfId="597">
      <totalsRowFormula>SUM(O7:O30)</totalsRowFormula>
    </tableColumn>
    <tableColumn id="93" name="Tuesday83" totalsRowFunction="custom" dataDxfId="596" totalsRowDxfId="595">
      <totalsRowFormula>SUM(P7:P30)</totalsRowFormula>
    </tableColumn>
    <tableColumn id="94" name="Wednesday84" totalsRowFunction="custom" dataDxfId="594" totalsRowDxfId="593">
      <totalsRowFormula>SUM(Q7:Q30)</totalsRowFormula>
    </tableColumn>
    <tableColumn id="95" name="Thursday85" totalsRowFunction="custom" dataDxfId="592" totalsRowDxfId="591">
      <totalsRowFormula>SUM(R7:R30)</totalsRowFormula>
    </tableColumn>
    <tableColumn id="96" name="Friday86" totalsRowFunction="custom" dataDxfId="590" totalsRowDxfId="589">
      <totalsRowFormula>SUM(S7:S30)</totalsRowFormula>
    </tableColumn>
    <tableColumn id="97" name="Saturday87" totalsRowFunction="custom" dataDxfId="588" totalsRowDxfId="587">
      <totalsRowFormula>SUM(T7:T30)</totalsRowFormula>
    </tableColumn>
    <tableColumn id="98" name="Sunday88" totalsRowFunction="custom" dataDxfId="586" totalsRowDxfId="585">
      <totalsRowFormula>SUM(U7:U30)</totalsRowFormula>
    </tableColumn>
    <tableColumn id="99" name="Monday89" totalsRowFunction="custom" dataDxfId="584" totalsRowDxfId="583">
      <totalsRowFormula>SUM(V7:V30)</totalsRowFormula>
    </tableColumn>
    <tableColumn id="100" name="Tuesday90" totalsRowFunction="custom" dataDxfId="582" totalsRowDxfId="581">
      <totalsRowFormula>SUM(W7:W30)</totalsRowFormula>
    </tableColumn>
    <tableColumn id="101" name="Wednesday91" totalsRowFunction="custom" dataDxfId="580" totalsRowDxfId="579">
      <totalsRowFormula>SUM(X7:X30)</totalsRowFormula>
    </tableColumn>
    <tableColumn id="102" name="Thursday92" totalsRowFunction="custom" dataDxfId="578" totalsRowDxfId="577">
      <totalsRowFormula>SUM(Y7:Y30)</totalsRowFormula>
    </tableColumn>
    <tableColumn id="103" name="Friday93" totalsRowFunction="custom" dataDxfId="576" totalsRowDxfId="575">
      <totalsRowFormula>SUM(Z7:Z30)</totalsRowFormula>
    </tableColumn>
    <tableColumn id="104" name="Saturday94" totalsRowFunction="custom" dataDxfId="574" totalsRowDxfId="573">
      <totalsRowFormula>SUM(AA7:AA30)</totalsRowFormula>
    </tableColumn>
    <tableColumn id="105" name="Sunday95" totalsRowFunction="custom" dataDxfId="572" totalsRowDxfId="571">
      <totalsRowFormula>SUM(AB7:AB30)</totalsRowFormula>
    </tableColumn>
    <tableColumn id="106" name="Monday96" totalsRowFunction="custom" dataDxfId="570" totalsRowDxfId="569">
      <totalsRowFormula>SUM(AC7:AC30)</totalsRowFormula>
    </tableColumn>
    <tableColumn id="107" name="Tuesday97" totalsRowFunction="custom" dataDxfId="568" totalsRowDxfId="567">
      <totalsRowFormula>SUM(AD7:AD30)</totalsRowFormula>
    </tableColumn>
    <tableColumn id="108" name="Wednesday98" totalsRowFunction="custom" dataDxfId="566" totalsRowDxfId="565">
      <totalsRowFormula>SUM(AE7:AE30)</totalsRowFormula>
    </tableColumn>
    <tableColumn id="109" name="Thursday99" totalsRowFunction="custom" dataDxfId="564" totalsRowDxfId="563">
      <totalsRowFormula>SUM(AF7:AF30)</totalsRowFormula>
    </tableColumn>
    <tableColumn id="110" name="Friday100" totalsRowFunction="custom" dataDxfId="562" totalsRowDxfId="561">
      <totalsRowFormula>SUM(AG7:AG30)</totalsRowFormula>
    </tableColumn>
    <tableColumn id="111" name="Saturday101" totalsRowFunction="custom" dataDxfId="560" totalsRowDxfId="559">
      <totalsRowFormula>SUM(AH7:AH30)</totalsRowFormula>
    </tableColumn>
    <tableColumn id="112" name="Sunday102" totalsRowFunction="custom" dataDxfId="558" totalsRowDxfId="557">
      <totalsRowFormula>SUM(AI7:AI30)</totalsRowFormula>
    </tableColumn>
    <tableColumn id="113" name="Monday103" totalsRowFunction="custom" dataDxfId="556" totalsRowDxfId="555">
      <totalsRowFormula>SUM(AJ7:AJ30)</totalsRowFormula>
    </tableColumn>
    <tableColumn id="114" name="Tuesday104" totalsRowFunction="custom" dataDxfId="554" totalsRowDxfId="553">
      <totalsRowFormula>SUM(AK7:AK30)</totalsRowFormula>
    </tableColumn>
    <tableColumn id="115" name="Wednesday105" totalsRowFunction="custom" dataDxfId="552" totalsRowDxfId="551">
      <totalsRowFormula>SUM(AL7:AL30)</totalsRowFormula>
    </tableColumn>
    <tableColumn id="116" name="Thursday106" totalsRowFunction="custom" dataDxfId="550" totalsRowDxfId="549">
      <totalsRowFormula>SUM(AM7:AM30)</totalsRowFormula>
    </tableColumn>
    <tableColumn id="117" name="Friday107" totalsRowFunction="custom" dataDxfId="548" totalsRowDxfId="547">
      <totalsRowFormula>SUM(AN7:AN30)</totalsRowFormula>
    </tableColumn>
    <tableColumn id="118" name="Saturday108" totalsRowFunction="custom" dataDxfId="546" totalsRowDxfId="545">
      <totalsRowFormula>SUM(AO7:AO30)</totalsRowFormula>
    </tableColumn>
    <tableColumn id="119" name="Sunday109" totalsRowFunction="custom" dataDxfId="544" totalsRowDxfId="543">
      <totalsRowFormula>SUM(AP7:AP30)</totalsRowFormula>
    </tableColumn>
    <tableColumn id="120" name="Monday110" totalsRowFunction="custom" dataDxfId="542" totalsRowDxfId="541">
      <totalsRowFormula>SUM(AQ7:AQ30)</totalsRowFormula>
    </tableColumn>
    <tableColumn id="121" name="Tuesday111" totalsRowFunction="custom" dataDxfId="540" totalsRowDxfId="539">
      <totalsRowFormula>SUM(AR7:AR30)</totalsRowFormula>
    </tableColumn>
    <tableColumn id="122" name="Wednesday112" totalsRowFunction="custom" dataDxfId="538" totalsRowDxfId="537">
      <totalsRowFormula>SUM(AS7:AS30)</totalsRowFormula>
    </tableColumn>
    <tableColumn id="123" name="Thursday113" totalsRowFunction="custom" dataDxfId="536" totalsRowDxfId="535">
      <totalsRowFormula>SUM(AT7:AT30)</totalsRowFormula>
    </tableColumn>
    <tableColumn id="124" name="Friday114" totalsRowFunction="custom" dataDxfId="534" totalsRowDxfId="533">
      <totalsRowFormula>SUM(AU7:AU30)</totalsRowFormula>
    </tableColumn>
    <tableColumn id="125" name="Saturday115" totalsRowFunction="custom" dataDxfId="532" totalsRowDxfId="531">
      <totalsRowFormula>SUM(AV7:AV30)</totalsRowFormula>
    </tableColumn>
    <tableColumn id="126" name="Sunday116" totalsRowFunction="custom" dataDxfId="530" totalsRowDxfId="529">
      <totalsRowFormula>SUM(AW7:AW30)</totalsRowFormula>
    </tableColumn>
    <tableColumn id="127" name="Monday117" totalsRowFunction="custom" dataDxfId="528" totalsRowDxfId="527">
      <totalsRowFormula>SUM(AX7:AX30)</totalsRowFormula>
    </tableColumn>
    <tableColumn id="128" name="Tuesday118" totalsRowFunction="custom" dataDxfId="526" totalsRowDxfId="525">
      <totalsRowFormula>SUM(AY7:AY30)</totalsRowFormula>
    </tableColumn>
    <tableColumn id="129" name="Wednesday119" totalsRowFunction="custom" dataDxfId="524" totalsRowDxfId="523">
      <totalsRowFormula>SUM(AZ7:AZ30)</totalsRowFormula>
    </tableColumn>
    <tableColumn id="130" name="Thursday120" totalsRowFunction="custom" dataDxfId="522" totalsRowDxfId="521">
      <totalsRowFormula>SUM(BA7:BA30)</totalsRowFormula>
    </tableColumn>
    <tableColumn id="131" name="Friday121" totalsRowFunction="custom" dataDxfId="520" totalsRowDxfId="519">
      <totalsRowFormula>SUM(BB7:BB30)</totalsRowFormula>
    </tableColumn>
    <tableColumn id="132" name="Saturday122" totalsRowFunction="custom" dataDxfId="518" totalsRowDxfId="517">
      <totalsRowFormula>SUM(BC7:BC30)</totalsRowFormula>
    </tableColumn>
    <tableColumn id="133" name="Sunday123" totalsRowFunction="custom" dataDxfId="516" totalsRowDxfId="515">
      <totalsRowFormula>SUM(BD7:BD30)</totalsRowFormula>
    </tableColumn>
    <tableColumn id="134" name="Monday124" totalsRowFunction="custom" dataDxfId="514" totalsRowDxfId="513">
      <totalsRowFormula>SUM(BE7:BE30)</totalsRowFormula>
    </tableColumn>
    <tableColumn id="135" name="Tuesday125" totalsRowFunction="custom" dataDxfId="512" totalsRowDxfId="511">
      <totalsRowFormula>SUM(BF7:BF30)</totalsRowFormula>
    </tableColumn>
    <tableColumn id="136" name="Wednesday126" totalsRowFunction="custom" dataDxfId="510" totalsRowDxfId="509">
      <totalsRowFormula>SUM(BG7:BG30)</totalsRowFormula>
    </tableColumn>
    <tableColumn id="137" name="Thursday127" totalsRowFunction="custom" dataDxfId="508" totalsRowDxfId="507">
      <totalsRowFormula>SUM(BH7:BH30)</totalsRowFormula>
    </tableColumn>
    <tableColumn id="138" name="Friday128" totalsRowFunction="custom" dataDxfId="506" totalsRowDxfId="505">
      <totalsRowFormula>SUM(BI7:BI30)</totalsRowFormula>
    </tableColumn>
    <tableColumn id="139" name="Saturday129" totalsRowFunction="custom" dataDxfId="504" totalsRowDxfId="503">
      <totalsRowFormula>SUM(BJ7:BJ30)</totalsRowFormula>
    </tableColumn>
    <tableColumn id="140" name="Sunday130" totalsRowFunction="custom" dataDxfId="502" totalsRowDxfId="501">
      <totalsRowFormula>SUM(BK7:BK30)</totalsRowFormula>
    </tableColumn>
    <tableColumn id="141" name="Monday131" totalsRowFunction="custom" dataDxfId="500" totalsRowDxfId="499">
      <totalsRowFormula>SUM(BL7:BL30)</totalsRowFormula>
    </tableColumn>
    <tableColumn id="142" name="Tuesday132" totalsRowFunction="custom" dataDxfId="498" totalsRowDxfId="497">
      <totalsRowFormula>SUM(BM7:BM30)</totalsRowFormula>
    </tableColumn>
    <tableColumn id="143" name="Wednesday133" totalsRowFunction="custom" dataDxfId="496" totalsRowDxfId="495">
      <totalsRowFormula>SUM(BN7:BN30)</totalsRowFormula>
    </tableColumn>
    <tableColumn id="144" name="Thursday134" totalsRowFunction="custom" dataDxfId="494" totalsRowDxfId="493">
      <totalsRowFormula>SUM(BO7:BO30)</totalsRowFormula>
    </tableColumn>
    <tableColumn id="145" name="Friday135" totalsRowFunction="custom" dataDxfId="492" totalsRowDxfId="491">
      <totalsRowFormula>SUM(BP7:BP30)</totalsRowFormula>
    </tableColumn>
    <tableColumn id="146" name="Saturday136" totalsRowFunction="custom" dataDxfId="490" totalsRowDxfId="489">
      <totalsRowFormula>SUM(BQ7:BQ30)</totalsRowFormula>
    </tableColumn>
    <tableColumn id="147" name="Sunday137" totalsRowFunction="custom" dataDxfId="488" totalsRowDxfId="487">
      <totalsRowFormula>SUM(BR7:BR30)</totalsRowFormula>
    </tableColumn>
    <tableColumn id="148" name="Monday138" totalsRowFunction="custom" dataDxfId="486" totalsRowDxfId="485">
      <totalsRowFormula>SUM(BS7:BS30)</totalsRowFormula>
    </tableColumn>
    <tableColumn id="149" name="Tuesday139" totalsRowFunction="custom" dataDxfId="484" totalsRowDxfId="483">
      <totalsRowFormula>SUM(BT7:BT30)</totalsRowFormula>
    </tableColumn>
    <tableColumn id="150" name="Wednesday140" totalsRowFunction="custom" dataDxfId="482" totalsRowDxfId="481">
      <totalsRowFormula>SUM(BU7:BU30)</totalsRowFormula>
    </tableColumn>
    <tableColumn id="151" name="Thursday141" totalsRowFunction="custom" dataDxfId="480" totalsRowDxfId="479">
      <totalsRowFormula>SUM(BV7:BV30)</totalsRowFormula>
    </tableColumn>
    <tableColumn id="152" name="Friday142" totalsRowFunction="custom" dataDxfId="478" totalsRowDxfId="477">
      <totalsRowFormula>SUM(BW7:BW30)</totalsRowFormula>
    </tableColumn>
    <tableColumn id="153" name="Saturday143" totalsRowFunction="custom" dataDxfId="476" totalsRowDxfId="475">
      <totalsRowFormula>SUM(BX7:BX30)</totalsRowFormula>
    </tableColumn>
    <tableColumn id="154" name="Sunday144" totalsRowFunction="custom" dataDxfId="474" totalsRowDxfId="473">
      <totalsRowFormula>SUM(BY7:BY30)</totalsRowFormula>
    </tableColumn>
    <tableColumn id="155" name="Monday145" totalsRowFunction="custom" dataDxfId="472" totalsRowDxfId="471">
      <totalsRowFormula>SUM(BZ7:BZ30)</totalsRowFormula>
    </tableColumn>
    <tableColumn id="156" name="Tuesday146" totalsRowFunction="custom" dataDxfId="470" totalsRowDxfId="469">
      <totalsRowFormula>SUM(CA7:CA30)</totalsRowFormula>
    </tableColumn>
    <tableColumn id="157" name="Wednesday147" totalsRowFunction="custom" dataDxfId="468" totalsRowDxfId="467">
      <totalsRowFormula>SUM(CB7:CB30)</totalsRowFormula>
    </tableColumn>
    <tableColumn id="158" name="Thursday148" totalsRowFunction="custom" dataDxfId="466" totalsRowDxfId="465">
      <totalsRowFormula>SUM(CC7:CC30)</totalsRowFormula>
    </tableColumn>
    <tableColumn id="159" name="Friday149" totalsRowFunction="custom" dataDxfId="464" totalsRowDxfId="463">
      <totalsRowFormula>SUM(CD7:CD30)</totalsRowFormula>
    </tableColumn>
    <tableColumn id="160" name="Saturday150" totalsRowFunction="custom" dataDxfId="462" totalsRowDxfId="461">
      <totalsRowFormula>SUM(CE7:CE30)</totalsRowFormula>
    </tableColumn>
    <tableColumn id="161" name="Sunday151" totalsRowFunction="custom" dataDxfId="460" totalsRowDxfId="459">
      <totalsRowFormula>SUM(CF7:CF30)</totalsRowFormula>
    </tableColumn>
    <tableColumn id="162" name="Monday152" totalsRowFunction="custom" dataDxfId="458" totalsRowDxfId="457">
      <totalsRowFormula>SUM(CG7:CG30)</totalsRowFormula>
    </tableColumn>
    <tableColumn id="163" name="Tuesday153" totalsRowFunction="custom" dataDxfId="456" totalsRowDxfId="455">
      <totalsRowFormula>SUM(CH7:CH30)</totalsRowFormula>
    </tableColumn>
    <tableColumn id="164" name="Wednesday154" totalsRowFunction="custom" dataDxfId="454" totalsRowDxfId="453">
      <totalsRowFormula>SUM(CI7:CI30)</totalsRowFormula>
    </tableColumn>
    <tableColumn id="165" name="Thursday155" totalsRowFunction="custom" dataDxfId="452" totalsRowDxfId="451">
      <totalsRowFormula>SUM(CJ7:CJ30)</totalsRowFormula>
    </tableColumn>
    <tableColumn id="166" name="Friday156" totalsRowFunction="custom" dataDxfId="450" totalsRowDxfId="449">
      <totalsRowFormula>SUM(CK7:CK30)</totalsRowFormula>
    </tableColumn>
    <tableColumn id="167" name="Saturday157" totalsRowFunction="custom" dataDxfId="448" totalsRowDxfId="447">
      <totalsRowFormula>SUM(CL7:CL30)</totalsRowFormula>
    </tableColumn>
    <tableColumn id="168" name="Sunday158" totalsRowFunction="custom" dataDxfId="446" totalsRowDxfId="445">
      <totalsRowFormula>SUM(CM7:CM30)</totalsRowFormula>
    </tableColumn>
    <tableColumn id="169" name="Monday159" totalsRowFunction="custom" dataDxfId="444" totalsRowDxfId="443">
      <totalsRowFormula>SUM(CN7:CN30)</totalsRowFormula>
    </tableColumn>
    <tableColumn id="170" name="Tuesday160" totalsRowFunction="custom" dataDxfId="442" totalsRowDxfId="441">
      <totalsRowFormula>SUM(CO7:CO30)</totalsRowFormula>
    </tableColumn>
    <tableColumn id="171" name="Wednesday161" totalsRowFunction="custom" dataDxfId="440" totalsRowDxfId="439">
      <totalsRowFormula>SUM(CP7:CP30)</totalsRowFormula>
    </tableColumn>
    <tableColumn id="172" name="Thursday162" totalsRowFunction="custom" dataDxfId="438" totalsRowDxfId="437">
      <totalsRowFormula>SUM(CQ7:CQ30)</totalsRowFormula>
    </tableColumn>
    <tableColumn id="173" name="Friday163" totalsRowFunction="custom" dataDxfId="436" totalsRowDxfId="435">
      <totalsRowFormula>SUM(CR7:CR30)</totalsRowFormula>
    </tableColumn>
    <tableColumn id="174" name="Saturday164" totalsRowFunction="custom" dataDxfId="434" totalsRowDxfId="433">
      <totalsRowFormula>SUM(CS7:CS30)</totalsRowFormula>
    </tableColumn>
    <tableColumn id="175" name="Sunday165" totalsRowFunction="custom" dataDxfId="432" totalsRowDxfId="431">
      <totalsRowFormula>SUM(CT7:CT30)</totalsRowFormula>
    </tableColumn>
    <tableColumn id="176" name="Monday166" totalsRowFunction="custom" dataDxfId="430" totalsRowDxfId="429">
      <totalsRowFormula>SUM(CU7:CU30)</totalsRowFormula>
    </tableColumn>
    <tableColumn id="177" name="Tuesday167" totalsRowFunction="custom" dataDxfId="428" totalsRowDxfId="427">
      <totalsRowFormula>SUM(CV7:CV30)</totalsRowFormula>
    </tableColumn>
    <tableColumn id="178" name="Wednesday168" totalsRowFunction="custom" dataDxfId="426" totalsRowDxfId="425">
      <totalsRowFormula>SUM(CW7:CW30)</totalsRowFormula>
    </tableColumn>
    <tableColumn id="179" name="Thursday169" totalsRowFunction="custom" dataDxfId="424" totalsRowDxfId="423">
      <totalsRowFormula>SUM(CX7:CX30)</totalsRowFormula>
    </tableColumn>
    <tableColumn id="180" name="Friday170" totalsRowFunction="custom" dataDxfId="422" totalsRowDxfId="421">
      <totalsRowFormula>SUM(CY7:CY30)</totalsRowFormula>
    </tableColumn>
    <tableColumn id="181" name="Saturday171" totalsRowFunction="custom" dataDxfId="420" totalsRowDxfId="419">
      <totalsRowFormula>SUM(CZ7:CZ30)</totalsRowFormula>
    </tableColumn>
    <tableColumn id="182" name="Sunday172" totalsRowFunction="custom" dataDxfId="418" totalsRowDxfId="417">
      <totalsRowFormula>SUM(DA7:DA30)</totalsRowFormula>
    </tableColumn>
    <tableColumn id="183" name="Monday173" totalsRowFunction="custom" dataDxfId="416" totalsRowDxfId="415">
      <totalsRowFormula>SUM(DB7:DB30)</totalsRowFormula>
    </tableColumn>
    <tableColumn id="184" name="Tuesday174" totalsRowFunction="custom" dataDxfId="414" totalsRowDxfId="413">
      <totalsRowFormula>SUM(DC7:DC30)</totalsRowFormula>
    </tableColumn>
    <tableColumn id="185" name="Wednesday175" totalsRowFunction="custom" dataDxfId="412" totalsRowDxfId="411">
      <totalsRowFormula>SUM(DD7:DD30)</totalsRowFormula>
    </tableColumn>
    <tableColumn id="186" name="Thursday176" totalsRowFunction="custom" dataDxfId="410" totalsRowDxfId="409">
      <totalsRowFormula>SUM(DE7:DE30)</totalsRowFormula>
    </tableColumn>
    <tableColumn id="187" name="Friday177" totalsRowFunction="custom" dataDxfId="408" totalsRowDxfId="407">
      <totalsRowFormula>SUM(DF7:DF30)</totalsRowFormula>
    </tableColumn>
    <tableColumn id="188" name="Saturday178" totalsRowFunction="custom" dataDxfId="406" totalsRowDxfId="405">
      <totalsRowFormula>SUM(DG7:DG30)</totalsRowFormula>
    </tableColumn>
    <tableColumn id="189" name="Sunday179" totalsRowFunction="custom" dataDxfId="404" totalsRowDxfId="403">
      <totalsRowFormula>SUM(DH7:DH30)</totalsRowFormula>
    </tableColumn>
    <tableColumn id="190" name="Monday180" totalsRowFunction="custom" dataDxfId="402" totalsRowDxfId="401">
      <totalsRowFormula>SUM(DI7:DI30)</totalsRowFormula>
    </tableColumn>
    <tableColumn id="191" name="Tuesday181" totalsRowFunction="custom" dataDxfId="400" totalsRowDxfId="399">
      <totalsRowFormula>SUM(DJ7:DJ30)</totalsRowFormula>
    </tableColumn>
    <tableColumn id="192" name="Wednesday182" totalsRowFunction="custom" dataDxfId="398" totalsRowDxfId="397">
      <totalsRowFormula>SUM(DK7:DK30)</totalsRowFormula>
    </tableColumn>
    <tableColumn id="193" name="Thursday183" totalsRowFunction="custom" dataDxfId="396" totalsRowDxfId="395">
      <totalsRowFormula>SUM(DL7:DL30)</totalsRowFormula>
    </tableColumn>
    <tableColumn id="194" name="Friday184" totalsRowFunction="custom" dataDxfId="394" totalsRowDxfId="393">
      <totalsRowFormula>SUM(DM7:DM30)</totalsRowFormula>
    </tableColumn>
    <tableColumn id="195" name="Saturday185" totalsRowFunction="custom" dataDxfId="392" totalsRowDxfId="391">
      <totalsRowFormula>SUM(DN7:DN30)</totalsRowFormula>
    </tableColumn>
    <tableColumn id="196" name="Sunday186" totalsRowFunction="custom" dataDxfId="390" totalsRowDxfId="389">
      <totalsRowFormula>SUM(DO7:DO30)</totalsRowFormula>
    </tableColumn>
    <tableColumn id="197" name="Monday187" totalsRowFunction="custom" dataDxfId="388" totalsRowDxfId="387">
      <totalsRowFormula>SUM(DP7:DP30)</totalsRowFormula>
    </tableColumn>
    <tableColumn id="198" name="Tuesday188" totalsRowFunction="custom" dataDxfId="386" totalsRowDxfId="385">
      <totalsRowFormula>SUM(DQ7:DQ30)</totalsRowFormula>
    </tableColumn>
    <tableColumn id="199" name="Wednesday189" totalsRowFunction="custom" dataDxfId="384" totalsRowDxfId="383">
      <totalsRowFormula>SUM(DR7:DR30)</totalsRowFormula>
    </tableColumn>
    <tableColumn id="200" name="Thursday190" totalsRowFunction="custom" dataDxfId="382" totalsRowDxfId="381">
      <totalsRowFormula>SUM(DS7:DS30)</totalsRowFormula>
    </tableColumn>
    <tableColumn id="201" name="Friday191" totalsRowFunction="custom" dataDxfId="380" totalsRowDxfId="379">
      <totalsRowFormula>SUM(DT7:DT30)</totalsRowFormula>
    </tableColumn>
    <tableColumn id="202" name="Saturday192" totalsRowFunction="custom" dataDxfId="378" totalsRowDxfId="377">
      <totalsRowFormula>SUM(DU7:DU30)</totalsRowFormula>
    </tableColumn>
    <tableColumn id="203" name="Sunday193" totalsRowFunction="custom" dataDxfId="376" totalsRowDxfId="375">
      <totalsRowFormula>SUM(DV7:DV30)</totalsRowFormula>
    </tableColumn>
    <tableColumn id="204" name="Monday194" totalsRowFunction="custom" dataDxfId="374" totalsRowDxfId="373">
      <totalsRowFormula>SUM(DW7:DW30)</totalsRowFormula>
    </tableColumn>
    <tableColumn id="205" name="Tuesday195" totalsRowFunction="custom" dataDxfId="372" totalsRowDxfId="371">
      <totalsRowFormula>SUM(DX7:DX30)</totalsRowFormula>
    </tableColumn>
    <tableColumn id="206" name="Wednesday196" totalsRowFunction="custom" dataDxfId="370" totalsRowDxfId="369">
      <totalsRowFormula>SUM(DY7:DY30)</totalsRowFormula>
    </tableColumn>
    <tableColumn id="207" name="Thursday197" totalsRowFunction="custom" dataDxfId="368" totalsRowDxfId="367">
      <totalsRowFormula>SUM(DZ7:DZ30)</totalsRowFormula>
    </tableColumn>
    <tableColumn id="208" name="Friday198" totalsRowFunction="custom" dataDxfId="366" totalsRowDxfId="365">
      <totalsRowFormula>SUM(EA7:EA30)</totalsRowFormula>
    </tableColumn>
    <tableColumn id="209" name="Saturday199" totalsRowFunction="custom" dataDxfId="364" totalsRowDxfId="363">
      <totalsRowFormula>SUM(EB7:EB30)</totalsRowFormula>
    </tableColumn>
    <tableColumn id="210" name="Sunday200" totalsRowFunction="custom" dataDxfId="362" totalsRowDxfId="361">
      <totalsRowFormula>SUM(EC7:EC30)</totalsRowFormula>
    </tableColumn>
    <tableColumn id="211" name="Monday201" totalsRowFunction="custom" dataDxfId="360" totalsRowDxfId="359">
      <totalsRowFormula>SUM(ED7:ED30)</totalsRowFormula>
    </tableColumn>
    <tableColumn id="212" name="Tuesday202" totalsRowFunction="custom" dataDxfId="358" totalsRowDxfId="357">
      <totalsRowFormula>SUM(EE7:EE30)</totalsRowFormula>
    </tableColumn>
    <tableColumn id="213" name="Wednesday203" totalsRowFunction="custom" dataDxfId="356" totalsRowDxfId="355">
      <totalsRowFormula>SUM(EF7:EF30)</totalsRowFormula>
    </tableColumn>
    <tableColumn id="214" name="Thursday204" totalsRowFunction="custom" dataDxfId="354" totalsRowDxfId="353">
      <totalsRowFormula>SUM(EG7:EG30)</totalsRowFormula>
    </tableColumn>
    <tableColumn id="215" name="Friday205" totalsRowFunction="custom" dataDxfId="352" totalsRowDxfId="351">
      <totalsRowFormula>SUM(EH7:EH30)</totalsRowFormula>
    </tableColumn>
    <tableColumn id="216" name="Saturday206" totalsRowFunction="custom" dataDxfId="350" totalsRowDxfId="349">
      <totalsRowFormula>SUM(EI7:EI30)</totalsRowFormula>
    </tableColumn>
    <tableColumn id="217" name="Sunday207" totalsRowFunction="custom" dataDxfId="348" totalsRowDxfId="347">
      <totalsRowFormula>SUM(EJ7:EJ30)</totalsRowFormula>
    </tableColumn>
    <tableColumn id="218" name="Monday208" totalsRowFunction="custom" dataDxfId="346" totalsRowDxfId="345">
      <totalsRowFormula>SUM(EK7:EK30)</totalsRowFormula>
    </tableColumn>
    <tableColumn id="219" name="Tuesday209" totalsRowFunction="custom" dataDxfId="344" totalsRowDxfId="343">
      <totalsRowFormula>SUM(EL7:EL30)</totalsRowFormula>
    </tableColumn>
    <tableColumn id="220" name="Wednesday210" totalsRowFunction="custom" dataDxfId="342" totalsRowDxfId="341">
      <totalsRowFormula>SUM(EM7:EM30)</totalsRowFormula>
    </tableColumn>
    <tableColumn id="221" name="Thursday211" totalsRowFunction="custom" dataDxfId="340" totalsRowDxfId="339">
      <totalsRowFormula>SUM(EN7:EN30)</totalsRowFormula>
    </tableColumn>
    <tableColumn id="222" name="Friday212" dataDxfId="338" totalsRowDxfId="337"/>
    <tableColumn id="223" name="Saturday213" dataDxfId="336" totalsRowDxfId="335"/>
    <tableColumn id="224" name="Sunday214" dataDxfId="334" totalsRowDxfId="333"/>
    <tableColumn id="225" name="Monday215" dataDxfId="332" totalsRowDxfId="331"/>
    <tableColumn id="226" name="Tuesday216" dataDxfId="330" totalsRowDxfId="329"/>
    <tableColumn id="227" name="Wednesday217" dataDxfId="328" totalsRowDxfId="327"/>
    <tableColumn id="228" name="Thursday218" dataDxfId="326" totalsRowDxfId="325"/>
    <tableColumn id="229" name="Friday219" dataDxfId="324" totalsRowDxfId="323"/>
    <tableColumn id="230" name="Saturday220" dataDxfId="322" totalsRowDxfId="321"/>
    <tableColumn id="231" name="Sunday221" dataDxfId="320" totalsRowDxfId="319"/>
    <tableColumn id="232" name="Monday222" dataDxfId="318" totalsRowDxfId="317"/>
    <tableColumn id="233" name="Tuesday223" dataDxfId="316" totalsRowDxfId="315"/>
    <tableColumn id="234" name="Wednesday224" dataDxfId="314" totalsRowDxfId="313"/>
    <tableColumn id="235" name="Thursday225" dataDxfId="312" totalsRowDxfId="311"/>
    <tableColumn id="236" name="Friday226" dataDxfId="310" totalsRowDxfId="309"/>
    <tableColumn id="237" name="Saturday227" dataDxfId="308" totalsRowDxfId="307"/>
    <tableColumn id="238" name="Sunday228" dataDxfId="306" totalsRowDxfId="305"/>
    <tableColumn id="239" name="Monday229" dataDxfId="304" totalsRowDxfId="303"/>
    <tableColumn id="240" name="Tuesday230" dataDxfId="302" totalsRowDxfId="301"/>
    <tableColumn id="241" name="Wednesday231" dataDxfId="300" totalsRowDxfId="299"/>
    <tableColumn id="242" name="Thursday232" dataDxfId="298" totalsRowDxfId="297"/>
    <tableColumn id="243" name="Friday233" dataDxfId="296" totalsRowDxfId="295"/>
    <tableColumn id="244" name="Saturday234" dataDxfId="294" totalsRowDxfId="293"/>
    <tableColumn id="245" name="Sunday235" dataDxfId="292" totalsRowDxfId="291"/>
    <tableColumn id="246" name="Monday236" dataDxfId="290" totalsRowDxfId="289"/>
    <tableColumn id="247" name="Tuesday237" dataDxfId="288" totalsRowDxfId="287"/>
    <tableColumn id="248" name="Wednesday238" dataDxfId="286" totalsRowDxfId="285"/>
    <tableColumn id="249" name="Thursday239" dataDxfId="284" totalsRowDxfId="283"/>
    <tableColumn id="250" name="Friday240" dataDxfId="282" totalsRowDxfId="281"/>
    <tableColumn id="251" name="Saturday241" dataDxfId="280" totalsRowDxfId="279"/>
    <tableColumn id="252" name="Sunday242" dataDxfId="278" totalsRowDxfId="277"/>
    <tableColumn id="253" name="Monday243" dataDxfId="276" totalsRowDxfId="275"/>
    <tableColumn id="254" name="Tuesday244" dataDxfId="274" totalsRowDxfId="273"/>
    <tableColumn id="255" name="Wednesday245" dataDxfId="272" totalsRowDxfId="271"/>
    <tableColumn id="256" name="Thursday246" dataDxfId="270" totalsRowDxfId="269"/>
    <tableColumn id="257" name="Friday247" dataDxfId="268" totalsRowDxfId="267"/>
    <tableColumn id="258" name="Saturday248" dataDxfId="266" totalsRowDxfId="265"/>
    <tableColumn id="259" name="Sunday249" dataDxfId="264" totalsRowDxfId="263"/>
    <tableColumn id="260" name="Monday250" dataDxfId="262" totalsRowDxfId="261"/>
    <tableColumn id="261" name="Tuesday251" dataDxfId="260" totalsRowDxfId="259"/>
    <tableColumn id="262" name="Wednesday252" dataDxfId="258" totalsRowDxfId="257"/>
    <tableColumn id="263" name="Thursday253" dataDxfId="256" totalsRowDxfId="255"/>
    <tableColumn id="264" name="Friday254" dataDxfId="254" totalsRowDxfId="253"/>
    <tableColumn id="265" name="Saturday255" dataDxfId="252" totalsRowDxfId="251"/>
    <tableColumn id="266" name="Sunday256" dataDxfId="250" totalsRowDxfId="249"/>
    <tableColumn id="267" name="Monday257" dataDxfId="248" totalsRowDxfId="247"/>
    <tableColumn id="268" name="Tuesday258" dataDxfId="246" totalsRowDxfId="245"/>
    <tableColumn id="269" name="Wednesday259" dataDxfId="244" totalsRowDxfId="243"/>
    <tableColumn id="270" name="Thursday260" dataDxfId="242" totalsRowDxfId="241"/>
    <tableColumn id="271" name="Friday261" dataDxfId="240" totalsRowDxfId="239"/>
    <tableColumn id="272" name="Saturday262" dataDxfId="238" totalsRowDxfId="237"/>
    <tableColumn id="273" name="Sunday263" dataDxfId="236" totalsRowDxfId="235"/>
    <tableColumn id="274" name="Monday264" dataDxfId="234" totalsRowDxfId="233"/>
    <tableColumn id="275" name="Tuesday265" dataDxfId="232" totalsRowDxfId="231"/>
    <tableColumn id="276" name="Wednesday266" dataDxfId="230" totalsRowDxfId="229"/>
    <tableColumn id="277" name="Thursday267" dataDxfId="228" totalsRowDxfId="227"/>
    <tableColumn id="278" name="Friday268" dataDxfId="226" totalsRowDxfId="225"/>
    <tableColumn id="279" name="Saturday269" dataDxfId="224" totalsRowDxfId="223"/>
    <tableColumn id="280" name="Sunday270" dataDxfId="222" totalsRowDxfId="221"/>
    <tableColumn id="281" name="Monday271" dataDxfId="220" totalsRowDxfId="219"/>
    <tableColumn id="282" name="Tuesday272" dataDxfId="218" totalsRowDxfId="217"/>
    <tableColumn id="283" name="Wednesday273" dataDxfId="216" totalsRowDxfId="215"/>
    <tableColumn id="284" name="Thursday274" dataDxfId="214" totalsRowDxfId="213"/>
    <tableColumn id="285" name="Friday275" dataDxfId="212" totalsRowDxfId="211"/>
    <tableColumn id="286" name="Saturday276" dataDxfId="210" totalsRowDxfId="209"/>
    <tableColumn id="287" name="Sunday277" dataDxfId="208" totalsRowDxfId="207"/>
    <tableColumn id="288" name="Monday278" dataDxfId="206" totalsRowDxfId="205"/>
    <tableColumn id="289" name="Tuesday279" dataDxfId="204" totalsRowDxfId="203"/>
    <tableColumn id="290" name="Wednesday280" dataDxfId="202" totalsRowDxfId="201"/>
    <tableColumn id="291" name="Thursday281" dataDxfId="200" totalsRowDxfId="199"/>
    <tableColumn id="292" name="Friday282" dataDxfId="198" totalsRowDxfId="197"/>
    <tableColumn id="293" name="Saturday283" dataDxfId="196" totalsRowDxfId="195"/>
    <tableColumn id="294" name="Sunday284" dataDxfId="194" totalsRowDxfId="193"/>
    <tableColumn id="295" name="Monday285" dataDxfId="192" totalsRowDxfId="191"/>
    <tableColumn id="296" name="Tuesday286" dataDxfId="190" totalsRowDxfId="189"/>
    <tableColumn id="297" name="Wednesday287" dataDxfId="188" totalsRowDxfId="187"/>
    <tableColumn id="298" name="Thursday288" dataDxfId="186" totalsRowDxfId="185"/>
    <tableColumn id="299" name="Friday289" dataDxfId="184" totalsRowDxfId="183"/>
    <tableColumn id="300" name="Saturday290" dataDxfId="182" totalsRowDxfId="181"/>
    <tableColumn id="301" name="Sunday291" dataDxfId="180" totalsRowDxfId="179"/>
    <tableColumn id="302" name="Monday292" dataDxfId="178" totalsRowDxfId="177"/>
    <tableColumn id="303" name="Tuesday293" dataDxfId="176" totalsRowDxfId="175"/>
    <tableColumn id="304" name="Wednesday294" dataDxfId="174" totalsRowDxfId="173"/>
    <tableColumn id="305" name="Thursday295" dataDxfId="172" totalsRowDxfId="171"/>
    <tableColumn id="306" name="Friday296" dataDxfId="170" totalsRowDxfId="169"/>
    <tableColumn id="307" name="Saturday297" dataDxfId="168" totalsRowDxfId="167"/>
    <tableColumn id="308" name="Sunday298" dataDxfId="166" totalsRowDxfId="165"/>
    <tableColumn id="309" name="Monday299" dataDxfId="164" totalsRowDxfId="163"/>
    <tableColumn id="310" name="Tuesday300" dataDxfId="162" totalsRowDxfId="161"/>
    <tableColumn id="311" name="Wednesday301" dataDxfId="160" totalsRowDxfId="159"/>
    <tableColumn id="312" name="Thursday302" dataDxfId="158" totalsRowDxfId="157"/>
    <tableColumn id="313" name="Friday303" dataDxfId="156" totalsRowDxfId="155"/>
    <tableColumn id="314" name="Saturday304" dataDxfId="154" totalsRowDxfId="153"/>
    <tableColumn id="315" name="Sunday305" dataDxfId="152" totalsRowDxfId="151"/>
    <tableColumn id="316" name="Monday306" dataDxfId="150" totalsRowDxfId="149"/>
    <tableColumn id="317" name="Tuesday307" dataDxfId="148" totalsRowDxfId="147"/>
    <tableColumn id="318" name="Wednesday308" dataDxfId="146" totalsRowDxfId="145"/>
    <tableColumn id="319" name="Thursday309" dataDxfId="144" totalsRowDxfId="143"/>
    <tableColumn id="320" name="Friday310" dataDxfId="142" totalsRowDxfId="141"/>
    <tableColumn id="321" name="Saturday311" dataDxfId="140" totalsRowDxfId="139"/>
    <tableColumn id="322" name="Sunday312" dataDxfId="138" totalsRowDxfId="137"/>
    <tableColumn id="323" name="Monday313" dataDxfId="136" totalsRowDxfId="135"/>
    <tableColumn id="324" name="Tuesday314" dataDxfId="134" totalsRowDxfId="133"/>
    <tableColumn id="325" name="Wednesday315" dataDxfId="132" totalsRowDxfId="131"/>
    <tableColumn id="326" name="Thursday316" dataDxfId="130" totalsRowDxfId="129"/>
    <tableColumn id="327" name="Friday317" dataDxfId="128" totalsRowDxfId="127"/>
    <tableColumn id="328" name="Saturday318" dataDxfId="126" totalsRowDxfId="125"/>
    <tableColumn id="329" name="Sunday319" dataDxfId="124" totalsRowDxfId="123"/>
    <tableColumn id="330" name="Monday320" dataDxfId="122" totalsRowDxfId="121"/>
    <tableColumn id="331" name="Tuesday321" dataDxfId="120" totalsRowDxfId="119"/>
    <tableColumn id="332" name="Wednesday322" dataDxfId="118" totalsRowDxfId="117"/>
    <tableColumn id="333" name="Thursday323" dataDxfId="116" totalsRowDxfId="115"/>
    <tableColumn id="334" name="Friday324" dataDxfId="114" totalsRowDxfId="113"/>
    <tableColumn id="335" name="Saturday325" dataDxfId="112" totalsRowDxfId="111"/>
    <tableColumn id="336" name="Sunday326" dataDxfId="110" totalsRowDxfId="109"/>
    <tableColumn id="337" name="Monday327" dataDxfId="108" totalsRowDxfId="107"/>
    <tableColumn id="338" name="Tuesday328" dataDxfId="106" totalsRowDxfId="105"/>
    <tableColumn id="339" name="Wednesday329" dataDxfId="104" totalsRowDxfId="103"/>
    <tableColumn id="340" name="Thursday330" dataDxfId="102" totalsRowDxfId="101"/>
    <tableColumn id="341" name="Friday331" dataDxfId="100" totalsRowDxfId="99"/>
    <tableColumn id="342" name="Saturday332" dataDxfId="98" totalsRowDxfId="97"/>
    <tableColumn id="343" name="Sunday333" dataDxfId="96" totalsRowDxfId="95"/>
    <tableColumn id="344" name="Monday334" dataDxfId="94" totalsRowDxfId="93"/>
    <tableColumn id="345" name="Tuesday335" dataDxfId="92" totalsRowDxfId="91"/>
    <tableColumn id="346" name="Wednesday336" dataDxfId="90" totalsRowDxfId="89"/>
    <tableColumn id="347" name="Thursday337" dataDxfId="88" totalsRowDxfId="87"/>
    <tableColumn id="348" name="Friday338" dataDxfId="86" totalsRowDxfId="85"/>
    <tableColumn id="349" name="Saturday339" dataDxfId="84" totalsRowDxfId="83"/>
    <tableColumn id="350" name="Sunday340" dataDxfId="82" totalsRowDxfId="81"/>
    <tableColumn id="351" name="Monday341" dataDxfId="80" totalsRowDxfId="79"/>
    <tableColumn id="352" name="Tuesday342" dataDxfId="78" totalsRowDxfId="77"/>
    <tableColumn id="353" name="Wednesday343" dataDxfId="76" totalsRowDxfId="75"/>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72" dataDxfId="71">
  <autoFilter ref="C15:G120"/>
  <tableColumns count="5">
    <tableColumn id="1" name="Task" dataDxfId="70"/>
    <tableColumn id="2" name="TODO" dataDxfId="69"/>
    <tableColumn id="3" name="Percentage" dataDxfId="68"/>
    <tableColumn id="4" name="Due" dataDxfId="67"/>
    <tableColumn id="5" name="Side Notes" dataDxfId="66"/>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C4:I39" totalsRowShown="0" headerRowDxfId="65" dataDxfId="64">
  <autoFilter ref="C4:I39"/>
  <sortState ref="C5:I39">
    <sortCondition descending="1" ref="C4:C39"/>
  </sortState>
  <tableColumns count="7">
    <tableColumn id="1" name="PRIORITY" dataDxfId="63"/>
    <tableColumn id="2" name="CATEGORY" dataDxfId="62"/>
    <tableColumn id="9" name="TODO" dataDxfId="61"/>
    <tableColumn id="3" name="TASK DESCRIPTION" dataDxfId="60" dataCellStyle="Note"/>
    <tableColumn id="4" name="Links/Notes" dataDxfId="59"/>
    <tableColumn id="5" name="HOURS NEEDED" dataDxfId="58"/>
    <tableColumn id="6" name="Due Dates" dataDxfId="57"/>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www.youtube.com/"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6.bin"/><Relationship Id="rId1" Type="http://schemas.openxmlformats.org/officeDocument/2006/relationships/hyperlink" Target="http://www.sparknotes.com/lit/1984/context/historical/why-orwell-wrote-19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P41"/>
  <sheetViews>
    <sheetView topLeftCell="A10" zoomScale="77" zoomScaleNormal="55" workbookViewId="0">
      <selection activeCell="H16" sqref="H16"/>
    </sheetView>
  </sheetViews>
  <sheetFormatPr defaultColWidth="8.85546875" defaultRowHeight="15" x14ac:dyDescent="0.25"/>
  <cols>
    <col min="1" max="1" width="25.85546875" style="66" customWidth="1"/>
    <col min="2" max="2" width="21.85546875" style="69" customWidth="1"/>
    <col min="3" max="284" width="20.7109375" style="74" customWidth="1"/>
    <col min="285" max="16384" width="8.85546875" style="74"/>
  </cols>
  <sheetData>
    <row r="1" spans="1:276" s="67" customFormat="1" x14ac:dyDescent="0.25">
      <c r="A1" s="68">
        <f ca="1">TODAY()</f>
        <v>43233</v>
      </c>
    </row>
    <row r="2" spans="1:276" s="99" customFormat="1" ht="66.75" customHeight="1" x14ac:dyDescent="0.25">
      <c r="A2" s="98">
        <f ca="1">NOW()</f>
        <v>43233.505155671293</v>
      </c>
      <c r="B2" s="100">
        <v>43157</v>
      </c>
    </row>
    <row r="3" spans="1:276" s="136" customFormat="1" ht="33" customHeight="1" x14ac:dyDescent="0.25">
      <c r="A3" s="101">
        <f ca="1">HOUR(A2)</f>
        <v>12</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row>
    <row r="4" spans="1:276" s="71" customFormat="1" ht="32.25" customHeight="1" x14ac:dyDescent="0.25">
      <c r="A4" s="70"/>
      <c r="C4" s="72">
        <v>43229</v>
      </c>
      <c r="D4" s="72">
        <v>43230</v>
      </c>
      <c r="E4" s="72">
        <v>43231</v>
      </c>
      <c r="F4" s="72">
        <v>43232</v>
      </c>
      <c r="G4" s="72">
        <v>43233</v>
      </c>
      <c r="H4" s="72">
        <v>43234</v>
      </c>
      <c r="I4" s="72">
        <v>43235</v>
      </c>
      <c r="J4" s="72">
        <v>43236</v>
      </c>
      <c r="K4" s="72">
        <v>43237</v>
      </c>
      <c r="L4" s="72">
        <v>43238</v>
      </c>
      <c r="M4" s="72">
        <v>43239</v>
      </c>
      <c r="N4" s="72">
        <v>43240</v>
      </c>
      <c r="O4" s="72">
        <v>43241</v>
      </c>
      <c r="P4" s="72">
        <v>43242</v>
      </c>
      <c r="Q4" s="72">
        <v>43243</v>
      </c>
      <c r="R4" s="72">
        <v>43244</v>
      </c>
      <c r="S4" s="72">
        <v>43245</v>
      </c>
      <c r="T4" s="72">
        <v>43246</v>
      </c>
      <c r="U4" s="72">
        <v>43247</v>
      </c>
      <c r="V4" s="72">
        <v>43248</v>
      </c>
      <c r="W4" s="72">
        <v>43249</v>
      </c>
      <c r="X4" s="72">
        <v>43250</v>
      </c>
      <c r="Y4" s="72">
        <v>43251</v>
      </c>
      <c r="Z4" s="72">
        <v>43252</v>
      </c>
      <c r="AA4" s="72">
        <v>43253</v>
      </c>
      <c r="AB4" s="72">
        <v>43254</v>
      </c>
      <c r="AC4" s="72">
        <v>43255</v>
      </c>
      <c r="AD4" s="72">
        <v>43256</v>
      </c>
      <c r="AE4" s="72">
        <v>43257</v>
      </c>
      <c r="AF4" s="72">
        <v>43258</v>
      </c>
      <c r="AG4" s="72">
        <v>43259</v>
      </c>
      <c r="AH4" s="72">
        <v>43260</v>
      </c>
      <c r="AI4" s="72">
        <v>43261</v>
      </c>
      <c r="AJ4" s="72">
        <v>43262</v>
      </c>
      <c r="AK4" s="72">
        <v>43263</v>
      </c>
      <c r="AL4" s="72">
        <v>43264</v>
      </c>
      <c r="AM4" s="72">
        <v>43265</v>
      </c>
      <c r="AN4" s="72">
        <v>43266</v>
      </c>
      <c r="AO4" s="72">
        <v>43267</v>
      </c>
      <c r="AP4" s="72">
        <v>43268</v>
      </c>
      <c r="AQ4" s="72">
        <v>43269</v>
      </c>
      <c r="AR4" s="72">
        <v>43270</v>
      </c>
      <c r="AS4" s="72">
        <v>43271</v>
      </c>
      <c r="AT4" s="72">
        <v>43272</v>
      </c>
      <c r="AU4" s="72">
        <v>43273</v>
      </c>
      <c r="AV4" s="72">
        <v>43274</v>
      </c>
      <c r="AW4" s="72">
        <v>43275</v>
      </c>
      <c r="AX4" s="72">
        <v>43276</v>
      </c>
      <c r="AY4" s="72">
        <v>43277</v>
      </c>
      <c r="AZ4" s="72">
        <v>43278</v>
      </c>
      <c r="BA4" s="72">
        <v>43279</v>
      </c>
      <c r="BB4" s="72">
        <v>43280</v>
      </c>
      <c r="BC4" s="72">
        <v>43281</v>
      </c>
      <c r="BD4" s="72">
        <v>43282</v>
      </c>
      <c r="BE4" s="72">
        <v>43283</v>
      </c>
      <c r="BF4" s="72">
        <v>43284</v>
      </c>
      <c r="BG4" s="72">
        <v>43285</v>
      </c>
      <c r="BH4" s="72">
        <v>43286</v>
      </c>
      <c r="BI4" s="72">
        <v>43287</v>
      </c>
      <c r="BJ4" s="72">
        <v>43288</v>
      </c>
      <c r="BK4" s="72">
        <v>43289</v>
      </c>
      <c r="BL4" s="72">
        <v>43290</v>
      </c>
      <c r="BM4" s="72">
        <v>43291</v>
      </c>
      <c r="BN4" s="72">
        <v>43292</v>
      </c>
      <c r="BO4" s="72">
        <v>43293</v>
      </c>
      <c r="BP4" s="72">
        <v>43294</v>
      </c>
      <c r="BQ4" s="72">
        <v>43295</v>
      </c>
      <c r="BR4" s="72">
        <v>43296</v>
      </c>
      <c r="BS4" s="72">
        <v>43297</v>
      </c>
      <c r="BT4" s="72">
        <v>43298</v>
      </c>
      <c r="BU4" s="72">
        <v>43299</v>
      </c>
      <c r="BV4" s="72">
        <v>43300</v>
      </c>
      <c r="BW4" s="72">
        <v>43301</v>
      </c>
      <c r="BX4" s="72">
        <v>43302</v>
      </c>
      <c r="BY4" s="72">
        <v>43303</v>
      </c>
      <c r="BZ4" s="72">
        <v>43304</v>
      </c>
      <c r="CA4" s="72">
        <v>43305</v>
      </c>
      <c r="CB4" s="72">
        <v>43306</v>
      </c>
      <c r="CC4" s="72">
        <v>43307</v>
      </c>
      <c r="CD4" s="72">
        <v>43308</v>
      </c>
      <c r="CE4" s="72">
        <v>43309</v>
      </c>
      <c r="CF4" s="72">
        <v>43310</v>
      </c>
      <c r="CG4" s="72">
        <v>43311</v>
      </c>
      <c r="CH4" s="72">
        <v>43312</v>
      </c>
      <c r="CI4" s="72">
        <v>43313</v>
      </c>
      <c r="CJ4" s="72">
        <v>43314</v>
      </c>
      <c r="CK4" s="72">
        <v>43315</v>
      </c>
      <c r="CL4" s="72">
        <v>43316</v>
      </c>
      <c r="CM4" s="72">
        <v>43317</v>
      </c>
      <c r="CN4" s="72">
        <v>43318</v>
      </c>
      <c r="CO4" s="72">
        <v>43319</v>
      </c>
      <c r="CP4" s="72">
        <v>43320</v>
      </c>
      <c r="CQ4" s="72">
        <v>43321</v>
      </c>
      <c r="CR4" s="72">
        <v>43322</v>
      </c>
      <c r="CS4" s="72">
        <v>43323</v>
      </c>
      <c r="CT4" s="72">
        <v>43324</v>
      </c>
      <c r="CU4" s="72">
        <v>43325</v>
      </c>
      <c r="CV4" s="72">
        <v>43326</v>
      </c>
      <c r="CW4" s="72">
        <v>43327</v>
      </c>
      <c r="CX4" s="72">
        <v>43328</v>
      </c>
      <c r="CY4" s="72">
        <v>43329</v>
      </c>
      <c r="CZ4" s="72">
        <v>43330</v>
      </c>
      <c r="DA4" s="72">
        <v>43331</v>
      </c>
      <c r="DB4" s="72">
        <v>43332</v>
      </c>
      <c r="DC4" s="72">
        <v>43333</v>
      </c>
      <c r="DD4" s="72">
        <v>43334</v>
      </c>
      <c r="DE4" s="72">
        <v>43335</v>
      </c>
      <c r="DF4" s="72">
        <v>43336</v>
      </c>
      <c r="DG4" s="72">
        <v>43337</v>
      </c>
      <c r="DH4" s="72">
        <v>43338</v>
      </c>
      <c r="DI4" s="72">
        <v>43339</v>
      </c>
      <c r="DJ4" s="72">
        <v>43340</v>
      </c>
      <c r="DK4" s="72">
        <v>43341</v>
      </c>
      <c r="DL4" s="72">
        <v>43342</v>
      </c>
      <c r="DM4" s="72">
        <v>43343</v>
      </c>
      <c r="DN4" s="72">
        <v>43344</v>
      </c>
      <c r="DO4" s="72">
        <v>43345</v>
      </c>
      <c r="DP4" s="72">
        <v>43346</v>
      </c>
      <c r="DQ4" s="72">
        <v>43347</v>
      </c>
      <c r="DR4" s="72">
        <v>43348</v>
      </c>
      <c r="DS4" s="72">
        <v>43349</v>
      </c>
      <c r="DT4" s="72">
        <v>43350</v>
      </c>
      <c r="DU4" s="72">
        <v>43351</v>
      </c>
      <c r="DV4" s="72">
        <v>43352</v>
      </c>
      <c r="DW4" s="72">
        <v>43353</v>
      </c>
      <c r="DX4" s="72">
        <v>43354</v>
      </c>
      <c r="DY4" s="72">
        <v>43355</v>
      </c>
      <c r="DZ4" s="72">
        <v>43356</v>
      </c>
      <c r="EA4" s="72">
        <v>43357</v>
      </c>
      <c r="EB4" s="72">
        <v>43358</v>
      </c>
      <c r="EC4" s="72">
        <v>43359</v>
      </c>
      <c r="ED4" s="72">
        <v>43360</v>
      </c>
      <c r="EE4" s="72">
        <v>43361</v>
      </c>
      <c r="EF4" s="72">
        <v>43362</v>
      </c>
      <c r="EG4" s="72">
        <v>43363</v>
      </c>
      <c r="EH4" s="72">
        <v>43364</v>
      </c>
      <c r="EI4" s="72">
        <v>43365</v>
      </c>
      <c r="EJ4" s="72">
        <v>43366</v>
      </c>
      <c r="EK4" s="72">
        <v>43367</v>
      </c>
      <c r="EL4" s="72">
        <v>43368</v>
      </c>
      <c r="EM4" s="72">
        <v>43369</v>
      </c>
      <c r="EN4" s="72">
        <v>43370</v>
      </c>
      <c r="EO4" s="72">
        <v>43371</v>
      </c>
      <c r="EP4" s="72">
        <v>43372</v>
      </c>
      <c r="EQ4" s="72">
        <v>43373</v>
      </c>
      <c r="ER4" s="72">
        <v>43374</v>
      </c>
      <c r="ES4" s="72">
        <v>43375</v>
      </c>
      <c r="ET4" s="72">
        <v>43376</v>
      </c>
      <c r="EU4" s="72">
        <v>43377</v>
      </c>
      <c r="EV4" s="72">
        <v>43378</v>
      </c>
      <c r="EW4" s="72">
        <v>43379</v>
      </c>
      <c r="EX4" s="72">
        <v>43380</v>
      </c>
      <c r="EY4" s="72">
        <v>43381</v>
      </c>
      <c r="EZ4" s="72">
        <v>43382</v>
      </c>
      <c r="FA4" s="72">
        <v>43383</v>
      </c>
      <c r="FB4" s="72">
        <v>43384</v>
      </c>
      <c r="FC4" s="72">
        <v>43385</v>
      </c>
      <c r="FD4" s="72">
        <v>43386</v>
      </c>
      <c r="FE4" s="72">
        <v>43387</v>
      </c>
      <c r="FF4" s="72">
        <v>43388</v>
      </c>
      <c r="FG4" s="72">
        <v>43389</v>
      </c>
      <c r="FH4" s="72">
        <v>43390</v>
      </c>
      <c r="FI4" s="72">
        <v>43391</v>
      </c>
      <c r="FJ4" s="72">
        <v>43392</v>
      </c>
      <c r="FK4" s="72">
        <v>43393</v>
      </c>
      <c r="FL4" s="72">
        <v>43394</v>
      </c>
      <c r="FM4" s="72">
        <v>43395</v>
      </c>
      <c r="FN4" s="72">
        <v>43396</v>
      </c>
      <c r="FO4" s="72">
        <v>43397</v>
      </c>
      <c r="FP4" s="72">
        <v>43398</v>
      </c>
      <c r="FQ4" s="72">
        <v>43399</v>
      </c>
      <c r="FR4" s="72">
        <v>43400</v>
      </c>
      <c r="FS4" s="72">
        <v>43401</v>
      </c>
      <c r="FT4" s="72">
        <v>43402</v>
      </c>
      <c r="FU4" s="72">
        <v>43403</v>
      </c>
      <c r="FV4" s="72">
        <v>43404</v>
      </c>
      <c r="FW4" s="72">
        <v>43405</v>
      </c>
      <c r="FX4" s="72">
        <v>43406</v>
      </c>
      <c r="FY4" s="72">
        <v>43407</v>
      </c>
      <c r="FZ4" s="72">
        <v>43408</v>
      </c>
      <c r="GA4" s="72">
        <v>43409</v>
      </c>
      <c r="GB4" s="72">
        <v>43410</v>
      </c>
      <c r="GC4" s="72">
        <v>43411</v>
      </c>
      <c r="GD4" s="72">
        <v>43412</v>
      </c>
      <c r="GE4" s="72">
        <v>43413</v>
      </c>
      <c r="GF4" s="72">
        <v>43414</v>
      </c>
      <c r="GG4" s="72">
        <v>43415</v>
      </c>
      <c r="GH4" s="72">
        <v>43416</v>
      </c>
      <c r="GI4" s="72">
        <v>43417</v>
      </c>
      <c r="GJ4" s="72">
        <v>43418</v>
      </c>
      <c r="GK4" s="72">
        <v>43419</v>
      </c>
      <c r="GL4" s="72">
        <v>43420</v>
      </c>
      <c r="GM4" s="72">
        <v>43421</v>
      </c>
      <c r="GN4" s="72">
        <v>43422</v>
      </c>
      <c r="GO4" s="72">
        <v>43423</v>
      </c>
      <c r="GP4" s="72">
        <v>43424</v>
      </c>
      <c r="GQ4" s="72">
        <v>43425</v>
      </c>
      <c r="GR4" s="72">
        <v>43426</v>
      </c>
      <c r="GS4" s="72">
        <v>43427</v>
      </c>
      <c r="GT4" s="72">
        <v>43428</v>
      </c>
      <c r="GU4" s="72">
        <v>43429</v>
      </c>
      <c r="GV4" s="72">
        <v>43430</v>
      </c>
      <c r="GW4" s="72">
        <v>43431</v>
      </c>
      <c r="GX4" s="72">
        <v>43432</v>
      </c>
      <c r="GY4" s="72">
        <v>43433</v>
      </c>
      <c r="GZ4" s="72">
        <v>43434</v>
      </c>
      <c r="HA4" s="72">
        <v>43435</v>
      </c>
      <c r="HB4" s="72">
        <v>43436</v>
      </c>
      <c r="HC4" s="72">
        <v>43437</v>
      </c>
      <c r="HD4" s="72">
        <v>43438</v>
      </c>
      <c r="HE4" s="72">
        <v>43439</v>
      </c>
      <c r="HF4" s="72">
        <v>43440</v>
      </c>
      <c r="HG4" s="72">
        <v>43441</v>
      </c>
      <c r="HH4" s="72">
        <v>43442</v>
      </c>
      <c r="HI4" s="72">
        <v>43443</v>
      </c>
      <c r="HJ4" s="72">
        <v>43444</v>
      </c>
      <c r="HK4" s="72">
        <v>43445</v>
      </c>
      <c r="HL4" s="72">
        <v>43446</v>
      </c>
      <c r="HM4" s="72">
        <v>43447</v>
      </c>
      <c r="HN4" s="72">
        <v>43448</v>
      </c>
      <c r="HO4" s="72">
        <v>43449</v>
      </c>
      <c r="HP4" s="72">
        <v>43450</v>
      </c>
      <c r="HQ4" s="72">
        <v>43451</v>
      </c>
      <c r="HR4" s="72">
        <v>43452</v>
      </c>
      <c r="HS4" s="72">
        <v>43453</v>
      </c>
      <c r="HT4" s="72">
        <v>43454</v>
      </c>
      <c r="HU4" s="72">
        <v>43455</v>
      </c>
      <c r="HV4" s="72">
        <v>43456</v>
      </c>
      <c r="HW4" s="72">
        <v>43457</v>
      </c>
      <c r="HX4" s="72">
        <v>43458</v>
      </c>
      <c r="HY4" s="72">
        <v>43459</v>
      </c>
      <c r="HZ4" s="72">
        <v>43460</v>
      </c>
      <c r="IA4" s="72">
        <v>43461</v>
      </c>
      <c r="IB4" s="72">
        <v>43462</v>
      </c>
      <c r="IC4" s="72">
        <v>43463</v>
      </c>
      <c r="ID4" s="72">
        <v>43464</v>
      </c>
      <c r="IE4" s="72">
        <v>43465</v>
      </c>
      <c r="IF4" s="72">
        <v>43466</v>
      </c>
      <c r="IG4" s="72">
        <v>43467</v>
      </c>
      <c r="IH4" s="72">
        <v>43468</v>
      </c>
      <c r="II4" s="72">
        <v>43469</v>
      </c>
      <c r="IJ4" s="72">
        <v>43470</v>
      </c>
      <c r="IK4" s="72">
        <v>43471</v>
      </c>
      <c r="IL4" s="72">
        <v>43472</v>
      </c>
      <c r="IM4" s="72">
        <v>43473</v>
      </c>
      <c r="IN4" s="72">
        <v>43474</v>
      </c>
      <c r="IO4" s="72">
        <v>43475</v>
      </c>
      <c r="IP4" s="72">
        <v>43476</v>
      </c>
      <c r="IQ4" s="72">
        <v>43477</v>
      </c>
      <c r="IR4" s="72">
        <v>43478</v>
      </c>
      <c r="IS4" s="72">
        <v>43479</v>
      </c>
      <c r="IT4" s="72">
        <v>43480</v>
      </c>
      <c r="IU4" s="72">
        <v>43481</v>
      </c>
      <c r="IV4" s="72">
        <v>43482</v>
      </c>
      <c r="IW4" s="72">
        <v>43483</v>
      </c>
      <c r="IX4" s="72">
        <v>43484</v>
      </c>
      <c r="IY4" s="72">
        <v>43485</v>
      </c>
      <c r="IZ4" s="72">
        <v>43486</v>
      </c>
      <c r="JA4" s="72">
        <v>43487</v>
      </c>
      <c r="JB4" s="72">
        <v>43488</v>
      </c>
      <c r="JC4" s="72">
        <v>43489</v>
      </c>
      <c r="JD4" s="72">
        <v>43490</v>
      </c>
      <c r="JE4" s="72">
        <v>43491</v>
      </c>
      <c r="JF4" s="72">
        <v>43492</v>
      </c>
      <c r="JG4" s="72">
        <v>43493</v>
      </c>
      <c r="JH4" s="72">
        <v>43494</v>
      </c>
      <c r="JI4" s="72">
        <v>43495</v>
      </c>
      <c r="JJ4" s="72">
        <v>43496</v>
      </c>
      <c r="JK4" s="72">
        <v>43497</v>
      </c>
      <c r="JL4" s="72">
        <v>43498</v>
      </c>
      <c r="JM4" s="72">
        <v>43499</v>
      </c>
      <c r="JN4" s="72">
        <v>43500</v>
      </c>
      <c r="JO4" s="72">
        <v>43501</v>
      </c>
      <c r="JP4" s="72">
        <v>43502</v>
      </c>
    </row>
    <row r="5" spans="1:276" s="71" customFormat="1" ht="32.25" customHeight="1" x14ac:dyDescent="0.25">
      <c r="A5" s="70"/>
      <c r="B5" s="151" t="s">
        <v>413</v>
      </c>
      <c r="C5" s="152"/>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c r="IM5" s="152"/>
      <c r="IN5" s="152"/>
      <c r="IO5" s="152"/>
      <c r="IP5" s="152"/>
      <c r="IQ5" s="152"/>
      <c r="IR5" s="152"/>
      <c r="IS5" s="152"/>
      <c r="IT5" s="152"/>
      <c r="IU5" s="152"/>
      <c r="IV5" s="152"/>
      <c r="IW5" s="152"/>
      <c r="IX5" s="152"/>
      <c r="IY5" s="152"/>
      <c r="IZ5" s="152"/>
      <c r="JA5" s="152"/>
      <c r="JB5" s="152"/>
      <c r="JC5" s="152"/>
      <c r="JD5" s="152"/>
      <c r="JE5" s="152"/>
      <c r="JF5" s="152"/>
      <c r="JG5" s="152"/>
      <c r="JH5" s="152"/>
      <c r="JI5" s="152"/>
      <c r="JJ5" s="152"/>
      <c r="JK5" s="152"/>
      <c r="JL5" s="152"/>
      <c r="JM5" s="152"/>
      <c r="JN5" s="152"/>
      <c r="JO5" s="152"/>
      <c r="JP5" s="152"/>
    </row>
    <row r="6" spans="1:276" s="155" customFormat="1" ht="51.75" customHeight="1" thickBot="1" x14ac:dyDescent="0.3">
      <c r="A6" s="153"/>
      <c r="B6" s="151" t="s">
        <v>414</v>
      </c>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4"/>
      <c r="FL6" s="154"/>
      <c r="FM6" s="154"/>
      <c r="FN6" s="154"/>
      <c r="FO6" s="154"/>
      <c r="FP6" s="154"/>
      <c r="FQ6" s="154"/>
      <c r="FR6" s="154"/>
      <c r="FS6" s="154"/>
      <c r="FT6" s="154"/>
      <c r="FU6" s="154"/>
      <c r="FV6" s="154"/>
      <c r="FW6" s="154"/>
      <c r="FX6" s="154"/>
      <c r="FY6" s="154"/>
      <c r="FZ6" s="154"/>
      <c r="GA6" s="154"/>
      <c r="GB6" s="154"/>
      <c r="GC6" s="154"/>
      <c r="GD6" s="154"/>
      <c r="GE6" s="154"/>
      <c r="GF6" s="154"/>
      <c r="GG6" s="154"/>
      <c r="GH6" s="154"/>
      <c r="GI6" s="154"/>
      <c r="GJ6" s="154"/>
      <c r="GK6" s="154"/>
      <c r="GL6" s="154"/>
      <c r="GM6" s="154"/>
      <c r="GN6" s="154"/>
      <c r="GO6" s="154"/>
      <c r="GP6" s="154"/>
      <c r="GQ6" s="154"/>
      <c r="GR6" s="154"/>
      <c r="GS6" s="154"/>
      <c r="GT6" s="154"/>
      <c r="GU6" s="154"/>
      <c r="GV6" s="154"/>
      <c r="GW6" s="154"/>
      <c r="GX6" s="154"/>
      <c r="GY6" s="154"/>
      <c r="GZ6" s="154"/>
      <c r="HA6" s="154"/>
      <c r="HB6" s="154"/>
      <c r="HC6" s="154"/>
      <c r="HD6" s="154"/>
      <c r="HE6" s="154"/>
      <c r="HF6" s="154"/>
      <c r="HG6" s="154"/>
      <c r="HH6" s="154"/>
      <c r="HI6" s="154"/>
      <c r="HJ6" s="154"/>
      <c r="HK6" s="154"/>
      <c r="HL6" s="154"/>
      <c r="HM6" s="154"/>
      <c r="HN6" s="154"/>
      <c r="HO6" s="154"/>
      <c r="HP6" s="154"/>
      <c r="HQ6" s="154"/>
      <c r="HR6" s="154"/>
      <c r="HS6" s="154"/>
      <c r="HT6" s="154"/>
      <c r="HU6" s="154"/>
      <c r="HV6" s="154"/>
      <c r="HW6" s="154"/>
      <c r="HX6" s="154"/>
      <c r="HY6" s="154"/>
      <c r="HZ6" s="154"/>
      <c r="IA6" s="154"/>
      <c r="IB6" s="154"/>
      <c r="IC6" s="154"/>
      <c r="ID6" s="154"/>
      <c r="IE6" s="154"/>
      <c r="IF6" s="154"/>
      <c r="IG6" s="154"/>
      <c r="IH6" s="154"/>
      <c r="II6" s="154"/>
      <c r="IJ6" s="154"/>
      <c r="IK6" s="154"/>
      <c r="IL6" s="154"/>
      <c r="IM6" s="154"/>
      <c r="IN6" s="154"/>
      <c r="IO6" s="154"/>
      <c r="IP6" s="154"/>
      <c r="IQ6" s="154"/>
      <c r="IR6" s="154"/>
      <c r="IS6" s="154"/>
      <c r="IT6" s="154"/>
      <c r="IU6" s="154"/>
      <c r="IV6" s="154"/>
      <c r="IW6" s="154"/>
      <c r="IX6" s="154"/>
      <c r="IY6" s="154"/>
      <c r="IZ6" s="154"/>
      <c r="JA6" s="154"/>
      <c r="JB6" s="154"/>
      <c r="JC6" s="154"/>
      <c r="JD6" s="154"/>
      <c r="JE6" s="154"/>
      <c r="JF6" s="154"/>
      <c r="JG6" s="154"/>
      <c r="JH6" s="154"/>
      <c r="JI6" s="154"/>
      <c r="JJ6" s="154"/>
      <c r="JK6" s="154"/>
      <c r="JL6" s="154"/>
      <c r="JM6" s="154"/>
      <c r="JN6" s="154"/>
      <c r="JO6" s="154"/>
      <c r="JP6" s="154"/>
    </row>
    <row r="7" spans="1:276" ht="36" customHeight="1" thickTop="1" x14ac:dyDescent="0.25">
      <c r="A7" s="77">
        <f>HOUR(B7)</f>
        <v>0</v>
      </c>
      <c r="B7" s="73">
        <v>0</v>
      </c>
      <c r="C7" s="156"/>
      <c r="D7" s="156"/>
      <c r="E7" s="156"/>
      <c r="F7" s="156"/>
      <c r="G7" s="214" t="s">
        <v>605</v>
      </c>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c r="EX7" s="156"/>
      <c r="EY7" s="156"/>
      <c r="EZ7" s="156"/>
      <c r="FA7" s="156"/>
      <c r="FB7" s="156"/>
      <c r="FC7" s="156"/>
      <c r="FD7" s="156"/>
      <c r="FE7" s="156"/>
      <c r="FF7" s="156"/>
      <c r="FG7" s="156"/>
      <c r="FH7" s="156"/>
      <c r="FI7" s="156"/>
      <c r="FJ7" s="156"/>
      <c r="FK7" s="156"/>
      <c r="FL7" s="156"/>
      <c r="FM7" s="156"/>
      <c r="FN7" s="156"/>
      <c r="FO7" s="156"/>
      <c r="FP7" s="156"/>
      <c r="FQ7" s="156"/>
      <c r="FR7" s="156"/>
      <c r="FS7" s="156"/>
      <c r="FT7" s="156"/>
      <c r="FU7" s="156"/>
      <c r="FV7" s="156"/>
      <c r="FW7" s="156"/>
      <c r="FX7" s="156"/>
      <c r="FY7" s="156"/>
      <c r="FZ7" s="156"/>
      <c r="GA7" s="156"/>
      <c r="GB7" s="156"/>
      <c r="GC7" s="156"/>
      <c r="GD7" s="156"/>
      <c r="GE7" s="156"/>
      <c r="GF7" s="156"/>
      <c r="GG7" s="156"/>
      <c r="GH7" s="156"/>
      <c r="GI7" s="156"/>
      <c r="GJ7" s="156"/>
      <c r="GK7" s="156"/>
      <c r="GL7" s="156"/>
      <c r="GM7" s="156"/>
      <c r="GN7" s="156"/>
      <c r="GO7" s="156"/>
      <c r="GP7" s="156"/>
      <c r="GQ7" s="156"/>
      <c r="GR7" s="156"/>
      <c r="GS7" s="156"/>
      <c r="GT7" s="156"/>
      <c r="GU7" s="156"/>
      <c r="GV7" s="156"/>
      <c r="GW7" s="156"/>
      <c r="GX7" s="156"/>
      <c r="GY7" s="156"/>
      <c r="GZ7" s="156"/>
      <c r="HA7" s="156"/>
      <c r="HB7" s="156"/>
      <c r="HC7" s="156"/>
      <c r="HD7" s="156"/>
      <c r="HE7" s="156"/>
      <c r="HF7" s="156"/>
      <c r="HG7" s="156"/>
      <c r="HH7" s="156"/>
      <c r="HI7" s="156"/>
      <c r="HJ7" s="156"/>
      <c r="HK7" s="156"/>
      <c r="HL7" s="156"/>
      <c r="HM7" s="156"/>
      <c r="HN7" s="156"/>
      <c r="HO7" s="156"/>
      <c r="HP7" s="156"/>
      <c r="HQ7" s="156"/>
      <c r="HR7" s="156"/>
      <c r="HS7" s="156"/>
      <c r="HT7" s="156"/>
      <c r="HU7" s="156"/>
      <c r="HV7" s="156"/>
      <c r="HW7" s="156"/>
      <c r="HX7" s="156"/>
      <c r="HY7" s="156"/>
      <c r="HZ7" s="156"/>
      <c r="IA7" s="156"/>
      <c r="IB7" s="156"/>
      <c r="IC7" s="156"/>
      <c r="ID7" s="156"/>
      <c r="IE7" s="156"/>
      <c r="IF7" s="156"/>
      <c r="IG7" s="156"/>
      <c r="IH7" s="156"/>
      <c r="II7" s="156"/>
      <c r="IJ7" s="156"/>
      <c r="IK7" s="156"/>
      <c r="IL7" s="156"/>
      <c r="IM7" s="156"/>
      <c r="IN7" s="156"/>
      <c r="IO7" s="156"/>
      <c r="IP7" s="156"/>
      <c r="IQ7" s="156"/>
      <c r="IR7" s="156"/>
      <c r="IS7" s="156"/>
      <c r="IT7" s="156"/>
      <c r="IU7" s="156"/>
      <c r="IV7" s="156"/>
      <c r="IW7" s="156"/>
      <c r="IX7" s="156"/>
      <c r="IY7" s="156"/>
      <c r="IZ7" s="156"/>
      <c r="JA7" s="156"/>
      <c r="JB7" s="156"/>
      <c r="JC7" s="156"/>
      <c r="JD7" s="156"/>
      <c r="JE7" s="156"/>
      <c r="JF7" s="156"/>
      <c r="JG7" s="156"/>
      <c r="JH7" s="156"/>
      <c r="JI7" s="156"/>
      <c r="JJ7" s="156"/>
      <c r="JK7" s="156"/>
      <c r="JL7" s="156"/>
      <c r="JM7" s="156"/>
      <c r="JN7" s="156"/>
      <c r="JO7" s="156"/>
      <c r="JP7" s="156"/>
    </row>
    <row r="8" spans="1:276" ht="28.7" customHeight="1" x14ac:dyDescent="0.25">
      <c r="A8" s="77">
        <f>HOUR(B8)</f>
        <v>1</v>
      </c>
      <c r="B8" s="73">
        <v>4.1666666666666699E-2</v>
      </c>
      <c r="C8" s="156"/>
      <c r="D8" s="156"/>
      <c r="E8" s="156"/>
      <c r="F8" s="156"/>
      <c r="G8" s="214" t="s">
        <v>605</v>
      </c>
      <c r="H8" s="156"/>
      <c r="I8" s="156"/>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c r="EX8" s="156"/>
      <c r="EY8" s="156"/>
      <c r="EZ8" s="156"/>
      <c r="FA8" s="156"/>
      <c r="FB8" s="156"/>
      <c r="FC8" s="156"/>
      <c r="FD8" s="156"/>
      <c r="FE8" s="156"/>
      <c r="FF8" s="156"/>
      <c r="FG8" s="156"/>
      <c r="FH8" s="156"/>
      <c r="FI8" s="156"/>
      <c r="FJ8" s="156"/>
      <c r="FK8" s="156"/>
      <c r="FL8" s="156"/>
      <c r="FM8" s="156"/>
      <c r="FN8" s="156"/>
      <c r="FO8" s="156"/>
      <c r="FP8" s="156"/>
      <c r="FQ8" s="156"/>
      <c r="FR8" s="156"/>
      <c r="FS8" s="156"/>
      <c r="FT8" s="156"/>
      <c r="FU8" s="156"/>
      <c r="FV8" s="156"/>
      <c r="FW8" s="156"/>
      <c r="FX8" s="156"/>
      <c r="FY8" s="156"/>
      <c r="FZ8" s="156"/>
      <c r="GA8" s="156"/>
      <c r="GB8" s="156"/>
      <c r="GC8" s="156"/>
      <c r="GD8" s="156"/>
      <c r="GE8" s="156"/>
      <c r="GF8" s="156"/>
      <c r="GG8" s="156"/>
      <c r="GH8" s="156"/>
      <c r="GI8" s="156"/>
      <c r="GJ8" s="156"/>
      <c r="GK8" s="156"/>
      <c r="GL8" s="156"/>
      <c r="GM8" s="156"/>
      <c r="GN8" s="156"/>
      <c r="GO8" s="156"/>
      <c r="GP8" s="156"/>
      <c r="GQ8" s="156"/>
      <c r="GR8" s="156"/>
      <c r="GS8" s="156"/>
      <c r="GT8" s="156"/>
      <c r="GU8" s="156"/>
      <c r="GV8" s="156"/>
      <c r="GW8" s="156"/>
      <c r="GX8" s="156"/>
      <c r="GY8" s="156"/>
      <c r="GZ8" s="156"/>
      <c r="HA8" s="156"/>
      <c r="HB8" s="156"/>
      <c r="HC8" s="156"/>
      <c r="HD8" s="156"/>
      <c r="HE8" s="156"/>
      <c r="HF8" s="156"/>
      <c r="HG8" s="156"/>
      <c r="HH8" s="156"/>
      <c r="HI8" s="156"/>
      <c r="HJ8" s="156"/>
      <c r="HK8" s="156"/>
      <c r="HL8" s="156"/>
      <c r="HM8" s="156"/>
      <c r="HN8" s="156"/>
      <c r="HO8" s="156"/>
      <c r="HP8" s="156"/>
      <c r="HQ8" s="156"/>
      <c r="HR8" s="156"/>
      <c r="HS8" s="156"/>
      <c r="HT8" s="156"/>
      <c r="HU8" s="156"/>
      <c r="HV8" s="156"/>
      <c r="HW8" s="156"/>
      <c r="HX8" s="156"/>
      <c r="HY8" s="156"/>
      <c r="HZ8" s="156"/>
      <c r="IA8" s="156"/>
      <c r="IB8" s="156"/>
      <c r="IC8" s="156"/>
      <c r="ID8" s="156"/>
      <c r="IE8" s="156"/>
      <c r="IF8" s="156"/>
      <c r="IG8" s="156"/>
      <c r="IH8" s="156"/>
      <c r="II8" s="156"/>
      <c r="IJ8" s="156"/>
      <c r="IK8" s="156"/>
      <c r="IL8" s="156"/>
      <c r="IM8" s="156"/>
      <c r="IN8" s="156"/>
      <c r="IO8" s="156"/>
      <c r="IP8" s="156"/>
      <c r="IQ8" s="156"/>
      <c r="IR8" s="156"/>
      <c r="IS8" s="156"/>
      <c r="IT8" s="156"/>
      <c r="IU8" s="156"/>
      <c r="IV8" s="156"/>
      <c r="IW8" s="156"/>
      <c r="IX8" s="156"/>
      <c r="IY8" s="156"/>
      <c r="IZ8" s="156"/>
      <c r="JA8" s="156"/>
      <c r="JB8" s="156"/>
      <c r="JC8" s="156"/>
      <c r="JD8" s="156"/>
      <c r="JE8" s="156"/>
      <c r="JF8" s="156"/>
      <c r="JG8" s="156"/>
      <c r="JH8" s="156"/>
      <c r="JI8" s="156"/>
      <c r="JJ8" s="156"/>
      <c r="JK8" s="156"/>
      <c r="JL8" s="156"/>
      <c r="JM8" s="156"/>
      <c r="JN8" s="156"/>
      <c r="JO8" s="156"/>
      <c r="JP8" s="156"/>
    </row>
    <row r="9" spans="1:276" ht="27.95" customHeight="1" x14ac:dyDescent="0.25">
      <c r="A9" s="77">
        <f t="shared" ref="A9:A30" si="0">HOUR(B9)</f>
        <v>2</v>
      </c>
      <c r="B9" s="73">
        <v>8.3333333333333301E-2</v>
      </c>
      <c r="C9" s="156"/>
      <c r="D9" s="156"/>
      <c r="E9" s="156"/>
      <c r="F9" s="156"/>
      <c r="G9" s="214" t="s">
        <v>605</v>
      </c>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c r="EX9" s="156"/>
      <c r="EY9" s="156"/>
      <c r="EZ9" s="156"/>
      <c r="FA9" s="156"/>
      <c r="FB9" s="156"/>
      <c r="FC9" s="156"/>
      <c r="FD9" s="156"/>
      <c r="FE9" s="156"/>
      <c r="FF9" s="156"/>
      <c r="FG9" s="156"/>
      <c r="FH9" s="156"/>
      <c r="FI9" s="156"/>
      <c r="FJ9" s="156"/>
      <c r="FK9" s="156"/>
      <c r="FL9" s="156"/>
      <c r="FM9" s="156"/>
      <c r="FN9" s="156"/>
      <c r="FO9" s="156"/>
      <c r="FP9" s="156"/>
      <c r="FQ9" s="156"/>
      <c r="FR9" s="156"/>
      <c r="FS9" s="156"/>
      <c r="FT9" s="156"/>
      <c r="FU9" s="156"/>
      <c r="FV9" s="156"/>
      <c r="FW9" s="156"/>
      <c r="FX9" s="156"/>
      <c r="FY9" s="156"/>
      <c r="FZ9" s="156"/>
      <c r="GA9" s="156"/>
      <c r="GB9" s="156"/>
      <c r="GC9" s="156"/>
      <c r="GD9" s="156"/>
      <c r="GE9" s="156"/>
      <c r="GF9" s="156"/>
      <c r="GG9" s="156"/>
      <c r="GH9" s="156"/>
      <c r="GI9" s="156"/>
      <c r="GJ9" s="156"/>
      <c r="GK9" s="156"/>
      <c r="GL9" s="156"/>
      <c r="GM9" s="156"/>
      <c r="GN9" s="156"/>
      <c r="GO9" s="156"/>
      <c r="GP9" s="156"/>
      <c r="GQ9" s="156"/>
      <c r="GR9" s="156"/>
      <c r="GS9" s="156"/>
      <c r="GT9" s="156"/>
      <c r="GU9" s="156"/>
      <c r="GV9" s="156"/>
      <c r="GW9" s="156"/>
      <c r="GX9" s="156"/>
      <c r="GY9" s="156"/>
      <c r="GZ9" s="156"/>
      <c r="HA9" s="156"/>
      <c r="HB9" s="156"/>
      <c r="HC9" s="156"/>
      <c r="HD9" s="156"/>
      <c r="HE9" s="156"/>
      <c r="HF9" s="156"/>
      <c r="HG9" s="156"/>
      <c r="HH9" s="156"/>
      <c r="HI9" s="156"/>
      <c r="HJ9" s="156"/>
      <c r="HK9" s="156"/>
      <c r="HL9" s="156"/>
      <c r="HM9" s="156"/>
      <c r="HN9" s="156"/>
      <c r="HO9" s="156"/>
      <c r="HP9" s="156"/>
      <c r="HQ9" s="156"/>
      <c r="HR9" s="156"/>
      <c r="HS9" s="156"/>
      <c r="HT9" s="156"/>
      <c r="HU9" s="156"/>
      <c r="HV9" s="156"/>
      <c r="HW9" s="156"/>
      <c r="HX9" s="156"/>
      <c r="HY9" s="156"/>
      <c r="HZ9" s="156"/>
      <c r="IA9" s="156"/>
      <c r="IB9" s="156"/>
      <c r="IC9" s="156"/>
      <c r="ID9" s="156"/>
      <c r="IE9" s="156"/>
      <c r="IF9" s="156"/>
      <c r="IG9" s="156"/>
      <c r="IH9" s="156"/>
      <c r="II9" s="156"/>
      <c r="IJ9" s="156"/>
      <c r="IK9" s="156"/>
      <c r="IL9" s="156"/>
      <c r="IM9" s="156"/>
      <c r="IN9" s="156"/>
      <c r="IO9" s="156"/>
      <c r="IP9" s="156"/>
      <c r="IQ9" s="156"/>
      <c r="IR9" s="156"/>
      <c r="IS9" s="156"/>
      <c r="IT9" s="156"/>
      <c r="IU9" s="156"/>
      <c r="IV9" s="156"/>
      <c r="IW9" s="156"/>
      <c r="IX9" s="156"/>
      <c r="IY9" s="156"/>
      <c r="IZ9" s="156"/>
      <c r="JA9" s="156"/>
      <c r="JB9" s="156"/>
      <c r="JC9" s="156"/>
      <c r="JD9" s="156"/>
      <c r="JE9" s="156"/>
      <c r="JF9" s="156"/>
      <c r="JG9" s="156"/>
      <c r="JH9" s="156"/>
      <c r="JI9" s="156"/>
      <c r="JJ9" s="156"/>
      <c r="JK9" s="156"/>
      <c r="JL9" s="156"/>
      <c r="JM9" s="156"/>
      <c r="JN9" s="156"/>
      <c r="JO9" s="156"/>
      <c r="JP9" s="156"/>
    </row>
    <row r="10" spans="1:276" s="69" customFormat="1" ht="30.2" customHeight="1" x14ac:dyDescent="0.25">
      <c r="A10" s="77">
        <f t="shared" si="0"/>
        <v>3</v>
      </c>
      <c r="B10" s="73">
        <v>0.125</v>
      </c>
      <c r="C10" s="157"/>
      <c r="D10" s="157" t="s">
        <v>637</v>
      </c>
      <c r="E10" s="214" t="s">
        <v>605</v>
      </c>
      <c r="F10" s="214" t="s">
        <v>605</v>
      </c>
      <c r="G10" s="228" t="s">
        <v>647</v>
      </c>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c r="AX10" s="157"/>
      <c r="AY10" s="157"/>
      <c r="AZ10" s="157"/>
      <c r="BA10" s="157"/>
      <c r="BB10" s="157"/>
      <c r="BC10" s="157"/>
      <c r="BD10" s="157"/>
      <c r="BE10" s="157"/>
      <c r="BF10" s="157"/>
      <c r="BG10" s="157"/>
      <c r="BH10" s="157"/>
      <c r="BI10" s="157"/>
      <c r="BJ10" s="157"/>
      <c r="BK10" s="157"/>
      <c r="BL10" s="157"/>
      <c r="BM10" s="157"/>
      <c r="BN10" s="157"/>
      <c r="BO10" s="157"/>
      <c r="BP10" s="157"/>
      <c r="BQ10" s="157"/>
      <c r="BR10" s="157"/>
      <c r="BS10" s="157"/>
      <c r="BT10" s="157"/>
      <c r="BU10" s="157"/>
      <c r="BV10" s="157"/>
      <c r="BW10" s="157"/>
      <c r="BX10" s="157"/>
      <c r="BY10" s="157"/>
      <c r="BZ10" s="157"/>
      <c r="CA10" s="157"/>
      <c r="CB10" s="157"/>
      <c r="CC10" s="157"/>
      <c r="CD10" s="157"/>
      <c r="CE10" s="157"/>
      <c r="CF10" s="157"/>
      <c r="CG10" s="157"/>
      <c r="CH10" s="157"/>
      <c r="CI10" s="157"/>
      <c r="CJ10" s="157"/>
      <c r="CK10" s="157"/>
      <c r="CL10" s="157"/>
      <c r="CM10" s="157"/>
      <c r="CN10" s="157"/>
      <c r="CO10" s="157"/>
      <c r="CP10" s="157"/>
      <c r="CQ10" s="157"/>
      <c r="CR10" s="157"/>
      <c r="CS10" s="157"/>
      <c r="CT10" s="157"/>
      <c r="CU10" s="157"/>
      <c r="CV10" s="157"/>
      <c r="CW10" s="157"/>
      <c r="CX10" s="157"/>
      <c r="CY10" s="157"/>
      <c r="CZ10" s="157"/>
      <c r="DA10" s="157"/>
      <c r="DB10" s="157"/>
      <c r="DC10" s="157"/>
      <c r="DD10" s="157"/>
      <c r="DE10" s="157"/>
      <c r="DF10" s="157"/>
      <c r="DG10" s="157"/>
      <c r="DH10" s="157"/>
      <c r="DI10" s="157"/>
      <c r="DJ10" s="157"/>
      <c r="DK10" s="157"/>
      <c r="DL10" s="157"/>
      <c r="DM10" s="157"/>
      <c r="DN10" s="157"/>
      <c r="DO10" s="157"/>
      <c r="DP10" s="157"/>
      <c r="DQ10" s="157"/>
      <c r="DR10" s="157"/>
      <c r="DS10" s="157"/>
      <c r="DT10" s="157"/>
      <c r="DU10" s="157"/>
      <c r="DV10" s="157"/>
      <c r="DW10" s="157"/>
      <c r="DX10" s="157"/>
      <c r="DY10" s="157"/>
      <c r="DZ10" s="157"/>
      <c r="EA10" s="157"/>
      <c r="EB10" s="157"/>
      <c r="EC10" s="157"/>
      <c r="ED10" s="157"/>
      <c r="EE10" s="157"/>
      <c r="EF10" s="157"/>
      <c r="EG10" s="157"/>
      <c r="EH10" s="157"/>
      <c r="EI10" s="157"/>
      <c r="EJ10" s="157"/>
      <c r="EK10" s="157"/>
      <c r="EL10" s="157"/>
      <c r="EM10" s="157"/>
      <c r="EN10" s="157"/>
      <c r="EO10" s="157"/>
      <c r="EP10" s="157"/>
      <c r="EQ10" s="157"/>
      <c r="ER10" s="157"/>
      <c r="ES10" s="157"/>
      <c r="ET10" s="157"/>
      <c r="EU10" s="157"/>
      <c r="EV10" s="157"/>
      <c r="EW10" s="157"/>
      <c r="EX10" s="157"/>
      <c r="EY10" s="157"/>
      <c r="EZ10" s="157"/>
      <c r="FA10" s="157"/>
      <c r="FB10" s="157"/>
      <c r="FC10" s="157"/>
      <c r="FD10" s="157"/>
      <c r="FE10" s="157"/>
      <c r="FF10" s="157"/>
      <c r="FG10" s="157"/>
      <c r="FH10" s="157"/>
      <c r="FI10" s="157"/>
      <c r="FJ10" s="157"/>
      <c r="FK10" s="157"/>
      <c r="FL10" s="157"/>
      <c r="FM10" s="157"/>
      <c r="FN10" s="157"/>
      <c r="FO10" s="157"/>
      <c r="FP10" s="157"/>
      <c r="FQ10" s="157"/>
      <c r="FR10" s="157"/>
      <c r="FS10" s="157"/>
      <c r="FT10" s="157"/>
      <c r="FU10" s="157"/>
      <c r="FV10" s="157"/>
      <c r="FW10" s="157"/>
      <c r="FX10" s="157"/>
      <c r="FY10" s="157"/>
      <c r="FZ10" s="157"/>
      <c r="GA10" s="157"/>
      <c r="GB10" s="157"/>
      <c r="GC10" s="157"/>
      <c r="GD10" s="157"/>
      <c r="GE10" s="157"/>
      <c r="GF10" s="157"/>
      <c r="GG10" s="157"/>
      <c r="GH10" s="157"/>
      <c r="GI10" s="157"/>
      <c r="GJ10" s="157"/>
      <c r="GK10" s="157"/>
      <c r="GL10" s="157"/>
      <c r="GM10" s="157"/>
      <c r="GN10" s="157"/>
      <c r="GO10" s="157"/>
      <c r="GP10" s="157"/>
      <c r="GQ10" s="157"/>
      <c r="GR10" s="157"/>
      <c r="GS10" s="157"/>
      <c r="GT10" s="157"/>
      <c r="GU10" s="157"/>
      <c r="GV10" s="157"/>
      <c r="GW10" s="157"/>
      <c r="GX10" s="157"/>
      <c r="GY10" s="157"/>
      <c r="GZ10" s="157"/>
      <c r="HA10" s="157"/>
      <c r="HB10" s="157"/>
      <c r="HC10" s="157"/>
      <c r="HD10" s="157"/>
      <c r="HE10" s="157"/>
      <c r="HF10" s="157"/>
      <c r="HG10" s="157"/>
      <c r="HH10" s="157"/>
      <c r="HI10" s="157"/>
      <c r="HJ10" s="157"/>
      <c r="HK10" s="157"/>
      <c r="HL10" s="157"/>
      <c r="HM10" s="157"/>
      <c r="HN10" s="157"/>
      <c r="HO10" s="157"/>
      <c r="HP10" s="157"/>
      <c r="HQ10" s="157"/>
      <c r="HR10" s="157"/>
      <c r="HS10" s="157"/>
      <c r="HT10" s="157"/>
      <c r="HU10" s="157"/>
      <c r="HV10" s="157"/>
      <c r="HW10" s="157"/>
      <c r="HX10" s="157"/>
      <c r="HY10" s="157"/>
      <c r="HZ10" s="157"/>
      <c r="IA10" s="157"/>
      <c r="IB10" s="157"/>
      <c r="IC10" s="157"/>
      <c r="ID10" s="157"/>
      <c r="IE10" s="157"/>
      <c r="IF10" s="157"/>
      <c r="IG10" s="157"/>
      <c r="IH10" s="157"/>
      <c r="II10" s="157"/>
      <c r="IJ10" s="157"/>
      <c r="IK10" s="157"/>
      <c r="IL10" s="157"/>
      <c r="IM10" s="157"/>
      <c r="IN10" s="157"/>
      <c r="IO10" s="157"/>
      <c r="IP10" s="157"/>
      <c r="IQ10" s="157"/>
      <c r="IR10" s="157"/>
      <c r="IS10" s="157"/>
      <c r="IT10" s="157"/>
      <c r="IU10" s="157"/>
      <c r="IV10" s="157"/>
      <c r="IW10" s="157"/>
      <c r="IX10" s="157"/>
      <c r="IY10" s="157"/>
      <c r="IZ10" s="157"/>
      <c r="JA10" s="157"/>
      <c r="JB10" s="157"/>
      <c r="JC10" s="157"/>
      <c r="JD10" s="157"/>
      <c r="JE10" s="157"/>
      <c r="JF10" s="157"/>
      <c r="JG10" s="157"/>
      <c r="JH10" s="157"/>
      <c r="JI10" s="157"/>
      <c r="JJ10" s="157"/>
      <c r="JK10" s="157"/>
      <c r="JL10" s="157"/>
      <c r="JM10" s="157"/>
      <c r="JN10" s="157"/>
      <c r="JO10" s="157"/>
      <c r="JP10" s="157"/>
    </row>
    <row r="11" spans="1:276" ht="32.25" customHeight="1" x14ac:dyDescent="0.25">
      <c r="A11" s="77">
        <f t="shared" si="0"/>
        <v>4</v>
      </c>
      <c r="B11" s="73">
        <v>0.16666666666666699</v>
      </c>
      <c r="C11" s="156"/>
      <c r="D11" s="156" t="s">
        <v>638</v>
      </c>
      <c r="E11" s="214" t="s">
        <v>605</v>
      </c>
      <c r="F11" s="214" t="s">
        <v>605</v>
      </c>
      <c r="G11" s="230" t="s">
        <v>648</v>
      </c>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c r="EX11" s="156"/>
      <c r="EY11" s="156"/>
      <c r="EZ11" s="156"/>
      <c r="FA11" s="156"/>
      <c r="FB11" s="156"/>
      <c r="FC11" s="156"/>
      <c r="FD11" s="156"/>
      <c r="FE11" s="156"/>
      <c r="FF11" s="156"/>
      <c r="FG11" s="156"/>
      <c r="FH11" s="156"/>
      <c r="FI11" s="156"/>
      <c r="FJ11" s="156"/>
      <c r="FK11" s="156"/>
      <c r="FL11" s="156"/>
      <c r="FM11" s="156"/>
      <c r="FN11" s="156"/>
      <c r="FO11" s="156"/>
      <c r="FP11" s="156"/>
      <c r="FQ11" s="156"/>
      <c r="FR11" s="156"/>
      <c r="FS11" s="156"/>
      <c r="FT11" s="156"/>
      <c r="FU11" s="156"/>
      <c r="FV11" s="156"/>
      <c r="FW11" s="156"/>
      <c r="FX11" s="156"/>
      <c r="FY11" s="156"/>
      <c r="FZ11" s="156"/>
      <c r="GA11" s="156"/>
      <c r="GB11" s="156"/>
      <c r="GC11" s="156"/>
      <c r="GD11" s="156"/>
      <c r="GE11" s="156"/>
      <c r="GF11" s="156"/>
      <c r="GG11" s="156"/>
      <c r="GH11" s="156"/>
      <c r="GI11" s="156"/>
      <c r="GJ11" s="156"/>
      <c r="GK11" s="156"/>
      <c r="GL11" s="156"/>
      <c r="GM11" s="156"/>
      <c r="GN11" s="156"/>
      <c r="GO11" s="156"/>
      <c r="GP11" s="156"/>
      <c r="GQ11" s="156"/>
      <c r="GR11" s="156"/>
      <c r="GS11" s="156"/>
      <c r="GT11" s="156"/>
      <c r="GU11" s="156"/>
      <c r="GV11" s="156"/>
      <c r="GW11" s="156"/>
      <c r="GX11" s="156"/>
      <c r="GY11" s="156"/>
      <c r="GZ11" s="156"/>
      <c r="HA11" s="156"/>
      <c r="HB11" s="156"/>
      <c r="HC11" s="156"/>
      <c r="HD11" s="156"/>
      <c r="HE11" s="156"/>
      <c r="HF11" s="156"/>
      <c r="HG11" s="156"/>
      <c r="HH11" s="156"/>
      <c r="HI11" s="156"/>
      <c r="HJ11" s="156"/>
      <c r="HK11" s="156"/>
      <c r="HL11" s="156"/>
      <c r="HM11" s="156"/>
      <c r="HN11" s="156"/>
      <c r="HO11" s="156"/>
      <c r="HP11" s="156"/>
      <c r="HQ11" s="156"/>
      <c r="HR11" s="156"/>
      <c r="HS11" s="156"/>
      <c r="HT11" s="156"/>
      <c r="HU11" s="156"/>
      <c r="HV11" s="156"/>
      <c r="HW11" s="156"/>
      <c r="HX11" s="156"/>
      <c r="HY11" s="156"/>
      <c r="HZ11" s="156"/>
      <c r="IA11" s="156"/>
      <c r="IB11" s="156"/>
      <c r="IC11" s="156"/>
      <c r="ID11" s="156"/>
      <c r="IE11" s="156"/>
      <c r="IF11" s="156"/>
      <c r="IG11" s="156"/>
      <c r="IH11" s="156"/>
      <c r="II11" s="156"/>
      <c r="IJ11" s="156"/>
      <c r="IK11" s="156"/>
      <c r="IL11" s="156"/>
      <c r="IM11" s="156"/>
      <c r="IN11" s="156"/>
      <c r="IO11" s="156"/>
      <c r="IP11" s="156"/>
      <c r="IQ11" s="156"/>
      <c r="IR11" s="156"/>
      <c r="IS11" s="156"/>
      <c r="IT11" s="156"/>
      <c r="IU11" s="156"/>
      <c r="IV11" s="156"/>
      <c r="IW11" s="156"/>
      <c r="IX11" s="156"/>
      <c r="IY11" s="156"/>
      <c r="IZ11" s="156"/>
      <c r="JA11" s="156"/>
      <c r="JB11" s="156"/>
      <c r="JC11" s="156"/>
      <c r="JD11" s="156"/>
      <c r="JE11" s="156"/>
      <c r="JF11" s="156"/>
      <c r="JG11" s="156"/>
      <c r="JH11" s="156"/>
      <c r="JI11" s="156"/>
      <c r="JJ11" s="156"/>
      <c r="JK11" s="156"/>
      <c r="JL11" s="156"/>
      <c r="JM11" s="156"/>
      <c r="JN11" s="156"/>
      <c r="JO11" s="156"/>
      <c r="JP11" s="156"/>
    </row>
    <row r="12" spans="1:276" ht="42" customHeight="1" x14ac:dyDescent="0.25">
      <c r="A12" s="77">
        <f t="shared" si="0"/>
        <v>5</v>
      </c>
      <c r="B12" s="73">
        <v>0.20833333333333301</v>
      </c>
      <c r="C12" s="156"/>
      <c r="D12" s="156" t="s">
        <v>639</v>
      </c>
      <c r="E12" s="214" t="s">
        <v>605</v>
      </c>
      <c r="F12" s="214" t="s">
        <v>605</v>
      </c>
      <c r="G12" s="230" t="s">
        <v>649</v>
      </c>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c r="EX12" s="156"/>
      <c r="EY12" s="156"/>
      <c r="EZ12" s="156"/>
      <c r="FA12" s="156"/>
      <c r="FB12" s="156"/>
      <c r="FC12" s="156"/>
      <c r="FD12" s="156"/>
      <c r="FE12" s="156"/>
      <c r="FF12" s="156"/>
      <c r="FG12" s="156"/>
      <c r="FH12" s="156"/>
      <c r="FI12" s="156"/>
      <c r="FJ12" s="156"/>
      <c r="FK12" s="156"/>
      <c r="FL12" s="156"/>
      <c r="FM12" s="156"/>
      <c r="FN12" s="156"/>
      <c r="FO12" s="156"/>
      <c r="FP12" s="156"/>
      <c r="FQ12" s="156"/>
      <c r="FR12" s="156"/>
      <c r="FS12" s="156"/>
      <c r="FT12" s="156"/>
      <c r="FU12" s="156"/>
      <c r="FV12" s="156"/>
      <c r="FW12" s="156"/>
      <c r="FX12" s="156"/>
      <c r="FY12" s="156"/>
      <c r="FZ12" s="156"/>
      <c r="GA12" s="156"/>
      <c r="GB12" s="156"/>
      <c r="GC12" s="156"/>
      <c r="GD12" s="156"/>
      <c r="GE12" s="156"/>
      <c r="GF12" s="156"/>
      <c r="GG12" s="156"/>
      <c r="GH12" s="156"/>
      <c r="GI12" s="156"/>
      <c r="GJ12" s="156"/>
      <c r="GK12" s="156"/>
      <c r="GL12" s="156"/>
      <c r="GM12" s="156"/>
      <c r="GN12" s="156"/>
      <c r="GO12" s="156"/>
      <c r="GP12" s="156"/>
      <c r="GQ12" s="156"/>
      <c r="GR12" s="156"/>
      <c r="GS12" s="156"/>
      <c r="GT12" s="156"/>
      <c r="GU12" s="156"/>
      <c r="GV12" s="156"/>
      <c r="GW12" s="156"/>
      <c r="GX12" s="156"/>
      <c r="GY12" s="156"/>
      <c r="GZ12" s="156"/>
      <c r="HA12" s="156"/>
      <c r="HB12" s="156"/>
      <c r="HC12" s="156"/>
      <c r="HD12" s="156"/>
      <c r="HE12" s="156"/>
      <c r="HF12" s="156"/>
      <c r="HG12" s="156"/>
      <c r="HH12" s="156"/>
      <c r="HI12" s="156"/>
      <c r="HJ12" s="156"/>
      <c r="HK12" s="156"/>
      <c r="HL12" s="156"/>
      <c r="HM12" s="156"/>
      <c r="HN12" s="156"/>
      <c r="HO12" s="156"/>
      <c r="HP12" s="156"/>
      <c r="HQ12" s="156"/>
      <c r="HR12" s="156"/>
      <c r="HS12" s="156"/>
      <c r="HT12" s="156"/>
      <c r="HU12" s="156"/>
      <c r="HV12" s="156"/>
      <c r="HW12" s="156"/>
      <c r="HX12" s="156"/>
      <c r="HY12" s="156"/>
      <c r="HZ12" s="156"/>
      <c r="IA12" s="156"/>
      <c r="IB12" s="156"/>
      <c r="IC12" s="156"/>
      <c r="ID12" s="156"/>
      <c r="IE12" s="156"/>
      <c r="IF12" s="156"/>
      <c r="IG12" s="156"/>
      <c r="IH12" s="156"/>
      <c r="II12" s="156"/>
      <c r="IJ12" s="156"/>
      <c r="IK12" s="156"/>
      <c r="IL12" s="156"/>
      <c r="IM12" s="156"/>
      <c r="IN12" s="156"/>
      <c r="IO12" s="156"/>
      <c r="IP12" s="156"/>
      <c r="IQ12" s="156"/>
      <c r="IR12" s="156"/>
      <c r="IS12" s="156"/>
      <c r="IT12" s="156"/>
      <c r="IU12" s="156"/>
      <c r="IV12" s="156"/>
      <c r="IW12" s="156"/>
      <c r="IX12" s="156"/>
      <c r="IY12" s="156"/>
      <c r="IZ12" s="156"/>
      <c r="JA12" s="156"/>
      <c r="JB12" s="156"/>
      <c r="JC12" s="156"/>
      <c r="JD12" s="156"/>
      <c r="JE12" s="156"/>
      <c r="JF12" s="156"/>
      <c r="JG12" s="156"/>
      <c r="JH12" s="156"/>
      <c r="JI12" s="156"/>
      <c r="JJ12" s="156"/>
      <c r="JK12" s="156"/>
      <c r="JL12" s="156"/>
      <c r="JM12" s="156"/>
      <c r="JN12" s="156"/>
      <c r="JO12" s="156"/>
      <c r="JP12" s="156"/>
    </row>
    <row r="13" spans="1:276" ht="34.5" customHeight="1" x14ac:dyDescent="0.25">
      <c r="A13" s="77">
        <f t="shared" si="0"/>
        <v>6</v>
      </c>
      <c r="B13" s="73">
        <v>0.25</v>
      </c>
      <c r="C13" s="156"/>
      <c r="D13" s="156"/>
      <c r="E13" s="214" t="s">
        <v>605</v>
      </c>
      <c r="F13" s="214" t="s">
        <v>605</v>
      </c>
      <c r="G13" s="230" t="s">
        <v>650</v>
      </c>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c r="EX13" s="156"/>
      <c r="EY13" s="156"/>
      <c r="EZ13" s="156"/>
      <c r="FA13" s="156"/>
      <c r="FB13" s="156"/>
      <c r="FC13" s="156"/>
      <c r="FD13" s="156"/>
      <c r="FE13" s="156"/>
      <c r="FF13" s="156"/>
      <c r="FG13" s="156"/>
      <c r="FH13" s="156"/>
      <c r="FI13" s="156"/>
      <c r="FJ13" s="156"/>
      <c r="FK13" s="156"/>
      <c r="FL13" s="156"/>
      <c r="FM13" s="156"/>
      <c r="FN13" s="156"/>
      <c r="FO13" s="156"/>
      <c r="FP13" s="156"/>
      <c r="FQ13" s="156"/>
      <c r="FR13" s="156"/>
      <c r="FS13" s="156"/>
      <c r="FT13" s="156"/>
      <c r="FU13" s="156"/>
      <c r="FV13" s="156"/>
      <c r="FW13" s="156"/>
      <c r="FX13" s="156"/>
      <c r="FY13" s="156"/>
      <c r="FZ13" s="156"/>
      <c r="GA13" s="156"/>
      <c r="GB13" s="156"/>
      <c r="GC13" s="156"/>
      <c r="GD13" s="156"/>
      <c r="GE13" s="156"/>
      <c r="GF13" s="156"/>
      <c r="GG13" s="156"/>
      <c r="GH13" s="156"/>
      <c r="GI13" s="156"/>
      <c r="GJ13" s="156"/>
      <c r="GK13" s="156"/>
      <c r="GL13" s="156"/>
      <c r="GM13" s="156"/>
      <c r="GN13" s="156"/>
      <c r="GO13" s="156"/>
      <c r="GP13" s="156"/>
      <c r="GQ13" s="156"/>
      <c r="GR13" s="156"/>
      <c r="GS13" s="156"/>
      <c r="GT13" s="156"/>
      <c r="GU13" s="156"/>
      <c r="GV13" s="156"/>
      <c r="GW13" s="156"/>
      <c r="GX13" s="156"/>
      <c r="GY13" s="156"/>
      <c r="GZ13" s="156"/>
      <c r="HA13" s="156"/>
      <c r="HB13" s="156"/>
      <c r="HC13" s="156"/>
      <c r="HD13" s="156"/>
      <c r="HE13" s="156"/>
      <c r="HF13" s="156"/>
      <c r="HG13" s="156"/>
      <c r="HH13" s="156"/>
      <c r="HI13" s="156"/>
      <c r="HJ13" s="156"/>
      <c r="HK13" s="156"/>
      <c r="HL13" s="156"/>
      <c r="HM13" s="156"/>
      <c r="HN13" s="156"/>
      <c r="HO13" s="156"/>
      <c r="HP13" s="156"/>
      <c r="HQ13" s="156"/>
      <c r="HR13" s="156"/>
      <c r="HS13" s="156"/>
      <c r="HT13" s="156"/>
      <c r="HU13" s="156"/>
      <c r="HV13" s="156"/>
      <c r="HW13" s="156"/>
      <c r="HX13" s="156"/>
      <c r="HY13" s="156"/>
      <c r="HZ13" s="156"/>
      <c r="IA13" s="156"/>
      <c r="IB13" s="156"/>
      <c r="IC13" s="156"/>
      <c r="ID13" s="156"/>
      <c r="IE13" s="156"/>
      <c r="IF13" s="156"/>
      <c r="IG13" s="156"/>
      <c r="IH13" s="156"/>
      <c r="II13" s="156"/>
      <c r="IJ13" s="156"/>
      <c r="IK13" s="156"/>
      <c r="IL13" s="156"/>
      <c r="IM13" s="156"/>
      <c r="IN13" s="156"/>
      <c r="IO13" s="156"/>
      <c r="IP13" s="156"/>
      <c r="IQ13" s="156"/>
      <c r="IR13" s="156"/>
      <c r="IS13" s="156"/>
      <c r="IT13" s="156"/>
      <c r="IU13" s="156"/>
      <c r="IV13" s="156"/>
      <c r="IW13" s="156"/>
      <c r="IX13" s="156"/>
      <c r="IY13" s="156"/>
      <c r="IZ13" s="156"/>
      <c r="JA13" s="156"/>
      <c r="JB13" s="156"/>
      <c r="JC13" s="156"/>
      <c r="JD13" s="156"/>
      <c r="JE13" s="156"/>
      <c r="JF13" s="156"/>
      <c r="JG13" s="156"/>
      <c r="JH13" s="156"/>
      <c r="JI13" s="156"/>
      <c r="JJ13" s="156"/>
      <c r="JK13" s="156"/>
      <c r="JL13" s="156"/>
      <c r="JM13" s="156"/>
      <c r="JN13" s="156"/>
      <c r="JO13" s="156"/>
      <c r="JP13" s="156"/>
    </row>
    <row r="14" spans="1:276" ht="48" customHeight="1" x14ac:dyDescent="0.25">
      <c r="A14" s="77">
        <f t="shared" si="0"/>
        <v>7</v>
      </c>
      <c r="B14" s="73">
        <v>0.29166666666666702</v>
      </c>
      <c r="C14" s="156"/>
      <c r="D14" s="156" t="s">
        <v>640</v>
      </c>
      <c r="E14" s="214" t="s">
        <v>605</v>
      </c>
      <c r="F14" s="214" t="s">
        <v>605</v>
      </c>
      <c r="G14" s="156" t="s">
        <v>651</v>
      </c>
      <c r="H14" s="156"/>
      <c r="I14" s="156"/>
      <c r="J14" s="156"/>
      <c r="K14" s="156"/>
      <c r="L14" s="156"/>
      <c r="M14" s="156"/>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c r="EX14" s="156"/>
      <c r="EY14" s="156"/>
      <c r="EZ14" s="156"/>
      <c r="FA14" s="156"/>
      <c r="FB14" s="156"/>
      <c r="FC14" s="156"/>
      <c r="FD14" s="156"/>
      <c r="FE14" s="156"/>
      <c r="FF14" s="156"/>
      <c r="FG14" s="156"/>
      <c r="FH14" s="156"/>
      <c r="FI14" s="156"/>
      <c r="FJ14" s="156"/>
      <c r="FK14" s="156"/>
      <c r="FL14" s="156"/>
      <c r="FM14" s="156"/>
      <c r="FN14" s="156"/>
      <c r="FO14" s="156"/>
      <c r="FP14" s="156"/>
      <c r="FQ14" s="156"/>
      <c r="FR14" s="156"/>
      <c r="FS14" s="156"/>
      <c r="FT14" s="156"/>
      <c r="FU14" s="156"/>
      <c r="FV14" s="156"/>
      <c r="FW14" s="156"/>
      <c r="FX14" s="156"/>
      <c r="FY14" s="156"/>
      <c r="FZ14" s="156"/>
      <c r="GA14" s="156"/>
      <c r="GB14" s="156"/>
      <c r="GC14" s="156"/>
      <c r="GD14" s="156"/>
      <c r="GE14" s="156"/>
      <c r="GF14" s="156"/>
      <c r="GG14" s="156"/>
      <c r="GH14" s="156"/>
      <c r="GI14" s="156"/>
      <c r="GJ14" s="156"/>
      <c r="GK14" s="156"/>
      <c r="GL14" s="156"/>
      <c r="GM14" s="156"/>
      <c r="GN14" s="156"/>
      <c r="GO14" s="156"/>
      <c r="GP14" s="156"/>
      <c r="GQ14" s="156"/>
      <c r="GR14" s="156"/>
      <c r="GS14" s="156"/>
      <c r="GT14" s="156"/>
      <c r="GU14" s="156"/>
      <c r="GV14" s="156"/>
      <c r="GW14" s="156"/>
      <c r="GX14" s="156"/>
      <c r="GY14" s="156"/>
      <c r="GZ14" s="156"/>
      <c r="HA14" s="156"/>
      <c r="HB14" s="156"/>
      <c r="HC14" s="156"/>
      <c r="HD14" s="156"/>
      <c r="HE14" s="156"/>
      <c r="HF14" s="156"/>
      <c r="HG14" s="156"/>
      <c r="HH14" s="156"/>
      <c r="HI14" s="156"/>
      <c r="HJ14" s="156"/>
      <c r="HK14" s="156"/>
      <c r="HL14" s="156"/>
      <c r="HM14" s="156"/>
      <c r="HN14" s="156"/>
      <c r="HO14" s="156"/>
      <c r="HP14" s="156"/>
      <c r="HQ14" s="156"/>
      <c r="HR14" s="156"/>
      <c r="HS14" s="156"/>
      <c r="HT14" s="156"/>
      <c r="HU14" s="156"/>
      <c r="HV14" s="156"/>
      <c r="HW14" s="156"/>
      <c r="HX14" s="156"/>
      <c r="HY14" s="156"/>
      <c r="HZ14" s="156"/>
      <c r="IA14" s="156"/>
      <c r="IB14" s="156"/>
      <c r="IC14" s="156"/>
      <c r="ID14" s="156"/>
      <c r="IE14" s="156"/>
      <c r="IF14" s="156"/>
      <c r="IG14" s="156"/>
      <c r="IH14" s="156"/>
      <c r="II14" s="156"/>
      <c r="IJ14" s="156"/>
      <c r="IK14" s="156"/>
      <c r="IL14" s="156"/>
      <c r="IM14" s="156"/>
      <c r="IN14" s="156"/>
      <c r="IO14" s="156"/>
      <c r="IP14" s="156"/>
      <c r="IQ14" s="156"/>
      <c r="IR14" s="156"/>
      <c r="IS14" s="156"/>
      <c r="IT14" s="156"/>
      <c r="IU14" s="156"/>
      <c r="IV14" s="156"/>
      <c r="IW14" s="156"/>
      <c r="IX14" s="156"/>
      <c r="IY14" s="156"/>
      <c r="IZ14" s="156"/>
      <c r="JA14" s="156"/>
      <c r="JB14" s="156"/>
      <c r="JC14" s="156"/>
      <c r="JD14" s="156"/>
      <c r="JE14" s="156"/>
      <c r="JF14" s="156"/>
      <c r="JG14" s="156"/>
      <c r="JH14" s="156"/>
      <c r="JI14" s="156"/>
      <c r="JJ14" s="156"/>
      <c r="JK14" s="156"/>
      <c r="JL14" s="156"/>
      <c r="JM14" s="156"/>
      <c r="JN14" s="156"/>
      <c r="JO14" s="156"/>
      <c r="JP14" s="156"/>
    </row>
    <row r="15" spans="1:276" ht="30.2" customHeight="1" x14ac:dyDescent="0.25">
      <c r="A15" s="77">
        <f t="shared" si="0"/>
        <v>8</v>
      </c>
      <c r="B15" s="73">
        <v>0.33333333333333298</v>
      </c>
      <c r="C15" s="156"/>
      <c r="D15" s="156" t="s">
        <v>362</v>
      </c>
      <c r="E15" s="224" t="s">
        <v>643</v>
      </c>
      <c r="F15" s="224" t="s">
        <v>643</v>
      </c>
      <c r="G15" s="156" t="s">
        <v>651</v>
      </c>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c r="EX15" s="156"/>
      <c r="EY15" s="156"/>
      <c r="EZ15" s="156"/>
      <c r="FA15" s="156"/>
      <c r="FB15" s="156"/>
      <c r="FC15" s="156"/>
      <c r="FD15" s="156"/>
      <c r="FE15" s="156"/>
      <c r="FF15" s="156"/>
      <c r="FG15" s="156"/>
      <c r="FH15" s="156"/>
      <c r="FI15" s="156"/>
      <c r="FJ15" s="156"/>
      <c r="FK15" s="156"/>
      <c r="FL15" s="156"/>
      <c r="FM15" s="156"/>
      <c r="FN15" s="156"/>
      <c r="FO15" s="156"/>
      <c r="FP15" s="156"/>
      <c r="FQ15" s="156"/>
      <c r="FR15" s="156"/>
      <c r="FS15" s="156"/>
      <c r="FT15" s="156"/>
      <c r="FU15" s="156"/>
      <c r="FV15" s="156"/>
      <c r="FW15" s="156"/>
      <c r="FX15" s="156"/>
      <c r="FY15" s="156"/>
      <c r="FZ15" s="156"/>
      <c r="GA15" s="156"/>
      <c r="GB15" s="156"/>
      <c r="GC15" s="156"/>
      <c r="GD15" s="156"/>
      <c r="GE15" s="156"/>
      <c r="GF15" s="156"/>
      <c r="GG15" s="156"/>
      <c r="GH15" s="156"/>
      <c r="GI15" s="156"/>
      <c r="GJ15" s="156"/>
      <c r="GK15" s="156"/>
      <c r="GL15" s="156"/>
      <c r="GM15" s="156"/>
      <c r="GN15" s="156"/>
      <c r="GO15" s="156"/>
      <c r="GP15" s="156"/>
      <c r="GQ15" s="156"/>
      <c r="GR15" s="156"/>
      <c r="GS15" s="156"/>
      <c r="GT15" s="156"/>
      <c r="GU15" s="156"/>
      <c r="GV15" s="156"/>
      <c r="GW15" s="156"/>
      <c r="GX15" s="156"/>
      <c r="GY15" s="156"/>
      <c r="GZ15" s="156"/>
      <c r="HA15" s="156"/>
      <c r="HB15" s="156"/>
      <c r="HC15" s="156"/>
      <c r="HD15" s="156"/>
      <c r="HE15" s="156"/>
      <c r="HF15" s="156"/>
      <c r="HG15" s="156"/>
      <c r="HH15" s="156"/>
      <c r="HI15" s="156"/>
      <c r="HJ15" s="156"/>
      <c r="HK15" s="156"/>
      <c r="HL15" s="156"/>
      <c r="HM15" s="156"/>
      <c r="HN15" s="156"/>
      <c r="HO15" s="156"/>
      <c r="HP15" s="156"/>
      <c r="HQ15" s="156"/>
      <c r="HR15" s="156"/>
      <c r="HS15" s="156"/>
      <c r="HT15" s="156"/>
      <c r="HU15" s="156"/>
      <c r="HV15" s="156"/>
      <c r="HW15" s="156"/>
      <c r="HX15" s="156"/>
      <c r="HY15" s="156"/>
      <c r="HZ15" s="156"/>
      <c r="IA15" s="156"/>
      <c r="IB15" s="156"/>
      <c r="IC15" s="156"/>
      <c r="ID15" s="156"/>
      <c r="IE15" s="156"/>
      <c r="IF15" s="156"/>
      <c r="IG15" s="156"/>
      <c r="IH15" s="156"/>
      <c r="II15" s="156"/>
      <c r="IJ15" s="156"/>
      <c r="IK15" s="156"/>
      <c r="IL15" s="156"/>
      <c r="IM15" s="156"/>
      <c r="IN15" s="156"/>
      <c r="IO15" s="156"/>
      <c r="IP15" s="156"/>
      <c r="IQ15" s="156"/>
      <c r="IR15" s="156"/>
      <c r="IS15" s="156"/>
      <c r="IT15" s="156"/>
      <c r="IU15" s="156"/>
      <c r="IV15" s="156"/>
      <c r="IW15" s="156"/>
      <c r="IX15" s="156"/>
      <c r="IY15" s="156"/>
      <c r="IZ15" s="156"/>
      <c r="JA15" s="156"/>
      <c r="JB15" s="156"/>
      <c r="JC15" s="156"/>
      <c r="JD15" s="156"/>
      <c r="JE15" s="156"/>
      <c r="JF15" s="156"/>
      <c r="JG15" s="156"/>
      <c r="JH15" s="156"/>
      <c r="JI15" s="156"/>
      <c r="JJ15" s="156"/>
      <c r="JK15" s="156"/>
      <c r="JL15" s="156"/>
      <c r="JM15" s="156"/>
      <c r="JN15" s="156"/>
      <c r="JO15" s="156"/>
      <c r="JP15" s="156"/>
    </row>
    <row r="16" spans="1:276" ht="47.45" customHeight="1" x14ac:dyDescent="0.25">
      <c r="A16" s="77">
        <f t="shared" si="0"/>
        <v>9</v>
      </c>
      <c r="B16" s="73">
        <v>0.375</v>
      </c>
      <c r="C16" s="156"/>
      <c r="D16" s="156" t="s">
        <v>641</v>
      </c>
      <c r="E16" s="224" t="s">
        <v>614</v>
      </c>
      <c r="F16" s="224" t="s">
        <v>614</v>
      </c>
      <c r="G16" s="156" t="s">
        <v>648</v>
      </c>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c r="EX16" s="156"/>
      <c r="EY16" s="156"/>
      <c r="EZ16" s="156"/>
      <c r="FA16" s="156"/>
      <c r="FB16" s="156"/>
      <c r="FC16" s="156"/>
      <c r="FD16" s="156"/>
      <c r="FE16" s="156"/>
      <c r="FF16" s="156"/>
      <c r="FG16" s="156"/>
      <c r="FH16" s="156"/>
      <c r="FI16" s="156"/>
      <c r="FJ16" s="156"/>
      <c r="FK16" s="156"/>
      <c r="FL16" s="156"/>
      <c r="FM16" s="156"/>
      <c r="FN16" s="156"/>
      <c r="FO16" s="156"/>
      <c r="FP16" s="156"/>
      <c r="FQ16" s="156"/>
      <c r="FR16" s="156"/>
      <c r="FS16" s="156"/>
      <c r="FT16" s="156"/>
      <c r="FU16" s="156"/>
      <c r="FV16" s="156"/>
      <c r="FW16" s="156"/>
      <c r="FX16" s="156"/>
      <c r="FY16" s="156"/>
      <c r="FZ16" s="156"/>
      <c r="GA16" s="156"/>
      <c r="GB16" s="156"/>
      <c r="GC16" s="156"/>
      <c r="GD16" s="156"/>
      <c r="GE16" s="156"/>
      <c r="GF16" s="156"/>
      <c r="GG16" s="156"/>
      <c r="GH16" s="156"/>
      <c r="GI16" s="156"/>
      <c r="GJ16" s="156"/>
      <c r="GK16" s="156"/>
      <c r="GL16" s="156"/>
      <c r="GM16" s="156"/>
      <c r="GN16" s="156"/>
      <c r="GO16" s="156"/>
      <c r="GP16" s="156"/>
      <c r="GQ16" s="156"/>
      <c r="GR16" s="156"/>
      <c r="GS16" s="156"/>
      <c r="GT16" s="156"/>
      <c r="GU16" s="156"/>
      <c r="GV16" s="156"/>
      <c r="GW16" s="156"/>
      <c r="GX16" s="156"/>
      <c r="GY16" s="156"/>
      <c r="GZ16" s="156"/>
      <c r="HA16" s="156"/>
      <c r="HB16" s="156"/>
      <c r="HC16" s="156"/>
      <c r="HD16" s="156"/>
      <c r="HE16" s="156"/>
      <c r="HF16" s="156"/>
      <c r="HG16" s="156"/>
      <c r="HH16" s="156"/>
      <c r="HI16" s="156"/>
      <c r="HJ16" s="156"/>
      <c r="HK16" s="156"/>
      <c r="HL16" s="156"/>
      <c r="HM16" s="156"/>
      <c r="HN16" s="156"/>
      <c r="HO16" s="156"/>
      <c r="HP16" s="156"/>
      <c r="HQ16" s="156"/>
      <c r="HR16" s="156"/>
      <c r="HS16" s="156"/>
      <c r="HT16" s="156"/>
      <c r="HU16" s="156"/>
      <c r="HV16" s="156"/>
      <c r="HW16" s="156"/>
      <c r="HX16" s="156"/>
      <c r="HY16" s="156"/>
      <c r="HZ16" s="156"/>
      <c r="IA16" s="156"/>
      <c r="IB16" s="156"/>
      <c r="IC16" s="156"/>
      <c r="ID16" s="156"/>
      <c r="IE16" s="156"/>
      <c r="IF16" s="156"/>
      <c r="IG16" s="156"/>
      <c r="IH16" s="156"/>
      <c r="II16" s="156"/>
      <c r="IJ16" s="156"/>
      <c r="IK16" s="156"/>
      <c r="IL16" s="156"/>
      <c r="IM16" s="156"/>
      <c r="IN16" s="156"/>
      <c r="IO16" s="156"/>
      <c r="IP16" s="156"/>
      <c r="IQ16" s="156"/>
      <c r="IR16" s="156"/>
      <c r="IS16" s="156"/>
      <c r="IT16" s="156"/>
      <c r="IU16" s="156"/>
      <c r="IV16" s="156"/>
      <c r="IW16" s="156"/>
      <c r="IX16" s="156"/>
      <c r="IY16" s="156"/>
      <c r="IZ16" s="156"/>
      <c r="JA16" s="156"/>
      <c r="JB16" s="156"/>
      <c r="JC16" s="156"/>
      <c r="JD16" s="156"/>
      <c r="JE16" s="156"/>
      <c r="JF16" s="156"/>
      <c r="JG16" s="156"/>
      <c r="JH16" s="156"/>
      <c r="JI16" s="156"/>
      <c r="JJ16" s="156"/>
      <c r="JK16" s="156"/>
      <c r="JL16" s="156"/>
      <c r="JM16" s="156"/>
      <c r="JN16" s="156"/>
      <c r="JO16" s="156"/>
      <c r="JP16" s="156"/>
    </row>
    <row r="17" spans="1:276" ht="46.7" customHeight="1" x14ac:dyDescent="0.25">
      <c r="A17" s="77">
        <f t="shared" si="0"/>
        <v>10</v>
      </c>
      <c r="B17" s="73">
        <v>0.41666666666666702</v>
      </c>
      <c r="C17" s="156"/>
      <c r="D17" s="156" t="s">
        <v>362</v>
      </c>
      <c r="E17" s="224" t="s">
        <v>614</v>
      </c>
      <c r="F17" s="224" t="s">
        <v>614</v>
      </c>
      <c r="G17" s="156" t="s">
        <v>649</v>
      </c>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c r="EX17" s="156"/>
      <c r="EY17" s="156"/>
      <c r="EZ17" s="156"/>
      <c r="FA17" s="156"/>
      <c r="FB17" s="156"/>
      <c r="FC17" s="156"/>
      <c r="FD17" s="156"/>
      <c r="FE17" s="156"/>
      <c r="FF17" s="156"/>
      <c r="FG17" s="156"/>
      <c r="FH17" s="156"/>
      <c r="FI17" s="156"/>
      <c r="FJ17" s="156"/>
      <c r="FK17" s="156"/>
      <c r="FL17" s="156"/>
      <c r="FM17" s="156"/>
      <c r="FN17" s="156"/>
      <c r="FO17" s="156"/>
      <c r="FP17" s="156"/>
      <c r="FQ17" s="156"/>
      <c r="FR17" s="156"/>
      <c r="FS17" s="156"/>
      <c r="FT17" s="156"/>
      <c r="FU17" s="156"/>
      <c r="FV17" s="156"/>
      <c r="FW17" s="156"/>
      <c r="FX17" s="156"/>
      <c r="FY17" s="156"/>
      <c r="FZ17" s="156"/>
      <c r="GA17" s="156"/>
      <c r="GB17" s="156"/>
      <c r="GC17" s="156"/>
      <c r="GD17" s="156"/>
      <c r="GE17" s="156"/>
      <c r="GF17" s="156"/>
      <c r="GG17" s="156"/>
      <c r="GH17" s="156"/>
      <c r="GI17" s="156"/>
      <c r="GJ17" s="156"/>
      <c r="GK17" s="156"/>
      <c r="GL17" s="156"/>
      <c r="GM17" s="156"/>
      <c r="GN17" s="156"/>
      <c r="GO17" s="156"/>
      <c r="GP17" s="156"/>
      <c r="GQ17" s="156"/>
      <c r="GR17" s="156"/>
      <c r="GS17" s="156"/>
      <c r="GT17" s="156"/>
      <c r="GU17" s="156"/>
      <c r="GV17" s="156"/>
      <c r="GW17" s="156"/>
      <c r="GX17" s="156"/>
      <c r="GY17" s="156"/>
      <c r="GZ17" s="156"/>
      <c r="HA17" s="156"/>
      <c r="HB17" s="156"/>
      <c r="HC17" s="156"/>
      <c r="HD17" s="156"/>
      <c r="HE17" s="156"/>
      <c r="HF17" s="156"/>
      <c r="HG17" s="156"/>
      <c r="HH17" s="156"/>
      <c r="HI17" s="156"/>
      <c r="HJ17" s="156"/>
      <c r="HK17" s="156"/>
      <c r="HL17" s="156"/>
      <c r="HM17" s="156"/>
      <c r="HN17" s="156"/>
      <c r="HO17" s="156"/>
      <c r="HP17" s="156"/>
      <c r="HQ17" s="156"/>
      <c r="HR17" s="156"/>
      <c r="HS17" s="156"/>
      <c r="HT17" s="156"/>
      <c r="HU17" s="156"/>
      <c r="HV17" s="156"/>
      <c r="HW17" s="156"/>
      <c r="HX17" s="156"/>
      <c r="HY17" s="156"/>
      <c r="HZ17" s="156"/>
      <c r="IA17" s="156"/>
      <c r="IB17" s="156"/>
      <c r="IC17" s="156"/>
      <c r="ID17" s="156"/>
      <c r="IE17" s="156"/>
      <c r="IF17" s="156"/>
      <c r="IG17" s="156"/>
      <c r="IH17" s="156"/>
      <c r="II17" s="156"/>
      <c r="IJ17" s="156"/>
      <c r="IK17" s="156"/>
      <c r="IL17" s="156"/>
      <c r="IM17" s="156"/>
      <c r="IN17" s="156"/>
      <c r="IO17" s="156"/>
      <c r="IP17" s="156"/>
      <c r="IQ17" s="156"/>
      <c r="IR17" s="156"/>
      <c r="IS17" s="156"/>
      <c r="IT17" s="156"/>
      <c r="IU17" s="156"/>
      <c r="IV17" s="156"/>
      <c r="IW17" s="156"/>
      <c r="IX17" s="156"/>
      <c r="IY17" s="156"/>
      <c r="IZ17" s="156"/>
      <c r="JA17" s="156"/>
      <c r="JB17" s="156"/>
      <c r="JC17" s="156"/>
      <c r="JD17" s="156"/>
      <c r="JE17" s="156"/>
      <c r="JF17" s="156"/>
      <c r="JG17" s="156"/>
      <c r="JH17" s="156"/>
      <c r="JI17" s="156"/>
      <c r="JJ17" s="156"/>
      <c r="JK17" s="156"/>
      <c r="JL17" s="156"/>
      <c r="JM17" s="156"/>
      <c r="JN17" s="156"/>
      <c r="JO17" s="156"/>
      <c r="JP17" s="156"/>
    </row>
    <row r="18" spans="1:276" ht="32.25" customHeight="1" x14ac:dyDescent="0.25">
      <c r="A18" s="77">
        <f t="shared" si="0"/>
        <v>11</v>
      </c>
      <c r="B18" s="73">
        <v>0.45833333333333298</v>
      </c>
      <c r="C18" s="156"/>
      <c r="D18" s="156" t="s">
        <v>642</v>
      </c>
      <c r="E18" s="214" t="s">
        <v>605</v>
      </c>
      <c r="F18" s="214" t="s">
        <v>605</v>
      </c>
      <c r="G18" s="156" t="s">
        <v>650</v>
      </c>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c r="EX18" s="156"/>
      <c r="EY18" s="156"/>
      <c r="EZ18" s="156"/>
      <c r="FA18" s="156"/>
      <c r="FB18" s="156"/>
      <c r="FC18" s="156"/>
      <c r="FD18" s="156"/>
      <c r="FE18" s="156"/>
      <c r="FF18" s="156"/>
      <c r="FG18" s="156"/>
      <c r="FH18" s="156"/>
      <c r="FI18" s="156"/>
      <c r="FJ18" s="156"/>
      <c r="FK18" s="156"/>
      <c r="FL18" s="156"/>
      <c r="FM18" s="156"/>
      <c r="FN18" s="156"/>
      <c r="FO18" s="156"/>
      <c r="FP18" s="156"/>
      <c r="FQ18" s="156"/>
      <c r="FR18" s="156"/>
      <c r="FS18" s="156"/>
      <c r="FT18" s="156"/>
      <c r="FU18" s="156"/>
      <c r="FV18" s="156"/>
      <c r="FW18" s="156"/>
      <c r="FX18" s="156"/>
      <c r="FY18" s="156"/>
      <c r="FZ18" s="156"/>
      <c r="GA18" s="156"/>
      <c r="GB18" s="156"/>
      <c r="GC18" s="156"/>
      <c r="GD18" s="156"/>
      <c r="GE18" s="156"/>
      <c r="GF18" s="156"/>
      <c r="GG18" s="156"/>
      <c r="GH18" s="156"/>
      <c r="GI18" s="156"/>
      <c r="GJ18" s="156"/>
      <c r="GK18" s="156"/>
      <c r="GL18" s="156"/>
      <c r="GM18" s="156"/>
      <c r="GN18" s="156"/>
      <c r="GO18" s="156"/>
      <c r="GP18" s="156"/>
      <c r="GQ18" s="156"/>
      <c r="GR18" s="156"/>
      <c r="GS18" s="156"/>
      <c r="GT18" s="156"/>
      <c r="GU18" s="156"/>
      <c r="GV18" s="156"/>
      <c r="GW18" s="156"/>
      <c r="GX18" s="156"/>
      <c r="GY18" s="156"/>
      <c r="GZ18" s="156"/>
      <c r="HA18" s="156"/>
      <c r="HB18" s="156"/>
      <c r="HC18" s="156"/>
      <c r="HD18" s="156"/>
      <c r="HE18" s="156"/>
      <c r="HF18" s="156"/>
      <c r="HG18" s="156"/>
      <c r="HH18" s="156"/>
      <c r="HI18" s="156"/>
      <c r="HJ18" s="156"/>
      <c r="HK18" s="156"/>
      <c r="HL18" s="156"/>
      <c r="HM18" s="156"/>
      <c r="HN18" s="156"/>
      <c r="HO18" s="156"/>
      <c r="HP18" s="156"/>
      <c r="HQ18" s="156"/>
      <c r="HR18" s="156"/>
      <c r="HS18" s="156"/>
      <c r="HT18" s="156"/>
      <c r="HU18" s="156"/>
      <c r="HV18" s="156"/>
      <c r="HW18" s="156"/>
      <c r="HX18" s="156"/>
      <c r="HY18" s="156"/>
      <c r="HZ18" s="156"/>
      <c r="IA18" s="156"/>
      <c r="IB18" s="156"/>
      <c r="IC18" s="156"/>
      <c r="ID18" s="156"/>
      <c r="IE18" s="156"/>
      <c r="IF18" s="156"/>
      <c r="IG18" s="156"/>
      <c r="IH18" s="156"/>
      <c r="II18" s="156"/>
      <c r="IJ18" s="156"/>
      <c r="IK18" s="156"/>
      <c r="IL18" s="156"/>
      <c r="IM18" s="156"/>
      <c r="IN18" s="156"/>
      <c r="IO18" s="156"/>
      <c r="IP18" s="156"/>
      <c r="IQ18" s="156"/>
      <c r="IR18" s="156"/>
      <c r="IS18" s="156"/>
      <c r="IT18" s="156"/>
      <c r="IU18" s="156"/>
      <c r="IV18" s="156"/>
      <c r="IW18" s="156"/>
      <c r="IX18" s="156"/>
      <c r="IY18" s="156"/>
      <c r="IZ18" s="156"/>
      <c r="JA18" s="156"/>
      <c r="JB18" s="156"/>
      <c r="JC18" s="156"/>
      <c r="JD18" s="156"/>
      <c r="JE18" s="156"/>
      <c r="JF18" s="156"/>
      <c r="JG18" s="156"/>
      <c r="JH18" s="156"/>
      <c r="JI18" s="156"/>
      <c r="JJ18" s="156"/>
      <c r="JK18" s="156"/>
      <c r="JL18" s="156"/>
      <c r="JM18" s="156"/>
      <c r="JN18" s="156"/>
      <c r="JO18" s="156"/>
      <c r="JP18" s="156"/>
    </row>
    <row r="19" spans="1:276" ht="36" customHeight="1" x14ac:dyDescent="0.25">
      <c r="A19" s="77">
        <f t="shared" si="0"/>
        <v>12</v>
      </c>
      <c r="B19" s="73">
        <v>0.5</v>
      </c>
      <c r="C19" s="156"/>
      <c r="D19" s="156" t="s">
        <v>362</v>
      </c>
      <c r="E19" s="214" t="s">
        <v>605</v>
      </c>
      <c r="F19" s="214" t="s">
        <v>605</v>
      </c>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c r="EX19" s="156"/>
      <c r="EY19" s="156"/>
      <c r="EZ19" s="156"/>
      <c r="FA19" s="156"/>
      <c r="FB19" s="156"/>
      <c r="FC19" s="156"/>
      <c r="FD19" s="156"/>
      <c r="FE19" s="156"/>
      <c r="FF19" s="156"/>
      <c r="FG19" s="156"/>
      <c r="FH19" s="156"/>
      <c r="FI19" s="156"/>
      <c r="FJ19" s="156"/>
      <c r="FK19" s="156"/>
      <c r="FL19" s="156"/>
      <c r="FM19" s="156"/>
      <c r="FN19" s="156"/>
      <c r="FO19" s="156"/>
      <c r="FP19" s="156"/>
      <c r="FQ19" s="156"/>
      <c r="FR19" s="156"/>
      <c r="FS19" s="156"/>
      <c r="FT19" s="156"/>
      <c r="FU19" s="156"/>
      <c r="FV19" s="156"/>
      <c r="FW19" s="156"/>
      <c r="FX19" s="156"/>
      <c r="FY19" s="156"/>
      <c r="FZ19" s="156"/>
      <c r="GA19" s="156"/>
      <c r="GB19" s="156"/>
      <c r="GC19" s="156"/>
      <c r="GD19" s="156"/>
      <c r="GE19" s="156"/>
      <c r="GF19" s="156"/>
      <c r="GG19" s="156"/>
      <c r="GH19" s="156"/>
      <c r="GI19" s="156"/>
      <c r="GJ19" s="156"/>
      <c r="GK19" s="156"/>
      <c r="GL19" s="156"/>
      <c r="GM19" s="156"/>
      <c r="GN19" s="156"/>
      <c r="GO19" s="156"/>
      <c r="GP19" s="156"/>
      <c r="GQ19" s="156"/>
      <c r="GR19" s="156"/>
      <c r="GS19" s="156"/>
      <c r="GT19" s="156"/>
      <c r="GU19" s="156"/>
      <c r="GV19" s="156"/>
      <c r="GW19" s="156"/>
      <c r="GX19" s="156"/>
      <c r="GY19" s="156"/>
      <c r="GZ19" s="156"/>
      <c r="HA19" s="156"/>
      <c r="HB19" s="156"/>
      <c r="HC19" s="156"/>
      <c r="HD19" s="156"/>
      <c r="HE19" s="156"/>
      <c r="HF19" s="156"/>
      <c r="HG19" s="156"/>
      <c r="HH19" s="156"/>
      <c r="HI19" s="156"/>
      <c r="HJ19" s="156"/>
      <c r="HK19" s="156"/>
      <c r="HL19" s="156"/>
      <c r="HM19" s="156"/>
      <c r="HN19" s="156"/>
      <c r="HO19" s="156"/>
      <c r="HP19" s="156"/>
      <c r="HQ19" s="156"/>
      <c r="HR19" s="156"/>
      <c r="HS19" s="156"/>
      <c r="HT19" s="156"/>
      <c r="HU19" s="156"/>
      <c r="HV19" s="156"/>
      <c r="HW19" s="156"/>
      <c r="HX19" s="156"/>
      <c r="HY19" s="156"/>
      <c r="HZ19" s="156"/>
      <c r="IA19" s="156"/>
      <c r="IB19" s="156"/>
      <c r="IC19" s="156"/>
      <c r="ID19" s="156"/>
      <c r="IE19" s="156"/>
      <c r="IF19" s="156"/>
      <c r="IG19" s="156"/>
      <c r="IH19" s="156"/>
      <c r="II19" s="156"/>
      <c r="IJ19" s="156"/>
      <c r="IK19" s="156"/>
      <c r="IL19" s="156"/>
      <c r="IM19" s="156"/>
      <c r="IN19" s="156"/>
      <c r="IO19" s="156"/>
      <c r="IP19" s="156"/>
      <c r="IQ19" s="156"/>
      <c r="IR19" s="156"/>
      <c r="IS19" s="156"/>
      <c r="IT19" s="156"/>
      <c r="IU19" s="156"/>
      <c r="IV19" s="156"/>
      <c r="IW19" s="156"/>
      <c r="IX19" s="156"/>
      <c r="IY19" s="156"/>
      <c r="IZ19" s="156"/>
      <c r="JA19" s="156"/>
      <c r="JB19" s="156"/>
      <c r="JC19" s="156"/>
      <c r="JD19" s="156"/>
      <c r="JE19" s="156"/>
      <c r="JF19" s="156"/>
      <c r="JG19" s="156"/>
      <c r="JH19" s="156"/>
      <c r="JI19" s="156"/>
      <c r="JJ19" s="156"/>
      <c r="JK19" s="156"/>
      <c r="JL19" s="156"/>
      <c r="JM19" s="156"/>
      <c r="JN19" s="156"/>
      <c r="JO19" s="156"/>
      <c r="JP19" s="156"/>
    </row>
    <row r="20" spans="1:276" ht="57.95" customHeight="1" x14ac:dyDescent="0.25">
      <c r="A20" s="77">
        <f t="shared" si="0"/>
        <v>13</v>
      </c>
      <c r="B20" s="73">
        <v>0.54166666666666696</v>
      </c>
      <c r="C20" s="156"/>
      <c r="D20" s="156"/>
      <c r="E20" s="214" t="s">
        <v>605</v>
      </c>
      <c r="F20" s="214" t="s">
        <v>605</v>
      </c>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c r="EX20" s="156"/>
      <c r="EY20" s="156"/>
      <c r="EZ20" s="156"/>
      <c r="FA20" s="156"/>
      <c r="FB20" s="156"/>
      <c r="FC20" s="156"/>
      <c r="FD20" s="156"/>
      <c r="FE20" s="156"/>
      <c r="FF20" s="156"/>
      <c r="FG20" s="156"/>
      <c r="FH20" s="156"/>
      <c r="FI20" s="156"/>
      <c r="FJ20" s="156"/>
      <c r="FK20" s="156"/>
      <c r="FL20" s="156"/>
      <c r="FM20" s="156"/>
      <c r="FN20" s="156"/>
      <c r="FO20" s="156"/>
      <c r="FP20" s="156"/>
      <c r="FQ20" s="156"/>
      <c r="FR20" s="156"/>
      <c r="FS20" s="156"/>
      <c r="FT20" s="156"/>
      <c r="FU20" s="156"/>
      <c r="FV20" s="156"/>
      <c r="FW20" s="156"/>
      <c r="FX20" s="156"/>
      <c r="FY20" s="156"/>
      <c r="FZ20" s="156"/>
      <c r="GA20" s="156"/>
      <c r="GB20" s="156"/>
      <c r="GC20" s="156"/>
      <c r="GD20" s="156"/>
      <c r="GE20" s="156"/>
      <c r="GF20" s="156"/>
      <c r="GG20" s="156"/>
      <c r="GH20" s="156"/>
      <c r="GI20" s="156"/>
      <c r="GJ20" s="156"/>
      <c r="GK20" s="156"/>
      <c r="GL20" s="156"/>
      <c r="GM20" s="156"/>
      <c r="GN20" s="156"/>
      <c r="GO20" s="156"/>
      <c r="GP20" s="156"/>
      <c r="GQ20" s="156"/>
      <c r="GR20" s="156"/>
      <c r="GS20" s="156"/>
      <c r="GT20" s="156"/>
      <c r="GU20" s="156"/>
      <c r="GV20" s="156"/>
      <c r="GW20" s="156"/>
      <c r="GX20" s="156"/>
      <c r="GY20" s="156"/>
      <c r="GZ20" s="156"/>
      <c r="HA20" s="156"/>
      <c r="HB20" s="156"/>
      <c r="HC20" s="156"/>
      <c r="HD20" s="156"/>
      <c r="HE20" s="156"/>
      <c r="HF20" s="156"/>
      <c r="HG20" s="156"/>
      <c r="HH20" s="156"/>
      <c r="HI20" s="156"/>
      <c r="HJ20" s="156"/>
      <c r="HK20" s="156"/>
      <c r="HL20" s="156"/>
      <c r="HM20" s="156"/>
      <c r="HN20" s="156"/>
      <c r="HO20" s="156"/>
      <c r="HP20" s="156"/>
      <c r="HQ20" s="156"/>
      <c r="HR20" s="156"/>
      <c r="HS20" s="156"/>
      <c r="HT20" s="156"/>
      <c r="HU20" s="156"/>
      <c r="HV20" s="156"/>
      <c r="HW20" s="156"/>
      <c r="HX20" s="156"/>
      <c r="HY20" s="156"/>
      <c r="HZ20" s="156"/>
      <c r="IA20" s="156"/>
      <c r="IB20" s="156"/>
      <c r="IC20" s="156"/>
      <c r="ID20" s="156"/>
      <c r="IE20" s="156"/>
      <c r="IF20" s="156"/>
      <c r="IG20" s="156"/>
      <c r="IH20" s="156"/>
      <c r="II20" s="156"/>
      <c r="IJ20" s="156"/>
      <c r="IK20" s="156"/>
      <c r="IL20" s="156"/>
      <c r="IM20" s="156"/>
      <c r="IN20" s="156"/>
      <c r="IO20" s="156"/>
      <c r="IP20" s="156"/>
      <c r="IQ20" s="156"/>
      <c r="IR20" s="156"/>
      <c r="IS20" s="156"/>
      <c r="IT20" s="156"/>
      <c r="IU20" s="156"/>
      <c r="IV20" s="156"/>
      <c r="IW20" s="156"/>
      <c r="IX20" s="156"/>
      <c r="IY20" s="156"/>
      <c r="IZ20" s="156"/>
      <c r="JA20" s="156"/>
      <c r="JB20" s="156"/>
      <c r="JC20" s="156"/>
      <c r="JD20" s="156"/>
      <c r="JE20" s="156"/>
      <c r="JF20" s="156"/>
      <c r="JG20" s="156"/>
      <c r="JH20" s="156"/>
      <c r="JI20" s="156"/>
      <c r="JJ20" s="156"/>
      <c r="JK20" s="156"/>
      <c r="JL20" s="156"/>
      <c r="JM20" s="156"/>
      <c r="JN20" s="156"/>
      <c r="JO20" s="156"/>
      <c r="JP20" s="156"/>
    </row>
    <row r="21" spans="1:276" ht="64.7" customHeight="1" x14ac:dyDescent="0.25">
      <c r="A21" s="77">
        <f t="shared" si="0"/>
        <v>14</v>
      </c>
      <c r="B21" s="73">
        <v>0.58333333333333304</v>
      </c>
      <c r="C21" s="156"/>
      <c r="D21" s="156"/>
      <c r="E21" s="214" t="s">
        <v>605</v>
      </c>
      <c r="F21" s="214" t="s">
        <v>605</v>
      </c>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c r="EX21" s="156"/>
      <c r="EY21" s="156"/>
      <c r="EZ21" s="156"/>
      <c r="FA21" s="156"/>
      <c r="FB21" s="156"/>
      <c r="FC21" s="156"/>
      <c r="FD21" s="156"/>
      <c r="FE21" s="156"/>
      <c r="FF21" s="156"/>
      <c r="FG21" s="156"/>
      <c r="FH21" s="156"/>
      <c r="FI21" s="156"/>
      <c r="FJ21" s="156"/>
      <c r="FK21" s="156"/>
      <c r="FL21" s="156"/>
      <c r="FM21" s="156"/>
      <c r="FN21" s="156"/>
      <c r="FO21" s="156"/>
      <c r="FP21" s="156"/>
      <c r="FQ21" s="156"/>
      <c r="FR21" s="156"/>
      <c r="FS21" s="156"/>
      <c r="FT21" s="156"/>
      <c r="FU21" s="156"/>
      <c r="FV21" s="156"/>
      <c r="FW21" s="156"/>
      <c r="FX21" s="156"/>
      <c r="FY21" s="156"/>
      <c r="FZ21" s="156"/>
      <c r="GA21" s="156"/>
      <c r="GB21" s="156"/>
      <c r="GC21" s="156"/>
      <c r="GD21" s="156"/>
      <c r="GE21" s="156"/>
      <c r="GF21" s="156"/>
      <c r="GG21" s="156"/>
      <c r="GH21" s="156"/>
      <c r="GI21" s="156"/>
      <c r="GJ21" s="156"/>
      <c r="GK21" s="156"/>
      <c r="GL21" s="156"/>
      <c r="GM21" s="156"/>
      <c r="GN21" s="156"/>
      <c r="GO21" s="156"/>
      <c r="GP21" s="156"/>
      <c r="GQ21" s="156"/>
      <c r="GR21" s="156"/>
      <c r="GS21" s="156"/>
      <c r="GT21" s="156"/>
      <c r="GU21" s="156"/>
      <c r="GV21" s="156"/>
      <c r="GW21" s="156"/>
      <c r="GX21" s="156"/>
      <c r="GY21" s="156"/>
      <c r="GZ21" s="156"/>
      <c r="HA21" s="156"/>
      <c r="HB21" s="156"/>
      <c r="HC21" s="156"/>
      <c r="HD21" s="156"/>
      <c r="HE21" s="156"/>
      <c r="HF21" s="156"/>
      <c r="HG21" s="156"/>
      <c r="HH21" s="156"/>
      <c r="HI21" s="156"/>
      <c r="HJ21" s="156"/>
      <c r="HK21" s="156"/>
      <c r="HL21" s="156"/>
      <c r="HM21" s="156"/>
      <c r="HN21" s="156"/>
      <c r="HO21" s="156"/>
      <c r="HP21" s="156"/>
      <c r="HQ21" s="156"/>
      <c r="HR21" s="156"/>
      <c r="HS21" s="156"/>
      <c r="HT21" s="156"/>
      <c r="HU21" s="156"/>
      <c r="HV21" s="156"/>
      <c r="HW21" s="156"/>
      <c r="HX21" s="156"/>
      <c r="HY21" s="156"/>
      <c r="HZ21" s="156"/>
      <c r="IA21" s="156"/>
      <c r="IB21" s="156"/>
      <c r="IC21" s="156"/>
      <c r="ID21" s="156"/>
      <c r="IE21" s="156"/>
      <c r="IF21" s="156"/>
      <c r="IG21" s="156"/>
      <c r="IH21" s="156"/>
      <c r="II21" s="156"/>
      <c r="IJ21" s="156"/>
      <c r="IK21" s="156"/>
      <c r="IL21" s="156"/>
      <c r="IM21" s="156"/>
      <c r="IN21" s="156"/>
      <c r="IO21" s="156"/>
      <c r="IP21" s="156"/>
      <c r="IQ21" s="156"/>
      <c r="IR21" s="156"/>
      <c r="IS21" s="156"/>
      <c r="IT21" s="156"/>
      <c r="IU21" s="156"/>
      <c r="IV21" s="156"/>
      <c r="IW21" s="156"/>
      <c r="IX21" s="156"/>
      <c r="IY21" s="156"/>
      <c r="IZ21" s="156"/>
      <c r="JA21" s="156"/>
      <c r="JB21" s="156"/>
      <c r="JC21" s="156"/>
      <c r="JD21" s="156"/>
      <c r="JE21" s="156"/>
      <c r="JF21" s="156"/>
      <c r="JG21" s="156"/>
      <c r="JH21" s="156"/>
      <c r="JI21" s="156"/>
      <c r="JJ21" s="156"/>
      <c r="JK21" s="156"/>
      <c r="JL21" s="156"/>
      <c r="JM21" s="156"/>
      <c r="JN21" s="156"/>
      <c r="JO21" s="156"/>
      <c r="JP21" s="156"/>
    </row>
    <row r="22" spans="1:276" ht="46.15" customHeight="1" x14ac:dyDescent="0.25">
      <c r="A22" s="77">
        <f t="shared" si="0"/>
        <v>15</v>
      </c>
      <c r="B22" s="73">
        <v>0.625</v>
      </c>
      <c r="C22" s="156"/>
      <c r="D22" s="156"/>
      <c r="E22" s="156"/>
      <c r="F22" s="156"/>
      <c r="G22" s="156" t="s">
        <v>557</v>
      </c>
      <c r="H22" s="156"/>
      <c r="I22" s="156"/>
      <c r="J22" s="156"/>
      <c r="K22" s="156"/>
      <c r="L22" s="156"/>
      <c r="M22" s="156"/>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c r="EX22" s="156"/>
      <c r="EY22" s="156"/>
      <c r="EZ22" s="156"/>
      <c r="FA22" s="156"/>
      <c r="FB22" s="156"/>
      <c r="FC22" s="156"/>
      <c r="FD22" s="156"/>
      <c r="FE22" s="156"/>
      <c r="FF22" s="156"/>
      <c r="FG22" s="156"/>
      <c r="FH22" s="156"/>
      <c r="FI22" s="156"/>
      <c r="FJ22" s="156"/>
      <c r="FK22" s="156"/>
      <c r="FL22" s="156"/>
      <c r="FM22" s="156"/>
      <c r="FN22" s="156"/>
      <c r="FO22" s="156"/>
      <c r="FP22" s="156"/>
      <c r="FQ22" s="156"/>
      <c r="FR22" s="156"/>
      <c r="FS22" s="156"/>
      <c r="FT22" s="156"/>
      <c r="FU22" s="156"/>
      <c r="FV22" s="156"/>
      <c r="FW22" s="156"/>
      <c r="FX22" s="156"/>
      <c r="FY22" s="156"/>
      <c r="FZ22" s="156"/>
      <c r="GA22" s="156"/>
      <c r="GB22" s="156"/>
      <c r="GC22" s="156"/>
      <c r="GD22" s="156"/>
      <c r="GE22" s="156"/>
      <c r="GF22" s="156"/>
      <c r="GG22" s="156"/>
      <c r="GH22" s="156"/>
      <c r="GI22" s="156"/>
      <c r="GJ22" s="156"/>
      <c r="GK22" s="156"/>
      <c r="GL22" s="156"/>
      <c r="GM22" s="156"/>
      <c r="GN22" s="156"/>
      <c r="GO22" s="156"/>
      <c r="GP22" s="156"/>
      <c r="GQ22" s="156"/>
      <c r="GR22" s="156"/>
      <c r="GS22" s="156"/>
      <c r="GT22" s="156"/>
      <c r="GU22" s="156"/>
      <c r="GV22" s="156"/>
      <c r="GW22" s="156"/>
      <c r="GX22" s="156"/>
      <c r="GY22" s="156"/>
      <c r="GZ22" s="156"/>
      <c r="HA22" s="156"/>
      <c r="HB22" s="156"/>
      <c r="HC22" s="156"/>
      <c r="HD22" s="156"/>
      <c r="HE22" s="156"/>
      <c r="HF22" s="156"/>
      <c r="HG22" s="156"/>
      <c r="HH22" s="156"/>
      <c r="HI22" s="156"/>
      <c r="HJ22" s="156"/>
      <c r="HK22" s="156"/>
      <c r="HL22" s="156"/>
      <c r="HM22" s="156"/>
      <c r="HN22" s="156"/>
      <c r="HO22" s="156"/>
      <c r="HP22" s="156"/>
      <c r="HQ22" s="156"/>
      <c r="HR22" s="156"/>
      <c r="HS22" s="156"/>
      <c r="HT22" s="156"/>
      <c r="HU22" s="156"/>
      <c r="HV22" s="156"/>
      <c r="HW22" s="156"/>
      <c r="HX22" s="156"/>
      <c r="HY22" s="156"/>
      <c r="HZ22" s="156"/>
      <c r="IA22" s="156"/>
      <c r="IB22" s="156"/>
      <c r="IC22" s="156"/>
      <c r="ID22" s="156"/>
      <c r="IE22" s="156"/>
      <c r="IF22" s="156"/>
      <c r="IG22" s="156"/>
      <c r="IH22" s="156"/>
      <c r="II22" s="156"/>
      <c r="IJ22" s="156"/>
      <c r="IK22" s="156"/>
      <c r="IL22" s="156"/>
      <c r="IM22" s="156"/>
      <c r="IN22" s="156"/>
      <c r="IO22" s="156"/>
      <c r="IP22" s="156"/>
      <c r="IQ22" s="156"/>
      <c r="IR22" s="156"/>
      <c r="IS22" s="156"/>
      <c r="IT22" s="156"/>
      <c r="IU22" s="156"/>
      <c r="IV22" s="156"/>
      <c r="IW22" s="156"/>
      <c r="IX22" s="156"/>
      <c r="IY22" s="156"/>
      <c r="IZ22" s="156"/>
      <c r="JA22" s="156"/>
      <c r="JB22" s="156"/>
      <c r="JC22" s="156"/>
      <c r="JD22" s="156"/>
      <c r="JE22" s="156"/>
      <c r="JF22" s="156"/>
      <c r="JG22" s="156"/>
      <c r="JH22" s="156"/>
      <c r="JI22" s="156"/>
      <c r="JJ22" s="156"/>
      <c r="JK22" s="156"/>
      <c r="JL22" s="156"/>
      <c r="JM22" s="156"/>
      <c r="JN22" s="156"/>
      <c r="JO22" s="156"/>
      <c r="JP22" s="156"/>
    </row>
    <row r="23" spans="1:276" ht="51.75" customHeight="1" x14ac:dyDescent="0.25">
      <c r="A23" s="77">
        <f t="shared" si="0"/>
        <v>16</v>
      </c>
      <c r="B23" s="73">
        <v>0.66666666666666696</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c r="EX23" s="156"/>
      <c r="EY23" s="156"/>
      <c r="EZ23" s="156"/>
      <c r="FA23" s="156"/>
      <c r="FB23" s="156"/>
      <c r="FC23" s="156"/>
      <c r="FD23" s="156"/>
      <c r="FE23" s="156"/>
      <c r="FF23" s="156"/>
      <c r="FG23" s="156"/>
      <c r="FH23" s="156"/>
      <c r="FI23" s="156"/>
      <c r="FJ23" s="156"/>
      <c r="FK23" s="156"/>
      <c r="FL23" s="156"/>
      <c r="FM23" s="156"/>
      <c r="FN23" s="156"/>
      <c r="FO23" s="156"/>
      <c r="FP23" s="156"/>
      <c r="FQ23" s="156"/>
      <c r="FR23" s="156"/>
      <c r="FS23" s="156"/>
      <c r="FT23" s="156"/>
      <c r="FU23" s="156"/>
      <c r="FV23" s="156"/>
      <c r="FW23" s="156"/>
      <c r="FX23" s="156"/>
      <c r="FY23" s="156"/>
      <c r="FZ23" s="156"/>
      <c r="GA23" s="156"/>
      <c r="GB23" s="156"/>
      <c r="GC23" s="156"/>
      <c r="GD23" s="156"/>
      <c r="GE23" s="156"/>
      <c r="GF23" s="156"/>
      <c r="GG23" s="156"/>
      <c r="GH23" s="156"/>
      <c r="GI23" s="156"/>
      <c r="GJ23" s="156"/>
      <c r="GK23" s="156"/>
      <c r="GL23" s="156"/>
      <c r="GM23" s="156"/>
      <c r="GN23" s="156"/>
      <c r="GO23" s="156"/>
      <c r="GP23" s="156"/>
      <c r="GQ23" s="156"/>
      <c r="GR23" s="156"/>
      <c r="GS23" s="156"/>
      <c r="GT23" s="156"/>
      <c r="GU23" s="156"/>
      <c r="GV23" s="156"/>
      <c r="GW23" s="156"/>
      <c r="GX23" s="156"/>
      <c r="GY23" s="156"/>
      <c r="GZ23" s="156"/>
      <c r="HA23" s="156"/>
      <c r="HB23" s="156"/>
      <c r="HC23" s="156"/>
      <c r="HD23" s="156"/>
      <c r="HE23" s="156"/>
      <c r="HF23" s="156"/>
      <c r="HG23" s="156"/>
      <c r="HH23" s="156"/>
      <c r="HI23" s="156"/>
      <c r="HJ23" s="156"/>
      <c r="HK23" s="156"/>
      <c r="HL23" s="156"/>
      <c r="HM23" s="156"/>
      <c r="HN23" s="156"/>
      <c r="HO23" s="156"/>
      <c r="HP23" s="156"/>
      <c r="HQ23" s="156"/>
      <c r="HR23" s="156"/>
      <c r="HS23" s="156"/>
      <c r="HT23" s="156"/>
      <c r="HU23" s="156"/>
      <c r="HV23" s="156"/>
      <c r="HW23" s="156"/>
      <c r="HX23" s="156"/>
      <c r="HY23" s="156"/>
      <c r="HZ23" s="156"/>
      <c r="IA23" s="156"/>
      <c r="IB23" s="156"/>
      <c r="IC23" s="156"/>
      <c r="ID23" s="156"/>
      <c r="IE23" s="156"/>
      <c r="IF23" s="156"/>
      <c r="IG23" s="156"/>
      <c r="IH23" s="156"/>
      <c r="II23" s="156"/>
      <c r="IJ23" s="156"/>
      <c r="IK23" s="156"/>
      <c r="IL23" s="156"/>
      <c r="IM23" s="156"/>
      <c r="IN23" s="156"/>
      <c r="IO23" s="156"/>
      <c r="IP23" s="156"/>
      <c r="IQ23" s="156"/>
      <c r="IR23" s="156"/>
      <c r="IS23" s="156"/>
      <c r="IT23" s="156"/>
      <c r="IU23" s="156"/>
      <c r="IV23" s="156"/>
      <c r="IW23" s="156"/>
      <c r="IX23" s="156"/>
      <c r="IY23" s="156"/>
      <c r="IZ23" s="156"/>
      <c r="JA23" s="156"/>
      <c r="JB23" s="156"/>
      <c r="JC23" s="156"/>
      <c r="JD23" s="156"/>
      <c r="JE23" s="156"/>
      <c r="JF23" s="156"/>
      <c r="JG23" s="156"/>
      <c r="JH23" s="156"/>
      <c r="JI23" s="156"/>
      <c r="JJ23" s="156"/>
      <c r="JK23" s="156"/>
      <c r="JL23" s="156"/>
      <c r="JM23" s="156"/>
      <c r="JN23" s="156"/>
      <c r="JO23" s="156"/>
      <c r="JP23" s="156"/>
    </row>
    <row r="24" spans="1:276" ht="44.65" customHeight="1" x14ac:dyDescent="0.25">
      <c r="A24" s="77">
        <f t="shared" si="0"/>
        <v>17</v>
      </c>
      <c r="B24" s="73">
        <v>0.70833333333333304</v>
      </c>
      <c r="C24" s="223" t="s">
        <v>628</v>
      </c>
      <c r="D24" s="227" t="s">
        <v>636</v>
      </c>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c r="EX24" s="156"/>
      <c r="EY24" s="156"/>
      <c r="EZ24" s="156"/>
      <c r="FA24" s="156"/>
      <c r="FB24" s="156"/>
      <c r="FC24" s="156"/>
      <c r="FD24" s="156"/>
      <c r="FE24" s="156"/>
      <c r="FF24" s="156"/>
      <c r="FG24" s="156"/>
      <c r="FH24" s="156"/>
      <c r="FI24" s="156"/>
      <c r="FJ24" s="156"/>
      <c r="FK24" s="156"/>
      <c r="FL24" s="156"/>
      <c r="FM24" s="156"/>
      <c r="FN24" s="156"/>
      <c r="FO24" s="156"/>
      <c r="FP24" s="156"/>
      <c r="FQ24" s="156"/>
      <c r="FR24" s="156"/>
      <c r="FS24" s="156"/>
      <c r="FT24" s="156"/>
      <c r="FU24" s="156"/>
      <c r="FV24" s="156"/>
      <c r="FW24" s="156"/>
      <c r="FX24" s="156"/>
      <c r="FY24" s="156"/>
      <c r="FZ24" s="156"/>
      <c r="GA24" s="156"/>
      <c r="GB24" s="156"/>
      <c r="GC24" s="156"/>
      <c r="GD24" s="156"/>
      <c r="GE24" s="156"/>
      <c r="GF24" s="156"/>
      <c r="GG24" s="156"/>
      <c r="GH24" s="156"/>
      <c r="GI24" s="156"/>
      <c r="GJ24" s="156"/>
      <c r="GK24" s="156"/>
      <c r="GL24" s="156"/>
      <c r="GM24" s="156"/>
      <c r="GN24" s="156"/>
      <c r="GO24" s="156"/>
      <c r="GP24" s="156"/>
      <c r="GQ24" s="156"/>
      <c r="GR24" s="156"/>
      <c r="GS24" s="156"/>
      <c r="GT24" s="156"/>
      <c r="GU24" s="156"/>
      <c r="GV24" s="156"/>
      <c r="GW24" s="156"/>
      <c r="GX24" s="156"/>
      <c r="GY24" s="156"/>
      <c r="GZ24" s="156"/>
      <c r="HA24" s="156"/>
      <c r="HB24" s="156"/>
      <c r="HC24" s="156"/>
      <c r="HD24" s="156"/>
      <c r="HE24" s="156"/>
      <c r="HF24" s="156"/>
      <c r="HG24" s="156"/>
      <c r="HH24" s="156"/>
      <c r="HI24" s="156"/>
      <c r="HJ24" s="156"/>
      <c r="HK24" s="156"/>
      <c r="HL24" s="156"/>
      <c r="HM24" s="156"/>
      <c r="HN24" s="156"/>
      <c r="HO24" s="156"/>
      <c r="HP24" s="156"/>
      <c r="HQ24" s="156"/>
      <c r="HR24" s="156"/>
      <c r="HS24" s="156"/>
      <c r="HT24" s="156"/>
      <c r="HU24" s="156"/>
      <c r="HV24" s="156"/>
      <c r="HW24" s="156"/>
      <c r="HX24" s="156"/>
      <c r="HY24" s="156"/>
      <c r="HZ24" s="156"/>
      <c r="IA24" s="156"/>
      <c r="IB24" s="156"/>
      <c r="IC24" s="156"/>
      <c r="ID24" s="156"/>
      <c r="IE24" s="156"/>
      <c r="IF24" s="156"/>
      <c r="IG24" s="156"/>
      <c r="IH24" s="156"/>
      <c r="II24" s="156"/>
      <c r="IJ24" s="156"/>
      <c r="IK24" s="156"/>
      <c r="IL24" s="156"/>
      <c r="IM24" s="156"/>
      <c r="IN24" s="156"/>
      <c r="IO24" s="156"/>
      <c r="IP24" s="156"/>
      <c r="IQ24" s="156"/>
      <c r="IR24" s="156"/>
      <c r="IS24" s="156"/>
      <c r="IT24" s="156"/>
      <c r="IU24" s="156"/>
      <c r="IV24" s="156"/>
      <c r="IW24" s="156"/>
      <c r="IX24" s="156"/>
      <c r="IY24" s="156"/>
      <c r="IZ24" s="156"/>
      <c r="JA24" s="156"/>
      <c r="JB24" s="156"/>
      <c r="JC24" s="156"/>
      <c r="JD24" s="156"/>
      <c r="JE24" s="156"/>
      <c r="JF24" s="156"/>
      <c r="JG24" s="156"/>
      <c r="JH24" s="156"/>
      <c r="JI24" s="156"/>
      <c r="JJ24" s="156"/>
      <c r="JK24" s="156"/>
      <c r="JL24" s="156"/>
      <c r="JM24" s="156"/>
      <c r="JN24" s="156"/>
      <c r="JO24" s="156"/>
      <c r="JP24" s="156"/>
    </row>
    <row r="25" spans="1:276" ht="72" customHeight="1" x14ac:dyDescent="0.25">
      <c r="A25" s="77">
        <f t="shared" si="0"/>
        <v>18</v>
      </c>
      <c r="B25" s="73">
        <v>0.75</v>
      </c>
      <c r="C25" s="223" t="s">
        <v>634</v>
      </c>
      <c r="D25" s="226" t="s">
        <v>449</v>
      </c>
      <c r="E25" s="226" t="s">
        <v>449</v>
      </c>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c r="EX25" s="156"/>
      <c r="EY25" s="156"/>
      <c r="EZ25" s="156"/>
      <c r="FA25" s="156"/>
      <c r="FB25" s="156"/>
      <c r="FC25" s="156"/>
      <c r="FD25" s="156"/>
      <c r="FE25" s="156"/>
      <c r="FF25" s="156"/>
      <c r="FG25" s="156"/>
      <c r="FH25" s="156"/>
      <c r="FI25" s="156"/>
      <c r="FJ25" s="156"/>
      <c r="FK25" s="156"/>
      <c r="FL25" s="156"/>
      <c r="FM25" s="156"/>
      <c r="FN25" s="156"/>
      <c r="FO25" s="156"/>
      <c r="FP25" s="156"/>
      <c r="FQ25" s="156"/>
      <c r="FR25" s="156"/>
      <c r="FS25" s="156"/>
      <c r="FT25" s="156"/>
      <c r="FU25" s="156"/>
      <c r="FV25" s="156"/>
      <c r="FW25" s="156"/>
      <c r="FX25" s="156"/>
      <c r="FY25" s="156"/>
      <c r="FZ25" s="156"/>
      <c r="GA25" s="156"/>
      <c r="GB25" s="156"/>
      <c r="GC25" s="156"/>
      <c r="GD25" s="156"/>
      <c r="GE25" s="156"/>
      <c r="GF25" s="156"/>
      <c r="GG25" s="156"/>
      <c r="GH25" s="156"/>
      <c r="GI25" s="156"/>
      <c r="GJ25" s="156"/>
      <c r="GK25" s="156"/>
      <c r="GL25" s="156"/>
      <c r="GM25" s="156"/>
      <c r="GN25" s="156"/>
      <c r="GO25" s="156"/>
      <c r="GP25" s="156"/>
      <c r="GQ25" s="156"/>
      <c r="GR25" s="156"/>
      <c r="GS25" s="156"/>
      <c r="GT25" s="156"/>
      <c r="GU25" s="156"/>
      <c r="GV25" s="156"/>
      <c r="GW25" s="156"/>
      <c r="GX25" s="156"/>
      <c r="GY25" s="156"/>
      <c r="GZ25" s="156"/>
      <c r="HA25" s="156"/>
      <c r="HB25" s="156"/>
      <c r="HC25" s="156"/>
      <c r="HD25" s="156"/>
      <c r="HE25" s="156"/>
      <c r="HF25" s="156"/>
      <c r="HG25" s="156"/>
      <c r="HH25" s="156"/>
      <c r="HI25" s="156"/>
      <c r="HJ25" s="156"/>
      <c r="HK25" s="156"/>
      <c r="HL25" s="156"/>
      <c r="HM25" s="156"/>
      <c r="HN25" s="156"/>
      <c r="HO25" s="156"/>
      <c r="HP25" s="156"/>
      <c r="HQ25" s="156"/>
      <c r="HR25" s="156"/>
      <c r="HS25" s="156"/>
      <c r="HT25" s="156"/>
      <c r="HU25" s="156"/>
      <c r="HV25" s="156"/>
      <c r="HW25" s="156"/>
      <c r="HX25" s="156"/>
      <c r="HY25" s="156"/>
      <c r="HZ25" s="156"/>
      <c r="IA25" s="156"/>
      <c r="IB25" s="156"/>
      <c r="IC25" s="156"/>
      <c r="ID25" s="156"/>
      <c r="IE25" s="156"/>
      <c r="IF25" s="156"/>
      <c r="IG25" s="156"/>
      <c r="IH25" s="156"/>
      <c r="II25" s="156"/>
      <c r="IJ25" s="156"/>
      <c r="IK25" s="156"/>
      <c r="IL25" s="156"/>
      <c r="IM25" s="156"/>
      <c r="IN25" s="156"/>
      <c r="IO25" s="156"/>
      <c r="IP25" s="156"/>
      <c r="IQ25" s="156"/>
      <c r="IR25" s="156"/>
      <c r="IS25" s="156"/>
      <c r="IT25" s="156"/>
      <c r="IU25" s="156"/>
      <c r="IV25" s="156"/>
      <c r="IW25" s="156"/>
      <c r="IX25" s="156"/>
      <c r="IY25" s="156"/>
      <c r="IZ25" s="156"/>
      <c r="JA25" s="156"/>
      <c r="JB25" s="156"/>
      <c r="JC25" s="156"/>
      <c r="JD25" s="156"/>
      <c r="JE25" s="156"/>
      <c r="JF25" s="156"/>
      <c r="JG25" s="156"/>
      <c r="JH25" s="156"/>
      <c r="JI25" s="156"/>
      <c r="JJ25" s="156"/>
      <c r="JK25" s="156"/>
      <c r="JL25" s="156"/>
      <c r="JM25" s="156"/>
      <c r="JN25" s="156"/>
      <c r="JO25" s="156"/>
      <c r="JP25" s="156"/>
    </row>
    <row r="26" spans="1:276" ht="51" customHeight="1" x14ac:dyDescent="0.25">
      <c r="A26" s="77">
        <f t="shared" si="0"/>
        <v>19</v>
      </c>
      <c r="B26" s="73">
        <v>0.79166666666666696</v>
      </c>
      <c r="C26" s="223" t="s">
        <v>617</v>
      </c>
      <c r="D26" s="226" t="s">
        <v>449</v>
      </c>
      <c r="E26" s="226" t="s">
        <v>449</v>
      </c>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c r="EX26" s="156"/>
      <c r="EY26" s="156"/>
      <c r="EZ26" s="156"/>
      <c r="FA26" s="156"/>
      <c r="FB26" s="156"/>
      <c r="FC26" s="156"/>
      <c r="FD26" s="156"/>
      <c r="FE26" s="156"/>
      <c r="FF26" s="156"/>
      <c r="FG26" s="156"/>
      <c r="FH26" s="156"/>
      <c r="FI26" s="156"/>
      <c r="FJ26" s="156"/>
      <c r="FK26" s="156"/>
      <c r="FL26" s="156"/>
      <c r="FM26" s="156"/>
      <c r="FN26" s="156"/>
      <c r="FO26" s="156"/>
      <c r="FP26" s="156"/>
      <c r="FQ26" s="156"/>
      <c r="FR26" s="156"/>
      <c r="FS26" s="156"/>
      <c r="FT26" s="156"/>
      <c r="FU26" s="156"/>
      <c r="FV26" s="156"/>
      <c r="FW26" s="156"/>
      <c r="FX26" s="156"/>
      <c r="FY26" s="156"/>
      <c r="FZ26" s="156"/>
      <c r="GA26" s="156"/>
      <c r="GB26" s="156"/>
      <c r="GC26" s="156"/>
      <c r="GD26" s="156"/>
      <c r="GE26" s="156"/>
      <c r="GF26" s="156"/>
      <c r="GG26" s="156"/>
      <c r="GH26" s="156"/>
      <c r="GI26" s="156"/>
      <c r="GJ26" s="156"/>
      <c r="GK26" s="156"/>
      <c r="GL26" s="156"/>
      <c r="GM26" s="156"/>
      <c r="GN26" s="156"/>
      <c r="GO26" s="156"/>
      <c r="GP26" s="156"/>
      <c r="GQ26" s="156"/>
      <c r="GR26" s="156"/>
      <c r="GS26" s="156"/>
      <c r="GT26" s="156"/>
      <c r="GU26" s="156"/>
      <c r="GV26" s="156"/>
      <c r="GW26" s="156"/>
      <c r="GX26" s="156"/>
      <c r="GY26" s="156"/>
      <c r="GZ26" s="156"/>
      <c r="HA26" s="156"/>
      <c r="HB26" s="156"/>
      <c r="HC26" s="156"/>
      <c r="HD26" s="156"/>
      <c r="HE26" s="156"/>
      <c r="HF26" s="156"/>
      <c r="HG26" s="156"/>
      <c r="HH26" s="156"/>
      <c r="HI26" s="156"/>
      <c r="HJ26" s="156"/>
      <c r="HK26" s="156"/>
      <c r="HL26" s="156"/>
      <c r="HM26" s="156"/>
      <c r="HN26" s="156"/>
      <c r="HO26" s="156"/>
      <c r="HP26" s="156"/>
      <c r="HQ26" s="156"/>
      <c r="HR26" s="156"/>
      <c r="HS26" s="156"/>
      <c r="HT26" s="156"/>
      <c r="HU26" s="156"/>
      <c r="HV26" s="156"/>
      <c r="HW26" s="156"/>
      <c r="HX26" s="156"/>
      <c r="HY26" s="156"/>
      <c r="HZ26" s="156"/>
      <c r="IA26" s="156"/>
      <c r="IB26" s="156"/>
      <c r="IC26" s="156"/>
      <c r="ID26" s="156"/>
      <c r="IE26" s="156"/>
      <c r="IF26" s="156"/>
      <c r="IG26" s="156"/>
      <c r="IH26" s="156"/>
      <c r="II26" s="156"/>
      <c r="IJ26" s="156"/>
      <c r="IK26" s="156"/>
      <c r="IL26" s="156"/>
      <c r="IM26" s="156"/>
      <c r="IN26" s="156"/>
      <c r="IO26" s="156"/>
      <c r="IP26" s="156"/>
      <c r="IQ26" s="156"/>
      <c r="IR26" s="156"/>
      <c r="IS26" s="156"/>
      <c r="IT26" s="156"/>
      <c r="IU26" s="156"/>
      <c r="IV26" s="156"/>
      <c r="IW26" s="156"/>
      <c r="IX26" s="156"/>
      <c r="IY26" s="156"/>
      <c r="IZ26" s="156"/>
      <c r="JA26" s="156"/>
      <c r="JB26" s="156"/>
      <c r="JC26" s="156"/>
      <c r="JD26" s="156"/>
      <c r="JE26" s="156"/>
      <c r="JF26" s="156"/>
      <c r="JG26" s="156"/>
      <c r="JH26" s="156"/>
      <c r="JI26" s="156"/>
      <c r="JJ26" s="156"/>
      <c r="JK26" s="156"/>
      <c r="JL26" s="156"/>
      <c r="JM26" s="156"/>
      <c r="JN26" s="156"/>
      <c r="JO26" s="156"/>
      <c r="JP26" s="156"/>
    </row>
    <row r="27" spans="1:276" ht="41.1" customHeight="1" x14ac:dyDescent="0.25">
      <c r="A27" s="77">
        <f t="shared" si="0"/>
        <v>20</v>
      </c>
      <c r="B27" s="73">
        <v>0.83333333333333304</v>
      </c>
      <c r="C27" s="226" t="s">
        <v>449</v>
      </c>
      <c r="D27" s="226" t="s">
        <v>449</v>
      </c>
      <c r="E27" s="226" t="s">
        <v>449</v>
      </c>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c r="EX27" s="156"/>
      <c r="EY27" s="156"/>
      <c r="EZ27" s="156"/>
      <c r="FA27" s="156"/>
      <c r="FB27" s="156"/>
      <c r="FC27" s="156"/>
      <c r="FD27" s="156"/>
      <c r="FE27" s="156"/>
      <c r="FF27" s="156"/>
      <c r="FG27" s="156"/>
      <c r="FH27" s="156"/>
      <c r="FI27" s="156"/>
      <c r="FJ27" s="156"/>
      <c r="FK27" s="156"/>
      <c r="FL27" s="156"/>
      <c r="FM27" s="156"/>
      <c r="FN27" s="156"/>
      <c r="FO27" s="156"/>
      <c r="FP27" s="156"/>
      <c r="FQ27" s="156"/>
      <c r="FR27" s="156"/>
      <c r="FS27" s="156"/>
      <c r="FT27" s="156"/>
      <c r="FU27" s="156"/>
      <c r="FV27" s="156"/>
      <c r="FW27" s="156"/>
      <c r="FX27" s="156"/>
      <c r="FY27" s="156"/>
      <c r="FZ27" s="156"/>
      <c r="GA27" s="156"/>
      <c r="GB27" s="156"/>
      <c r="GC27" s="156"/>
      <c r="GD27" s="156"/>
      <c r="GE27" s="156"/>
      <c r="GF27" s="156"/>
      <c r="GG27" s="156"/>
      <c r="GH27" s="156"/>
      <c r="GI27" s="156"/>
      <c r="GJ27" s="156"/>
      <c r="GK27" s="156"/>
      <c r="GL27" s="156"/>
      <c r="GM27" s="156"/>
      <c r="GN27" s="156"/>
      <c r="GO27" s="156"/>
      <c r="GP27" s="156"/>
      <c r="GQ27" s="156"/>
      <c r="GR27" s="156"/>
      <c r="GS27" s="156"/>
      <c r="GT27" s="156"/>
      <c r="GU27" s="156"/>
      <c r="GV27" s="156"/>
      <c r="GW27" s="156"/>
      <c r="GX27" s="156"/>
      <c r="GY27" s="156"/>
      <c r="GZ27" s="156"/>
      <c r="HA27" s="156"/>
      <c r="HB27" s="156"/>
      <c r="HC27" s="156"/>
      <c r="HD27" s="156"/>
      <c r="HE27" s="156"/>
      <c r="HF27" s="156"/>
      <c r="HG27" s="156"/>
      <c r="HH27" s="156"/>
      <c r="HI27" s="156"/>
      <c r="HJ27" s="156"/>
      <c r="HK27" s="156"/>
      <c r="HL27" s="156"/>
      <c r="HM27" s="156"/>
      <c r="HN27" s="156"/>
      <c r="HO27" s="156"/>
      <c r="HP27" s="156"/>
      <c r="HQ27" s="156"/>
      <c r="HR27" s="156"/>
      <c r="HS27" s="156"/>
      <c r="HT27" s="156"/>
      <c r="HU27" s="156"/>
      <c r="HV27" s="156"/>
      <c r="HW27" s="156"/>
      <c r="HX27" s="156"/>
      <c r="HY27" s="156"/>
      <c r="HZ27" s="156"/>
      <c r="IA27" s="156"/>
      <c r="IB27" s="156"/>
      <c r="IC27" s="156"/>
      <c r="ID27" s="156"/>
      <c r="IE27" s="156"/>
      <c r="IF27" s="156"/>
      <c r="IG27" s="156"/>
      <c r="IH27" s="156"/>
      <c r="II27" s="156"/>
      <c r="IJ27" s="156"/>
      <c r="IK27" s="156"/>
      <c r="IL27" s="156"/>
      <c r="IM27" s="156"/>
      <c r="IN27" s="156"/>
      <c r="IO27" s="156"/>
      <c r="IP27" s="156"/>
      <c r="IQ27" s="156"/>
      <c r="IR27" s="156"/>
      <c r="IS27" s="156"/>
      <c r="IT27" s="156"/>
      <c r="IU27" s="156"/>
      <c r="IV27" s="156"/>
      <c r="IW27" s="156"/>
      <c r="IX27" s="156"/>
      <c r="IY27" s="156"/>
      <c r="IZ27" s="156"/>
      <c r="JA27" s="156"/>
      <c r="JB27" s="156"/>
      <c r="JC27" s="156"/>
      <c r="JD27" s="156"/>
      <c r="JE27" s="156"/>
      <c r="JF27" s="156"/>
      <c r="JG27" s="156"/>
      <c r="JH27" s="156"/>
      <c r="JI27" s="156"/>
      <c r="JJ27" s="156"/>
      <c r="JK27" s="156"/>
      <c r="JL27" s="156"/>
      <c r="JM27" s="156"/>
      <c r="JN27" s="156"/>
      <c r="JO27" s="156"/>
      <c r="JP27" s="156"/>
    </row>
    <row r="28" spans="1:276" s="69" customFormat="1" ht="37.9" customHeight="1" x14ac:dyDescent="0.25">
      <c r="A28" s="77">
        <f t="shared" si="0"/>
        <v>21</v>
      </c>
      <c r="B28" s="73">
        <v>0.875</v>
      </c>
      <c r="C28" s="226" t="s">
        <v>449</v>
      </c>
      <c r="D28" s="226" t="s">
        <v>449</v>
      </c>
      <c r="E28" s="226" t="s">
        <v>449</v>
      </c>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c r="BJ28" s="157"/>
      <c r="BK28" s="157"/>
      <c r="BL28" s="157"/>
      <c r="BM28" s="157"/>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c r="CN28" s="157"/>
      <c r="CO28" s="157"/>
      <c r="CP28" s="157"/>
      <c r="CQ28" s="157"/>
      <c r="CR28" s="157"/>
      <c r="CS28" s="157"/>
      <c r="CT28" s="157"/>
      <c r="CU28" s="157"/>
      <c r="CV28" s="157"/>
      <c r="CW28" s="157"/>
      <c r="CX28" s="157"/>
      <c r="CY28" s="157"/>
      <c r="CZ28" s="157"/>
      <c r="DA28" s="157"/>
      <c r="DB28" s="157"/>
      <c r="DC28" s="157"/>
      <c r="DD28" s="157"/>
      <c r="DE28" s="157"/>
      <c r="DF28" s="157"/>
      <c r="DG28" s="157"/>
      <c r="DH28" s="157"/>
      <c r="DI28" s="157"/>
      <c r="DJ28" s="157"/>
      <c r="DK28" s="157"/>
      <c r="DL28" s="157"/>
      <c r="DM28" s="157"/>
      <c r="DN28" s="157"/>
      <c r="DO28" s="157"/>
      <c r="DP28" s="157"/>
      <c r="DQ28" s="157"/>
      <c r="DR28" s="157"/>
      <c r="DS28" s="157"/>
      <c r="DT28" s="157"/>
      <c r="DU28" s="157"/>
      <c r="DV28" s="157"/>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7"/>
      <c r="FA28" s="157"/>
      <c r="FB28" s="157"/>
      <c r="FC28" s="157"/>
      <c r="FD28" s="157"/>
      <c r="FE28" s="157"/>
      <c r="FF28" s="157"/>
      <c r="FG28" s="157"/>
      <c r="FH28" s="157"/>
      <c r="FI28" s="157"/>
      <c r="FJ28" s="157"/>
      <c r="FK28" s="157"/>
      <c r="FL28" s="157"/>
      <c r="FM28" s="157"/>
      <c r="FN28" s="157"/>
      <c r="FO28" s="157"/>
      <c r="FP28" s="157"/>
      <c r="FQ28" s="157"/>
      <c r="FR28" s="157"/>
      <c r="FS28" s="157"/>
      <c r="FT28" s="157"/>
      <c r="FU28" s="157"/>
      <c r="FV28" s="157"/>
      <c r="FW28" s="157"/>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7"/>
      <c r="HZ28" s="157"/>
      <c r="IA28" s="157"/>
      <c r="IB28" s="157"/>
      <c r="IC28" s="157"/>
      <c r="ID28" s="157"/>
      <c r="IE28" s="157"/>
      <c r="IF28" s="157"/>
      <c r="IG28" s="157"/>
      <c r="IH28" s="157"/>
      <c r="II28" s="157"/>
      <c r="IJ28" s="157"/>
      <c r="IK28" s="157"/>
      <c r="IL28" s="157"/>
      <c r="IM28" s="157"/>
      <c r="IN28" s="157"/>
      <c r="IO28" s="157"/>
      <c r="IP28" s="157"/>
      <c r="IQ28" s="157"/>
      <c r="IR28" s="157"/>
      <c r="IS28" s="157"/>
      <c r="IT28" s="157"/>
      <c r="IU28" s="157"/>
      <c r="IV28" s="157"/>
      <c r="IW28" s="157"/>
      <c r="IX28" s="157"/>
      <c r="IY28" s="157"/>
      <c r="IZ28" s="157"/>
      <c r="JA28" s="157"/>
      <c r="JB28" s="157"/>
      <c r="JC28" s="157"/>
      <c r="JD28" s="157"/>
      <c r="JE28" s="157"/>
      <c r="JF28" s="157"/>
      <c r="JG28" s="157"/>
      <c r="JH28" s="157"/>
      <c r="JI28" s="157"/>
      <c r="JJ28" s="157"/>
      <c r="JK28" s="157"/>
      <c r="JL28" s="157"/>
      <c r="JM28" s="157"/>
      <c r="JN28" s="157"/>
      <c r="JO28" s="157"/>
      <c r="JP28" s="157"/>
    </row>
    <row r="29" spans="1:276" ht="47.45" customHeight="1" x14ac:dyDescent="0.25">
      <c r="A29" s="77">
        <f t="shared" si="0"/>
        <v>22</v>
      </c>
      <c r="B29" s="73">
        <v>0.91666666666666696</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c r="EX29" s="156"/>
      <c r="EY29" s="156"/>
      <c r="EZ29" s="156"/>
      <c r="FA29" s="156"/>
      <c r="FB29" s="156"/>
      <c r="FC29" s="156"/>
      <c r="FD29" s="156"/>
      <c r="FE29" s="156"/>
      <c r="FF29" s="156"/>
      <c r="FG29" s="156"/>
      <c r="FH29" s="156"/>
      <c r="FI29" s="156"/>
      <c r="FJ29" s="156"/>
      <c r="FK29" s="156"/>
      <c r="FL29" s="156"/>
      <c r="FM29" s="156"/>
      <c r="FN29" s="156"/>
      <c r="FO29" s="156"/>
      <c r="FP29" s="156"/>
      <c r="FQ29" s="156"/>
      <c r="FR29" s="156"/>
      <c r="FS29" s="156"/>
      <c r="FT29" s="156"/>
      <c r="FU29" s="156"/>
      <c r="FV29" s="156"/>
      <c r="FW29" s="156"/>
      <c r="FX29" s="156"/>
      <c r="FY29" s="156"/>
      <c r="FZ29" s="156"/>
      <c r="GA29" s="156"/>
      <c r="GB29" s="156"/>
      <c r="GC29" s="156"/>
      <c r="GD29" s="156"/>
      <c r="GE29" s="156"/>
      <c r="GF29" s="156"/>
      <c r="GG29" s="156"/>
      <c r="GH29" s="156"/>
      <c r="GI29" s="156"/>
      <c r="GJ29" s="156"/>
      <c r="GK29" s="156"/>
      <c r="GL29" s="156"/>
      <c r="GM29" s="156"/>
      <c r="GN29" s="156"/>
      <c r="GO29" s="156"/>
      <c r="GP29" s="156"/>
      <c r="GQ29" s="156"/>
      <c r="GR29" s="156"/>
      <c r="GS29" s="156"/>
      <c r="GT29" s="156"/>
      <c r="GU29" s="156"/>
      <c r="GV29" s="156"/>
      <c r="GW29" s="156"/>
      <c r="GX29" s="156"/>
      <c r="GY29" s="156"/>
      <c r="GZ29" s="156"/>
      <c r="HA29" s="156"/>
      <c r="HB29" s="156"/>
      <c r="HC29" s="156"/>
      <c r="HD29" s="156"/>
      <c r="HE29" s="156"/>
      <c r="HF29" s="156"/>
      <c r="HG29" s="156"/>
      <c r="HH29" s="156"/>
      <c r="HI29" s="156"/>
      <c r="HJ29" s="156"/>
      <c r="HK29" s="156"/>
      <c r="HL29" s="156"/>
      <c r="HM29" s="156"/>
      <c r="HN29" s="156"/>
      <c r="HO29" s="156"/>
      <c r="HP29" s="156"/>
      <c r="HQ29" s="156"/>
      <c r="HR29" s="156"/>
      <c r="HS29" s="156"/>
      <c r="HT29" s="156"/>
      <c r="HU29" s="156"/>
      <c r="HV29" s="156"/>
      <c r="HW29" s="156"/>
      <c r="HX29" s="156"/>
      <c r="HY29" s="156"/>
      <c r="HZ29" s="156"/>
      <c r="IA29" s="156"/>
      <c r="IB29" s="156"/>
      <c r="IC29" s="156"/>
      <c r="ID29" s="156"/>
      <c r="IE29" s="156"/>
      <c r="IF29" s="156"/>
      <c r="IG29" s="156"/>
      <c r="IH29" s="156"/>
      <c r="II29" s="156"/>
      <c r="IJ29" s="156"/>
      <c r="IK29" s="156"/>
      <c r="IL29" s="156"/>
      <c r="IM29" s="156"/>
      <c r="IN29" s="156"/>
      <c r="IO29" s="156"/>
      <c r="IP29" s="156"/>
      <c r="IQ29" s="156"/>
      <c r="IR29" s="156"/>
      <c r="IS29" s="156"/>
      <c r="IT29" s="156"/>
      <c r="IU29" s="156"/>
      <c r="IV29" s="156"/>
      <c r="IW29" s="156"/>
      <c r="IX29" s="156"/>
      <c r="IY29" s="156"/>
      <c r="IZ29" s="156"/>
      <c r="JA29" s="156"/>
      <c r="JB29" s="156"/>
      <c r="JC29" s="156"/>
      <c r="JD29" s="156"/>
      <c r="JE29" s="156"/>
      <c r="JF29" s="156"/>
      <c r="JG29" s="156"/>
      <c r="JH29" s="156"/>
      <c r="JI29" s="156"/>
      <c r="JJ29" s="156"/>
      <c r="JK29" s="156"/>
      <c r="JL29" s="156"/>
      <c r="JM29" s="156"/>
      <c r="JN29" s="156"/>
      <c r="JO29" s="156"/>
      <c r="JP29" s="156"/>
    </row>
    <row r="30" spans="1:276" ht="24.75" customHeight="1" x14ac:dyDescent="0.25">
      <c r="A30" s="77">
        <f t="shared" si="0"/>
        <v>23</v>
      </c>
      <c r="B30" s="73">
        <v>0.95833333333333304</v>
      </c>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c r="EX30" s="156"/>
      <c r="EY30" s="156"/>
      <c r="EZ30" s="156"/>
      <c r="FA30" s="156"/>
      <c r="FB30" s="156"/>
      <c r="FC30" s="156"/>
      <c r="FD30" s="156"/>
      <c r="FE30" s="156"/>
      <c r="FF30" s="156"/>
      <c r="FG30" s="156"/>
      <c r="FH30" s="156"/>
      <c r="FI30" s="156"/>
      <c r="FJ30" s="156"/>
      <c r="FK30" s="156"/>
      <c r="FL30" s="156"/>
      <c r="FM30" s="156"/>
      <c r="FN30" s="156"/>
      <c r="FO30" s="156"/>
      <c r="FP30" s="156"/>
      <c r="FQ30" s="156"/>
      <c r="FR30" s="156"/>
      <c r="FS30" s="156"/>
      <c r="FT30" s="156"/>
      <c r="FU30" s="156"/>
      <c r="FV30" s="156"/>
      <c r="FW30" s="156"/>
      <c r="FX30" s="156"/>
      <c r="FY30" s="156"/>
      <c r="FZ30" s="156"/>
      <c r="GA30" s="156"/>
      <c r="GB30" s="156"/>
      <c r="GC30" s="156"/>
      <c r="GD30" s="156"/>
      <c r="GE30" s="156"/>
      <c r="GF30" s="156"/>
      <c r="GG30" s="156"/>
      <c r="GH30" s="156"/>
      <c r="GI30" s="156"/>
      <c r="GJ30" s="156"/>
      <c r="GK30" s="156"/>
      <c r="GL30" s="156"/>
      <c r="GM30" s="156"/>
      <c r="GN30" s="156"/>
      <c r="GO30" s="156"/>
      <c r="GP30" s="156"/>
      <c r="GQ30" s="156"/>
      <c r="GR30" s="156"/>
      <c r="GS30" s="156"/>
      <c r="GT30" s="156"/>
      <c r="GU30" s="156"/>
      <c r="GV30" s="156"/>
      <c r="GW30" s="156"/>
      <c r="GX30" s="156"/>
      <c r="GY30" s="156"/>
      <c r="GZ30" s="156"/>
      <c r="HA30" s="156"/>
      <c r="HB30" s="156"/>
      <c r="HC30" s="156"/>
      <c r="HD30" s="156"/>
      <c r="HE30" s="156"/>
      <c r="HF30" s="156"/>
      <c r="HG30" s="156"/>
      <c r="HH30" s="156"/>
      <c r="HI30" s="156"/>
      <c r="HJ30" s="156"/>
      <c r="HK30" s="156"/>
      <c r="HL30" s="156"/>
      <c r="HM30" s="156"/>
      <c r="HN30" s="156"/>
      <c r="HO30" s="156"/>
      <c r="HP30" s="156"/>
      <c r="HQ30" s="156"/>
      <c r="HR30" s="156"/>
      <c r="HS30" s="156"/>
      <c r="HT30" s="156"/>
      <c r="HU30" s="156"/>
      <c r="HV30" s="156"/>
      <c r="HW30" s="156"/>
      <c r="HX30" s="156"/>
      <c r="HY30" s="156"/>
      <c r="HZ30" s="156"/>
      <c r="IA30" s="156"/>
      <c r="IB30" s="156"/>
      <c r="IC30" s="156"/>
      <c r="ID30" s="156"/>
      <c r="IE30" s="156"/>
      <c r="IF30" s="156"/>
      <c r="IG30" s="156"/>
      <c r="IH30" s="156"/>
      <c r="II30" s="156"/>
      <c r="IJ30" s="156"/>
      <c r="IK30" s="156"/>
      <c r="IL30" s="156"/>
      <c r="IM30" s="156"/>
      <c r="IN30" s="156"/>
      <c r="IO30" s="156"/>
      <c r="IP30" s="156"/>
      <c r="IQ30" s="156"/>
      <c r="IR30" s="156"/>
      <c r="IS30" s="156"/>
      <c r="IT30" s="156"/>
      <c r="IU30" s="156"/>
      <c r="IV30" s="156"/>
      <c r="IW30" s="156"/>
      <c r="IX30" s="156"/>
      <c r="IY30" s="156"/>
      <c r="IZ30" s="156"/>
      <c r="JA30" s="156"/>
      <c r="JB30" s="156"/>
      <c r="JC30" s="156"/>
      <c r="JD30" s="156"/>
      <c r="JE30" s="156"/>
      <c r="JF30" s="156"/>
      <c r="JG30" s="156"/>
      <c r="JH30" s="156"/>
      <c r="JI30" s="156"/>
      <c r="JJ30" s="156"/>
      <c r="JK30" s="156"/>
      <c r="JL30" s="156"/>
      <c r="JM30" s="156"/>
      <c r="JN30" s="156"/>
      <c r="JO30" s="156"/>
      <c r="JP30" s="156"/>
    </row>
    <row r="31" spans="1:276" s="76" customFormat="1" ht="37.5" customHeight="1" x14ac:dyDescent="0.25">
      <c r="B31" s="158" t="s">
        <v>420</v>
      </c>
      <c r="C31" s="229">
        <f t="shared" ref="C31:Y31" si="1">SUM(C7:C30)</f>
        <v>0</v>
      </c>
      <c r="D31" s="229">
        <f t="shared" si="1"/>
        <v>0</v>
      </c>
      <c r="E31" s="229">
        <f t="shared" si="1"/>
        <v>0</v>
      </c>
      <c r="F31" s="229">
        <f t="shared" si="1"/>
        <v>0</v>
      </c>
      <c r="G31" s="229">
        <f t="shared" si="1"/>
        <v>0</v>
      </c>
      <c r="H31" s="229">
        <f t="shared" si="1"/>
        <v>0</v>
      </c>
      <c r="I31" s="229">
        <f t="shared" si="1"/>
        <v>0</v>
      </c>
      <c r="J31" s="229">
        <f t="shared" si="1"/>
        <v>0</v>
      </c>
      <c r="K31" s="229">
        <f t="shared" si="1"/>
        <v>0</v>
      </c>
      <c r="L31" s="229">
        <f t="shared" si="1"/>
        <v>0</v>
      </c>
      <c r="M31" s="229">
        <f t="shared" si="1"/>
        <v>0</v>
      </c>
      <c r="N31" s="229">
        <f t="shared" si="1"/>
        <v>0</v>
      </c>
      <c r="O31" s="229">
        <f t="shared" si="1"/>
        <v>0</v>
      </c>
      <c r="P31" s="229">
        <f t="shared" si="1"/>
        <v>0</v>
      </c>
      <c r="Q31" s="229">
        <f t="shared" si="1"/>
        <v>0</v>
      </c>
      <c r="R31" s="229">
        <f t="shared" si="1"/>
        <v>0</v>
      </c>
      <c r="S31" s="229">
        <f t="shared" si="1"/>
        <v>0</v>
      </c>
      <c r="T31" s="229">
        <f t="shared" si="1"/>
        <v>0</v>
      </c>
      <c r="U31" s="229">
        <f t="shared" si="1"/>
        <v>0</v>
      </c>
      <c r="V31" s="229">
        <f t="shared" si="1"/>
        <v>0</v>
      </c>
      <c r="W31" s="229">
        <f t="shared" si="1"/>
        <v>0</v>
      </c>
      <c r="X31" s="229">
        <f t="shared" si="1"/>
        <v>0</v>
      </c>
      <c r="Y31" s="229">
        <f t="shared" si="1"/>
        <v>0</v>
      </c>
      <c r="Z31" s="229">
        <f t="shared" ref="Z31:BE31" si="2">SUM(Z7:Z30)</f>
        <v>0</v>
      </c>
      <c r="AA31" s="229">
        <f t="shared" si="2"/>
        <v>0</v>
      </c>
      <c r="AB31" s="229">
        <f t="shared" si="2"/>
        <v>0</v>
      </c>
      <c r="AC31" s="229">
        <f t="shared" si="2"/>
        <v>0</v>
      </c>
      <c r="AD31" s="229">
        <f t="shared" si="2"/>
        <v>0</v>
      </c>
      <c r="AE31" s="229">
        <f t="shared" si="2"/>
        <v>0</v>
      </c>
      <c r="AF31" s="229">
        <f t="shared" si="2"/>
        <v>0</v>
      </c>
      <c r="AG31" s="229">
        <f t="shared" si="2"/>
        <v>0</v>
      </c>
      <c r="AH31" s="229">
        <f t="shared" si="2"/>
        <v>0</v>
      </c>
      <c r="AI31" s="229">
        <f t="shared" si="2"/>
        <v>0</v>
      </c>
      <c r="AJ31" s="229">
        <f t="shared" si="2"/>
        <v>0</v>
      </c>
      <c r="AK31" s="229">
        <f t="shared" si="2"/>
        <v>0</v>
      </c>
      <c r="AL31" s="229">
        <f t="shared" si="2"/>
        <v>0</v>
      </c>
      <c r="AM31" s="229">
        <f t="shared" si="2"/>
        <v>0</v>
      </c>
      <c r="AN31" s="229">
        <f t="shared" si="2"/>
        <v>0</v>
      </c>
      <c r="AO31" s="229">
        <f t="shared" si="2"/>
        <v>0</v>
      </c>
      <c r="AP31" s="229">
        <f t="shared" si="2"/>
        <v>0</v>
      </c>
      <c r="AQ31" s="229">
        <f t="shared" si="2"/>
        <v>0</v>
      </c>
      <c r="AR31" s="229">
        <f t="shared" si="2"/>
        <v>0</v>
      </c>
      <c r="AS31" s="229">
        <f t="shared" si="2"/>
        <v>0</v>
      </c>
      <c r="AT31" s="229">
        <f t="shared" si="2"/>
        <v>0</v>
      </c>
      <c r="AU31" s="229">
        <f t="shared" si="2"/>
        <v>0</v>
      </c>
      <c r="AV31" s="229">
        <f t="shared" si="2"/>
        <v>0</v>
      </c>
      <c r="AW31" s="229">
        <f t="shared" si="2"/>
        <v>0</v>
      </c>
      <c r="AX31" s="229">
        <f t="shared" si="2"/>
        <v>0</v>
      </c>
      <c r="AY31" s="229">
        <f t="shared" si="2"/>
        <v>0</v>
      </c>
      <c r="AZ31" s="229">
        <f t="shared" si="2"/>
        <v>0</v>
      </c>
      <c r="BA31" s="229">
        <f t="shared" si="2"/>
        <v>0</v>
      </c>
      <c r="BB31" s="229">
        <f t="shared" si="2"/>
        <v>0</v>
      </c>
      <c r="BC31" s="229">
        <f t="shared" si="2"/>
        <v>0</v>
      </c>
      <c r="BD31" s="229">
        <f t="shared" si="2"/>
        <v>0</v>
      </c>
      <c r="BE31" s="229">
        <f t="shared" si="2"/>
        <v>0</v>
      </c>
      <c r="BF31" s="229">
        <f t="shared" ref="BF31:CK31" si="3">SUM(BF7:BF30)</f>
        <v>0</v>
      </c>
      <c r="BG31" s="229">
        <f t="shared" si="3"/>
        <v>0</v>
      </c>
      <c r="BH31" s="229">
        <f t="shared" si="3"/>
        <v>0</v>
      </c>
      <c r="BI31" s="229">
        <f t="shared" si="3"/>
        <v>0</v>
      </c>
      <c r="BJ31" s="229">
        <f t="shared" si="3"/>
        <v>0</v>
      </c>
      <c r="BK31" s="229">
        <f t="shared" si="3"/>
        <v>0</v>
      </c>
      <c r="BL31" s="229">
        <f t="shared" si="3"/>
        <v>0</v>
      </c>
      <c r="BM31" s="229">
        <f t="shared" si="3"/>
        <v>0</v>
      </c>
      <c r="BN31" s="229">
        <f t="shared" si="3"/>
        <v>0</v>
      </c>
      <c r="BO31" s="229">
        <f t="shared" si="3"/>
        <v>0</v>
      </c>
      <c r="BP31" s="229">
        <f t="shared" si="3"/>
        <v>0</v>
      </c>
      <c r="BQ31" s="229">
        <f t="shared" si="3"/>
        <v>0</v>
      </c>
      <c r="BR31" s="229">
        <f t="shared" si="3"/>
        <v>0</v>
      </c>
      <c r="BS31" s="229">
        <f t="shared" si="3"/>
        <v>0</v>
      </c>
      <c r="BT31" s="229">
        <f t="shared" si="3"/>
        <v>0</v>
      </c>
      <c r="BU31" s="229">
        <f t="shared" si="3"/>
        <v>0</v>
      </c>
      <c r="BV31" s="229">
        <f t="shared" si="3"/>
        <v>0</v>
      </c>
      <c r="BW31" s="229">
        <f t="shared" si="3"/>
        <v>0</v>
      </c>
      <c r="BX31" s="229">
        <f t="shared" si="3"/>
        <v>0</v>
      </c>
      <c r="BY31" s="229">
        <f t="shared" si="3"/>
        <v>0</v>
      </c>
      <c r="BZ31" s="229">
        <f t="shared" si="3"/>
        <v>0</v>
      </c>
      <c r="CA31" s="229">
        <f t="shared" si="3"/>
        <v>0</v>
      </c>
      <c r="CB31" s="229">
        <f t="shared" si="3"/>
        <v>0</v>
      </c>
      <c r="CC31" s="229">
        <f t="shared" si="3"/>
        <v>0</v>
      </c>
      <c r="CD31" s="229">
        <f t="shared" si="3"/>
        <v>0</v>
      </c>
      <c r="CE31" s="229">
        <f t="shared" si="3"/>
        <v>0</v>
      </c>
      <c r="CF31" s="229">
        <f t="shared" si="3"/>
        <v>0</v>
      </c>
      <c r="CG31" s="229">
        <f t="shared" si="3"/>
        <v>0</v>
      </c>
      <c r="CH31" s="229">
        <f t="shared" si="3"/>
        <v>0</v>
      </c>
      <c r="CI31" s="229">
        <f t="shared" si="3"/>
        <v>0</v>
      </c>
      <c r="CJ31" s="229">
        <f t="shared" si="3"/>
        <v>0</v>
      </c>
      <c r="CK31" s="229">
        <f t="shared" si="3"/>
        <v>0</v>
      </c>
      <c r="CL31" s="229">
        <f t="shared" ref="CL31:DQ31" si="4">SUM(CL7:CL30)</f>
        <v>0</v>
      </c>
      <c r="CM31" s="229">
        <f t="shared" si="4"/>
        <v>0</v>
      </c>
      <c r="CN31" s="229">
        <f t="shared" si="4"/>
        <v>0</v>
      </c>
      <c r="CO31" s="229">
        <f t="shared" si="4"/>
        <v>0</v>
      </c>
      <c r="CP31" s="229">
        <f t="shared" si="4"/>
        <v>0</v>
      </c>
      <c r="CQ31" s="229">
        <f t="shared" si="4"/>
        <v>0</v>
      </c>
      <c r="CR31" s="229">
        <f t="shared" si="4"/>
        <v>0</v>
      </c>
      <c r="CS31" s="229">
        <f t="shared" si="4"/>
        <v>0</v>
      </c>
      <c r="CT31" s="229">
        <f t="shared" si="4"/>
        <v>0</v>
      </c>
      <c r="CU31" s="229">
        <f t="shared" si="4"/>
        <v>0</v>
      </c>
      <c r="CV31" s="229">
        <f t="shared" si="4"/>
        <v>0</v>
      </c>
      <c r="CW31" s="229">
        <f t="shared" si="4"/>
        <v>0</v>
      </c>
      <c r="CX31" s="229">
        <f t="shared" si="4"/>
        <v>0</v>
      </c>
      <c r="CY31" s="229">
        <f t="shared" si="4"/>
        <v>0</v>
      </c>
      <c r="CZ31" s="229">
        <f t="shared" si="4"/>
        <v>0</v>
      </c>
      <c r="DA31" s="229">
        <f t="shared" si="4"/>
        <v>0</v>
      </c>
      <c r="DB31" s="229">
        <f t="shared" si="4"/>
        <v>0</v>
      </c>
      <c r="DC31" s="229">
        <f t="shared" si="4"/>
        <v>0</v>
      </c>
      <c r="DD31" s="229">
        <f t="shared" si="4"/>
        <v>0</v>
      </c>
      <c r="DE31" s="229">
        <f t="shared" si="4"/>
        <v>0</v>
      </c>
      <c r="DF31" s="229">
        <f t="shared" si="4"/>
        <v>0</v>
      </c>
      <c r="DG31" s="229">
        <f t="shared" si="4"/>
        <v>0</v>
      </c>
      <c r="DH31" s="229">
        <f t="shared" si="4"/>
        <v>0</v>
      </c>
      <c r="DI31" s="229">
        <f t="shared" si="4"/>
        <v>0</v>
      </c>
      <c r="DJ31" s="229">
        <f t="shared" si="4"/>
        <v>0</v>
      </c>
      <c r="DK31" s="229">
        <f t="shared" si="4"/>
        <v>0</v>
      </c>
      <c r="DL31" s="229">
        <f t="shared" si="4"/>
        <v>0</v>
      </c>
      <c r="DM31" s="229">
        <f t="shared" si="4"/>
        <v>0</v>
      </c>
      <c r="DN31" s="229">
        <f t="shared" si="4"/>
        <v>0</v>
      </c>
      <c r="DO31" s="229">
        <f t="shared" si="4"/>
        <v>0</v>
      </c>
      <c r="DP31" s="229">
        <f t="shared" si="4"/>
        <v>0</v>
      </c>
      <c r="DQ31" s="229">
        <f t="shared" si="4"/>
        <v>0</v>
      </c>
      <c r="DR31" s="229">
        <f t="shared" ref="DR31:EN31" si="5">SUM(DR7:DR30)</f>
        <v>0</v>
      </c>
      <c r="DS31" s="229">
        <f t="shared" si="5"/>
        <v>0</v>
      </c>
      <c r="DT31" s="229">
        <f t="shared" si="5"/>
        <v>0</v>
      </c>
      <c r="DU31" s="229">
        <f t="shared" si="5"/>
        <v>0</v>
      </c>
      <c r="DV31" s="229">
        <f t="shared" si="5"/>
        <v>0</v>
      </c>
      <c r="DW31" s="229">
        <f t="shared" si="5"/>
        <v>0</v>
      </c>
      <c r="DX31" s="229">
        <f t="shared" si="5"/>
        <v>0</v>
      </c>
      <c r="DY31" s="229">
        <f t="shared" si="5"/>
        <v>0</v>
      </c>
      <c r="DZ31" s="229">
        <f t="shared" si="5"/>
        <v>0</v>
      </c>
      <c r="EA31" s="229">
        <f t="shared" si="5"/>
        <v>0</v>
      </c>
      <c r="EB31" s="229">
        <f t="shared" si="5"/>
        <v>0</v>
      </c>
      <c r="EC31" s="229">
        <f t="shared" si="5"/>
        <v>0</v>
      </c>
      <c r="ED31" s="229">
        <f t="shared" si="5"/>
        <v>0</v>
      </c>
      <c r="EE31" s="229">
        <f t="shared" si="5"/>
        <v>0</v>
      </c>
      <c r="EF31" s="229">
        <f t="shared" si="5"/>
        <v>0</v>
      </c>
      <c r="EG31" s="229">
        <f t="shared" si="5"/>
        <v>0</v>
      </c>
      <c r="EH31" s="229">
        <f t="shared" si="5"/>
        <v>0</v>
      </c>
      <c r="EI31" s="229">
        <f t="shared" si="5"/>
        <v>0</v>
      </c>
      <c r="EJ31" s="229">
        <f t="shared" si="5"/>
        <v>0</v>
      </c>
      <c r="EK31" s="229">
        <f t="shared" si="5"/>
        <v>0</v>
      </c>
      <c r="EL31" s="229">
        <f t="shared" si="5"/>
        <v>0</v>
      </c>
      <c r="EM31" s="229">
        <f t="shared" si="5"/>
        <v>0</v>
      </c>
      <c r="EN31" s="229">
        <f t="shared" si="5"/>
        <v>0</v>
      </c>
      <c r="EO31" s="229"/>
      <c r="EP31" s="229"/>
      <c r="EQ31" s="229"/>
      <c r="ER31" s="229"/>
      <c r="ES31" s="229"/>
      <c r="ET31" s="229"/>
      <c r="EU31" s="229"/>
      <c r="EV31" s="229"/>
      <c r="EW31" s="229"/>
      <c r="EX31" s="229"/>
      <c r="EY31" s="229"/>
      <c r="EZ31" s="229"/>
      <c r="FA31" s="229"/>
      <c r="FB31" s="229"/>
      <c r="FC31" s="229"/>
      <c r="FD31" s="229"/>
      <c r="FE31" s="229"/>
      <c r="FF31" s="229"/>
      <c r="FG31" s="229"/>
      <c r="FH31" s="229"/>
      <c r="FI31" s="229"/>
      <c r="FJ31" s="229"/>
      <c r="FK31" s="229"/>
      <c r="FL31" s="229"/>
      <c r="FM31" s="229"/>
      <c r="FN31" s="229"/>
      <c r="FO31" s="229"/>
      <c r="FP31" s="229"/>
      <c r="FQ31" s="229"/>
      <c r="FR31" s="229"/>
      <c r="FS31" s="229"/>
      <c r="FT31" s="229"/>
      <c r="FU31" s="229"/>
      <c r="FV31" s="229"/>
      <c r="FW31" s="229"/>
      <c r="FX31" s="229"/>
      <c r="FY31" s="229"/>
      <c r="FZ31" s="229"/>
      <c r="GA31" s="229"/>
      <c r="GB31" s="229"/>
      <c r="GC31" s="229"/>
      <c r="GD31" s="229"/>
      <c r="GE31" s="229"/>
      <c r="GF31" s="229"/>
      <c r="GG31" s="229"/>
      <c r="GH31" s="229"/>
      <c r="GI31" s="229"/>
      <c r="GJ31" s="229"/>
      <c r="GK31" s="229"/>
      <c r="GL31" s="229"/>
      <c r="GM31" s="229"/>
      <c r="GN31" s="229"/>
      <c r="GO31" s="229"/>
      <c r="GP31" s="229"/>
      <c r="GQ31" s="229"/>
      <c r="GR31" s="229"/>
      <c r="GS31" s="229"/>
      <c r="GT31" s="229"/>
      <c r="GU31" s="229"/>
      <c r="GV31" s="229"/>
      <c r="GW31" s="229"/>
      <c r="GX31" s="229"/>
      <c r="GY31" s="229"/>
      <c r="GZ31" s="229"/>
      <c r="HA31" s="229"/>
      <c r="HB31" s="229"/>
      <c r="HC31" s="229"/>
      <c r="HD31" s="229"/>
      <c r="HE31" s="229"/>
      <c r="HF31" s="229"/>
      <c r="HG31" s="229"/>
      <c r="HH31" s="229"/>
      <c r="HI31" s="229"/>
      <c r="HJ31" s="229"/>
      <c r="HK31" s="229"/>
      <c r="HL31" s="229"/>
      <c r="HM31" s="229"/>
      <c r="HN31" s="229"/>
      <c r="HO31" s="229"/>
      <c r="HP31" s="229"/>
      <c r="HQ31" s="229"/>
      <c r="HR31" s="229"/>
      <c r="HS31" s="229"/>
      <c r="HT31" s="229"/>
      <c r="HU31" s="229"/>
      <c r="HV31" s="229"/>
      <c r="HW31" s="229"/>
      <c r="HX31" s="229"/>
      <c r="HY31" s="229"/>
      <c r="HZ31" s="229"/>
      <c r="IA31" s="229"/>
      <c r="IB31" s="229"/>
      <c r="IC31" s="229"/>
      <c r="ID31" s="229"/>
      <c r="IE31" s="229"/>
      <c r="IF31" s="229"/>
      <c r="IG31" s="229"/>
      <c r="IH31" s="229"/>
      <c r="II31" s="229"/>
      <c r="IJ31" s="229"/>
      <c r="IK31" s="229"/>
      <c r="IL31" s="229"/>
      <c r="IM31" s="229"/>
      <c r="IN31" s="229"/>
      <c r="IO31" s="229"/>
      <c r="IP31" s="229"/>
      <c r="IQ31" s="229"/>
      <c r="IR31" s="229"/>
      <c r="IS31" s="229"/>
      <c r="IT31" s="229"/>
      <c r="IU31" s="229"/>
      <c r="IV31" s="229"/>
      <c r="IW31" s="229"/>
      <c r="IX31" s="229"/>
      <c r="IY31" s="229"/>
      <c r="IZ31" s="229"/>
      <c r="JA31" s="229"/>
      <c r="JB31" s="229"/>
      <c r="JC31" s="229"/>
      <c r="JD31" s="229"/>
      <c r="JE31" s="229"/>
      <c r="JF31" s="229"/>
      <c r="JG31" s="229"/>
      <c r="JH31" s="229"/>
      <c r="JI31" s="229"/>
      <c r="JJ31" s="229"/>
      <c r="JK31" s="229"/>
      <c r="JL31" s="229"/>
      <c r="JM31" s="229"/>
      <c r="JN31" s="229"/>
      <c r="JO31" s="229"/>
      <c r="JP31" s="229"/>
    </row>
    <row r="32" spans="1:276"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29:AI30 E24:AI24 F25:AI28 C22:AI23 C7:F9 C10:D14 C15:E17 C18:D21 H7:AI9 G10:AI21">
    <cfRule type="expression" dxfId="668" priority="1184">
      <formula xml:space="preserve"> INDIRECT(CHAR(COLUMN()+96) &amp; 4) = TODAY() * NOT(ISBLANK(INDIRECT(CHAR(COLUMN()+96) &amp; ROW())))</formula>
    </cfRule>
    <cfRule type="expression" dxfId="667" priority="1187">
      <formula xml:space="preserve"> INDIRECT(CHAR(COLUMN()+96) &amp; 4) = TODAY() * ISBLANK(INDIRECT(CHAR(COLUMN()+96) &amp; ROW()))</formula>
    </cfRule>
  </conditionalFormatting>
  <conditionalFormatting sqref="A4:XFD6">
    <cfRule type="timePeriod" dxfId="666" priority="1190" timePeriod="today">
      <formula>FLOOR(A4,1)=TODAY()</formula>
    </cfRule>
    <cfRule type="timePeriod" dxfId="665" priority="1191" timePeriod="tomorrow">
      <formula>FLOOR(A4,1)=TODAY()+1</formula>
    </cfRule>
    <cfRule type="timePeriod" dxfId="664" priority="1192" timePeriod="yesterday">
      <formula>FLOOR(A4,1)=TODAY()-1</formula>
    </cfRule>
  </conditionalFormatting>
  <conditionalFormatting sqref="A7:B28 A29:JP30 E24:JP24 F25:JP28 C22:JP23 C7:F9 C10:D14 C15:E17 C18:D21 H7:JP9 G10:JP21">
    <cfRule type="expression" dxfId="663" priority="1163">
      <formula>INDIRECT("A"&amp;3) = INDIRECT("A"&amp;ROW())</formula>
    </cfRule>
  </conditionalFormatting>
  <conditionalFormatting sqref="A2:A3 A1:XFD1 B2:XFD2">
    <cfRule type="expression" dxfId="662" priority="1164">
      <formula xml:space="preserve"> INDIRECT(CHAR(COLUMN()+96) &amp; 4) = TODAY() * ISBLANK(INDIRECT(CHAR(COLUMN()+96) &amp; ROW()))</formula>
    </cfRule>
  </conditionalFormatting>
  <conditionalFormatting sqref="C29:JO30 E24:JO24 F25:JO28 A31:XFD31 C22:JO23 C7:F9 C10:D14 C15:E17 C18:D21 H7:JO9 G10:JO21">
    <cfRule type="colorScale" priority="1175">
      <colorScale>
        <cfvo type="num" val="0"/>
        <cfvo type="num" val="0.5"/>
        <cfvo type="num" val="1"/>
        <color rgb="FFF8696B"/>
        <color rgb="FFFFEB84"/>
        <color rgb="FF63BE7B"/>
      </colorScale>
    </cfRule>
  </conditionalFormatting>
  <conditionalFormatting sqref="C27:C28">
    <cfRule type="expression" dxfId="661" priority="63">
      <formula xml:space="preserve"> INDIRECT(CHAR(COLUMN()+96) &amp; 4) = TODAY() * NOT(ISBLANK(INDIRECT(CHAR(COLUMN()+96) &amp; ROW())))</formula>
    </cfRule>
    <cfRule type="expression" dxfId="660" priority="64">
      <formula xml:space="preserve"> INDIRECT(CHAR(COLUMN()+96) &amp; 4) = TODAY() * ISBLANK(INDIRECT(CHAR(COLUMN()+96) &amp; ROW()))</formula>
    </cfRule>
  </conditionalFormatting>
  <conditionalFormatting sqref="C27:C28">
    <cfRule type="expression" dxfId="659" priority="61">
      <formula>INDIRECT("A"&amp;3) = INDIRECT("A"&amp;ROW())</formula>
    </cfRule>
  </conditionalFormatting>
  <conditionalFormatting sqref="C27:C28">
    <cfRule type="colorScale" priority="62">
      <colorScale>
        <cfvo type="num" val="0"/>
        <cfvo type="num" val="0.5"/>
        <cfvo type="num" val="1"/>
        <color rgb="FFF8696B"/>
        <color rgb="FFFFEB84"/>
        <color rgb="FF63BE7B"/>
      </colorScale>
    </cfRule>
  </conditionalFormatting>
  <conditionalFormatting sqref="C26">
    <cfRule type="expression" dxfId="658" priority="55">
      <formula xml:space="preserve"> INDIRECT(CHAR(COLUMN()+96) &amp; 4) = TODAY() * NOT(ISBLANK(INDIRECT(CHAR(COLUMN()+96) &amp; ROW())))</formula>
    </cfRule>
    <cfRule type="expression" dxfId="657" priority="56">
      <formula xml:space="preserve"> INDIRECT(CHAR(COLUMN()+96) &amp; 4) = TODAY() * ISBLANK(INDIRECT(CHAR(COLUMN()+96) &amp; ROW()))</formula>
    </cfRule>
  </conditionalFormatting>
  <conditionalFormatting sqref="C26">
    <cfRule type="expression" dxfId="656" priority="53">
      <formula>INDIRECT("A"&amp;3) = INDIRECT("A"&amp;ROW())</formula>
    </cfRule>
  </conditionalFormatting>
  <conditionalFormatting sqref="C26">
    <cfRule type="colorScale" priority="54">
      <colorScale>
        <cfvo type="num" val="0"/>
        <cfvo type="num" val="0.5"/>
        <cfvo type="num" val="1"/>
        <color rgb="FFF8696B"/>
        <color rgb="FFFFEB84"/>
        <color rgb="FF63BE7B"/>
      </colorScale>
    </cfRule>
  </conditionalFormatting>
  <conditionalFormatting sqref="C24">
    <cfRule type="expression" dxfId="655" priority="51">
      <formula xml:space="preserve"> INDIRECT(CHAR(COLUMN()+96) &amp; 4) = TODAY() * NOT(ISBLANK(INDIRECT(CHAR(COLUMN()+96) &amp; ROW())))</formula>
    </cfRule>
    <cfRule type="expression" dxfId="654" priority="52">
      <formula xml:space="preserve"> INDIRECT(CHAR(COLUMN()+96) &amp; 4) = TODAY() * ISBLANK(INDIRECT(CHAR(COLUMN()+96) &amp; ROW()))</formula>
    </cfRule>
  </conditionalFormatting>
  <conditionalFormatting sqref="C24">
    <cfRule type="expression" dxfId="653" priority="49">
      <formula>INDIRECT("A"&amp;3) = INDIRECT("A"&amp;ROW())</formula>
    </cfRule>
  </conditionalFormatting>
  <conditionalFormatting sqref="C24">
    <cfRule type="colorScale" priority="50">
      <colorScale>
        <cfvo type="num" val="0"/>
        <cfvo type="num" val="0.5"/>
        <cfvo type="num" val="1"/>
        <color rgb="FFF8696B"/>
        <color rgb="FFFFEB84"/>
        <color rgb="FF63BE7B"/>
      </colorScale>
    </cfRule>
  </conditionalFormatting>
  <conditionalFormatting sqref="C25">
    <cfRule type="expression" dxfId="652" priority="35">
      <formula xml:space="preserve"> INDIRECT(CHAR(COLUMN()+96) &amp; 4) = TODAY() * NOT(ISBLANK(INDIRECT(CHAR(COLUMN()+96) &amp; ROW())))</formula>
    </cfRule>
    <cfRule type="expression" dxfId="651" priority="36">
      <formula xml:space="preserve"> INDIRECT(CHAR(COLUMN()+96) &amp; 4) = TODAY() * ISBLANK(INDIRECT(CHAR(COLUMN()+96) &amp; ROW()))</formula>
    </cfRule>
  </conditionalFormatting>
  <conditionalFormatting sqref="C25">
    <cfRule type="expression" dxfId="650" priority="33">
      <formula>INDIRECT("A"&amp;3) = INDIRECT("A"&amp;ROW())</formula>
    </cfRule>
  </conditionalFormatting>
  <conditionalFormatting sqref="C25">
    <cfRule type="colorScale" priority="34">
      <colorScale>
        <cfvo type="num" val="0"/>
        <cfvo type="num" val="0.5"/>
        <cfvo type="num" val="1"/>
        <color rgb="FFF8696B"/>
        <color rgb="FFFFEB84"/>
        <color rgb="FF63BE7B"/>
      </colorScale>
    </cfRule>
  </conditionalFormatting>
  <conditionalFormatting sqref="D25:E25">
    <cfRule type="expression" dxfId="649" priority="31">
      <formula xml:space="preserve"> INDIRECT(CHAR(COLUMN()+96) &amp; 4) = TODAY() * NOT(ISBLANK(INDIRECT(CHAR(COLUMN()+96) &amp; ROW())))</formula>
    </cfRule>
    <cfRule type="expression" dxfId="648" priority="32">
      <formula xml:space="preserve"> INDIRECT(CHAR(COLUMN()+96) &amp; 4) = TODAY() * ISBLANK(INDIRECT(CHAR(COLUMN()+96) &amp; ROW()))</formula>
    </cfRule>
  </conditionalFormatting>
  <conditionalFormatting sqref="D25:E25">
    <cfRule type="expression" dxfId="647" priority="29">
      <formula>INDIRECT("A"&amp;3) = INDIRECT("A"&amp;ROW())</formula>
    </cfRule>
  </conditionalFormatting>
  <conditionalFormatting sqref="D25:E25">
    <cfRule type="colorScale" priority="30">
      <colorScale>
        <cfvo type="num" val="0"/>
        <cfvo type="num" val="0.5"/>
        <cfvo type="num" val="1"/>
        <color rgb="FFF8696B"/>
        <color rgb="FFFFEB84"/>
        <color rgb="FF63BE7B"/>
      </colorScale>
    </cfRule>
  </conditionalFormatting>
  <conditionalFormatting sqref="D26:E28">
    <cfRule type="expression" dxfId="646" priority="27">
      <formula xml:space="preserve"> INDIRECT(CHAR(COLUMN()+96) &amp; 4) = TODAY() * NOT(ISBLANK(INDIRECT(CHAR(COLUMN()+96) &amp; ROW())))</formula>
    </cfRule>
    <cfRule type="expression" dxfId="645" priority="28">
      <formula xml:space="preserve"> INDIRECT(CHAR(COLUMN()+96) &amp; 4) = TODAY() * ISBLANK(INDIRECT(CHAR(COLUMN()+96) &amp; ROW()))</formula>
    </cfRule>
  </conditionalFormatting>
  <conditionalFormatting sqref="D26:E28">
    <cfRule type="expression" dxfId="644" priority="25">
      <formula>INDIRECT("A"&amp;3) = INDIRECT("A"&amp;ROW())</formula>
    </cfRule>
  </conditionalFormatting>
  <conditionalFormatting sqref="D26:E28">
    <cfRule type="colorScale" priority="26">
      <colorScale>
        <cfvo type="num" val="0"/>
        <cfvo type="num" val="0.5"/>
        <cfvo type="num" val="1"/>
        <color rgb="FFF8696B"/>
        <color rgb="FFFFEB84"/>
        <color rgb="FF63BE7B"/>
      </colorScale>
    </cfRule>
  </conditionalFormatting>
  <conditionalFormatting sqref="E10:E14">
    <cfRule type="expression" dxfId="643" priority="23">
      <formula xml:space="preserve"> INDIRECT(CHAR(COLUMN()+96) &amp; 4) = TODAY() * NOT(ISBLANK(INDIRECT(CHAR(COLUMN()+96) &amp; ROW())))</formula>
    </cfRule>
    <cfRule type="expression" dxfId="642" priority="24">
      <formula xml:space="preserve"> INDIRECT(CHAR(COLUMN()+96) &amp; 4) = TODAY() * ISBLANK(INDIRECT(CHAR(COLUMN()+96) &amp; ROW()))</formula>
    </cfRule>
  </conditionalFormatting>
  <conditionalFormatting sqref="E10:E14">
    <cfRule type="expression" dxfId="641" priority="21">
      <formula>INDIRECT("A"&amp;3) = INDIRECT("A"&amp;ROW())</formula>
    </cfRule>
  </conditionalFormatting>
  <conditionalFormatting sqref="E10:E14">
    <cfRule type="colorScale" priority="22">
      <colorScale>
        <cfvo type="num" val="0"/>
        <cfvo type="num" val="0.5"/>
        <cfvo type="num" val="1"/>
        <color rgb="FFF8696B"/>
        <color rgb="FFFFEB84"/>
        <color rgb="FF63BE7B"/>
      </colorScale>
    </cfRule>
  </conditionalFormatting>
  <conditionalFormatting sqref="E18:E21">
    <cfRule type="expression" dxfId="640" priority="19">
      <formula xml:space="preserve"> INDIRECT(CHAR(COLUMN()+96) &amp; 4) = TODAY() * NOT(ISBLANK(INDIRECT(CHAR(COLUMN()+96) &amp; ROW())))</formula>
    </cfRule>
    <cfRule type="expression" dxfId="639" priority="20">
      <formula xml:space="preserve"> INDIRECT(CHAR(COLUMN()+96) &amp; 4) = TODAY() * ISBLANK(INDIRECT(CHAR(COLUMN()+96) &amp; ROW()))</formula>
    </cfRule>
  </conditionalFormatting>
  <conditionalFormatting sqref="E18:E21">
    <cfRule type="expression" dxfId="638" priority="17">
      <formula>INDIRECT("A"&amp;3) = INDIRECT("A"&amp;ROW())</formula>
    </cfRule>
  </conditionalFormatting>
  <conditionalFormatting sqref="E18:E21">
    <cfRule type="colorScale" priority="18">
      <colorScale>
        <cfvo type="num" val="0"/>
        <cfvo type="num" val="0.5"/>
        <cfvo type="num" val="1"/>
        <color rgb="FFF8696B"/>
        <color rgb="FFFFEB84"/>
        <color rgb="FF63BE7B"/>
      </colorScale>
    </cfRule>
  </conditionalFormatting>
  <conditionalFormatting sqref="F15:F17">
    <cfRule type="expression" dxfId="637" priority="15">
      <formula xml:space="preserve"> INDIRECT(CHAR(COLUMN()+96) &amp; 4) = TODAY() * NOT(ISBLANK(INDIRECT(CHAR(COLUMN()+96) &amp; ROW())))</formula>
    </cfRule>
    <cfRule type="expression" dxfId="636" priority="16">
      <formula xml:space="preserve"> INDIRECT(CHAR(COLUMN()+96) &amp; 4) = TODAY() * ISBLANK(INDIRECT(CHAR(COLUMN()+96) &amp; ROW()))</formula>
    </cfRule>
  </conditionalFormatting>
  <conditionalFormatting sqref="F15:F17">
    <cfRule type="expression" dxfId="635" priority="13">
      <formula>INDIRECT("A"&amp;3) = INDIRECT("A"&amp;ROW())</formula>
    </cfRule>
  </conditionalFormatting>
  <conditionalFormatting sqref="F15:F17">
    <cfRule type="colorScale" priority="14">
      <colorScale>
        <cfvo type="num" val="0"/>
        <cfvo type="num" val="0.5"/>
        <cfvo type="num" val="1"/>
        <color rgb="FFF8696B"/>
        <color rgb="FFFFEB84"/>
        <color rgb="FF63BE7B"/>
      </colorScale>
    </cfRule>
  </conditionalFormatting>
  <conditionalFormatting sqref="F10:F14">
    <cfRule type="expression" dxfId="634" priority="11">
      <formula xml:space="preserve"> INDIRECT(CHAR(COLUMN()+96) &amp; 4) = TODAY() * NOT(ISBLANK(INDIRECT(CHAR(COLUMN()+96) &amp; ROW())))</formula>
    </cfRule>
    <cfRule type="expression" dxfId="633" priority="12">
      <formula xml:space="preserve"> INDIRECT(CHAR(COLUMN()+96) &amp; 4) = TODAY() * ISBLANK(INDIRECT(CHAR(COLUMN()+96) &amp; ROW()))</formula>
    </cfRule>
  </conditionalFormatting>
  <conditionalFormatting sqref="F10:F14">
    <cfRule type="expression" dxfId="632" priority="9">
      <formula>INDIRECT("A"&amp;3) = INDIRECT("A"&amp;ROW())</formula>
    </cfRule>
  </conditionalFormatting>
  <conditionalFormatting sqref="F10:F14">
    <cfRule type="colorScale" priority="10">
      <colorScale>
        <cfvo type="num" val="0"/>
        <cfvo type="num" val="0.5"/>
        <cfvo type="num" val="1"/>
        <color rgb="FFF8696B"/>
        <color rgb="FFFFEB84"/>
        <color rgb="FF63BE7B"/>
      </colorScale>
    </cfRule>
  </conditionalFormatting>
  <conditionalFormatting sqref="F18:F21">
    <cfRule type="expression" dxfId="631" priority="7">
      <formula xml:space="preserve"> INDIRECT(CHAR(COLUMN()+96) &amp; 4) = TODAY() * NOT(ISBLANK(INDIRECT(CHAR(COLUMN()+96) &amp; ROW())))</formula>
    </cfRule>
    <cfRule type="expression" dxfId="630" priority="8">
      <formula xml:space="preserve"> INDIRECT(CHAR(COLUMN()+96) &amp; 4) = TODAY() * ISBLANK(INDIRECT(CHAR(COLUMN()+96) &amp; ROW()))</formula>
    </cfRule>
  </conditionalFormatting>
  <conditionalFormatting sqref="F18:F21">
    <cfRule type="expression" dxfId="629" priority="5">
      <formula>INDIRECT("A"&amp;3) = INDIRECT("A"&amp;ROW())</formula>
    </cfRule>
  </conditionalFormatting>
  <conditionalFormatting sqref="F18:F21">
    <cfRule type="colorScale" priority="6">
      <colorScale>
        <cfvo type="num" val="0"/>
        <cfvo type="num" val="0.5"/>
        <cfvo type="num" val="1"/>
        <color rgb="FFF8696B"/>
        <color rgb="FFFFEB84"/>
        <color rgb="FF63BE7B"/>
      </colorScale>
    </cfRule>
  </conditionalFormatting>
  <conditionalFormatting sqref="G7:G9">
    <cfRule type="expression" dxfId="628" priority="3">
      <formula xml:space="preserve"> INDIRECT(CHAR(COLUMN()+96) &amp; 4) = TODAY() * NOT(ISBLANK(INDIRECT(CHAR(COLUMN()+96) &amp; ROW())))</formula>
    </cfRule>
    <cfRule type="expression" dxfId="627" priority="4">
      <formula xml:space="preserve"> INDIRECT(CHAR(COLUMN()+96) &amp; 4) = TODAY() * ISBLANK(INDIRECT(CHAR(COLUMN()+96) &amp; ROW()))</formula>
    </cfRule>
  </conditionalFormatting>
  <conditionalFormatting sqref="G7:G9">
    <cfRule type="expression" dxfId="626" priority="1">
      <formula>INDIRECT("A"&amp;3) = INDIRECT("A"&amp;ROW())</formula>
    </cfRule>
  </conditionalFormatting>
  <conditionalFormatting sqref="G7:G9">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C103" zoomScaleNormal="100" workbookViewId="0">
      <selection activeCell="E110" sqref="E110"/>
    </sheetView>
  </sheetViews>
  <sheetFormatPr defaultColWidth="9.140625" defaultRowHeight="15" x14ac:dyDescent="0.25"/>
  <cols>
    <col min="1" max="1" width="9.140625" style="42"/>
    <col min="2" max="2" width="28.85546875" style="51" customWidth="1"/>
    <col min="3" max="3" width="45" style="59" customWidth="1"/>
    <col min="4" max="4" width="77.5703125" style="59" customWidth="1"/>
    <col min="5" max="5" width="84.28515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B9" s="81">
        <v>43128</v>
      </c>
      <c r="C9" s="91" t="s">
        <v>16</v>
      </c>
      <c r="D9" s="87" t="s">
        <v>17</v>
      </c>
      <c r="E9" s="87" t="s">
        <v>18</v>
      </c>
      <c r="F9" s="92">
        <v>12.8</v>
      </c>
      <c r="G9" s="93"/>
      <c r="H9" s="93"/>
      <c r="I9" s="93"/>
      <c r="J9" s="94"/>
    </row>
    <row r="10" spans="1:10" ht="206.25" customHeight="1" x14ac:dyDescent="0.25">
      <c r="B10" s="81">
        <v>43129</v>
      </c>
      <c r="C10" s="91" t="s">
        <v>19</v>
      </c>
      <c r="D10" s="87" t="s">
        <v>23</v>
      </c>
      <c r="E10" s="87" t="s">
        <v>20</v>
      </c>
      <c r="F10" s="92">
        <v>7.6</v>
      </c>
      <c r="G10" s="93"/>
      <c r="H10" s="93"/>
      <c r="I10" s="93"/>
      <c r="J10" s="94"/>
    </row>
    <row r="11" spans="1:10" ht="156.19999999999999" customHeight="1" x14ac:dyDescent="0.25">
      <c r="B11" s="81">
        <v>43130</v>
      </c>
      <c r="C11" s="91" t="s">
        <v>24</v>
      </c>
      <c r="D11" s="87" t="s">
        <v>27</v>
      </c>
      <c r="E11" s="87"/>
      <c r="F11" s="92">
        <v>8</v>
      </c>
      <c r="G11" s="93"/>
      <c r="H11" s="93"/>
      <c r="I11" s="93"/>
      <c r="J11" s="94"/>
    </row>
    <row r="12" spans="1:10" ht="48" x14ac:dyDescent="0.25">
      <c r="B12" s="81">
        <v>43131</v>
      </c>
      <c r="C12" s="91"/>
      <c r="D12" s="87" t="s">
        <v>25</v>
      </c>
      <c r="E12" s="87" t="s">
        <v>26</v>
      </c>
      <c r="F12" s="92">
        <v>14.5</v>
      </c>
      <c r="G12" s="93"/>
      <c r="H12" s="93"/>
      <c r="I12" s="93"/>
      <c r="J12" s="94"/>
    </row>
    <row r="13" spans="1:10" ht="323.25" customHeight="1" x14ac:dyDescent="0.25">
      <c r="B13" s="81">
        <v>43132</v>
      </c>
      <c r="C13" s="91" t="s">
        <v>28</v>
      </c>
      <c r="D13" s="87" t="s">
        <v>30</v>
      </c>
      <c r="E13" s="87" t="s">
        <v>29</v>
      </c>
      <c r="F13" s="92">
        <v>15</v>
      </c>
      <c r="G13" s="93"/>
      <c r="H13" s="93"/>
      <c r="I13" s="93"/>
      <c r="J13" s="94"/>
    </row>
    <row r="14" spans="1:10" ht="36" x14ac:dyDescent="0.25">
      <c r="B14" s="81">
        <v>43133</v>
      </c>
      <c r="C14" s="91" t="s">
        <v>31</v>
      </c>
      <c r="D14" s="87" t="s">
        <v>32</v>
      </c>
      <c r="E14" s="87"/>
      <c r="F14" s="92">
        <v>14.6</v>
      </c>
      <c r="G14" s="93"/>
      <c r="H14" s="93"/>
      <c r="I14" s="93"/>
      <c r="J14" s="94"/>
    </row>
    <row r="15" spans="1:10" ht="72" x14ac:dyDescent="0.25">
      <c r="B15" s="81">
        <v>43134</v>
      </c>
      <c r="C15" s="95" t="s">
        <v>34</v>
      </c>
      <c r="D15" s="87" t="s">
        <v>33</v>
      </c>
      <c r="E15" s="87" t="s">
        <v>36</v>
      </c>
      <c r="F15" s="92">
        <v>11</v>
      </c>
      <c r="G15" s="93"/>
      <c r="H15" s="93"/>
      <c r="I15" s="93"/>
      <c r="J15" s="94"/>
    </row>
    <row r="16" spans="1:10" ht="60" x14ac:dyDescent="0.25">
      <c r="B16" s="81">
        <v>43135</v>
      </c>
      <c r="C16" s="91" t="s">
        <v>35</v>
      </c>
      <c r="D16" s="87" t="s">
        <v>37</v>
      </c>
      <c r="E16" s="87" t="s">
        <v>38</v>
      </c>
      <c r="F16" s="92">
        <v>18.25</v>
      </c>
      <c r="G16" s="93"/>
      <c r="H16" s="93"/>
      <c r="I16" s="93"/>
      <c r="J16" s="94"/>
    </row>
    <row r="17" spans="1:10" ht="36" x14ac:dyDescent="0.25">
      <c r="B17" s="81">
        <v>43136</v>
      </c>
      <c r="C17" s="91" t="s">
        <v>40</v>
      </c>
      <c r="D17" s="87" t="s">
        <v>39</v>
      </c>
      <c r="E17" s="87" t="s">
        <v>42</v>
      </c>
      <c r="F17" s="92">
        <v>18.25</v>
      </c>
      <c r="G17" s="93"/>
      <c r="H17" s="93"/>
      <c r="I17" s="93"/>
      <c r="J17" s="94"/>
    </row>
    <row r="18" spans="1:10" ht="60" x14ac:dyDescent="0.25">
      <c r="B18" s="81">
        <v>43137</v>
      </c>
      <c r="C18" s="91" t="s">
        <v>43</v>
      </c>
      <c r="D18" s="87" t="s">
        <v>44</v>
      </c>
      <c r="E18" s="87" t="s">
        <v>45</v>
      </c>
      <c r="F18" s="92">
        <v>16</v>
      </c>
      <c r="G18" s="93"/>
      <c r="H18" s="93"/>
      <c r="I18" s="93"/>
      <c r="J18" s="94"/>
    </row>
    <row r="19" spans="1:10" ht="48" x14ac:dyDescent="0.25">
      <c r="B19" s="81">
        <v>43138</v>
      </c>
      <c r="C19" s="91" t="s">
        <v>46</v>
      </c>
      <c r="D19" s="87" t="s">
        <v>47</v>
      </c>
      <c r="E19" s="87"/>
      <c r="F19" s="92">
        <v>15</v>
      </c>
      <c r="G19" s="93"/>
      <c r="H19" s="93"/>
      <c r="I19" s="93"/>
      <c r="J19" s="94"/>
    </row>
    <row r="20" spans="1:10" ht="93.75" customHeight="1" x14ac:dyDescent="0.25">
      <c r="B20" s="81">
        <v>43139</v>
      </c>
      <c r="C20" s="91" t="s">
        <v>48</v>
      </c>
      <c r="D20" s="87" t="s">
        <v>49</v>
      </c>
      <c r="E20" s="87"/>
      <c r="F20" s="92">
        <v>16</v>
      </c>
      <c r="G20" s="93"/>
      <c r="H20" s="93"/>
      <c r="I20" s="93"/>
      <c r="J20" s="94"/>
    </row>
    <row r="21" spans="1:10" x14ac:dyDescent="0.25">
      <c r="B21" s="81">
        <v>43140</v>
      </c>
      <c r="C21" s="91"/>
      <c r="D21" s="87" t="s">
        <v>52</v>
      </c>
      <c r="E21" s="87"/>
      <c r="F21" s="92">
        <v>16</v>
      </c>
      <c r="G21" s="93"/>
      <c r="H21" s="93"/>
      <c r="I21" s="93"/>
      <c r="J21" s="94"/>
    </row>
    <row r="22" spans="1:10" ht="69" customHeight="1" x14ac:dyDescent="0.25">
      <c r="B22" s="81">
        <v>43141</v>
      </c>
      <c r="C22" s="91"/>
      <c r="D22" s="87" t="s">
        <v>51</v>
      </c>
      <c r="E22" s="87"/>
      <c r="F22" s="92">
        <v>19</v>
      </c>
      <c r="G22" s="93"/>
      <c r="H22" s="93"/>
      <c r="I22" s="93"/>
      <c r="J22" s="94"/>
    </row>
    <row r="23" spans="1:10" ht="101.45" customHeight="1" x14ac:dyDescent="0.25">
      <c r="B23" s="81">
        <v>43142</v>
      </c>
      <c r="C23" s="91"/>
      <c r="D23" s="87" t="s">
        <v>53</v>
      </c>
      <c r="E23" s="87"/>
      <c r="F23" s="92">
        <v>11</v>
      </c>
      <c r="G23" s="93"/>
      <c r="H23" s="93"/>
      <c r="I23" s="93"/>
      <c r="J23" s="94"/>
    </row>
    <row r="24" spans="1:10" ht="152.25" customHeight="1" x14ac:dyDescent="0.25">
      <c r="B24" s="81">
        <v>43148</v>
      </c>
      <c r="C24" s="91"/>
      <c r="D24" s="87" t="s">
        <v>58</v>
      </c>
      <c r="E24" s="87" t="s">
        <v>60</v>
      </c>
      <c r="F24" s="92">
        <v>16</v>
      </c>
      <c r="G24" s="93"/>
      <c r="H24" s="93"/>
      <c r="I24" s="93"/>
      <c r="J24" s="94"/>
    </row>
    <row r="25" spans="1:10" ht="138.19999999999999" customHeight="1" x14ac:dyDescent="0.25">
      <c r="A25" s="97"/>
      <c r="B25" s="81">
        <v>43149</v>
      </c>
      <c r="C25" s="91" t="s">
        <v>59</v>
      </c>
      <c r="D25" s="87" t="s">
        <v>62</v>
      </c>
      <c r="E25" s="96" t="s">
        <v>61</v>
      </c>
      <c r="F25" s="92">
        <v>16</v>
      </c>
      <c r="G25" s="93"/>
      <c r="H25" s="93"/>
      <c r="I25" s="93"/>
      <c r="J25" s="94"/>
    </row>
    <row r="26" spans="1:10" ht="168" x14ac:dyDescent="0.25">
      <c r="B26" s="81">
        <v>43150</v>
      </c>
      <c r="C26" s="91" t="s">
        <v>65</v>
      </c>
      <c r="D26" s="87" t="s">
        <v>63</v>
      </c>
      <c r="E26" s="87" t="s">
        <v>64</v>
      </c>
      <c r="F26" s="92">
        <v>16</v>
      </c>
      <c r="G26" s="93"/>
      <c r="H26" s="93"/>
      <c r="I26" s="93"/>
      <c r="J26" s="94"/>
    </row>
    <row r="27" spans="1:10" ht="108" customHeight="1" x14ac:dyDescent="0.25">
      <c r="B27" s="81">
        <v>43151</v>
      </c>
      <c r="C27" s="91" t="s">
        <v>66</v>
      </c>
      <c r="D27" s="87" t="s">
        <v>68</v>
      </c>
      <c r="E27" s="87" t="s">
        <v>67</v>
      </c>
      <c r="F27" s="92">
        <v>16</v>
      </c>
      <c r="G27" s="93"/>
      <c r="H27" s="93"/>
      <c r="I27" s="93"/>
      <c r="J27" s="94"/>
    </row>
    <row r="28" spans="1:10" ht="248.1" customHeight="1" x14ac:dyDescent="0.25">
      <c r="B28" s="81">
        <v>43152</v>
      </c>
      <c r="C28" s="91" t="s">
        <v>70</v>
      </c>
      <c r="D28" s="87" t="s">
        <v>71</v>
      </c>
      <c r="E28" s="87" t="s">
        <v>69</v>
      </c>
      <c r="F28" s="92">
        <v>16</v>
      </c>
      <c r="G28" s="93"/>
      <c r="H28" s="93"/>
      <c r="I28" s="93"/>
      <c r="J28" s="94"/>
    </row>
    <row r="29" spans="1:10" ht="74.099999999999994" customHeight="1" x14ac:dyDescent="0.25">
      <c r="B29" s="81">
        <v>43153</v>
      </c>
      <c r="C29" s="91"/>
      <c r="D29" s="87" t="s">
        <v>72</v>
      </c>
      <c r="E29" s="87"/>
      <c r="F29" s="92">
        <v>16</v>
      </c>
      <c r="G29" s="93"/>
      <c r="H29" s="93"/>
      <c r="I29" s="93"/>
      <c r="J29" s="94"/>
    </row>
    <row r="30" spans="1:10" ht="131.25" customHeight="1" x14ac:dyDescent="0.25">
      <c r="B30" s="81">
        <v>43154</v>
      </c>
      <c r="C30" s="91"/>
      <c r="D30" s="87" t="s">
        <v>73</v>
      </c>
      <c r="E30" s="87"/>
      <c r="F30" s="92">
        <v>16</v>
      </c>
      <c r="G30" s="93"/>
      <c r="H30" s="93"/>
      <c r="I30" s="93"/>
      <c r="J30" s="94"/>
    </row>
    <row r="31" spans="1:10" ht="245.45" customHeight="1" x14ac:dyDescent="0.25">
      <c r="B31" s="81">
        <v>43155</v>
      </c>
      <c r="C31" s="91" t="s">
        <v>349</v>
      </c>
      <c r="D31" s="87" t="s">
        <v>351</v>
      </c>
      <c r="E31" s="87" t="s">
        <v>350</v>
      </c>
      <c r="F31" s="92">
        <v>16</v>
      </c>
      <c r="G31" s="93"/>
      <c r="H31" s="93"/>
      <c r="I31" s="93"/>
      <c r="J31" s="94"/>
    </row>
    <row r="32" spans="1:10" ht="162.75" customHeight="1" x14ac:dyDescent="0.25">
      <c r="B32" s="81">
        <v>43156</v>
      </c>
      <c r="C32" s="91" t="s">
        <v>352</v>
      </c>
      <c r="D32" s="87" t="s">
        <v>354</v>
      </c>
      <c r="E32" s="87" t="s">
        <v>353</v>
      </c>
      <c r="F32" s="92"/>
      <c r="G32" s="93"/>
      <c r="H32" s="93"/>
      <c r="I32" s="93"/>
      <c r="J32" s="94"/>
    </row>
    <row r="33" spans="2:10" ht="108" x14ac:dyDescent="0.25">
      <c r="B33" s="81">
        <v>43157</v>
      </c>
      <c r="C33" s="91"/>
      <c r="D33" s="87" t="s">
        <v>363</v>
      </c>
      <c r="E33" s="87"/>
      <c r="F33" s="92"/>
      <c r="G33" s="93"/>
      <c r="H33" s="93"/>
      <c r="I33" s="93"/>
      <c r="J33" s="94"/>
    </row>
    <row r="34" spans="2:10" ht="161.25" customHeight="1" x14ac:dyDescent="0.25">
      <c r="B34" s="81">
        <v>43158</v>
      </c>
      <c r="C34" s="91"/>
      <c r="D34" s="87" t="s">
        <v>370</v>
      </c>
      <c r="E34" s="87" t="s">
        <v>371</v>
      </c>
      <c r="F34" s="92"/>
      <c r="G34" s="93"/>
      <c r="H34" s="93"/>
      <c r="I34" s="93"/>
      <c r="J34" s="94"/>
    </row>
    <row r="35" spans="2:10" ht="129" customHeight="1" x14ac:dyDescent="0.25">
      <c r="B35" s="81">
        <v>43159</v>
      </c>
      <c r="C35" s="91"/>
      <c r="D35" s="87" t="s">
        <v>372</v>
      </c>
      <c r="E35" s="87" t="s">
        <v>373</v>
      </c>
      <c r="F35" s="92"/>
      <c r="G35" s="93"/>
      <c r="H35" s="93"/>
      <c r="I35" s="93"/>
      <c r="J35" s="94"/>
    </row>
    <row r="36" spans="2:10" ht="171.2" customHeight="1" x14ac:dyDescent="0.25">
      <c r="B36" s="81">
        <v>43160</v>
      </c>
      <c r="C36" s="91"/>
      <c r="D36" s="87" t="s">
        <v>376</v>
      </c>
      <c r="E36" s="87" t="s">
        <v>375</v>
      </c>
      <c r="F36" s="92"/>
      <c r="G36" s="93"/>
      <c r="H36" s="93"/>
      <c r="I36" s="93"/>
      <c r="J36" s="94"/>
    </row>
    <row r="37" spans="2:10" ht="36" x14ac:dyDescent="0.25">
      <c r="B37" s="81">
        <v>43161</v>
      </c>
      <c r="C37" s="91"/>
      <c r="D37" s="87" t="s">
        <v>377</v>
      </c>
      <c r="E37" s="87"/>
      <c r="F37" s="92"/>
      <c r="G37" s="93"/>
      <c r="H37" s="93"/>
      <c r="I37" s="93"/>
      <c r="J37" s="94"/>
    </row>
    <row r="38" spans="2:10" ht="114" customHeight="1" x14ac:dyDescent="0.25">
      <c r="B38" s="81">
        <v>43162</v>
      </c>
      <c r="C38" s="91" t="s">
        <v>380</v>
      </c>
      <c r="D38" s="87" t="s">
        <v>378</v>
      </c>
      <c r="E38" s="96" t="s">
        <v>379</v>
      </c>
      <c r="F38" s="92"/>
      <c r="G38" s="93"/>
      <c r="H38" s="93"/>
      <c r="I38" s="93"/>
      <c r="J38" s="94"/>
    </row>
    <row r="39" spans="2:10" ht="189.95" customHeight="1" x14ac:dyDescent="0.25">
      <c r="B39" s="81">
        <v>43163</v>
      </c>
      <c r="C39" s="91"/>
      <c r="D39" s="87" t="s">
        <v>381</v>
      </c>
      <c r="E39" s="96" t="s">
        <v>382</v>
      </c>
      <c r="F39" s="92"/>
      <c r="G39" s="93"/>
      <c r="H39" s="93"/>
      <c r="I39" s="93"/>
      <c r="J39" s="94"/>
    </row>
    <row r="40" spans="2:10" ht="209.45" customHeight="1" x14ac:dyDescent="0.25">
      <c r="B40" s="81">
        <v>43164</v>
      </c>
      <c r="C40" s="91"/>
      <c r="D40" s="87" t="s">
        <v>383</v>
      </c>
      <c r="E40" s="96" t="s">
        <v>382</v>
      </c>
      <c r="F40" s="92"/>
      <c r="G40" s="93"/>
      <c r="H40" s="93"/>
      <c r="I40" s="93"/>
      <c r="J40" s="94"/>
    </row>
    <row r="41" spans="2:10" ht="123.75" customHeight="1" x14ac:dyDescent="0.25">
      <c r="B41" s="81">
        <v>43165</v>
      </c>
      <c r="C41" s="91"/>
      <c r="D41" s="87" t="s">
        <v>405</v>
      </c>
      <c r="E41" s="96" t="s">
        <v>382</v>
      </c>
      <c r="F41" s="92"/>
      <c r="G41" s="93"/>
      <c r="H41" s="93"/>
      <c r="I41" s="93"/>
      <c r="J41" s="94"/>
    </row>
    <row r="42" spans="2:10" ht="60" customHeight="1" x14ac:dyDescent="0.25">
      <c r="B42" s="81">
        <v>43166</v>
      </c>
      <c r="C42" s="91"/>
      <c r="D42" s="87" t="s">
        <v>406</v>
      </c>
      <c r="E42" s="96" t="s">
        <v>382</v>
      </c>
      <c r="F42" s="92"/>
      <c r="G42" s="93"/>
      <c r="H42" s="93"/>
      <c r="I42" s="93"/>
      <c r="J42" s="94"/>
    </row>
    <row r="43" spans="2:10" x14ac:dyDescent="0.25">
      <c r="B43" s="81">
        <v>43167</v>
      </c>
      <c r="C43" s="91"/>
      <c r="D43" s="87" t="s">
        <v>411</v>
      </c>
      <c r="E43" s="96" t="s">
        <v>382</v>
      </c>
      <c r="F43" s="92"/>
      <c r="G43" s="93"/>
      <c r="H43" s="93"/>
      <c r="I43" s="93"/>
      <c r="J43" s="94"/>
    </row>
    <row r="44" spans="2:10" ht="85.5" customHeight="1" x14ac:dyDescent="0.25">
      <c r="B44" s="81">
        <v>43168</v>
      </c>
      <c r="C44" s="91"/>
      <c r="D44" s="87" t="s">
        <v>412</v>
      </c>
      <c r="E44" s="96" t="s">
        <v>382</v>
      </c>
      <c r="F44" s="92"/>
      <c r="G44" s="93"/>
      <c r="H44" s="93"/>
      <c r="I44" s="93"/>
      <c r="J44" s="94"/>
    </row>
    <row r="45" spans="2:10" ht="120" x14ac:dyDescent="0.25">
      <c r="B45" s="81">
        <v>43169</v>
      </c>
      <c r="C45" s="91"/>
      <c r="D45" s="87" t="s">
        <v>415</v>
      </c>
      <c r="E45" s="96" t="s">
        <v>382</v>
      </c>
      <c r="F45" s="92"/>
      <c r="G45" s="93"/>
      <c r="H45" s="93"/>
      <c r="I45" s="93"/>
      <c r="J45" s="94"/>
    </row>
    <row r="46" spans="2:10" ht="85.5" customHeight="1" x14ac:dyDescent="0.25">
      <c r="B46" s="81">
        <v>43170</v>
      </c>
      <c r="C46" s="91"/>
      <c r="D46" s="87" t="s">
        <v>416</v>
      </c>
      <c r="E46" s="96" t="s">
        <v>417</v>
      </c>
      <c r="F46" s="92"/>
      <c r="G46" s="93"/>
      <c r="H46" s="93"/>
      <c r="I46" s="93"/>
      <c r="J46" s="94"/>
    </row>
    <row r="47" spans="2:10" ht="102.2" customHeight="1" x14ac:dyDescent="0.25">
      <c r="B47" s="81">
        <v>43171</v>
      </c>
      <c r="C47" s="91"/>
      <c r="D47" s="87" t="s">
        <v>418</v>
      </c>
      <c r="E47" s="87"/>
      <c r="F47" s="92"/>
      <c r="G47" s="93"/>
      <c r="H47" s="93"/>
      <c r="I47" s="93"/>
      <c r="J47" s="94"/>
    </row>
    <row r="48" spans="2:10" ht="183" customHeight="1" x14ac:dyDescent="0.25">
      <c r="B48" s="81">
        <v>43172</v>
      </c>
      <c r="C48" s="91"/>
      <c r="D48" s="87" t="s">
        <v>421</v>
      </c>
      <c r="E48" s="87" t="s">
        <v>419</v>
      </c>
      <c r="F48" s="92"/>
      <c r="G48" s="93"/>
      <c r="H48" s="93"/>
      <c r="I48" s="93"/>
      <c r="J48" s="94"/>
    </row>
    <row r="49" spans="2:10" ht="69" customHeight="1" x14ac:dyDescent="0.25">
      <c r="B49" s="81">
        <v>43173</v>
      </c>
      <c r="C49" s="91"/>
      <c r="D49" s="87" t="s">
        <v>422</v>
      </c>
      <c r="E49" s="87"/>
      <c r="F49" s="92"/>
      <c r="G49" s="93"/>
      <c r="H49" s="93"/>
      <c r="I49" s="93"/>
      <c r="J49" s="94"/>
    </row>
    <row r="50" spans="2:10" s="215" customFormat="1" ht="174.75" customHeight="1" x14ac:dyDescent="0.25">
      <c r="B50" s="216">
        <v>43174</v>
      </c>
      <c r="C50" s="217"/>
      <c r="D50" s="218" t="s">
        <v>423</v>
      </c>
      <c r="E50" s="222" t="s">
        <v>612</v>
      </c>
      <c r="F50" s="219"/>
      <c r="G50" s="220"/>
      <c r="H50" s="220"/>
      <c r="I50" s="220"/>
      <c r="J50" s="221"/>
    </row>
    <row r="51" spans="2:10" ht="108" customHeight="1" x14ac:dyDescent="0.25">
      <c r="B51" s="81">
        <v>43175</v>
      </c>
      <c r="C51" s="91"/>
      <c r="D51" s="87" t="s">
        <v>424</v>
      </c>
      <c r="E51" s="87"/>
      <c r="F51" s="92"/>
      <c r="G51" s="93"/>
      <c r="H51" s="93"/>
      <c r="I51" s="93"/>
      <c r="J51" s="94"/>
    </row>
    <row r="52" spans="2:10" ht="120.2" customHeight="1" x14ac:dyDescent="0.25">
      <c r="B52" s="81">
        <v>43176</v>
      </c>
      <c r="C52" s="91"/>
      <c r="D52" s="87" t="s">
        <v>447</v>
      </c>
      <c r="E52" s="87"/>
      <c r="F52" s="92"/>
      <c r="G52" s="93"/>
      <c r="H52" s="93"/>
      <c r="I52" s="93"/>
      <c r="J52" s="94"/>
    </row>
    <row r="53" spans="2:10" ht="139.5" customHeight="1" x14ac:dyDescent="0.25">
      <c r="B53" s="81">
        <v>43177</v>
      </c>
      <c r="C53" s="91"/>
      <c r="D53" s="87" t="s">
        <v>448</v>
      </c>
      <c r="E53" s="87"/>
      <c r="F53" s="92"/>
      <c r="G53" s="93"/>
      <c r="H53" s="93"/>
      <c r="I53" s="93"/>
      <c r="J53" s="94"/>
    </row>
    <row r="54" spans="2:10" ht="24" x14ac:dyDescent="0.25">
      <c r="B54" s="81">
        <v>43178</v>
      </c>
      <c r="C54" s="91"/>
      <c r="D54" s="87" t="s">
        <v>457</v>
      </c>
      <c r="E54" s="87"/>
      <c r="F54" s="92"/>
      <c r="G54" s="93"/>
      <c r="H54" s="93"/>
      <c r="I54" s="93"/>
      <c r="J54" s="94"/>
    </row>
    <row r="55" spans="2:10" ht="132" x14ac:dyDescent="0.25">
      <c r="B55" s="81">
        <v>43179</v>
      </c>
      <c r="C55" s="91"/>
      <c r="D55" s="87" t="s">
        <v>458</v>
      </c>
      <c r="E55" s="87" t="s">
        <v>459</v>
      </c>
      <c r="F55" s="92"/>
      <c r="G55" s="93"/>
      <c r="H55" s="93"/>
      <c r="I55" s="93"/>
      <c r="J55" s="94"/>
    </row>
    <row r="56" spans="2:10" ht="227.45" customHeight="1" x14ac:dyDescent="0.25">
      <c r="B56" s="81">
        <v>43180</v>
      </c>
      <c r="C56" s="91"/>
      <c r="D56" s="87" t="s">
        <v>460</v>
      </c>
      <c r="E56" s="87" t="s">
        <v>461</v>
      </c>
      <c r="F56" s="92"/>
      <c r="G56" s="93"/>
      <c r="H56" s="93"/>
      <c r="I56" s="93"/>
      <c r="J56" s="94"/>
    </row>
    <row r="57" spans="2:10" ht="151.5" customHeight="1" x14ac:dyDescent="0.25">
      <c r="B57" s="81">
        <v>43181</v>
      </c>
      <c r="C57" s="91"/>
      <c r="D57" s="87" t="s">
        <v>462</v>
      </c>
      <c r="E57" s="87" t="s">
        <v>463</v>
      </c>
      <c r="F57" s="92"/>
      <c r="G57" s="93"/>
      <c r="H57" s="93"/>
      <c r="I57" s="93"/>
      <c r="J57" s="94"/>
    </row>
    <row r="58" spans="2:10" ht="409.5" customHeight="1" x14ac:dyDescent="0.25">
      <c r="B58" s="81">
        <v>43182</v>
      </c>
      <c r="C58" s="91"/>
      <c r="D58" s="87" t="s">
        <v>464</v>
      </c>
      <c r="E58" s="87" t="s">
        <v>465</v>
      </c>
      <c r="F58" s="92"/>
      <c r="G58" s="93"/>
      <c r="H58" s="93"/>
      <c r="I58" s="93"/>
      <c r="J58" s="94"/>
    </row>
    <row r="59" spans="2:10" ht="146.25" customHeight="1" x14ac:dyDescent="0.25">
      <c r="B59" s="81">
        <v>43183</v>
      </c>
      <c r="C59" s="91"/>
      <c r="D59" s="87" t="s">
        <v>489</v>
      </c>
      <c r="E59" s="87" t="s">
        <v>490</v>
      </c>
      <c r="F59" s="92"/>
      <c r="G59" s="93"/>
      <c r="H59" s="93"/>
      <c r="I59" s="93"/>
      <c r="J59" s="94"/>
    </row>
    <row r="60" spans="2:10" ht="147.75" customHeight="1" x14ac:dyDescent="0.25">
      <c r="B60" s="81">
        <v>43184</v>
      </c>
      <c r="C60" s="91"/>
      <c r="D60" s="87" t="s">
        <v>523</v>
      </c>
      <c r="E60" s="87" t="s">
        <v>491</v>
      </c>
      <c r="F60" s="92"/>
      <c r="G60" s="93"/>
      <c r="H60" s="93"/>
      <c r="I60" s="93"/>
      <c r="J60" s="94"/>
    </row>
    <row r="61" spans="2:10" ht="63.2" customHeight="1" x14ac:dyDescent="0.25">
      <c r="B61" s="81">
        <v>43185</v>
      </c>
      <c r="C61" s="91"/>
      <c r="D61" s="87" t="s">
        <v>497</v>
      </c>
      <c r="E61" s="87"/>
      <c r="F61" s="92"/>
      <c r="G61" s="93"/>
      <c r="H61" s="93"/>
      <c r="I61" s="93"/>
      <c r="J61" s="94"/>
    </row>
    <row r="62" spans="2:10" x14ac:dyDescent="0.25">
      <c r="B62" s="81">
        <v>43186</v>
      </c>
      <c r="C62" s="206"/>
      <c r="D62" s="207"/>
      <c r="E62" s="207"/>
      <c r="F62" s="208"/>
      <c r="G62" s="93"/>
      <c r="H62" s="93"/>
      <c r="I62" s="93"/>
      <c r="J62" s="94"/>
    </row>
    <row r="63" spans="2:10" x14ac:dyDescent="0.25">
      <c r="B63" s="81">
        <v>43187</v>
      </c>
      <c r="C63" s="206"/>
      <c r="D63" s="207" t="s">
        <v>525</v>
      </c>
      <c r="E63" s="207"/>
      <c r="F63" s="208"/>
      <c r="G63" s="93"/>
      <c r="H63" s="93"/>
      <c r="I63" s="93"/>
      <c r="J63" s="94"/>
    </row>
    <row r="64" spans="2:10" x14ac:dyDescent="0.25">
      <c r="B64" s="81">
        <v>43188</v>
      </c>
      <c r="C64" s="206"/>
      <c r="D64" s="207"/>
      <c r="E64" s="207"/>
      <c r="F64" s="208"/>
      <c r="G64" s="93"/>
      <c r="H64" s="93"/>
      <c r="I64" s="93"/>
      <c r="J64" s="94"/>
    </row>
    <row r="65" spans="1:10" ht="204" customHeight="1" x14ac:dyDescent="0.25">
      <c r="B65" s="81">
        <v>43189</v>
      </c>
      <c r="C65" s="91"/>
      <c r="D65" s="87" t="s">
        <v>516</v>
      </c>
      <c r="E65" s="87"/>
      <c r="F65" s="92"/>
      <c r="G65" s="93"/>
      <c r="H65" s="93"/>
      <c r="I65" s="93"/>
      <c r="J65" s="94"/>
    </row>
    <row r="66" spans="1:10" ht="181.5" customHeight="1" x14ac:dyDescent="0.25">
      <c r="B66" s="81">
        <v>43190</v>
      </c>
      <c r="C66" s="91" t="s">
        <v>520</v>
      </c>
      <c r="D66" s="87" t="s">
        <v>517</v>
      </c>
      <c r="E66" s="87" t="s">
        <v>518</v>
      </c>
      <c r="F66" s="92"/>
      <c r="G66" s="93"/>
      <c r="H66" s="93"/>
      <c r="I66" s="93"/>
      <c r="J66" s="94"/>
    </row>
    <row r="67" spans="1:10" ht="299.45" customHeight="1" x14ac:dyDescent="0.25">
      <c r="B67" s="81">
        <v>43191</v>
      </c>
      <c r="C67" s="91" t="s">
        <v>521</v>
      </c>
      <c r="D67" s="87" t="s">
        <v>522</v>
      </c>
      <c r="E67" s="87" t="s">
        <v>524</v>
      </c>
      <c r="F67" s="92"/>
      <c r="G67" s="93"/>
      <c r="H67" s="93"/>
      <c r="I67" s="93"/>
      <c r="J67" s="94"/>
    </row>
    <row r="68" spans="1:10" ht="24" x14ac:dyDescent="0.25">
      <c r="B68" s="81">
        <v>43192</v>
      </c>
      <c r="C68" s="91"/>
      <c r="D68" s="87" t="s">
        <v>526</v>
      </c>
      <c r="E68" s="87"/>
      <c r="F68" s="92"/>
      <c r="G68" s="93"/>
      <c r="H68" s="93"/>
      <c r="I68" s="93"/>
      <c r="J68" s="94"/>
    </row>
    <row r="69" spans="1:10" ht="201.75" customHeight="1" x14ac:dyDescent="0.25">
      <c r="B69" s="81">
        <v>43193</v>
      </c>
      <c r="C69" s="91" t="s">
        <v>529</v>
      </c>
      <c r="D69" s="87" t="s">
        <v>527</v>
      </c>
      <c r="E69" s="87" t="s">
        <v>528</v>
      </c>
      <c r="F69" s="92"/>
      <c r="G69" s="93"/>
      <c r="H69" s="93"/>
      <c r="I69" s="93"/>
      <c r="J69" s="94"/>
    </row>
    <row r="70" spans="1:10" ht="96" x14ac:dyDescent="0.25">
      <c r="B70" s="81">
        <v>43194</v>
      </c>
      <c r="C70" s="91"/>
      <c r="D70" s="87"/>
      <c r="E70" s="87" t="s">
        <v>530</v>
      </c>
      <c r="F70" s="92"/>
      <c r="G70" s="93"/>
      <c r="H70" s="93"/>
      <c r="I70" s="93"/>
      <c r="J70" s="94"/>
    </row>
    <row r="71" spans="1:10" ht="48" x14ac:dyDescent="0.25">
      <c r="B71" s="81">
        <v>43195</v>
      </c>
      <c r="C71" s="91"/>
      <c r="D71" s="87" t="s">
        <v>531</v>
      </c>
      <c r="E71" s="87"/>
      <c r="F71" s="92"/>
      <c r="G71" s="93"/>
      <c r="H71" s="93"/>
      <c r="I71" s="93"/>
      <c r="J71" s="94"/>
    </row>
    <row r="72" spans="1:10" ht="24" x14ac:dyDescent="0.25">
      <c r="B72" s="81">
        <v>43196</v>
      </c>
      <c r="C72" s="91"/>
      <c r="D72" s="87" t="s">
        <v>532</v>
      </c>
      <c r="E72" s="87"/>
      <c r="F72" s="92"/>
      <c r="G72" s="93"/>
      <c r="H72" s="93"/>
      <c r="I72" s="93"/>
      <c r="J72" s="94"/>
    </row>
    <row r="73" spans="1:10" ht="36" x14ac:dyDescent="0.25">
      <c r="B73" s="81">
        <v>43197</v>
      </c>
      <c r="C73" s="91"/>
      <c r="D73" s="87" t="s">
        <v>533</v>
      </c>
      <c r="E73" s="87"/>
      <c r="F73" s="92"/>
      <c r="G73" s="93"/>
      <c r="H73" s="93"/>
      <c r="I73" s="93"/>
      <c r="J73" s="94"/>
    </row>
    <row r="74" spans="1:10" ht="96" x14ac:dyDescent="0.25">
      <c r="B74" s="81">
        <v>43198</v>
      </c>
      <c r="C74" s="91"/>
      <c r="D74" s="87" t="s">
        <v>534</v>
      </c>
      <c r="E74" s="87"/>
      <c r="F74" s="92"/>
      <c r="G74" s="93"/>
      <c r="H74" s="93"/>
      <c r="I74" s="93"/>
      <c r="J74" s="94"/>
    </row>
    <row r="75" spans="1:10" ht="409.5" x14ac:dyDescent="0.25">
      <c r="A75" s="97"/>
      <c r="B75" s="81">
        <v>43199</v>
      </c>
      <c r="C75" s="91" t="s">
        <v>535</v>
      </c>
      <c r="D75" s="87" t="s">
        <v>536</v>
      </c>
      <c r="E75" s="87" t="s">
        <v>537</v>
      </c>
      <c r="F75" s="92"/>
      <c r="G75" s="93"/>
      <c r="H75" s="93"/>
      <c r="I75" s="93"/>
      <c r="J75" s="94"/>
    </row>
    <row r="76" spans="1:10" ht="48" x14ac:dyDescent="0.25">
      <c r="B76" s="81">
        <v>43200</v>
      </c>
      <c r="C76" s="91"/>
      <c r="D76" s="87" t="s">
        <v>538</v>
      </c>
      <c r="E76" s="87"/>
      <c r="F76" s="92"/>
      <c r="G76" s="93"/>
      <c r="H76" s="93"/>
      <c r="I76" s="93"/>
      <c r="J76" s="94"/>
    </row>
    <row r="77" spans="1:10" ht="132" x14ac:dyDescent="0.25">
      <c r="B77" s="81">
        <v>43201</v>
      </c>
      <c r="C77" s="91"/>
      <c r="D77" s="87" t="s">
        <v>539</v>
      </c>
      <c r="E77" s="87" t="s">
        <v>540</v>
      </c>
      <c r="F77" s="92"/>
      <c r="G77" s="93"/>
      <c r="H77" s="93"/>
      <c r="I77" s="93"/>
      <c r="J77" s="94"/>
    </row>
    <row r="78" spans="1:10" ht="72" x14ac:dyDescent="0.25">
      <c r="B78" s="81">
        <v>43202</v>
      </c>
      <c r="C78" s="91"/>
      <c r="D78" s="87" t="s">
        <v>541</v>
      </c>
      <c r="E78" s="87" t="s">
        <v>542</v>
      </c>
      <c r="F78" s="92"/>
      <c r="G78" s="93"/>
      <c r="H78" s="93"/>
      <c r="I78" s="93"/>
      <c r="J78" s="94"/>
    </row>
    <row r="79" spans="1:10" x14ac:dyDescent="0.25">
      <c r="B79" s="81">
        <v>43203</v>
      </c>
      <c r="C79" s="91"/>
      <c r="D79" s="87"/>
      <c r="E79" s="87" t="s">
        <v>543</v>
      </c>
      <c r="F79" s="92"/>
      <c r="G79" s="93"/>
      <c r="H79" s="93"/>
      <c r="I79" s="93"/>
      <c r="J79" s="94"/>
    </row>
    <row r="80" spans="1:10" x14ac:dyDescent="0.25">
      <c r="B80" s="81">
        <v>43204</v>
      </c>
      <c r="C80" s="91"/>
      <c r="D80" s="87"/>
      <c r="E80" s="87"/>
      <c r="F80" s="92"/>
      <c r="G80" s="93"/>
      <c r="H80" s="93"/>
      <c r="I80" s="93"/>
      <c r="J80" s="94"/>
    </row>
    <row r="81" spans="1:10" ht="96" x14ac:dyDescent="0.25">
      <c r="B81" s="81">
        <v>43205</v>
      </c>
      <c r="C81" s="91"/>
      <c r="D81" s="87"/>
      <c r="E81" s="87" t="s">
        <v>544</v>
      </c>
      <c r="F81" s="92"/>
      <c r="G81" s="93"/>
      <c r="H81" s="93"/>
      <c r="I81" s="93"/>
      <c r="J81" s="94"/>
    </row>
    <row r="82" spans="1:10" ht="24" x14ac:dyDescent="0.25">
      <c r="B82" s="81">
        <v>43206</v>
      </c>
      <c r="C82" s="91"/>
      <c r="D82" s="87"/>
      <c r="E82" s="87" t="s">
        <v>545</v>
      </c>
      <c r="F82" s="92"/>
      <c r="G82" s="93"/>
      <c r="H82" s="93"/>
      <c r="I82" s="93"/>
      <c r="J82" s="94"/>
    </row>
    <row r="83" spans="1:10" ht="162.6" customHeight="1" x14ac:dyDescent="0.25">
      <c r="B83" s="81">
        <v>43207</v>
      </c>
      <c r="C83" s="91" t="s">
        <v>550</v>
      </c>
      <c r="D83" s="87" t="s">
        <v>548</v>
      </c>
      <c r="E83" s="87"/>
      <c r="F83" s="92"/>
      <c r="G83" s="93"/>
      <c r="H83" s="93"/>
      <c r="I83" s="93"/>
      <c r="J83" s="94"/>
    </row>
    <row r="84" spans="1:10" x14ac:dyDescent="0.25">
      <c r="B84" s="81">
        <v>43208</v>
      </c>
      <c r="C84" s="91"/>
      <c r="D84" s="87" t="s">
        <v>560</v>
      </c>
      <c r="E84" s="87"/>
      <c r="F84" s="92"/>
      <c r="G84" s="93"/>
      <c r="H84" s="93"/>
      <c r="I84" s="93"/>
      <c r="J84" s="94"/>
    </row>
    <row r="85" spans="1:10" ht="96" x14ac:dyDescent="0.25">
      <c r="B85" s="81">
        <v>43209</v>
      </c>
      <c r="C85" s="91" t="s">
        <v>562</v>
      </c>
      <c r="D85" s="87" t="s">
        <v>564</v>
      </c>
      <c r="E85" s="87" t="s">
        <v>563</v>
      </c>
      <c r="F85" s="92"/>
      <c r="G85" s="93"/>
      <c r="H85" s="93"/>
      <c r="I85" s="93"/>
      <c r="J85" s="94"/>
    </row>
    <row r="86" spans="1:10" ht="144" x14ac:dyDescent="0.25">
      <c r="B86" s="81">
        <v>43210</v>
      </c>
      <c r="C86" s="91" t="s">
        <v>587</v>
      </c>
      <c r="D86" s="87" t="s">
        <v>565</v>
      </c>
      <c r="E86" s="87" t="s">
        <v>586</v>
      </c>
      <c r="F86" s="92"/>
      <c r="G86" s="93"/>
      <c r="H86" s="93"/>
      <c r="I86" s="93"/>
      <c r="J86" s="94"/>
    </row>
    <row r="87" spans="1:10" x14ac:dyDescent="0.25">
      <c r="B87" s="81">
        <v>43211</v>
      </c>
      <c r="C87" s="91"/>
      <c r="D87" s="87"/>
      <c r="E87" s="87"/>
      <c r="F87" s="92"/>
      <c r="G87" s="93"/>
      <c r="H87" s="93"/>
      <c r="I87" s="93"/>
      <c r="J87" s="94"/>
    </row>
    <row r="88" spans="1:10" x14ac:dyDescent="0.25">
      <c r="B88" s="81">
        <v>43212</v>
      </c>
      <c r="C88" s="91"/>
      <c r="D88" s="87"/>
      <c r="E88" s="87"/>
      <c r="F88" s="92"/>
      <c r="G88" s="93"/>
      <c r="H88" s="93"/>
      <c r="I88" s="93"/>
      <c r="J88" s="94"/>
    </row>
    <row r="89" spans="1:10" ht="60" x14ac:dyDescent="0.25">
      <c r="B89" s="81">
        <v>43213</v>
      </c>
      <c r="C89" s="91"/>
      <c r="D89" s="87"/>
      <c r="E89" s="213" t="s">
        <v>589</v>
      </c>
      <c r="F89" s="92"/>
      <c r="G89" s="93"/>
      <c r="H89" s="93"/>
      <c r="I89" s="93"/>
      <c r="J89" s="94"/>
    </row>
    <row r="90" spans="1:10" ht="409.5" x14ac:dyDescent="0.25">
      <c r="A90" s="97"/>
      <c r="B90" s="81">
        <v>43214</v>
      </c>
      <c r="C90" s="91" t="s">
        <v>593</v>
      </c>
      <c r="D90" s="87" t="s">
        <v>592</v>
      </c>
      <c r="E90" s="87" t="s">
        <v>594</v>
      </c>
      <c r="F90" s="92"/>
      <c r="G90" s="93"/>
      <c r="H90" s="93"/>
      <c r="I90" s="93"/>
      <c r="J90" s="94"/>
    </row>
    <row r="91" spans="1:10" ht="36" x14ac:dyDescent="0.25">
      <c r="B91" s="81">
        <v>43215</v>
      </c>
      <c r="C91" s="91"/>
      <c r="D91" s="87"/>
      <c r="E91" s="87" t="s">
        <v>604</v>
      </c>
      <c r="F91" s="92"/>
      <c r="G91" s="93"/>
      <c r="H91" s="93"/>
      <c r="I91" s="93"/>
      <c r="J91" s="94"/>
    </row>
    <row r="92" spans="1:10" ht="74.25" customHeight="1" x14ac:dyDescent="0.25">
      <c r="B92" s="81">
        <v>43216</v>
      </c>
      <c r="C92" s="91" t="s">
        <v>609</v>
      </c>
      <c r="D92" s="87" t="s">
        <v>608</v>
      </c>
      <c r="E92" s="87" t="s">
        <v>607</v>
      </c>
      <c r="F92" s="92"/>
      <c r="G92" s="93"/>
      <c r="H92" s="93"/>
      <c r="I92" s="93"/>
      <c r="J92" s="94"/>
    </row>
    <row r="93" spans="1:10" x14ac:dyDescent="0.25">
      <c r="B93" s="81">
        <v>43217</v>
      </c>
      <c r="C93" s="91"/>
      <c r="D93" s="87"/>
      <c r="E93" s="87"/>
      <c r="F93" s="92"/>
      <c r="G93" s="93"/>
      <c r="H93" s="93"/>
      <c r="I93" s="93"/>
      <c r="J93" s="94"/>
    </row>
    <row r="94" spans="1:10" ht="132" x14ac:dyDescent="0.25">
      <c r="B94" s="81">
        <v>43218</v>
      </c>
      <c r="C94" s="91"/>
      <c r="D94" s="87" t="s">
        <v>611</v>
      </c>
      <c r="E94" s="87"/>
      <c r="F94" s="92"/>
      <c r="G94" s="93"/>
      <c r="H94" s="93"/>
      <c r="I94" s="93"/>
      <c r="J94" s="94"/>
    </row>
    <row r="95" spans="1:10" ht="144" x14ac:dyDescent="0.25">
      <c r="B95" s="81">
        <v>43219</v>
      </c>
      <c r="C95" s="91"/>
      <c r="D95" s="87" t="s">
        <v>613</v>
      </c>
      <c r="E95" s="87" t="s">
        <v>615</v>
      </c>
      <c r="F95" s="92"/>
      <c r="G95" s="93"/>
      <c r="H95" s="93"/>
      <c r="I95" s="93"/>
      <c r="J95" s="94"/>
    </row>
    <row r="96" spans="1:10" ht="60" x14ac:dyDescent="0.25">
      <c r="B96" s="81">
        <v>43220</v>
      </c>
      <c r="C96" s="91"/>
      <c r="D96" s="87" t="s">
        <v>616</v>
      </c>
      <c r="E96" s="87"/>
      <c r="F96" s="92"/>
      <c r="G96" s="93"/>
      <c r="H96" s="93"/>
      <c r="I96" s="93"/>
      <c r="J96" s="94"/>
    </row>
    <row r="97" spans="2:10" ht="48" x14ac:dyDescent="0.25">
      <c r="B97" s="81">
        <v>43221</v>
      </c>
      <c r="C97" s="91"/>
      <c r="D97" s="87" t="s">
        <v>618</v>
      </c>
      <c r="E97" s="225" t="s">
        <v>619</v>
      </c>
      <c r="F97" s="92"/>
      <c r="G97" s="93"/>
      <c r="H97" s="93"/>
      <c r="I97" s="93"/>
      <c r="J97" s="94"/>
    </row>
    <row r="98" spans="2:10" ht="36" x14ac:dyDescent="0.25">
      <c r="B98" s="81">
        <v>43222</v>
      </c>
      <c r="C98" s="91"/>
      <c r="D98" s="87" t="s">
        <v>620</v>
      </c>
      <c r="E98" s="87" t="s">
        <v>621</v>
      </c>
      <c r="F98" s="92"/>
      <c r="G98" s="93"/>
      <c r="H98" s="93"/>
      <c r="I98" s="93"/>
      <c r="J98" s="94"/>
    </row>
    <row r="99" spans="2:10" x14ac:dyDescent="0.25">
      <c r="B99" s="81">
        <v>43223</v>
      </c>
      <c r="C99" s="91"/>
      <c r="D99" s="87" t="s">
        <v>622</v>
      </c>
      <c r="E99" s="87"/>
      <c r="F99" s="92"/>
      <c r="G99" s="93"/>
      <c r="H99" s="93"/>
      <c r="I99" s="93"/>
      <c r="J99" s="94"/>
    </row>
    <row r="100" spans="2:10" ht="36" x14ac:dyDescent="0.25">
      <c r="B100" s="81">
        <v>43224</v>
      </c>
      <c r="C100" s="91"/>
      <c r="D100" s="87" t="s">
        <v>623</v>
      </c>
      <c r="E100" s="87"/>
      <c r="F100" s="92"/>
      <c r="G100" s="93"/>
      <c r="H100" s="93"/>
      <c r="I100" s="93"/>
      <c r="J100" s="94"/>
    </row>
    <row r="101" spans="2:10" ht="36" x14ac:dyDescent="0.25">
      <c r="B101" s="81">
        <v>43225</v>
      </c>
      <c r="C101" s="91"/>
      <c r="D101" s="87" t="s">
        <v>624</v>
      </c>
      <c r="E101" s="87"/>
      <c r="F101" s="92"/>
      <c r="G101" s="93"/>
      <c r="H101" s="93"/>
      <c r="I101" s="93"/>
      <c r="J101" s="94"/>
    </row>
    <row r="102" spans="2:10" ht="240" x14ac:dyDescent="0.25">
      <c r="B102" s="81">
        <v>43226</v>
      </c>
      <c r="C102" s="91" t="s">
        <v>627</v>
      </c>
      <c r="D102" s="87" t="s">
        <v>625</v>
      </c>
      <c r="E102" s="87" t="s">
        <v>626</v>
      </c>
      <c r="F102" s="92"/>
      <c r="G102" s="93"/>
      <c r="H102" s="93"/>
      <c r="I102" s="93"/>
      <c r="J102" s="94"/>
    </row>
    <row r="103" spans="2:10" x14ac:dyDescent="0.25">
      <c r="B103" s="81">
        <v>43227</v>
      </c>
      <c r="C103" s="91"/>
      <c r="D103" s="87"/>
      <c r="E103" s="87"/>
      <c r="F103" s="92"/>
      <c r="G103" s="93"/>
      <c r="H103" s="93"/>
      <c r="I103" s="93"/>
      <c r="J103" s="94"/>
    </row>
    <row r="104" spans="2:10" x14ac:dyDescent="0.25">
      <c r="B104" s="81">
        <v>43228</v>
      </c>
      <c r="C104" s="91"/>
      <c r="D104" s="87"/>
      <c r="E104" s="87"/>
      <c r="F104" s="92"/>
      <c r="G104" s="93"/>
      <c r="H104" s="93"/>
      <c r="I104" s="93"/>
      <c r="J104" s="94"/>
    </row>
    <row r="105" spans="2:10" x14ac:dyDescent="0.25">
      <c r="B105" s="81">
        <v>43229</v>
      </c>
      <c r="C105" s="91"/>
      <c r="D105" s="87"/>
      <c r="E105" s="87"/>
      <c r="F105" s="92"/>
      <c r="G105" s="93"/>
      <c r="H105" s="93"/>
      <c r="I105" s="93"/>
      <c r="J105" s="94"/>
    </row>
    <row r="106" spans="2:10" ht="36" x14ac:dyDescent="0.25">
      <c r="B106" s="81">
        <v>43230</v>
      </c>
      <c r="C106" s="91"/>
      <c r="D106" s="87" t="s">
        <v>635</v>
      </c>
      <c r="E106" s="87"/>
      <c r="F106" s="92"/>
      <c r="G106" s="93"/>
      <c r="H106" s="93"/>
      <c r="I106" s="93"/>
      <c r="J106" s="94"/>
    </row>
    <row r="107" spans="2:10" x14ac:dyDescent="0.25">
      <c r="B107" s="81">
        <v>43231</v>
      </c>
      <c r="C107" s="91"/>
      <c r="D107" s="87"/>
      <c r="E107" s="87"/>
      <c r="F107" s="92"/>
      <c r="G107" s="93"/>
      <c r="H107" s="93"/>
      <c r="I107" s="93"/>
      <c r="J107" s="94"/>
    </row>
    <row r="108" spans="2:10" ht="108" x14ac:dyDescent="0.25">
      <c r="B108" s="81">
        <v>43232</v>
      </c>
      <c r="C108" s="91"/>
      <c r="D108" s="87" t="s">
        <v>644</v>
      </c>
      <c r="E108" s="87" t="s">
        <v>645</v>
      </c>
      <c r="F108" s="92"/>
      <c r="G108" s="93"/>
      <c r="H108" s="93"/>
      <c r="I108" s="93"/>
      <c r="J108" s="94"/>
    </row>
    <row r="109" spans="2:10" ht="240" x14ac:dyDescent="0.25">
      <c r="B109" s="81">
        <v>43233</v>
      </c>
      <c r="C109" s="91" t="s">
        <v>652</v>
      </c>
      <c r="D109" s="87" t="s">
        <v>646</v>
      </c>
      <c r="E109" s="87" t="s">
        <v>653</v>
      </c>
      <c r="F109" s="92"/>
      <c r="G109" s="93"/>
      <c r="H109" s="93"/>
      <c r="I109" s="93"/>
      <c r="J109" s="94"/>
    </row>
    <row r="110" spans="2:10" x14ac:dyDescent="0.25">
      <c r="B110" s="81">
        <v>43234</v>
      </c>
      <c r="C110" s="91"/>
      <c r="D110" s="87"/>
      <c r="E110" s="87"/>
      <c r="F110" s="92"/>
      <c r="G110" s="93"/>
      <c r="H110" s="93"/>
      <c r="I110" s="93"/>
      <c r="J110" s="94"/>
    </row>
    <row r="111" spans="2:10" x14ac:dyDescent="0.25">
      <c r="B111" s="81">
        <v>43235</v>
      </c>
      <c r="C111" s="91"/>
      <c r="D111" s="87"/>
      <c r="E111" s="87"/>
      <c r="F111" s="92"/>
      <c r="G111" s="93"/>
      <c r="H111" s="93"/>
      <c r="I111" s="93"/>
      <c r="J111" s="94"/>
    </row>
    <row r="112" spans="2:10" x14ac:dyDescent="0.25">
      <c r="B112" s="81">
        <v>43236</v>
      </c>
      <c r="C112" s="91"/>
      <c r="D112" s="87"/>
      <c r="E112" s="87"/>
      <c r="F112" s="92"/>
      <c r="G112" s="93"/>
      <c r="H112" s="93"/>
      <c r="I112" s="93"/>
      <c r="J112" s="94"/>
    </row>
    <row r="113" spans="2:10" x14ac:dyDescent="0.25">
      <c r="B113" s="81">
        <v>43237</v>
      </c>
      <c r="C113" s="91"/>
      <c r="D113" s="87"/>
      <c r="E113" s="87"/>
      <c r="F113" s="92"/>
      <c r="G113" s="93"/>
      <c r="H113" s="93"/>
      <c r="I113" s="93"/>
      <c r="J113" s="94"/>
    </row>
    <row r="114" spans="2:10" x14ac:dyDescent="0.25">
      <c r="B114" s="81">
        <v>43238</v>
      </c>
      <c r="C114" s="91"/>
      <c r="D114" s="87"/>
      <c r="E114" s="87"/>
      <c r="F114" s="92"/>
      <c r="G114" s="93"/>
      <c r="H114" s="93"/>
      <c r="I114" s="93"/>
      <c r="J114" s="94"/>
    </row>
    <row r="115" spans="2:10" x14ac:dyDescent="0.25">
      <c r="B115" s="81">
        <v>43239</v>
      </c>
      <c r="C115" s="91"/>
      <c r="D115" s="87"/>
      <c r="E115" s="87"/>
      <c r="F115" s="92"/>
      <c r="G115" s="93"/>
      <c r="H115" s="93"/>
      <c r="I115" s="93"/>
      <c r="J115" s="94"/>
    </row>
    <row r="116" spans="2:10" x14ac:dyDescent="0.25">
      <c r="B116" s="81">
        <v>43240</v>
      </c>
      <c r="C116" s="91"/>
      <c r="D116" s="87"/>
      <c r="E116" s="87"/>
      <c r="F116" s="92"/>
      <c r="G116" s="93"/>
      <c r="H116" s="93"/>
      <c r="I116" s="93"/>
      <c r="J116" s="94"/>
    </row>
    <row r="117" spans="2:10" x14ac:dyDescent="0.25">
      <c r="B117" s="81">
        <v>43241</v>
      </c>
      <c r="C117" s="91"/>
      <c r="D117" s="87"/>
      <c r="E117" s="87"/>
      <c r="F117" s="92"/>
      <c r="G117" s="93"/>
      <c r="H117" s="93"/>
      <c r="I117" s="93"/>
      <c r="J117" s="94"/>
    </row>
    <row r="118" spans="2:10" x14ac:dyDescent="0.25">
      <c r="B118" s="81">
        <v>43242</v>
      </c>
      <c r="C118" s="91"/>
      <c r="D118" s="87"/>
      <c r="E118" s="87"/>
      <c r="F118" s="92"/>
      <c r="G118" s="93"/>
      <c r="H118" s="93"/>
      <c r="I118" s="93"/>
      <c r="J118" s="94"/>
    </row>
    <row r="119" spans="2:10" x14ac:dyDescent="0.25">
      <c r="B119" s="81">
        <v>43243</v>
      </c>
      <c r="C119" s="91"/>
      <c r="D119" s="87"/>
      <c r="E119" s="87"/>
      <c r="F119" s="92"/>
      <c r="G119" s="93"/>
      <c r="H119" s="93"/>
      <c r="I119" s="93"/>
      <c r="J119" s="94"/>
    </row>
    <row r="120" spans="2:10" x14ac:dyDescent="0.25">
      <c r="B120" s="81">
        <v>43244</v>
      </c>
      <c r="C120" s="91"/>
      <c r="D120" s="87"/>
      <c r="E120" s="87"/>
      <c r="F120" s="92"/>
      <c r="G120" s="93"/>
      <c r="H120" s="93"/>
      <c r="I120" s="93"/>
      <c r="J120" s="94"/>
    </row>
    <row r="121" spans="2:10" x14ac:dyDescent="0.25">
      <c r="B121" s="81">
        <v>43245</v>
      </c>
      <c r="C121" s="91"/>
      <c r="D121" s="87"/>
      <c r="E121" s="87"/>
      <c r="F121" s="92"/>
      <c r="G121" s="93"/>
      <c r="H121" s="93"/>
      <c r="I121" s="93"/>
      <c r="J121" s="94"/>
    </row>
    <row r="122" spans="2:10" x14ac:dyDescent="0.25">
      <c r="B122" s="81">
        <v>43246</v>
      </c>
      <c r="C122" s="91"/>
      <c r="D122" s="87"/>
      <c r="E122" s="87"/>
      <c r="F122" s="92"/>
      <c r="G122" s="93"/>
      <c r="H122" s="93"/>
      <c r="I122" s="93"/>
      <c r="J122" s="94"/>
    </row>
    <row r="123" spans="2:10" x14ac:dyDescent="0.25">
      <c r="B123" s="81">
        <v>43247</v>
      </c>
      <c r="C123" s="91"/>
      <c r="D123" s="87"/>
      <c r="E123" s="87"/>
      <c r="F123" s="92"/>
      <c r="G123" s="93"/>
      <c r="H123" s="93"/>
      <c r="I123" s="93"/>
      <c r="J123" s="94"/>
    </row>
    <row r="124" spans="2:10" x14ac:dyDescent="0.25">
      <c r="B124" s="81">
        <v>43248</v>
      </c>
      <c r="C124" s="91"/>
      <c r="D124" s="87"/>
      <c r="E124" s="87"/>
      <c r="F124" s="92"/>
      <c r="G124" s="93"/>
      <c r="H124" s="93"/>
      <c r="I124" s="93"/>
      <c r="J124" s="94"/>
    </row>
    <row r="125" spans="2:10" x14ac:dyDescent="0.25">
      <c r="B125" s="81">
        <v>43249</v>
      </c>
      <c r="C125" s="91"/>
      <c r="D125" s="87"/>
      <c r="E125" s="87"/>
      <c r="F125" s="92"/>
      <c r="G125" s="93"/>
      <c r="H125" s="93"/>
      <c r="I125" s="93"/>
      <c r="J125" s="94"/>
    </row>
    <row r="126" spans="2:10" x14ac:dyDescent="0.25">
      <c r="B126" s="81">
        <v>43250</v>
      </c>
      <c r="C126" s="91"/>
      <c r="D126" s="87"/>
      <c r="E126" s="87"/>
      <c r="F126" s="92"/>
      <c r="G126" s="93"/>
      <c r="H126" s="93"/>
      <c r="I126" s="93"/>
      <c r="J126" s="94"/>
    </row>
    <row r="127" spans="2:10" x14ac:dyDescent="0.25">
      <c r="B127" s="81">
        <v>43251</v>
      </c>
      <c r="C127" s="91"/>
      <c r="D127" s="87"/>
      <c r="E127" s="87"/>
      <c r="F127" s="92"/>
      <c r="G127" s="93"/>
      <c r="H127" s="93"/>
      <c r="I127" s="93"/>
      <c r="J127" s="94"/>
    </row>
    <row r="128" spans="2:10" x14ac:dyDescent="0.25">
      <c r="B128" s="81">
        <v>43252</v>
      </c>
      <c r="C128" s="91"/>
      <c r="D128" s="87"/>
      <c r="E128" s="87"/>
      <c r="F128" s="92"/>
      <c r="G128" s="93"/>
      <c r="H128" s="93"/>
      <c r="I128" s="93"/>
      <c r="J128" s="94"/>
    </row>
    <row r="129" spans="2:10" x14ac:dyDescent="0.25">
      <c r="B129" s="81">
        <v>43253</v>
      </c>
      <c r="C129" s="91"/>
      <c r="D129" s="87"/>
      <c r="E129" s="87"/>
      <c r="F129" s="92"/>
      <c r="G129" s="93"/>
      <c r="H129" s="93"/>
      <c r="I129" s="93"/>
      <c r="J129" s="94"/>
    </row>
    <row r="130" spans="2:10" x14ac:dyDescent="0.25">
      <c r="B130" s="81">
        <v>43254</v>
      </c>
      <c r="C130" s="91"/>
      <c r="D130" s="87"/>
      <c r="E130" s="87"/>
      <c r="F130" s="92"/>
      <c r="G130" s="93"/>
      <c r="H130" s="93"/>
      <c r="I130" s="93"/>
      <c r="J130" s="94"/>
    </row>
    <row r="131" spans="2:10" x14ac:dyDescent="0.25">
      <c r="B131" s="81">
        <v>43255</v>
      </c>
      <c r="C131" s="91"/>
      <c r="D131" s="87"/>
      <c r="E131" s="87"/>
      <c r="F131" s="92"/>
      <c r="G131" s="93"/>
      <c r="H131" s="93"/>
      <c r="I131" s="93"/>
      <c r="J131" s="94"/>
    </row>
    <row r="132" spans="2:10" x14ac:dyDescent="0.25">
      <c r="B132" s="81">
        <v>43256</v>
      </c>
      <c r="C132" s="91"/>
      <c r="D132" s="87"/>
      <c r="E132" s="87"/>
      <c r="F132" s="92"/>
      <c r="G132" s="93"/>
      <c r="H132" s="93"/>
      <c r="I132" s="93"/>
      <c r="J132" s="94"/>
    </row>
    <row r="133" spans="2:10" x14ac:dyDescent="0.25">
      <c r="B133" s="81">
        <v>43257</v>
      </c>
      <c r="C133" s="91"/>
      <c r="D133" s="87"/>
      <c r="E133" s="87"/>
      <c r="F133" s="92"/>
      <c r="G133" s="93"/>
      <c r="H133" s="93"/>
      <c r="I133" s="93"/>
      <c r="J133" s="94"/>
    </row>
    <row r="134" spans="2:10" x14ac:dyDescent="0.25">
      <c r="B134" s="81">
        <v>43258</v>
      </c>
      <c r="C134" s="91"/>
      <c r="D134" s="87"/>
      <c r="E134" s="87"/>
      <c r="F134" s="92"/>
      <c r="G134" s="93"/>
      <c r="H134" s="93"/>
      <c r="I134" s="93"/>
      <c r="J134" s="94"/>
    </row>
    <row r="135" spans="2:10" x14ac:dyDescent="0.25">
      <c r="B135" s="81">
        <v>43259</v>
      </c>
      <c r="C135" s="91"/>
      <c r="D135" s="87"/>
      <c r="E135" s="87"/>
      <c r="F135" s="92"/>
      <c r="G135" s="93"/>
      <c r="H135" s="93"/>
      <c r="I135" s="93"/>
      <c r="J135" s="94"/>
    </row>
    <row r="136" spans="2:10" x14ac:dyDescent="0.25">
      <c r="B136" s="81">
        <v>43260</v>
      </c>
      <c r="C136" s="91"/>
      <c r="D136" s="87"/>
      <c r="E136" s="87"/>
      <c r="F136" s="92"/>
      <c r="G136" s="93"/>
      <c r="H136" s="93"/>
      <c r="I136" s="93"/>
      <c r="J136" s="94"/>
    </row>
    <row r="137" spans="2:10" x14ac:dyDescent="0.25">
      <c r="B137" s="81">
        <v>43261</v>
      </c>
      <c r="C137" s="91"/>
      <c r="D137" s="87"/>
      <c r="E137" s="87"/>
      <c r="F137" s="92"/>
      <c r="G137" s="93"/>
      <c r="H137" s="93"/>
      <c r="I137" s="93"/>
      <c r="J137" s="94"/>
    </row>
    <row r="138" spans="2:10" x14ac:dyDescent="0.25">
      <c r="B138" s="81">
        <v>43262</v>
      </c>
      <c r="C138" s="91"/>
      <c r="D138" s="87"/>
      <c r="E138" s="87"/>
      <c r="F138" s="92"/>
      <c r="G138" s="93"/>
      <c r="H138" s="93"/>
      <c r="I138" s="93"/>
      <c r="J138" s="94"/>
    </row>
    <row r="139" spans="2:10" x14ac:dyDescent="0.25">
      <c r="B139" s="81">
        <v>43263</v>
      </c>
      <c r="C139" s="91"/>
      <c r="D139" s="87"/>
      <c r="E139" s="87"/>
      <c r="F139" s="92"/>
      <c r="G139" s="93"/>
      <c r="H139" s="93"/>
      <c r="I139" s="93"/>
      <c r="J139" s="94"/>
    </row>
    <row r="140" spans="2:10" x14ac:dyDescent="0.25">
      <c r="B140" s="81">
        <v>43264</v>
      </c>
      <c r="C140" s="91"/>
      <c r="D140" s="87"/>
      <c r="E140" s="87"/>
      <c r="F140" s="92"/>
      <c r="G140" s="93"/>
      <c r="H140" s="93"/>
      <c r="I140" s="93"/>
      <c r="J140" s="94"/>
    </row>
    <row r="141" spans="2:10" x14ac:dyDescent="0.25">
      <c r="B141" s="81">
        <v>43265</v>
      </c>
      <c r="C141" s="91"/>
      <c r="D141" s="87"/>
      <c r="E141" s="87"/>
      <c r="F141" s="92"/>
      <c r="G141" s="93"/>
      <c r="H141" s="93"/>
      <c r="I141" s="93"/>
      <c r="J141" s="94"/>
    </row>
    <row r="142" spans="2:10" x14ac:dyDescent="0.25">
      <c r="B142" s="81">
        <v>43266</v>
      </c>
      <c r="C142" s="91"/>
      <c r="D142" s="87"/>
      <c r="E142" s="87"/>
      <c r="F142" s="92"/>
      <c r="G142" s="93"/>
      <c r="H142" s="93"/>
      <c r="I142" s="93"/>
      <c r="J142" s="94"/>
    </row>
    <row r="143" spans="2:10" x14ac:dyDescent="0.25">
      <c r="B143" s="81">
        <v>43267</v>
      </c>
      <c r="C143" s="91"/>
      <c r="D143" s="87"/>
      <c r="E143" s="87"/>
      <c r="F143" s="92"/>
      <c r="G143" s="93"/>
      <c r="H143" s="93"/>
      <c r="I143" s="93"/>
      <c r="J143" s="94"/>
    </row>
    <row r="144" spans="2:10" x14ac:dyDescent="0.25">
      <c r="B144" s="81">
        <v>43268</v>
      </c>
      <c r="C144" s="91"/>
      <c r="D144" s="87"/>
      <c r="E144" s="87"/>
      <c r="F144" s="92"/>
      <c r="G144" s="93"/>
      <c r="H144" s="93"/>
      <c r="I144" s="93"/>
      <c r="J144" s="94"/>
    </row>
    <row r="145" spans="2:10" x14ac:dyDescent="0.25">
      <c r="B145" s="81">
        <v>43269</v>
      </c>
      <c r="C145" s="91"/>
      <c r="D145" s="87"/>
      <c r="E145" s="87"/>
      <c r="F145" s="92"/>
      <c r="G145" s="93"/>
      <c r="H145" s="93"/>
      <c r="I145" s="93"/>
      <c r="J145" s="94"/>
    </row>
    <row r="146" spans="2:10" x14ac:dyDescent="0.25">
      <c r="B146" s="81">
        <v>43270</v>
      </c>
      <c r="C146" s="91"/>
      <c r="D146" s="87"/>
      <c r="E146" s="87"/>
      <c r="F146" s="92"/>
      <c r="G146" s="93"/>
      <c r="H146" s="93"/>
      <c r="I146" s="93"/>
      <c r="J146" s="94"/>
    </row>
    <row r="147" spans="2:10" x14ac:dyDescent="0.25">
      <c r="B147" s="81">
        <v>43271</v>
      </c>
      <c r="C147" s="91"/>
      <c r="D147" s="87"/>
      <c r="E147" s="87"/>
      <c r="F147" s="92"/>
      <c r="G147" s="93"/>
      <c r="H147" s="93"/>
      <c r="I147" s="93"/>
      <c r="J147" s="94"/>
    </row>
    <row r="148" spans="2:10" x14ac:dyDescent="0.25">
      <c r="B148" s="81">
        <v>43272</v>
      </c>
      <c r="C148" s="91"/>
      <c r="D148" s="87"/>
      <c r="E148" s="87"/>
      <c r="F148" s="92"/>
      <c r="G148" s="93"/>
      <c r="H148" s="93"/>
      <c r="I148" s="93"/>
      <c r="J148" s="94"/>
    </row>
    <row r="149" spans="2:10" x14ac:dyDescent="0.25">
      <c r="B149" s="81">
        <v>43273</v>
      </c>
      <c r="C149" s="91"/>
      <c r="D149" s="87"/>
      <c r="E149" s="87"/>
      <c r="F149" s="92"/>
      <c r="G149" s="93"/>
      <c r="H149" s="93"/>
      <c r="I149" s="93"/>
      <c r="J149" s="94"/>
    </row>
    <row r="150" spans="2:10" x14ac:dyDescent="0.25">
      <c r="B150" s="81">
        <v>43274</v>
      </c>
      <c r="C150" s="91"/>
      <c r="D150" s="87"/>
      <c r="E150" s="87"/>
      <c r="F150" s="92"/>
      <c r="G150" s="93"/>
      <c r="H150" s="93"/>
      <c r="I150" s="93"/>
      <c r="J150" s="94"/>
    </row>
    <row r="151" spans="2:10" x14ac:dyDescent="0.25">
      <c r="B151" s="81">
        <v>43275</v>
      </c>
      <c r="C151" s="91"/>
      <c r="D151" s="87"/>
      <c r="E151" s="87"/>
      <c r="F151" s="92"/>
      <c r="G151" s="93"/>
      <c r="H151" s="93"/>
      <c r="I151" s="93"/>
      <c r="J151" s="94"/>
    </row>
    <row r="152" spans="2:10" x14ac:dyDescent="0.25">
      <c r="B152" s="81">
        <v>43276</v>
      </c>
      <c r="C152" s="91"/>
      <c r="D152" s="87"/>
      <c r="E152" s="87"/>
      <c r="F152" s="92"/>
      <c r="G152" s="93"/>
      <c r="H152" s="93"/>
      <c r="I152" s="93"/>
      <c r="J152" s="94"/>
    </row>
    <row r="153" spans="2:10" x14ac:dyDescent="0.25">
      <c r="B153" s="81">
        <v>43277</v>
      </c>
      <c r="C153" s="91"/>
      <c r="D153" s="87"/>
      <c r="E153" s="87"/>
      <c r="F153" s="92"/>
      <c r="G153" s="93"/>
      <c r="H153" s="93"/>
      <c r="I153" s="93"/>
      <c r="J153" s="94"/>
    </row>
    <row r="154" spans="2:10" x14ac:dyDescent="0.25">
      <c r="B154" s="81">
        <v>43278</v>
      </c>
      <c r="C154" s="91"/>
      <c r="D154" s="87"/>
      <c r="E154" s="87"/>
      <c r="F154" s="92"/>
      <c r="G154" s="93"/>
      <c r="H154" s="93"/>
      <c r="I154" s="93"/>
      <c r="J154" s="94"/>
    </row>
    <row r="155" spans="2:10" x14ac:dyDescent="0.25">
      <c r="B155" s="81">
        <v>43279</v>
      </c>
      <c r="C155" s="91"/>
      <c r="D155" s="87"/>
      <c r="E155" s="87"/>
      <c r="F155" s="92"/>
      <c r="G155" s="93"/>
      <c r="H155" s="93"/>
      <c r="I155" s="93"/>
      <c r="J155" s="94"/>
    </row>
    <row r="156" spans="2:10" x14ac:dyDescent="0.25">
      <c r="B156" s="81">
        <v>43280</v>
      </c>
      <c r="C156" s="91"/>
      <c r="D156" s="87"/>
      <c r="E156" s="87"/>
      <c r="F156" s="92"/>
      <c r="G156" s="93"/>
      <c r="H156" s="93"/>
      <c r="I156" s="93"/>
      <c r="J156" s="94"/>
    </row>
    <row r="157" spans="2:10" x14ac:dyDescent="0.25">
      <c r="B157" s="81">
        <v>43281</v>
      </c>
      <c r="C157" s="91"/>
      <c r="D157" s="87"/>
      <c r="E157" s="87"/>
      <c r="F157" s="92"/>
      <c r="G157" s="93"/>
      <c r="H157" s="93"/>
      <c r="I157" s="93"/>
      <c r="J157" s="94"/>
    </row>
    <row r="158" spans="2:10" x14ac:dyDescent="0.25">
      <c r="B158" s="81">
        <v>43282</v>
      </c>
      <c r="C158" s="91"/>
      <c r="D158" s="87"/>
      <c r="E158" s="87"/>
      <c r="F158" s="92"/>
      <c r="G158" s="93"/>
      <c r="H158" s="93"/>
      <c r="I158" s="93"/>
      <c r="J158" s="94"/>
    </row>
    <row r="159" spans="2:10" x14ac:dyDescent="0.25">
      <c r="B159" s="81">
        <v>43283</v>
      </c>
      <c r="C159" s="91"/>
      <c r="D159" s="87"/>
      <c r="E159" s="87"/>
      <c r="F159" s="92"/>
      <c r="G159" s="93"/>
      <c r="H159" s="93"/>
      <c r="I159" s="93"/>
      <c r="J159" s="94"/>
    </row>
    <row r="160" spans="2:10" x14ac:dyDescent="0.25">
      <c r="B160" s="81">
        <v>43284</v>
      </c>
      <c r="C160" s="91"/>
      <c r="D160" s="87"/>
      <c r="E160" s="87"/>
      <c r="F160" s="92"/>
      <c r="G160" s="93"/>
      <c r="H160" s="93"/>
      <c r="I160" s="93"/>
      <c r="J160" s="94"/>
    </row>
    <row r="161" spans="2:10" x14ac:dyDescent="0.25">
      <c r="B161" s="81">
        <v>43285</v>
      </c>
      <c r="C161" s="91"/>
      <c r="D161" s="87"/>
      <c r="E161" s="87"/>
      <c r="F161" s="92"/>
      <c r="G161" s="93"/>
      <c r="H161" s="93"/>
      <c r="I161" s="93"/>
      <c r="J161" s="94"/>
    </row>
    <row r="162" spans="2:10" x14ac:dyDescent="0.25">
      <c r="B162" s="81">
        <v>43286</v>
      </c>
      <c r="C162" s="91"/>
      <c r="D162" s="87"/>
      <c r="E162" s="87"/>
      <c r="F162" s="92"/>
      <c r="G162" s="93"/>
      <c r="H162" s="93"/>
      <c r="I162" s="93"/>
      <c r="J162" s="94"/>
    </row>
    <row r="163" spans="2:10" x14ac:dyDescent="0.25">
      <c r="B163" s="81">
        <v>43287</v>
      </c>
      <c r="C163" s="91"/>
      <c r="D163" s="87"/>
      <c r="E163" s="87"/>
      <c r="F163" s="92"/>
      <c r="G163" s="93"/>
      <c r="H163" s="93"/>
      <c r="I163" s="93"/>
      <c r="J163" s="94"/>
    </row>
    <row r="164" spans="2:10" x14ac:dyDescent="0.25">
      <c r="B164" s="81">
        <v>43288</v>
      </c>
      <c r="C164" s="91"/>
      <c r="D164" s="87"/>
      <c r="E164" s="87"/>
      <c r="F164" s="92"/>
      <c r="G164" s="93"/>
      <c r="H164" s="93"/>
      <c r="I164" s="93"/>
      <c r="J164" s="94"/>
    </row>
    <row r="165" spans="2:10" x14ac:dyDescent="0.25">
      <c r="B165" s="81">
        <v>43289</v>
      </c>
      <c r="C165" s="91"/>
      <c r="D165" s="87"/>
      <c r="E165" s="87"/>
      <c r="F165" s="92"/>
      <c r="G165" s="93"/>
      <c r="H165" s="93"/>
      <c r="I165" s="93"/>
      <c r="J165" s="94"/>
    </row>
    <row r="166" spans="2:10" x14ac:dyDescent="0.25">
      <c r="B166" s="81">
        <v>43290</v>
      </c>
      <c r="C166" s="91"/>
      <c r="D166" s="87"/>
      <c r="E166" s="87"/>
      <c r="F166" s="92"/>
      <c r="G166" s="93"/>
      <c r="H166" s="93"/>
      <c r="I166" s="93"/>
      <c r="J166" s="94"/>
    </row>
    <row r="167" spans="2:10" x14ac:dyDescent="0.25">
      <c r="B167" s="81">
        <v>43291</v>
      </c>
      <c r="C167" s="91"/>
      <c r="D167" s="87"/>
      <c r="E167" s="87"/>
      <c r="F167" s="92"/>
      <c r="G167" s="93"/>
      <c r="H167" s="93"/>
      <c r="I167" s="93"/>
      <c r="J167" s="94"/>
    </row>
    <row r="168" spans="2:10" x14ac:dyDescent="0.25">
      <c r="B168" s="81">
        <v>43292</v>
      </c>
      <c r="C168" s="91"/>
      <c r="D168" s="87"/>
      <c r="E168" s="87"/>
      <c r="F168" s="92"/>
      <c r="G168" s="93"/>
      <c r="H168" s="93"/>
      <c r="I168" s="93"/>
      <c r="J168" s="94"/>
    </row>
    <row r="169" spans="2:10" x14ac:dyDescent="0.25">
      <c r="B169" s="81">
        <v>43293</v>
      </c>
      <c r="C169" s="91"/>
      <c r="D169" s="87"/>
      <c r="E169" s="87"/>
      <c r="F169" s="92"/>
      <c r="G169" s="93"/>
      <c r="H169" s="93"/>
      <c r="I169" s="93"/>
      <c r="J169" s="94"/>
    </row>
    <row r="170" spans="2:10" x14ac:dyDescent="0.25">
      <c r="B170" s="81">
        <v>43294</v>
      </c>
      <c r="C170" s="91"/>
      <c r="D170" s="87"/>
      <c r="E170" s="87"/>
      <c r="F170" s="92"/>
      <c r="G170" s="93"/>
      <c r="H170" s="93"/>
      <c r="I170" s="93"/>
      <c r="J170" s="94"/>
    </row>
    <row r="171" spans="2:10" x14ac:dyDescent="0.25">
      <c r="B171" s="81">
        <v>43295</v>
      </c>
      <c r="C171" s="91"/>
      <c r="D171" s="87"/>
      <c r="E171" s="87"/>
      <c r="F171" s="92"/>
      <c r="G171" s="93"/>
      <c r="H171" s="93"/>
      <c r="I171" s="93"/>
      <c r="J171" s="94"/>
    </row>
    <row r="172" spans="2:10" x14ac:dyDescent="0.25">
      <c r="B172" s="81">
        <v>43296</v>
      </c>
      <c r="C172" s="91"/>
      <c r="D172" s="87"/>
      <c r="E172" s="87"/>
      <c r="F172" s="92"/>
      <c r="G172" s="93"/>
      <c r="H172" s="93"/>
      <c r="I172" s="93"/>
      <c r="J172" s="94"/>
    </row>
    <row r="173" spans="2:10" x14ac:dyDescent="0.25">
      <c r="B173" s="81">
        <v>43297</v>
      </c>
      <c r="C173" s="91"/>
      <c r="D173" s="87"/>
      <c r="E173" s="87"/>
      <c r="F173" s="92"/>
      <c r="G173" s="93"/>
      <c r="H173" s="93"/>
      <c r="I173" s="93"/>
      <c r="J173" s="94"/>
    </row>
    <row r="174" spans="2:10" x14ac:dyDescent="0.25">
      <c r="B174" s="81">
        <v>43298</v>
      </c>
      <c r="C174" s="91"/>
      <c r="D174" s="87"/>
      <c r="E174" s="87"/>
      <c r="F174" s="92"/>
      <c r="G174" s="93"/>
      <c r="H174" s="93"/>
      <c r="I174" s="93"/>
      <c r="J174" s="94"/>
    </row>
    <row r="175" spans="2:10" x14ac:dyDescent="0.25">
      <c r="B175" s="81">
        <v>43299</v>
      </c>
      <c r="C175" s="91"/>
      <c r="D175" s="87"/>
      <c r="E175" s="87"/>
      <c r="F175" s="92"/>
      <c r="G175" s="93"/>
      <c r="H175" s="93"/>
      <c r="I175" s="93"/>
      <c r="J175" s="94"/>
    </row>
    <row r="176" spans="2:10" x14ac:dyDescent="0.25">
      <c r="B176" s="81">
        <v>43300</v>
      </c>
      <c r="C176" s="91"/>
      <c r="D176" s="87"/>
      <c r="E176" s="87"/>
      <c r="F176" s="92"/>
      <c r="G176" s="93"/>
      <c r="H176" s="93"/>
      <c r="I176" s="93"/>
      <c r="J176" s="94"/>
    </row>
    <row r="177" spans="2:10" x14ac:dyDescent="0.25">
      <c r="B177" s="81">
        <v>43301</v>
      </c>
      <c r="C177" s="91"/>
      <c r="D177" s="87"/>
      <c r="E177" s="87"/>
      <c r="F177" s="92"/>
      <c r="G177" s="93"/>
      <c r="H177" s="93"/>
      <c r="I177" s="93"/>
      <c r="J177" s="94"/>
    </row>
    <row r="178" spans="2:10" x14ac:dyDescent="0.25">
      <c r="B178" s="81">
        <v>43302</v>
      </c>
      <c r="C178" s="91"/>
      <c r="D178" s="87"/>
      <c r="E178" s="87"/>
      <c r="F178" s="92"/>
      <c r="G178" s="93"/>
      <c r="H178" s="93"/>
      <c r="I178" s="93"/>
      <c r="J178" s="94"/>
    </row>
    <row r="179" spans="2:10" x14ac:dyDescent="0.25">
      <c r="B179" s="81">
        <v>43303</v>
      </c>
      <c r="C179" s="91"/>
      <c r="D179" s="87"/>
      <c r="E179" s="87"/>
      <c r="F179" s="92"/>
      <c r="G179" s="93"/>
      <c r="H179" s="93"/>
      <c r="I179" s="93"/>
      <c r="J179" s="94"/>
    </row>
    <row r="180" spans="2:10" x14ac:dyDescent="0.25">
      <c r="B180" s="81">
        <v>43304</v>
      </c>
      <c r="C180" s="91"/>
      <c r="D180" s="87"/>
      <c r="E180" s="87"/>
      <c r="F180" s="92"/>
      <c r="G180" s="93"/>
      <c r="H180" s="93"/>
      <c r="I180" s="93"/>
      <c r="J180" s="94"/>
    </row>
    <row r="181" spans="2:10" x14ac:dyDescent="0.25">
      <c r="B181" s="81">
        <v>43305</v>
      </c>
      <c r="C181" s="91"/>
      <c r="D181" s="87"/>
      <c r="E181" s="87"/>
      <c r="F181" s="92"/>
      <c r="G181" s="93"/>
      <c r="H181" s="93"/>
      <c r="I181" s="93"/>
      <c r="J181" s="94"/>
    </row>
    <row r="182" spans="2:10" x14ac:dyDescent="0.25">
      <c r="B182" s="81">
        <v>43306</v>
      </c>
      <c r="C182" s="91"/>
      <c r="D182" s="87"/>
      <c r="E182" s="87"/>
      <c r="F182" s="92"/>
      <c r="G182" s="93"/>
      <c r="H182" s="93"/>
      <c r="I182" s="93"/>
      <c r="J182" s="94"/>
    </row>
    <row r="183" spans="2:10" x14ac:dyDescent="0.25">
      <c r="B183" s="81">
        <v>43307</v>
      </c>
      <c r="C183" s="91"/>
      <c r="D183" s="87"/>
      <c r="E183" s="87"/>
      <c r="F183" s="92"/>
      <c r="G183" s="93"/>
      <c r="H183" s="93"/>
      <c r="I183" s="93"/>
      <c r="J183" s="94"/>
    </row>
    <row r="184" spans="2:10" x14ac:dyDescent="0.25">
      <c r="B184" s="81">
        <v>43308</v>
      </c>
      <c r="C184" s="91"/>
      <c r="D184" s="87"/>
      <c r="E184" s="87"/>
      <c r="F184" s="92"/>
      <c r="G184" s="93"/>
      <c r="H184" s="93"/>
      <c r="I184" s="93"/>
      <c r="J184" s="94"/>
    </row>
    <row r="185" spans="2:10" x14ac:dyDescent="0.25">
      <c r="B185" s="81">
        <v>43309</v>
      </c>
      <c r="C185" s="91"/>
      <c r="D185" s="87"/>
      <c r="E185" s="87"/>
      <c r="F185" s="92"/>
      <c r="G185" s="93"/>
      <c r="H185" s="93"/>
      <c r="I185" s="93"/>
      <c r="J185" s="94"/>
    </row>
    <row r="186" spans="2:10" x14ac:dyDescent="0.25">
      <c r="B186" s="81">
        <v>43310</v>
      </c>
      <c r="C186" s="91"/>
      <c r="D186" s="87"/>
      <c r="E186" s="87"/>
      <c r="F186" s="92"/>
      <c r="G186" s="93"/>
      <c r="H186" s="93"/>
      <c r="I186" s="93"/>
      <c r="J186" s="94"/>
    </row>
    <row r="187" spans="2:10" x14ac:dyDescent="0.25">
      <c r="B187" s="81">
        <v>43311</v>
      </c>
      <c r="C187" s="91"/>
      <c r="D187" s="87"/>
      <c r="E187" s="87"/>
      <c r="F187" s="92"/>
      <c r="G187" s="93"/>
      <c r="H187" s="93"/>
      <c r="I187" s="93"/>
      <c r="J187" s="94"/>
    </row>
    <row r="188" spans="2:10" x14ac:dyDescent="0.25">
      <c r="B188" s="81">
        <v>43312</v>
      </c>
      <c r="C188" s="91"/>
      <c r="D188" s="87"/>
      <c r="E188" s="87"/>
      <c r="F188" s="92"/>
      <c r="G188" s="93"/>
      <c r="H188" s="93"/>
      <c r="I188" s="93"/>
      <c r="J188" s="94"/>
    </row>
    <row r="189" spans="2:10" x14ac:dyDescent="0.25">
      <c r="B189" s="81">
        <v>43313</v>
      </c>
      <c r="C189" s="91"/>
      <c r="D189" s="87"/>
      <c r="E189" s="87"/>
      <c r="F189" s="92"/>
      <c r="G189" s="93"/>
      <c r="H189" s="93"/>
      <c r="I189" s="93"/>
      <c r="J189" s="94"/>
    </row>
    <row r="190" spans="2:10" x14ac:dyDescent="0.25">
      <c r="B190" s="81">
        <v>43314</v>
      </c>
      <c r="C190" s="91"/>
      <c r="D190" s="87"/>
      <c r="E190" s="87"/>
      <c r="F190" s="92"/>
      <c r="G190" s="93"/>
      <c r="H190" s="93"/>
      <c r="I190" s="93"/>
      <c r="J190" s="94"/>
    </row>
    <row r="191" spans="2:10" x14ac:dyDescent="0.25">
      <c r="B191" s="81">
        <v>43315</v>
      </c>
      <c r="C191" s="91"/>
      <c r="D191" s="87"/>
      <c r="E191" s="87"/>
      <c r="F191" s="92"/>
      <c r="G191" s="93"/>
      <c r="H191" s="93"/>
      <c r="I191" s="93"/>
      <c r="J191" s="94"/>
    </row>
    <row r="192" spans="2:10" x14ac:dyDescent="0.25">
      <c r="B192" s="81">
        <v>43316</v>
      </c>
      <c r="C192" s="91"/>
      <c r="D192" s="87"/>
      <c r="E192" s="87"/>
      <c r="F192" s="92"/>
      <c r="G192" s="93"/>
      <c r="H192" s="93"/>
      <c r="I192" s="93"/>
      <c r="J192" s="94"/>
    </row>
    <row r="193" spans="2:10" x14ac:dyDescent="0.25">
      <c r="B193" s="81">
        <v>43317</v>
      </c>
      <c r="C193" s="91"/>
      <c r="D193" s="87"/>
      <c r="E193" s="87"/>
      <c r="F193" s="92"/>
      <c r="G193" s="93"/>
      <c r="H193" s="93"/>
      <c r="I193" s="93"/>
      <c r="J193" s="94"/>
    </row>
    <row r="194" spans="2:10" x14ac:dyDescent="0.25">
      <c r="B194" s="81">
        <v>43318</v>
      </c>
      <c r="C194" s="91"/>
      <c r="D194" s="87"/>
      <c r="E194" s="87"/>
      <c r="F194" s="92"/>
      <c r="G194" s="93"/>
      <c r="H194" s="93"/>
      <c r="I194" s="93"/>
      <c r="J194" s="94"/>
    </row>
    <row r="195" spans="2:10" x14ac:dyDescent="0.25">
      <c r="B195" s="81">
        <v>43319</v>
      </c>
      <c r="C195" s="91"/>
      <c r="D195" s="87"/>
      <c r="E195" s="87"/>
      <c r="F195" s="92"/>
      <c r="G195" s="93"/>
      <c r="H195" s="93"/>
      <c r="I195" s="93"/>
      <c r="J195" s="94"/>
    </row>
    <row r="196" spans="2:10" x14ac:dyDescent="0.25">
      <c r="B196" s="81">
        <v>43320</v>
      </c>
      <c r="C196" s="91"/>
      <c r="D196" s="87"/>
      <c r="E196" s="87"/>
      <c r="F196" s="92"/>
      <c r="G196" s="93"/>
      <c r="H196" s="93"/>
      <c r="I196" s="93"/>
      <c r="J196" s="94"/>
    </row>
    <row r="197" spans="2:10" x14ac:dyDescent="0.25">
      <c r="B197" s="81">
        <v>43321</v>
      </c>
      <c r="C197" s="91"/>
      <c r="D197" s="87"/>
      <c r="E197" s="87"/>
      <c r="F197" s="92"/>
      <c r="G197" s="93"/>
      <c r="H197" s="93"/>
      <c r="I197" s="93"/>
      <c r="J197" s="94"/>
    </row>
    <row r="198" spans="2:10" x14ac:dyDescent="0.25">
      <c r="B198" s="81">
        <v>43322</v>
      </c>
      <c r="C198" s="91"/>
      <c r="D198" s="87"/>
      <c r="E198" s="87"/>
      <c r="F198" s="92"/>
      <c r="G198" s="93"/>
      <c r="H198" s="93"/>
      <c r="I198" s="93"/>
      <c r="J198" s="94"/>
    </row>
    <row r="199" spans="2:10" x14ac:dyDescent="0.25">
      <c r="B199" s="81">
        <v>43323</v>
      </c>
      <c r="C199" s="91"/>
      <c r="D199" s="87"/>
      <c r="E199" s="87"/>
      <c r="F199" s="92"/>
      <c r="G199" s="93"/>
      <c r="H199" s="93"/>
      <c r="I199" s="93"/>
      <c r="J199" s="94"/>
    </row>
    <row r="200" spans="2:10" x14ac:dyDescent="0.25">
      <c r="B200" s="81">
        <v>43324</v>
      </c>
      <c r="C200" s="91"/>
      <c r="D200" s="87"/>
      <c r="E200" s="87"/>
      <c r="F200" s="92"/>
      <c r="G200" s="93"/>
      <c r="H200" s="93"/>
      <c r="I200" s="93"/>
      <c r="J200" s="94"/>
    </row>
    <row r="201" spans="2:10" x14ac:dyDescent="0.25">
      <c r="B201" s="81">
        <v>43325</v>
      </c>
      <c r="C201" s="91"/>
      <c r="D201" s="87"/>
      <c r="E201" s="87"/>
      <c r="F201" s="92"/>
      <c r="G201" s="93"/>
      <c r="H201" s="93"/>
      <c r="I201" s="93"/>
      <c r="J201" s="94"/>
    </row>
    <row r="202" spans="2:10" x14ac:dyDescent="0.25">
      <c r="B202" s="81">
        <v>43326</v>
      </c>
      <c r="C202" s="91"/>
      <c r="D202" s="87"/>
      <c r="E202" s="87"/>
      <c r="F202" s="92"/>
      <c r="G202" s="93"/>
      <c r="H202" s="93"/>
      <c r="I202" s="93"/>
      <c r="J202" s="94"/>
    </row>
    <row r="203" spans="2:10" x14ac:dyDescent="0.25">
      <c r="B203" s="81">
        <v>43327</v>
      </c>
      <c r="C203" s="91"/>
      <c r="D203" s="87"/>
      <c r="E203" s="87"/>
      <c r="F203" s="92"/>
      <c r="G203" s="93"/>
      <c r="H203" s="93"/>
      <c r="I203" s="93"/>
      <c r="J203" s="94"/>
    </row>
    <row r="204" spans="2:10" x14ac:dyDescent="0.25">
      <c r="B204" s="81">
        <v>43328</v>
      </c>
      <c r="C204" s="91"/>
      <c r="D204" s="87"/>
      <c r="E204" s="87"/>
      <c r="F204" s="92"/>
      <c r="G204" s="93"/>
      <c r="H204" s="93"/>
      <c r="I204" s="93"/>
      <c r="J204" s="94"/>
    </row>
    <row r="205" spans="2:10" x14ac:dyDescent="0.25">
      <c r="B205" s="81">
        <v>43329</v>
      </c>
      <c r="C205" s="91"/>
      <c r="D205" s="87"/>
      <c r="E205" s="87"/>
      <c r="F205" s="92"/>
      <c r="G205" s="93"/>
      <c r="H205" s="93"/>
      <c r="I205" s="93"/>
      <c r="J205" s="94"/>
    </row>
    <row r="206" spans="2:10" x14ac:dyDescent="0.25">
      <c r="B206" s="81">
        <v>43330</v>
      </c>
      <c r="C206" s="91"/>
      <c r="D206" s="87"/>
      <c r="E206" s="87"/>
      <c r="F206" s="92"/>
      <c r="G206" s="93"/>
      <c r="H206" s="93"/>
      <c r="I206" s="93"/>
      <c r="J206" s="94"/>
    </row>
    <row r="207" spans="2:10" x14ac:dyDescent="0.25">
      <c r="B207" s="81">
        <v>43331</v>
      </c>
      <c r="C207" s="91"/>
      <c r="D207" s="87"/>
      <c r="E207" s="87"/>
      <c r="F207" s="92"/>
      <c r="G207" s="93"/>
      <c r="H207" s="93"/>
      <c r="I207" s="93"/>
      <c r="J207" s="94"/>
    </row>
    <row r="208" spans="2:10" x14ac:dyDescent="0.25">
      <c r="B208" s="81">
        <v>43332</v>
      </c>
      <c r="C208" s="91"/>
      <c r="D208" s="87"/>
      <c r="E208" s="87"/>
      <c r="F208" s="92"/>
      <c r="G208" s="93"/>
      <c r="H208" s="93"/>
      <c r="I208" s="93"/>
      <c r="J208" s="94"/>
    </row>
    <row r="209" spans="2:10" x14ac:dyDescent="0.25">
      <c r="B209" s="81">
        <v>43333</v>
      </c>
      <c r="C209" s="91"/>
      <c r="D209" s="87"/>
      <c r="E209" s="87"/>
      <c r="F209" s="92"/>
      <c r="G209" s="93"/>
      <c r="H209" s="93"/>
      <c r="I209" s="93"/>
      <c r="J209" s="94"/>
    </row>
    <row r="210" spans="2:10" x14ac:dyDescent="0.25">
      <c r="B210" s="81">
        <v>43334</v>
      </c>
      <c r="C210" s="91"/>
      <c r="D210" s="87"/>
      <c r="E210" s="87"/>
      <c r="F210" s="92"/>
      <c r="G210" s="93"/>
      <c r="H210" s="93"/>
      <c r="I210" s="93"/>
      <c r="J210" s="94"/>
    </row>
    <row r="211" spans="2:10" x14ac:dyDescent="0.25">
      <c r="B211" s="81">
        <v>43335</v>
      </c>
      <c r="C211" s="91"/>
      <c r="D211" s="87"/>
      <c r="E211" s="87"/>
      <c r="F211" s="92"/>
      <c r="G211" s="93"/>
      <c r="H211" s="93"/>
      <c r="I211" s="93"/>
      <c r="J211" s="94"/>
    </row>
    <row r="212" spans="2:10" x14ac:dyDescent="0.25">
      <c r="B212" s="81">
        <v>43336</v>
      </c>
      <c r="C212" s="91"/>
      <c r="D212" s="87"/>
      <c r="E212" s="87"/>
      <c r="F212" s="92"/>
      <c r="G212" s="93"/>
      <c r="H212" s="93"/>
      <c r="I212" s="93"/>
      <c r="J212" s="94"/>
    </row>
    <row r="213" spans="2:10" x14ac:dyDescent="0.25">
      <c r="B213" s="81">
        <v>43337</v>
      </c>
      <c r="C213" s="91"/>
      <c r="D213" s="87"/>
      <c r="E213" s="87"/>
      <c r="F213" s="92"/>
      <c r="G213" s="93"/>
      <c r="H213" s="93"/>
      <c r="I213" s="93"/>
      <c r="J213" s="94"/>
    </row>
    <row r="214" spans="2:10" x14ac:dyDescent="0.25">
      <c r="B214" s="81">
        <v>43338</v>
      </c>
      <c r="C214" s="91"/>
      <c r="D214" s="87"/>
      <c r="E214" s="87"/>
      <c r="F214" s="92"/>
      <c r="G214" s="93"/>
      <c r="H214" s="93"/>
      <c r="I214" s="93"/>
      <c r="J214" s="94"/>
    </row>
    <row r="215" spans="2:10" x14ac:dyDescent="0.25">
      <c r="B215" s="81">
        <v>43339</v>
      </c>
      <c r="C215" s="91"/>
      <c r="D215" s="87"/>
      <c r="E215" s="87"/>
      <c r="F215" s="92"/>
      <c r="G215" s="93"/>
      <c r="H215" s="93"/>
      <c r="I215" s="93"/>
      <c r="J215" s="94"/>
    </row>
    <row r="216" spans="2:10" x14ac:dyDescent="0.25">
      <c r="B216" s="81">
        <v>43340</v>
      </c>
      <c r="C216" s="91"/>
      <c r="D216" s="87"/>
      <c r="E216" s="87"/>
      <c r="F216" s="92"/>
      <c r="G216" s="93"/>
      <c r="H216" s="93"/>
      <c r="I216" s="93"/>
      <c r="J216" s="94"/>
    </row>
    <row r="217" spans="2:10" x14ac:dyDescent="0.25">
      <c r="B217" s="81">
        <v>43341</v>
      </c>
      <c r="C217" s="91"/>
      <c r="D217" s="87"/>
      <c r="E217" s="87"/>
      <c r="F217" s="92"/>
      <c r="G217" s="93"/>
      <c r="H217" s="93"/>
      <c r="I217" s="93"/>
      <c r="J217" s="94"/>
    </row>
    <row r="218" spans="2:10" x14ac:dyDescent="0.25">
      <c r="B218" s="81">
        <v>43342</v>
      </c>
      <c r="C218" s="91"/>
      <c r="D218" s="87"/>
      <c r="E218" s="87"/>
      <c r="F218" s="92"/>
      <c r="G218" s="93"/>
      <c r="H218" s="93"/>
      <c r="I218" s="93"/>
      <c r="J218" s="94"/>
    </row>
    <row r="219" spans="2:10" x14ac:dyDescent="0.25">
      <c r="B219" s="81">
        <v>43343</v>
      </c>
      <c r="C219" s="91"/>
      <c r="D219" s="87"/>
      <c r="E219" s="87"/>
      <c r="F219" s="92"/>
      <c r="G219" s="93"/>
      <c r="H219" s="93"/>
      <c r="I219" s="93"/>
      <c r="J219" s="94"/>
    </row>
    <row r="220" spans="2:10" x14ac:dyDescent="0.25">
      <c r="B220" s="81">
        <v>43344</v>
      </c>
      <c r="C220" s="91"/>
      <c r="D220" s="87"/>
      <c r="E220" s="87"/>
      <c r="F220" s="92"/>
      <c r="G220" s="93"/>
      <c r="H220" s="93"/>
      <c r="I220" s="93"/>
      <c r="J220" s="94"/>
    </row>
    <row r="221" spans="2:10" x14ac:dyDescent="0.25">
      <c r="B221" s="81">
        <v>43345</v>
      </c>
      <c r="C221" s="91"/>
      <c r="D221" s="87"/>
      <c r="E221" s="87"/>
      <c r="F221" s="92"/>
      <c r="G221" s="93"/>
      <c r="H221" s="93"/>
      <c r="I221" s="93"/>
      <c r="J221" s="94"/>
    </row>
    <row r="222" spans="2:10" x14ac:dyDescent="0.25">
      <c r="B222" s="81">
        <v>43346</v>
      </c>
      <c r="C222" s="91"/>
      <c r="D222" s="87"/>
      <c r="E222" s="87"/>
      <c r="F222" s="92"/>
      <c r="G222" s="93"/>
      <c r="H222" s="93"/>
      <c r="I222" s="93"/>
      <c r="J222" s="94"/>
    </row>
    <row r="223" spans="2:10" x14ac:dyDescent="0.25">
      <c r="B223" s="81">
        <v>43347</v>
      </c>
      <c r="C223" s="91"/>
      <c r="D223" s="87"/>
      <c r="E223" s="87"/>
      <c r="F223" s="92"/>
      <c r="G223" s="93"/>
      <c r="H223" s="93"/>
      <c r="I223" s="93"/>
      <c r="J223" s="94"/>
    </row>
    <row r="224" spans="2:10" x14ac:dyDescent="0.25">
      <c r="B224" s="81">
        <v>43348</v>
      </c>
      <c r="C224" s="91"/>
      <c r="D224" s="87"/>
      <c r="E224" s="87"/>
      <c r="F224" s="92"/>
      <c r="G224" s="93"/>
      <c r="H224" s="93"/>
      <c r="I224" s="93"/>
      <c r="J224" s="94"/>
    </row>
    <row r="225" spans="2:10" x14ac:dyDescent="0.25">
      <c r="B225" s="81">
        <v>43349</v>
      </c>
      <c r="C225" s="91"/>
      <c r="D225" s="87"/>
      <c r="E225" s="87"/>
      <c r="F225" s="92"/>
      <c r="G225" s="93"/>
      <c r="H225" s="93"/>
      <c r="I225" s="93"/>
      <c r="J225" s="94"/>
    </row>
    <row r="226" spans="2:10" x14ac:dyDescent="0.25">
      <c r="B226" s="81">
        <v>43350</v>
      </c>
      <c r="C226" s="91"/>
      <c r="D226" s="87"/>
      <c r="E226" s="87"/>
      <c r="F226" s="92"/>
      <c r="G226" s="93"/>
      <c r="H226" s="93"/>
      <c r="I226" s="93"/>
      <c r="J226" s="94"/>
    </row>
    <row r="227" spans="2:10" x14ac:dyDescent="0.25">
      <c r="B227" s="81">
        <v>43351</v>
      </c>
      <c r="C227" s="91"/>
      <c r="D227" s="87"/>
      <c r="E227" s="87"/>
      <c r="F227" s="92"/>
      <c r="G227" s="93"/>
      <c r="H227" s="93"/>
      <c r="I227" s="93"/>
      <c r="J227" s="94"/>
    </row>
    <row r="228" spans="2:10" x14ac:dyDescent="0.25">
      <c r="B228" s="81">
        <v>43352</v>
      </c>
      <c r="C228" s="91"/>
      <c r="D228" s="87"/>
      <c r="E228" s="87"/>
      <c r="F228" s="92"/>
      <c r="G228" s="93"/>
      <c r="H228" s="93"/>
      <c r="I228" s="93"/>
      <c r="J228" s="94"/>
    </row>
    <row r="229" spans="2:10" x14ac:dyDescent="0.25">
      <c r="B229" s="81">
        <v>43353</v>
      </c>
      <c r="C229" s="91"/>
      <c r="D229" s="87"/>
      <c r="E229" s="87"/>
      <c r="F229" s="92"/>
      <c r="G229" s="93"/>
      <c r="H229" s="93"/>
      <c r="I229" s="93"/>
      <c r="J229" s="94"/>
    </row>
    <row r="230" spans="2:10" x14ac:dyDescent="0.25">
      <c r="B230" s="81">
        <v>43354</v>
      </c>
      <c r="C230" s="91"/>
      <c r="D230" s="87"/>
      <c r="E230" s="87"/>
      <c r="F230" s="92"/>
      <c r="G230" s="93"/>
      <c r="H230" s="93"/>
      <c r="I230" s="93"/>
      <c r="J230" s="94"/>
    </row>
    <row r="231" spans="2:10" x14ac:dyDescent="0.25">
      <c r="B231" s="81">
        <v>43355</v>
      </c>
      <c r="C231" s="91"/>
      <c r="D231" s="87"/>
      <c r="E231" s="87"/>
      <c r="F231" s="92"/>
      <c r="G231" s="93"/>
      <c r="H231" s="93"/>
      <c r="I231" s="93"/>
      <c r="J231" s="94"/>
    </row>
    <row r="232" spans="2:10" x14ac:dyDescent="0.25">
      <c r="B232" s="81">
        <v>43356</v>
      </c>
      <c r="C232" s="91"/>
      <c r="D232" s="87"/>
      <c r="E232" s="87"/>
      <c r="F232" s="92"/>
      <c r="G232" s="93"/>
      <c r="H232" s="93"/>
      <c r="I232" s="93"/>
      <c r="J232" s="94"/>
    </row>
    <row r="233" spans="2:10" x14ac:dyDescent="0.25">
      <c r="B233" s="81">
        <v>43357</v>
      </c>
      <c r="C233" s="91"/>
      <c r="D233" s="87"/>
      <c r="E233" s="87"/>
      <c r="F233" s="92"/>
      <c r="G233" s="93"/>
      <c r="H233" s="93"/>
      <c r="I233" s="93"/>
      <c r="J233" s="94"/>
    </row>
    <row r="234" spans="2:10" x14ac:dyDescent="0.25">
      <c r="B234" s="81">
        <v>43358</v>
      </c>
      <c r="C234" s="91"/>
      <c r="D234" s="87"/>
      <c r="E234" s="87"/>
      <c r="F234" s="92"/>
      <c r="G234" s="93"/>
      <c r="H234" s="93"/>
      <c r="I234" s="93"/>
      <c r="J234" s="94"/>
    </row>
    <row r="235" spans="2:10" x14ac:dyDescent="0.25">
      <c r="B235" s="81">
        <v>43359</v>
      </c>
      <c r="C235" s="91"/>
      <c r="D235" s="87"/>
      <c r="E235" s="87"/>
      <c r="F235" s="92"/>
      <c r="G235" s="93"/>
      <c r="H235" s="93"/>
      <c r="I235" s="93"/>
      <c r="J235" s="94"/>
    </row>
    <row r="236" spans="2:10" x14ac:dyDescent="0.25">
      <c r="B236" s="81">
        <v>43360</v>
      </c>
      <c r="C236" s="91"/>
      <c r="D236" s="87"/>
      <c r="E236" s="87"/>
      <c r="F236" s="92"/>
      <c r="G236" s="93"/>
      <c r="H236" s="93"/>
      <c r="I236" s="93"/>
      <c r="J236" s="94"/>
    </row>
    <row r="237" spans="2:10" x14ac:dyDescent="0.25">
      <c r="B237" s="81">
        <v>43361</v>
      </c>
      <c r="C237" s="91"/>
      <c r="D237" s="87"/>
      <c r="E237" s="87"/>
      <c r="F237" s="92"/>
      <c r="G237" s="93"/>
      <c r="H237" s="93"/>
      <c r="I237" s="93"/>
      <c r="J237" s="94"/>
    </row>
    <row r="238" spans="2:10" x14ac:dyDescent="0.25">
      <c r="B238" s="81">
        <v>43362</v>
      </c>
      <c r="C238" s="91"/>
      <c r="D238" s="87"/>
      <c r="E238" s="87"/>
      <c r="F238" s="92"/>
      <c r="G238" s="93"/>
      <c r="H238" s="93"/>
      <c r="I238" s="93"/>
      <c r="J238" s="94"/>
    </row>
    <row r="239" spans="2:10" x14ac:dyDescent="0.25">
      <c r="B239" s="81">
        <v>43363</v>
      </c>
      <c r="C239" s="91"/>
      <c r="D239" s="87"/>
      <c r="E239" s="87"/>
      <c r="F239" s="92"/>
      <c r="G239" s="93"/>
      <c r="H239" s="93"/>
      <c r="I239" s="93"/>
      <c r="J239" s="94"/>
    </row>
    <row r="240" spans="2:10" x14ac:dyDescent="0.25">
      <c r="B240" s="81">
        <v>43364</v>
      </c>
      <c r="C240" s="91"/>
      <c r="D240" s="87"/>
      <c r="E240" s="87"/>
      <c r="F240" s="92"/>
      <c r="G240" s="93"/>
      <c r="H240" s="93"/>
      <c r="I240" s="93"/>
      <c r="J240" s="94"/>
    </row>
    <row r="241" spans="2:10" x14ac:dyDescent="0.25">
      <c r="B241" s="81">
        <v>43365</v>
      </c>
      <c r="C241" s="91"/>
      <c r="D241" s="87"/>
      <c r="E241" s="87"/>
      <c r="F241" s="92"/>
      <c r="G241" s="93"/>
      <c r="H241" s="93"/>
      <c r="I241" s="93"/>
      <c r="J241" s="94"/>
    </row>
    <row r="242" spans="2:10" x14ac:dyDescent="0.25">
      <c r="B242" s="81">
        <v>43366</v>
      </c>
      <c r="C242" s="91"/>
      <c r="D242" s="87"/>
      <c r="E242" s="87"/>
      <c r="F242" s="92"/>
      <c r="G242" s="93"/>
      <c r="H242" s="93"/>
      <c r="I242" s="93"/>
      <c r="J242" s="94"/>
    </row>
    <row r="243" spans="2:10" x14ac:dyDescent="0.25">
      <c r="B243" s="81">
        <v>43367</v>
      </c>
      <c r="C243" s="91"/>
      <c r="D243" s="87"/>
      <c r="E243" s="87"/>
      <c r="F243" s="92"/>
      <c r="G243" s="93"/>
      <c r="H243" s="93"/>
      <c r="I243" s="93"/>
      <c r="J243" s="94"/>
    </row>
    <row r="244" spans="2:10" x14ac:dyDescent="0.25">
      <c r="B244" s="81">
        <v>43368</v>
      </c>
      <c r="C244" s="91"/>
      <c r="D244" s="87"/>
      <c r="E244" s="87"/>
      <c r="F244" s="92"/>
      <c r="G244" s="93"/>
      <c r="H244" s="93"/>
      <c r="I244" s="93"/>
      <c r="J244" s="94"/>
    </row>
    <row r="245" spans="2:10" x14ac:dyDescent="0.25">
      <c r="B245" s="81">
        <v>43369</v>
      </c>
      <c r="C245" s="91"/>
      <c r="D245" s="87"/>
      <c r="E245" s="87"/>
      <c r="F245" s="92"/>
      <c r="G245" s="93"/>
      <c r="H245" s="93"/>
      <c r="I245" s="93"/>
      <c r="J245" s="94"/>
    </row>
    <row r="246" spans="2:10" x14ac:dyDescent="0.25">
      <c r="B246" s="81">
        <v>43370</v>
      </c>
      <c r="C246" s="91"/>
      <c r="D246" s="87"/>
      <c r="E246" s="87"/>
      <c r="F246" s="92"/>
      <c r="G246" s="93"/>
      <c r="H246" s="93"/>
      <c r="I246" s="93"/>
      <c r="J246" s="94"/>
    </row>
    <row r="247" spans="2:10" x14ac:dyDescent="0.25">
      <c r="B247" s="81">
        <v>43371</v>
      </c>
      <c r="C247" s="91"/>
      <c r="D247" s="87"/>
      <c r="E247" s="87"/>
      <c r="F247" s="92"/>
      <c r="G247" s="93"/>
      <c r="H247" s="93"/>
      <c r="I247" s="93"/>
      <c r="J247" s="94"/>
    </row>
    <row r="248" spans="2:10" x14ac:dyDescent="0.25">
      <c r="B248" s="81">
        <v>43372</v>
      </c>
      <c r="C248" s="91"/>
      <c r="D248" s="87"/>
      <c r="E248" s="87"/>
      <c r="F248" s="92"/>
      <c r="G248" s="93"/>
      <c r="H248" s="93"/>
      <c r="I248" s="93"/>
      <c r="J248" s="94"/>
    </row>
    <row r="249" spans="2:10" x14ac:dyDescent="0.25">
      <c r="B249" s="81">
        <v>43373</v>
      </c>
      <c r="C249" s="91"/>
      <c r="D249" s="87"/>
      <c r="E249" s="87"/>
      <c r="F249" s="92"/>
      <c r="G249" s="93"/>
      <c r="H249" s="93"/>
      <c r="I249" s="93"/>
      <c r="J249" s="94"/>
    </row>
    <row r="250" spans="2:10" x14ac:dyDescent="0.25">
      <c r="B250" s="81">
        <v>43374</v>
      </c>
      <c r="C250" s="91"/>
      <c r="D250" s="87"/>
      <c r="E250" s="87"/>
      <c r="F250" s="92"/>
      <c r="G250" s="93"/>
      <c r="H250" s="93"/>
      <c r="I250" s="93"/>
      <c r="J250" s="94"/>
    </row>
    <row r="251" spans="2:10" x14ac:dyDescent="0.25">
      <c r="B251" s="81">
        <v>43375</v>
      </c>
      <c r="C251" s="91"/>
      <c r="D251" s="87"/>
      <c r="E251" s="87"/>
      <c r="F251" s="92"/>
      <c r="G251" s="93"/>
      <c r="H251" s="93"/>
      <c r="I251" s="93"/>
      <c r="J251" s="94"/>
    </row>
    <row r="252" spans="2:10" x14ac:dyDescent="0.25">
      <c r="B252" s="81">
        <v>43376</v>
      </c>
      <c r="C252" s="91"/>
      <c r="D252" s="87"/>
      <c r="E252" s="87"/>
      <c r="F252" s="92"/>
      <c r="G252" s="93"/>
      <c r="H252" s="93"/>
      <c r="I252" s="93"/>
      <c r="J252" s="94"/>
    </row>
    <row r="253" spans="2:10" x14ac:dyDescent="0.25">
      <c r="B253" s="81">
        <v>43377</v>
      </c>
      <c r="C253" s="91"/>
      <c r="D253" s="87"/>
      <c r="E253" s="87"/>
      <c r="F253" s="92"/>
      <c r="G253" s="93"/>
      <c r="H253" s="93"/>
      <c r="I253" s="93"/>
      <c r="J253" s="94"/>
    </row>
    <row r="254" spans="2:10" x14ac:dyDescent="0.25">
      <c r="B254" s="81">
        <v>43378</v>
      </c>
      <c r="C254" s="91"/>
      <c r="D254" s="87"/>
      <c r="E254" s="87"/>
      <c r="F254" s="92"/>
      <c r="G254" s="93"/>
      <c r="H254" s="93"/>
      <c r="I254" s="93"/>
      <c r="J254" s="94"/>
    </row>
    <row r="255" spans="2:10" x14ac:dyDescent="0.25">
      <c r="B255" s="81">
        <v>43379</v>
      </c>
      <c r="C255" s="91"/>
      <c r="D255" s="87"/>
      <c r="E255" s="87"/>
      <c r="F255" s="92"/>
      <c r="G255" s="93"/>
      <c r="H255" s="93"/>
      <c r="I255" s="93"/>
      <c r="J255" s="94"/>
    </row>
    <row r="256" spans="2:10" x14ac:dyDescent="0.25">
      <c r="B256" s="81">
        <v>43380</v>
      </c>
      <c r="C256" s="91"/>
      <c r="D256" s="87"/>
      <c r="E256" s="87"/>
      <c r="F256" s="92"/>
      <c r="G256" s="93"/>
      <c r="H256" s="93"/>
      <c r="I256" s="93"/>
      <c r="J256" s="94"/>
    </row>
    <row r="257" spans="2:10" x14ac:dyDescent="0.25">
      <c r="B257" s="81">
        <v>43381</v>
      </c>
      <c r="C257" s="91"/>
      <c r="D257" s="87"/>
      <c r="E257" s="87"/>
      <c r="F257" s="92"/>
      <c r="G257" s="93"/>
      <c r="H257" s="93"/>
      <c r="I257" s="93"/>
      <c r="J257" s="94"/>
    </row>
    <row r="258" spans="2:10" x14ac:dyDescent="0.25">
      <c r="B258" s="81">
        <v>43382</v>
      </c>
      <c r="C258" s="91"/>
      <c r="D258" s="87"/>
      <c r="E258" s="87"/>
      <c r="F258" s="92"/>
      <c r="G258" s="93"/>
      <c r="H258" s="93"/>
      <c r="I258" s="93"/>
      <c r="J258" s="94"/>
    </row>
    <row r="259" spans="2:10" x14ac:dyDescent="0.25">
      <c r="B259" s="81">
        <v>43383</v>
      </c>
      <c r="C259" s="91"/>
      <c r="D259" s="87"/>
      <c r="E259" s="87"/>
      <c r="F259" s="92"/>
      <c r="G259" s="93"/>
      <c r="H259" s="93"/>
      <c r="I259" s="93"/>
      <c r="J259" s="94"/>
    </row>
    <row r="260" spans="2:10" x14ac:dyDescent="0.25">
      <c r="B260" s="81">
        <v>43384</v>
      </c>
      <c r="C260" s="91"/>
      <c r="D260" s="87"/>
      <c r="E260" s="87"/>
      <c r="F260" s="92"/>
      <c r="G260" s="93"/>
      <c r="H260" s="93"/>
      <c r="I260" s="93"/>
      <c r="J260" s="94"/>
    </row>
    <row r="261" spans="2:10" x14ac:dyDescent="0.25">
      <c r="B261" s="81">
        <v>43385</v>
      </c>
      <c r="C261" s="91"/>
      <c r="D261" s="87"/>
      <c r="E261" s="87"/>
      <c r="F261" s="92"/>
      <c r="G261" s="93"/>
      <c r="H261" s="93"/>
      <c r="I261" s="93"/>
      <c r="J261" s="94"/>
    </row>
    <row r="262" spans="2:10" x14ac:dyDescent="0.25">
      <c r="B262" s="81">
        <v>43386</v>
      </c>
      <c r="C262" s="91"/>
      <c r="D262" s="87"/>
      <c r="E262" s="87"/>
      <c r="F262" s="92"/>
      <c r="G262" s="93"/>
      <c r="H262" s="93"/>
      <c r="I262" s="93"/>
      <c r="J262" s="94"/>
    </row>
    <row r="263" spans="2:10" x14ac:dyDescent="0.25">
      <c r="B263" s="81">
        <v>43387</v>
      </c>
      <c r="C263" s="91"/>
      <c r="D263" s="87"/>
      <c r="E263" s="87"/>
      <c r="F263" s="92"/>
      <c r="G263" s="93"/>
      <c r="H263" s="93"/>
      <c r="I263" s="93"/>
      <c r="J263" s="94"/>
    </row>
    <row r="264" spans="2:10" x14ac:dyDescent="0.25">
      <c r="B264" s="81">
        <v>43388</v>
      </c>
      <c r="C264" s="91"/>
      <c r="D264" s="87"/>
      <c r="E264" s="87"/>
      <c r="F264" s="92"/>
      <c r="G264" s="93"/>
      <c r="H264" s="93"/>
      <c r="I264" s="93"/>
      <c r="J264" s="94"/>
    </row>
    <row r="265" spans="2:10" x14ac:dyDescent="0.25">
      <c r="B265" s="81">
        <v>43389</v>
      </c>
      <c r="C265" s="91"/>
      <c r="D265" s="87"/>
      <c r="E265" s="87"/>
      <c r="F265" s="92"/>
      <c r="G265" s="93"/>
      <c r="H265" s="93"/>
      <c r="I265" s="93"/>
      <c r="J265" s="94"/>
    </row>
    <row r="266" spans="2:10" x14ac:dyDescent="0.25">
      <c r="B266" s="81">
        <v>43390</v>
      </c>
      <c r="C266" s="91"/>
      <c r="D266" s="87"/>
      <c r="E266" s="87"/>
      <c r="F266" s="92"/>
      <c r="G266" s="93"/>
      <c r="H266" s="93"/>
      <c r="I266" s="93"/>
      <c r="J266" s="94"/>
    </row>
    <row r="267" spans="2:10" x14ac:dyDescent="0.25">
      <c r="B267" s="81">
        <v>43391</v>
      </c>
      <c r="C267" s="91"/>
      <c r="D267" s="87"/>
      <c r="E267" s="87"/>
      <c r="F267" s="92"/>
      <c r="G267" s="93"/>
      <c r="H267" s="93"/>
      <c r="I267" s="93"/>
      <c r="J267" s="94"/>
    </row>
    <row r="268" spans="2:10" x14ac:dyDescent="0.25">
      <c r="B268" s="81">
        <v>43392</v>
      </c>
      <c r="C268" s="91"/>
      <c r="D268" s="87"/>
      <c r="E268" s="87"/>
      <c r="F268" s="92"/>
      <c r="G268" s="93"/>
      <c r="H268" s="93"/>
      <c r="I268" s="93"/>
      <c r="J268" s="94"/>
    </row>
    <row r="269" spans="2:10" x14ac:dyDescent="0.25">
      <c r="B269" s="81">
        <v>43393</v>
      </c>
      <c r="C269" s="91"/>
      <c r="D269" s="87"/>
      <c r="E269" s="87"/>
      <c r="F269" s="92"/>
      <c r="G269" s="93"/>
      <c r="H269" s="93"/>
      <c r="I269" s="93"/>
      <c r="J269" s="94"/>
    </row>
    <row r="270" spans="2:10" x14ac:dyDescent="0.25">
      <c r="B270" s="81">
        <v>43394</v>
      </c>
      <c r="C270" s="91"/>
      <c r="D270" s="87"/>
      <c r="E270" s="87"/>
      <c r="F270" s="92"/>
      <c r="G270" s="93"/>
      <c r="H270" s="93"/>
      <c r="I270" s="93"/>
      <c r="J270" s="94"/>
    </row>
    <row r="271" spans="2:10" x14ac:dyDescent="0.25">
      <c r="B271" s="81">
        <v>43395</v>
      </c>
      <c r="C271" s="91"/>
      <c r="D271" s="87"/>
      <c r="E271" s="87"/>
      <c r="F271" s="92"/>
      <c r="G271" s="93"/>
      <c r="H271" s="93"/>
      <c r="I271" s="93"/>
      <c r="J271" s="94"/>
    </row>
    <row r="272" spans="2:10" x14ac:dyDescent="0.25">
      <c r="B272" s="81">
        <v>43396</v>
      </c>
      <c r="C272" s="91"/>
      <c r="D272" s="87"/>
      <c r="E272" s="87"/>
      <c r="F272" s="92"/>
      <c r="G272" s="93"/>
      <c r="H272" s="93"/>
      <c r="I272" s="93"/>
      <c r="J272" s="94"/>
    </row>
    <row r="273" spans="2:10" x14ac:dyDescent="0.25">
      <c r="B273" s="81">
        <v>43397</v>
      </c>
      <c r="C273" s="91"/>
      <c r="D273" s="87"/>
      <c r="E273" s="87"/>
      <c r="F273" s="92"/>
      <c r="G273" s="93"/>
      <c r="H273" s="93"/>
      <c r="I273" s="93"/>
      <c r="J273" s="94"/>
    </row>
    <row r="274" spans="2:10" x14ac:dyDescent="0.25">
      <c r="B274" s="81">
        <v>43398</v>
      </c>
      <c r="C274" s="91"/>
      <c r="D274" s="87"/>
      <c r="E274" s="87"/>
      <c r="F274" s="92"/>
      <c r="G274" s="93"/>
      <c r="H274" s="93"/>
      <c r="I274" s="93"/>
      <c r="J274" s="94"/>
    </row>
    <row r="275" spans="2:10" x14ac:dyDescent="0.25">
      <c r="B275" s="81">
        <v>43399</v>
      </c>
      <c r="C275" s="91"/>
      <c r="D275" s="87"/>
      <c r="E275" s="87"/>
      <c r="F275" s="92"/>
      <c r="G275" s="93"/>
      <c r="H275" s="93"/>
      <c r="I275" s="93"/>
      <c r="J275" s="94"/>
    </row>
    <row r="276" spans="2:10" x14ac:dyDescent="0.25">
      <c r="B276" s="81">
        <v>43400</v>
      </c>
      <c r="C276" s="91"/>
      <c r="D276" s="87"/>
      <c r="E276" s="87"/>
      <c r="F276" s="92"/>
      <c r="G276" s="93"/>
      <c r="H276" s="93"/>
      <c r="I276" s="93"/>
      <c r="J276" s="94"/>
    </row>
    <row r="277" spans="2:10" x14ac:dyDescent="0.25">
      <c r="B277" s="81">
        <v>43401</v>
      </c>
      <c r="C277" s="91"/>
      <c r="D277" s="87"/>
      <c r="E277" s="87"/>
      <c r="F277" s="92"/>
      <c r="G277" s="93"/>
      <c r="H277" s="93"/>
      <c r="I277" s="93"/>
      <c r="J277" s="94"/>
    </row>
    <row r="278" spans="2:10" x14ac:dyDescent="0.25">
      <c r="B278" s="81">
        <v>43402</v>
      </c>
      <c r="C278" s="91"/>
      <c r="D278" s="87"/>
      <c r="E278" s="87"/>
      <c r="F278" s="92"/>
      <c r="G278" s="93"/>
      <c r="H278" s="93"/>
      <c r="I278" s="93"/>
      <c r="J278" s="94"/>
    </row>
    <row r="279" spans="2:10" x14ac:dyDescent="0.25">
      <c r="B279" s="81">
        <v>43403</v>
      </c>
      <c r="C279" s="91"/>
      <c r="D279" s="87"/>
      <c r="E279" s="87"/>
      <c r="F279" s="92"/>
      <c r="G279" s="93"/>
      <c r="H279" s="93"/>
      <c r="I279" s="93"/>
      <c r="J279" s="94"/>
    </row>
    <row r="280" spans="2:10" x14ac:dyDescent="0.25">
      <c r="B280" s="81">
        <v>43404</v>
      </c>
      <c r="C280" s="91"/>
      <c r="D280" s="87"/>
      <c r="E280" s="87"/>
      <c r="F280" s="92"/>
      <c r="G280" s="93"/>
      <c r="H280" s="93"/>
      <c r="I280" s="93"/>
      <c r="J280" s="94"/>
    </row>
    <row r="281" spans="2:10" x14ac:dyDescent="0.25">
      <c r="B281" s="81">
        <v>43405</v>
      </c>
      <c r="C281" s="91"/>
      <c r="D281" s="87"/>
      <c r="E281" s="87"/>
      <c r="F281" s="92"/>
      <c r="G281" s="93"/>
      <c r="H281" s="93"/>
      <c r="I281" s="93"/>
      <c r="J281" s="94"/>
    </row>
    <row r="282" spans="2:10" x14ac:dyDescent="0.25">
      <c r="B282" s="81">
        <v>43406</v>
      </c>
      <c r="C282" s="91"/>
      <c r="D282" s="87"/>
      <c r="E282" s="87"/>
      <c r="F282" s="92"/>
      <c r="G282" s="93"/>
      <c r="H282" s="93"/>
      <c r="I282" s="93"/>
      <c r="J282" s="94"/>
    </row>
    <row r="283" spans="2:10" x14ac:dyDescent="0.25">
      <c r="B283" s="81">
        <v>43407</v>
      </c>
      <c r="C283" s="91"/>
      <c r="D283" s="87"/>
      <c r="E283" s="87"/>
      <c r="F283" s="92"/>
      <c r="G283" s="93"/>
      <c r="H283" s="93"/>
      <c r="I283" s="93"/>
      <c r="J283" s="94"/>
    </row>
    <row r="284" spans="2:10" x14ac:dyDescent="0.25">
      <c r="B284" s="81">
        <v>43408</v>
      </c>
      <c r="C284" s="91"/>
      <c r="D284" s="87"/>
      <c r="E284" s="87"/>
      <c r="F284" s="92"/>
      <c r="G284" s="93"/>
      <c r="H284" s="93"/>
      <c r="I284" s="93"/>
      <c r="J284" s="94"/>
    </row>
    <row r="285" spans="2:10" x14ac:dyDescent="0.25">
      <c r="B285" s="81">
        <v>43409</v>
      </c>
      <c r="C285" s="91"/>
      <c r="D285" s="87"/>
      <c r="E285" s="87"/>
      <c r="F285" s="92"/>
      <c r="G285" s="93"/>
      <c r="H285" s="93"/>
      <c r="I285" s="93"/>
      <c r="J285" s="94"/>
    </row>
    <row r="286" spans="2:10" x14ac:dyDescent="0.25">
      <c r="B286" s="81">
        <v>43410</v>
      </c>
      <c r="C286" s="91"/>
      <c r="D286" s="87"/>
      <c r="E286" s="87"/>
      <c r="F286" s="92"/>
      <c r="G286" s="93"/>
      <c r="H286" s="93"/>
      <c r="I286" s="93"/>
      <c r="J286" s="94"/>
    </row>
    <row r="287" spans="2:10" x14ac:dyDescent="0.25">
      <c r="B287" s="81">
        <v>43411</v>
      </c>
      <c r="C287" s="91"/>
      <c r="D287" s="87"/>
      <c r="E287" s="87"/>
      <c r="F287" s="92"/>
      <c r="G287" s="93"/>
      <c r="H287" s="93"/>
      <c r="I287" s="93"/>
      <c r="J287" s="94"/>
    </row>
    <row r="288" spans="2:10" x14ac:dyDescent="0.25">
      <c r="B288" s="81">
        <v>43412</v>
      </c>
      <c r="C288" s="91"/>
      <c r="D288" s="87"/>
      <c r="E288" s="87"/>
      <c r="F288" s="92"/>
      <c r="G288" s="93"/>
      <c r="H288" s="93"/>
      <c r="I288" s="93"/>
      <c r="J288" s="94"/>
    </row>
    <row r="289" spans="2:10" x14ac:dyDescent="0.25">
      <c r="B289" s="81">
        <v>43413</v>
      </c>
      <c r="C289" s="91"/>
      <c r="D289" s="87"/>
      <c r="E289" s="87"/>
      <c r="F289" s="92"/>
      <c r="G289" s="93"/>
      <c r="H289" s="93"/>
      <c r="I289" s="93"/>
      <c r="J289" s="94"/>
    </row>
    <row r="290" spans="2:10" x14ac:dyDescent="0.25">
      <c r="B290" s="81">
        <v>43414</v>
      </c>
      <c r="C290" s="91"/>
      <c r="D290" s="87"/>
      <c r="E290" s="87"/>
      <c r="F290" s="92"/>
      <c r="G290" s="93"/>
      <c r="H290" s="93"/>
      <c r="I290" s="93"/>
      <c r="J290" s="94"/>
    </row>
    <row r="291" spans="2:10" x14ac:dyDescent="0.25">
      <c r="B291" s="81">
        <v>43415</v>
      </c>
      <c r="C291" s="91"/>
      <c r="D291" s="87"/>
      <c r="E291" s="87"/>
      <c r="F291" s="92"/>
      <c r="G291" s="93"/>
      <c r="H291" s="93"/>
      <c r="I291" s="93"/>
      <c r="J291" s="94"/>
    </row>
    <row r="292" spans="2:10" x14ac:dyDescent="0.25">
      <c r="B292" s="81">
        <v>43416</v>
      </c>
      <c r="C292" s="91"/>
      <c r="D292" s="87"/>
      <c r="E292" s="87"/>
      <c r="F292" s="92"/>
      <c r="G292" s="93"/>
      <c r="H292" s="93"/>
      <c r="I292" s="93"/>
      <c r="J292" s="94"/>
    </row>
    <row r="293" spans="2:10" x14ac:dyDescent="0.25">
      <c r="B293" s="81">
        <v>43417</v>
      </c>
      <c r="C293" s="91"/>
      <c r="D293" s="87"/>
      <c r="E293" s="87"/>
      <c r="F293" s="92"/>
      <c r="G293" s="93"/>
      <c r="H293" s="93"/>
      <c r="I293" s="93"/>
      <c r="J293" s="94"/>
    </row>
    <row r="294" spans="2:10" x14ac:dyDescent="0.25">
      <c r="B294" s="81">
        <v>43418</v>
      </c>
      <c r="C294" s="91"/>
      <c r="D294" s="87"/>
      <c r="E294" s="87"/>
      <c r="F294" s="92"/>
      <c r="G294" s="93"/>
      <c r="H294" s="93"/>
      <c r="I294" s="93"/>
      <c r="J294" s="94"/>
    </row>
    <row r="295" spans="2:10" x14ac:dyDescent="0.25">
      <c r="B295" s="81">
        <v>43419</v>
      </c>
      <c r="C295" s="91"/>
      <c r="D295" s="87"/>
      <c r="E295" s="87"/>
      <c r="F295" s="92"/>
      <c r="G295" s="93"/>
      <c r="H295" s="93"/>
      <c r="I295" s="93"/>
      <c r="J295" s="94"/>
    </row>
    <row r="296" spans="2:10" x14ac:dyDescent="0.25">
      <c r="B296" s="81">
        <v>43420</v>
      </c>
      <c r="C296" s="91"/>
      <c r="D296" s="87"/>
      <c r="E296" s="87"/>
      <c r="F296" s="92"/>
      <c r="G296" s="93"/>
      <c r="H296" s="93"/>
      <c r="I296" s="93"/>
      <c r="J296" s="94"/>
    </row>
    <row r="297" spans="2:10" x14ac:dyDescent="0.25">
      <c r="B297" s="81">
        <v>43421</v>
      </c>
      <c r="C297" s="91"/>
      <c r="D297" s="87"/>
      <c r="E297" s="87"/>
      <c r="F297" s="92"/>
      <c r="G297" s="93"/>
      <c r="H297" s="93"/>
      <c r="I297" s="93"/>
      <c r="J297" s="94"/>
    </row>
    <row r="298" spans="2:10" x14ac:dyDescent="0.25">
      <c r="B298" s="81">
        <v>43422</v>
      </c>
      <c r="C298" s="91"/>
      <c r="D298" s="87"/>
      <c r="E298" s="87"/>
      <c r="F298" s="92"/>
      <c r="G298" s="93"/>
      <c r="H298" s="93"/>
      <c r="I298" s="93"/>
      <c r="J298" s="94"/>
    </row>
    <row r="299" spans="2:10" x14ac:dyDescent="0.25">
      <c r="B299" s="81">
        <v>43423</v>
      </c>
      <c r="C299" s="91"/>
      <c r="D299" s="87"/>
      <c r="E299" s="87"/>
      <c r="F299" s="92"/>
      <c r="G299" s="93"/>
      <c r="H299" s="93"/>
      <c r="I299" s="93"/>
      <c r="J299" s="94"/>
    </row>
    <row r="300" spans="2:10" x14ac:dyDescent="0.25">
      <c r="B300" s="81">
        <v>43424</v>
      </c>
      <c r="C300" s="91"/>
      <c r="D300" s="87"/>
      <c r="E300" s="87"/>
      <c r="F300" s="92"/>
      <c r="G300" s="93"/>
      <c r="H300" s="93"/>
      <c r="I300" s="93"/>
      <c r="J300" s="94"/>
    </row>
    <row r="301" spans="2:10" x14ac:dyDescent="0.25">
      <c r="B301" s="81">
        <v>43425</v>
      </c>
      <c r="C301" s="91"/>
      <c r="D301" s="87"/>
      <c r="E301" s="87"/>
      <c r="F301" s="92"/>
      <c r="G301" s="93"/>
      <c r="H301" s="93"/>
      <c r="I301" s="93"/>
      <c r="J301" s="94"/>
    </row>
    <row r="302" spans="2:10" x14ac:dyDescent="0.25">
      <c r="B302" s="81">
        <v>43426</v>
      </c>
      <c r="C302" s="91"/>
      <c r="D302" s="87"/>
      <c r="E302" s="87"/>
      <c r="F302" s="92"/>
      <c r="G302" s="93"/>
      <c r="H302" s="93"/>
      <c r="I302" s="93"/>
      <c r="J302" s="94"/>
    </row>
    <row r="303" spans="2:10" x14ac:dyDescent="0.25">
      <c r="B303" s="81">
        <v>43427</v>
      </c>
      <c r="C303" s="91"/>
      <c r="D303" s="87"/>
      <c r="E303" s="87"/>
      <c r="F303" s="92"/>
      <c r="G303" s="93"/>
      <c r="H303" s="93"/>
      <c r="I303" s="93"/>
      <c r="J303" s="94"/>
    </row>
    <row r="304" spans="2:10" x14ac:dyDescent="0.25">
      <c r="B304" s="81">
        <v>43428</v>
      </c>
      <c r="C304" s="91"/>
      <c r="D304" s="87"/>
      <c r="E304" s="87"/>
      <c r="F304" s="92"/>
      <c r="G304" s="93"/>
      <c r="H304" s="93"/>
      <c r="I304" s="93"/>
      <c r="J304" s="94"/>
    </row>
    <row r="305" spans="2:10" x14ac:dyDescent="0.25">
      <c r="B305" s="81">
        <v>43429</v>
      </c>
      <c r="C305" s="91"/>
      <c r="D305" s="87"/>
      <c r="E305" s="87"/>
      <c r="F305" s="92"/>
      <c r="G305" s="93"/>
      <c r="H305" s="93"/>
      <c r="I305" s="93"/>
      <c r="J305" s="94"/>
    </row>
    <row r="306" spans="2:10" x14ac:dyDescent="0.25">
      <c r="B306" s="81">
        <v>43430</v>
      </c>
      <c r="C306" s="91"/>
      <c r="D306" s="87"/>
      <c r="E306" s="87"/>
      <c r="F306" s="92"/>
      <c r="G306" s="93"/>
      <c r="H306" s="93"/>
      <c r="I306" s="93"/>
      <c r="J306" s="94"/>
    </row>
    <row r="307" spans="2:10" x14ac:dyDescent="0.25">
      <c r="B307" s="81">
        <v>43431</v>
      </c>
      <c r="C307" s="91"/>
      <c r="D307" s="87"/>
      <c r="E307" s="87"/>
      <c r="F307" s="92"/>
      <c r="G307" s="93"/>
      <c r="H307" s="93"/>
      <c r="I307" s="93"/>
      <c r="J307" s="94"/>
    </row>
    <row r="308" spans="2:10" x14ac:dyDescent="0.25">
      <c r="B308" s="81">
        <v>43432</v>
      </c>
      <c r="C308" s="91"/>
      <c r="D308" s="87"/>
      <c r="E308" s="87"/>
      <c r="F308" s="92"/>
      <c r="G308" s="93"/>
      <c r="H308" s="93"/>
      <c r="I308" s="93"/>
      <c r="J308" s="94"/>
    </row>
    <row r="309" spans="2:10" x14ac:dyDescent="0.25">
      <c r="B309" s="81">
        <v>43433</v>
      </c>
      <c r="C309" s="91"/>
      <c r="D309" s="87"/>
      <c r="E309" s="87"/>
      <c r="F309" s="92"/>
      <c r="G309" s="93"/>
      <c r="H309" s="93"/>
      <c r="I309" s="93"/>
      <c r="J309" s="94"/>
    </row>
    <row r="310" spans="2:10" x14ac:dyDescent="0.25">
      <c r="B310" s="81">
        <v>43434</v>
      </c>
      <c r="C310" s="91"/>
      <c r="D310" s="87"/>
      <c r="E310" s="87"/>
      <c r="F310" s="92"/>
      <c r="G310" s="93"/>
      <c r="H310" s="93"/>
      <c r="I310" s="93"/>
      <c r="J310" s="94"/>
    </row>
    <row r="311" spans="2:10" x14ac:dyDescent="0.25">
      <c r="B311" s="81">
        <v>43435</v>
      </c>
      <c r="C311" s="91"/>
      <c r="D311" s="87"/>
      <c r="E311" s="87"/>
      <c r="F311" s="92"/>
      <c r="G311" s="93"/>
      <c r="H311" s="93"/>
      <c r="I311" s="93"/>
      <c r="J311" s="94"/>
    </row>
    <row r="312" spans="2:10" x14ac:dyDescent="0.25">
      <c r="B312" s="81">
        <v>43436</v>
      </c>
      <c r="C312" s="91"/>
      <c r="D312" s="87"/>
      <c r="E312" s="87"/>
      <c r="F312" s="92"/>
      <c r="G312" s="93"/>
      <c r="H312" s="93"/>
      <c r="I312" s="93"/>
      <c r="J312" s="94"/>
    </row>
    <row r="313" spans="2:10" x14ac:dyDescent="0.25">
      <c r="B313" s="81">
        <v>43437</v>
      </c>
      <c r="C313" s="91"/>
      <c r="D313" s="87"/>
      <c r="E313" s="87"/>
      <c r="F313" s="92"/>
      <c r="G313" s="93"/>
      <c r="H313" s="93"/>
      <c r="I313" s="93"/>
      <c r="J313" s="94"/>
    </row>
    <row r="314" spans="2:10" x14ac:dyDescent="0.25">
      <c r="B314" s="81">
        <v>43438</v>
      </c>
      <c r="C314" s="91"/>
      <c r="D314" s="87"/>
      <c r="E314" s="87"/>
      <c r="F314" s="92"/>
      <c r="G314" s="93"/>
      <c r="H314" s="93"/>
      <c r="I314" s="93"/>
      <c r="J314" s="94"/>
    </row>
    <row r="315" spans="2:10" x14ac:dyDescent="0.25">
      <c r="B315" s="81">
        <v>43439</v>
      </c>
      <c r="C315" s="91"/>
      <c r="D315" s="87"/>
      <c r="E315" s="87"/>
      <c r="F315" s="92"/>
      <c r="G315" s="93"/>
      <c r="H315" s="93"/>
      <c r="I315" s="93"/>
      <c r="J315" s="94"/>
    </row>
    <row r="316" spans="2:10" x14ac:dyDescent="0.25">
      <c r="B316" s="81">
        <v>43440</v>
      </c>
      <c r="C316" s="91"/>
      <c r="D316" s="87"/>
      <c r="E316" s="87"/>
      <c r="F316" s="92"/>
      <c r="G316" s="93"/>
      <c r="H316" s="93"/>
      <c r="I316" s="93"/>
      <c r="J316" s="94"/>
    </row>
    <row r="317" spans="2:10" x14ac:dyDescent="0.25">
      <c r="B317" s="81">
        <v>43441</v>
      </c>
      <c r="C317" s="91"/>
      <c r="D317" s="87"/>
      <c r="E317" s="87"/>
      <c r="F317" s="92"/>
      <c r="G317" s="93"/>
      <c r="H317" s="93"/>
      <c r="I317" s="93"/>
      <c r="J317" s="94"/>
    </row>
    <row r="318" spans="2:10" x14ac:dyDescent="0.25">
      <c r="B318" s="81">
        <v>43442</v>
      </c>
      <c r="C318" s="91"/>
      <c r="D318" s="87"/>
      <c r="E318" s="87"/>
      <c r="F318" s="92"/>
      <c r="G318" s="93"/>
      <c r="H318" s="93"/>
      <c r="I318" s="93"/>
      <c r="J318" s="94"/>
    </row>
    <row r="319" spans="2:10" x14ac:dyDescent="0.25">
      <c r="B319" s="81">
        <v>43443</v>
      </c>
      <c r="C319" s="91"/>
      <c r="D319" s="87"/>
      <c r="E319" s="87"/>
      <c r="F319" s="92"/>
      <c r="G319" s="93"/>
      <c r="H319" s="93"/>
      <c r="I319" s="93"/>
      <c r="J319" s="94"/>
    </row>
    <row r="320" spans="2:10" x14ac:dyDescent="0.25">
      <c r="B320" s="81">
        <v>43444</v>
      </c>
      <c r="C320" s="91"/>
      <c r="D320" s="87"/>
      <c r="E320" s="87"/>
      <c r="F320" s="92"/>
      <c r="G320" s="93"/>
      <c r="H320" s="93"/>
      <c r="I320" s="93"/>
      <c r="J320" s="94"/>
    </row>
    <row r="321" spans="2:10" x14ac:dyDescent="0.25">
      <c r="B321" s="81">
        <v>43445</v>
      </c>
      <c r="C321" s="91"/>
      <c r="D321" s="87"/>
      <c r="E321" s="87"/>
      <c r="F321" s="92"/>
      <c r="G321" s="93"/>
      <c r="H321" s="93"/>
      <c r="I321" s="93"/>
      <c r="J321" s="94"/>
    </row>
    <row r="322" spans="2:10" x14ac:dyDescent="0.25">
      <c r="B322" s="81">
        <v>43446</v>
      </c>
      <c r="C322" s="91"/>
      <c r="D322" s="87"/>
      <c r="E322" s="87"/>
      <c r="F322" s="92"/>
      <c r="G322" s="93"/>
      <c r="H322" s="93"/>
      <c r="I322" s="93"/>
      <c r="J322" s="94"/>
    </row>
    <row r="323" spans="2:10" x14ac:dyDescent="0.25">
      <c r="B323" s="81">
        <v>43447</v>
      </c>
      <c r="C323" s="91"/>
      <c r="D323" s="87"/>
      <c r="E323" s="87"/>
      <c r="F323" s="92"/>
      <c r="G323" s="93"/>
      <c r="H323" s="93"/>
      <c r="I323" s="93"/>
      <c r="J323" s="94"/>
    </row>
    <row r="324" spans="2:10" x14ac:dyDescent="0.25">
      <c r="B324" s="81">
        <v>43448</v>
      </c>
      <c r="C324" s="91"/>
      <c r="D324" s="87"/>
      <c r="E324" s="87"/>
      <c r="F324" s="92"/>
      <c r="G324" s="93"/>
      <c r="H324" s="93"/>
      <c r="I324" s="93"/>
      <c r="J324" s="94"/>
    </row>
    <row r="325" spans="2:10" x14ac:dyDescent="0.25">
      <c r="B325" s="81">
        <v>43449</v>
      </c>
      <c r="C325" s="91"/>
      <c r="D325" s="87"/>
      <c r="E325" s="87"/>
      <c r="F325" s="92"/>
      <c r="G325" s="93"/>
      <c r="H325" s="93"/>
      <c r="I325" s="93"/>
      <c r="J325" s="94"/>
    </row>
    <row r="326" spans="2:10" x14ac:dyDescent="0.25">
      <c r="B326" s="81">
        <v>43450</v>
      </c>
      <c r="C326" s="91"/>
      <c r="D326" s="87"/>
      <c r="E326" s="87"/>
      <c r="F326" s="92"/>
      <c r="G326" s="93"/>
      <c r="H326" s="93"/>
      <c r="I326" s="93"/>
      <c r="J326" s="94"/>
    </row>
    <row r="327" spans="2:10" x14ac:dyDescent="0.25">
      <c r="B327" s="81">
        <v>43451</v>
      </c>
      <c r="C327" s="91"/>
      <c r="D327" s="87"/>
      <c r="E327" s="87"/>
      <c r="F327" s="92"/>
      <c r="G327" s="93"/>
      <c r="H327" s="93"/>
      <c r="I327" s="93"/>
      <c r="J327" s="94"/>
    </row>
    <row r="328" spans="2:10" x14ac:dyDescent="0.25">
      <c r="B328" s="81">
        <v>43452</v>
      </c>
      <c r="C328" s="91"/>
      <c r="D328" s="87"/>
      <c r="E328" s="87"/>
      <c r="F328" s="92"/>
      <c r="G328" s="93"/>
      <c r="H328" s="93"/>
      <c r="I328" s="93"/>
      <c r="J328" s="94"/>
    </row>
    <row r="329" spans="2:10" x14ac:dyDescent="0.25">
      <c r="B329" s="81">
        <v>43453</v>
      </c>
      <c r="C329" s="91"/>
      <c r="D329" s="87"/>
      <c r="E329" s="87"/>
      <c r="F329" s="92"/>
      <c r="G329" s="93"/>
      <c r="H329" s="93"/>
      <c r="I329" s="93"/>
      <c r="J329" s="94"/>
    </row>
    <row r="330" spans="2:10" x14ac:dyDescent="0.25">
      <c r="B330" s="81">
        <v>43454</v>
      </c>
      <c r="C330" s="91"/>
      <c r="D330" s="87"/>
      <c r="E330" s="87"/>
      <c r="F330" s="92"/>
      <c r="G330" s="93"/>
      <c r="H330" s="93"/>
      <c r="I330" s="93"/>
      <c r="J330" s="94"/>
    </row>
    <row r="331" spans="2:10" x14ac:dyDescent="0.25">
      <c r="B331" s="81">
        <v>43455</v>
      </c>
      <c r="C331" s="91"/>
      <c r="D331" s="87"/>
      <c r="E331" s="87"/>
      <c r="F331" s="92"/>
      <c r="G331" s="93"/>
      <c r="H331" s="93"/>
      <c r="I331" s="93"/>
      <c r="J331" s="94"/>
    </row>
    <row r="332" spans="2:10" x14ac:dyDescent="0.25">
      <c r="B332" s="81">
        <v>43456</v>
      </c>
      <c r="C332" s="91"/>
      <c r="D332" s="87"/>
      <c r="E332" s="87"/>
      <c r="F332" s="92"/>
      <c r="G332" s="93"/>
      <c r="H332" s="93"/>
      <c r="I332" s="93"/>
      <c r="J332" s="94"/>
    </row>
    <row r="333" spans="2:10" x14ac:dyDescent="0.25">
      <c r="B333" s="81">
        <v>43457</v>
      </c>
      <c r="C333" s="91"/>
      <c r="D333" s="87"/>
      <c r="E333" s="87"/>
      <c r="F333" s="92"/>
      <c r="G333" s="93"/>
      <c r="H333" s="93"/>
      <c r="I333" s="93"/>
      <c r="J333" s="94"/>
    </row>
    <row r="334" spans="2:10" x14ac:dyDescent="0.25">
      <c r="B334" s="81">
        <v>43458</v>
      </c>
      <c r="C334" s="91"/>
      <c r="D334" s="87"/>
      <c r="E334" s="87"/>
      <c r="F334" s="92"/>
      <c r="G334" s="93"/>
      <c r="H334" s="93"/>
      <c r="I334" s="93"/>
      <c r="J334" s="94"/>
    </row>
    <row r="335" spans="2:10" x14ac:dyDescent="0.25">
      <c r="B335" s="81">
        <v>43459</v>
      </c>
      <c r="C335" s="91"/>
      <c r="D335" s="87"/>
      <c r="E335" s="87"/>
      <c r="F335" s="92"/>
      <c r="G335" s="93"/>
      <c r="H335" s="93"/>
      <c r="I335" s="93"/>
      <c r="J335" s="94"/>
    </row>
    <row r="336" spans="2:10" x14ac:dyDescent="0.25">
      <c r="B336" s="81">
        <v>43460</v>
      </c>
      <c r="C336" s="91"/>
      <c r="D336" s="87"/>
      <c r="E336" s="87"/>
      <c r="F336" s="92"/>
      <c r="G336" s="93"/>
      <c r="H336" s="93"/>
      <c r="I336" s="93"/>
      <c r="J336" s="94"/>
    </row>
    <row r="337" spans="2:10" x14ac:dyDescent="0.25">
      <c r="B337" s="81">
        <v>43461</v>
      </c>
      <c r="C337" s="91"/>
      <c r="D337" s="87"/>
      <c r="E337" s="87"/>
      <c r="F337" s="92"/>
      <c r="G337" s="93"/>
      <c r="H337" s="93"/>
      <c r="I337" s="93"/>
      <c r="J337" s="94"/>
    </row>
    <row r="338" spans="2:10" x14ac:dyDescent="0.25">
      <c r="B338" s="81">
        <v>43462</v>
      </c>
      <c r="C338" s="91"/>
      <c r="D338" s="87"/>
      <c r="E338" s="87"/>
      <c r="F338" s="92"/>
      <c r="G338" s="93"/>
      <c r="H338" s="93"/>
      <c r="I338" s="93"/>
      <c r="J338" s="94"/>
    </row>
    <row r="339" spans="2:10" x14ac:dyDescent="0.25">
      <c r="B339" s="81">
        <v>43463</v>
      </c>
      <c r="C339" s="91"/>
      <c r="D339" s="87"/>
      <c r="E339" s="87"/>
      <c r="F339" s="92"/>
      <c r="G339" s="93"/>
      <c r="H339" s="93"/>
      <c r="I339" s="93"/>
      <c r="J339" s="94"/>
    </row>
    <row r="340" spans="2:10" x14ac:dyDescent="0.25">
      <c r="B340" s="81">
        <v>43464</v>
      </c>
      <c r="C340" s="91"/>
      <c r="D340" s="87"/>
      <c r="E340" s="87"/>
      <c r="F340" s="92"/>
      <c r="G340" s="93"/>
      <c r="H340" s="93"/>
      <c r="I340" s="93"/>
      <c r="J340" s="94"/>
    </row>
    <row r="341" spans="2:10" x14ac:dyDescent="0.25">
      <c r="B341" s="81">
        <v>43465</v>
      </c>
      <c r="C341" s="91"/>
      <c r="D341" s="87"/>
      <c r="E341" s="87"/>
      <c r="F341" s="92"/>
      <c r="G341" s="93"/>
      <c r="H341" s="93"/>
      <c r="I341" s="93"/>
      <c r="J341" s="94"/>
    </row>
    <row r="342" spans="2:10" x14ac:dyDescent="0.25">
      <c r="B342" s="81">
        <v>43466</v>
      </c>
      <c r="C342" s="91"/>
      <c r="D342" s="87"/>
      <c r="E342" s="87"/>
      <c r="F342" s="92"/>
      <c r="G342" s="93"/>
      <c r="H342" s="93"/>
      <c r="I342" s="93"/>
      <c r="J342" s="94"/>
    </row>
    <row r="343" spans="2:10" x14ac:dyDescent="0.25">
      <c r="B343" s="81">
        <v>43467</v>
      </c>
      <c r="C343" s="91"/>
      <c r="D343" s="87"/>
      <c r="E343" s="87"/>
      <c r="F343" s="92"/>
      <c r="G343" s="93"/>
      <c r="H343" s="93"/>
      <c r="I343" s="93"/>
      <c r="J343" s="94"/>
    </row>
    <row r="344" spans="2:10" x14ac:dyDescent="0.25">
      <c r="B344" s="81">
        <v>43468</v>
      </c>
      <c r="C344" s="91"/>
      <c r="D344" s="87"/>
      <c r="E344" s="87"/>
      <c r="F344" s="92"/>
      <c r="G344" s="93"/>
      <c r="H344" s="93"/>
      <c r="I344" s="93"/>
      <c r="J344" s="94"/>
    </row>
    <row r="345" spans="2:10" x14ac:dyDescent="0.25">
      <c r="B345" s="81">
        <v>43469</v>
      </c>
      <c r="C345" s="91"/>
      <c r="D345" s="87"/>
      <c r="E345" s="87"/>
      <c r="F345" s="92"/>
      <c r="G345" s="93"/>
      <c r="H345" s="93"/>
      <c r="I345" s="93"/>
      <c r="J345" s="94"/>
    </row>
    <row r="346" spans="2:10" x14ac:dyDescent="0.25">
      <c r="B346" s="81">
        <v>43470</v>
      </c>
      <c r="C346" s="91"/>
      <c r="D346" s="87"/>
      <c r="E346" s="87"/>
      <c r="F346" s="92"/>
      <c r="G346" s="93"/>
      <c r="H346" s="93"/>
      <c r="I346" s="93"/>
      <c r="J346" s="94"/>
    </row>
    <row r="347" spans="2:10" x14ac:dyDescent="0.25">
      <c r="B347" s="81">
        <v>43471</v>
      </c>
      <c r="C347" s="91"/>
      <c r="D347" s="87"/>
      <c r="E347" s="87"/>
      <c r="F347" s="92"/>
      <c r="G347" s="93"/>
      <c r="H347" s="93"/>
      <c r="I347" s="93"/>
      <c r="J347" s="94"/>
    </row>
    <row r="348" spans="2:10" x14ac:dyDescent="0.25">
      <c r="B348" s="81">
        <v>43472</v>
      </c>
      <c r="C348" s="91"/>
      <c r="D348" s="87"/>
      <c r="E348" s="87"/>
      <c r="F348" s="92"/>
      <c r="G348" s="93"/>
      <c r="H348" s="93"/>
      <c r="I348" s="93"/>
      <c r="J348" s="94"/>
    </row>
    <row r="349" spans="2:10" x14ac:dyDescent="0.25">
      <c r="B349" s="81">
        <v>43473</v>
      </c>
      <c r="C349" s="91"/>
      <c r="D349" s="87"/>
      <c r="E349" s="87"/>
      <c r="F349" s="92"/>
      <c r="G349" s="93"/>
      <c r="H349" s="93"/>
      <c r="I349" s="93"/>
      <c r="J349" s="94"/>
    </row>
    <row r="350" spans="2:10" x14ac:dyDescent="0.25">
      <c r="B350" s="81">
        <v>43474</v>
      </c>
      <c r="C350" s="91"/>
      <c r="D350" s="87"/>
      <c r="E350" s="87"/>
      <c r="F350" s="92"/>
      <c r="G350" s="93"/>
      <c r="H350" s="93"/>
      <c r="I350" s="93"/>
      <c r="J350" s="94"/>
    </row>
    <row r="351" spans="2:10" x14ac:dyDescent="0.25">
      <c r="B351" s="81">
        <v>43475</v>
      </c>
      <c r="C351" s="91"/>
      <c r="D351" s="87"/>
      <c r="E351" s="87"/>
      <c r="F351" s="92"/>
      <c r="G351" s="93"/>
      <c r="H351" s="93"/>
      <c r="I351" s="93"/>
      <c r="J351" s="94"/>
    </row>
    <row r="352" spans="2:10" x14ac:dyDescent="0.25">
      <c r="B352" s="81">
        <v>43476</v>
      </c>
      <c r="C352" s="91"/>
      <c r="D352" s="87"/>
      <c r="E352" s="87"/>
      <c r="F352" s="92"/>
      <c r="G352" s="93"/>
      <c r="H352" s="93"/>
      <c r="I352" s="93"/>
      <c r="J352" s="94"/>
    </row>
    <row r="353" spans="2:10" x14ac:dyDescent="0.25">
      <c r="B353" s="81">
        <v>43477</v>
      </c>
      <c r="C353" s="91"/>
      <c r="D353" s="87"/>
      <c r="E353" s="87"/>
      <c r="F353" s="92"/>
      <c r="G353" s="93"/>
      <c r="H353" s="93"/>
      <c r="I353" s="93"/>
      <c r="J353" s="94"/>
    </row>
    <row r="354" spans="2:10" x14ac:dyDescent="0.25">
      <c r="B354" s="81">
        <v>43478</v>
      </c>
      <c r="C354" s="91"/>
      <c r="D354" s="87"/>
      <c r="E354" s="87"/>
      <c r="F354" s="92"/>
      <c r="G354" s="93"/>
      <c r="H354" s="93"/>
      <c r="I354" s="93"/>
      <c r="J354" s="94"/>
    </row>
    <row r="355" spans="2:10" x14ac:dyDescent="0.25">
      <c r="B355" s="81">
        <v>43479</v>
      </c>
      <c r="C355" s="91"/>
      <c r="D355" s="87"/>
      <c r="E355" s="87"/>
      <c r="F355" s="92"/>
      <c r="G355" s="93"/>
      <c r="H355" s="93"/>
      <c r="I355" s="93"/>
      <c r="J355" s="94"/>
    </row>
    <row r="356" spans="2:10" x14ac:dyDescent="0.25">
      <c r="B356" s="81">
        <v>43480</v>
      </c>
      <c r="C356" s="91"/>
      <c r="D356" s="87"/>
      <c r="E356" s="87"/>
      <c r="F356" s="92"/>
      <c r="G356" s="93"/>
      <c r="H356" s="93"/>
      <c r="I356" s="93"/>
      <c r="J356" s="94"/>
    </row>
    <row r="357" spans="2:10" x14ac:dyDescent="0.25">
      <c r="B357" s="81">
        <v>43481</v>
      </c>
      <c r="C357" s="91"/>
      <c r="D357" s="87"/>
      <c r="E357" s="87"/>
      <c r="F357" s="92"/>
      <c r="G357" s="93"/>
      <c r="H357" s="93"/>
      <c r="I357" s="93"/>
      <c r="J357" s="94"/>
    </row>
    <row r="358" spans="2:10" x14ac:dyDescent="0.25">
      <c r="B358" s="81">
        <v>43482</v>
      </c>
      <c r="C358" s="91"/>
      <c r="D358" s="87"/>
      <c r="E358" s="87"/>
      <c r="F358" s="92"/>
      <c r="G358" s="93"/>
      <c r="H358" s="93"/>
      <c r="I358" s="93"/>
      <c r="J358" s="94"/>
    </row>
    <row r="359" spans="2:10" x14ac:dyDescent="0.25">
      <c r="B359" s="81">
        <v>43483</v>
      </c>
      <c r="C359" s="91"/>
      <c r="D359" s="87"/>
      <c r="E359" s="87"/>
      <c r="F359" s="92"/>
      <c r="G359" s="93"/>
      <c r="H359" s="93"/>
      <c r="I359" s="93"/>
      <c r="J359" s="94"/>
    </row>
    <row r="360" spans="2:10" x14ac:dyDescent="0.25">
      <c r="B360" s="81">
        <v>43484</v>
      </c>
      <c r="C360" s="91"/>
      <c r="D360" s="87"/>
      <c r="E360" s="87"/>
      <c r="F360" s="92"/>
      <c r="G360" s="93"/>
      <c r="H360" s="93"/>
      <c r="I360" s="93"/>
      <c r="J360" s="94"/>
    </row>
    <row r="361" spans="2:10" x14ac:dyDescent="0.25">
      <c r="B361" s="81">
        <v>43485</v>
      </c>
      <c r="C361" s="91"/>
      <c r="D361" s="87"/>
      <c r="E361" s="87"/>
      <c r="F361" s="92"/>
      <c r="G361" s="93"/>
      <c r="H361" s="93"/>
      <c r="I361" s="93"/>
      <c r="J361" s="94"/>
    </row>
    <row r="362" spans="2:10" x14ac:dyDescent="0.25">
      <c r="B362" s="81">
        <v>43486</v>
      </c>
      <c r="C362" s="91"/>
      <c r="D362" s="87"/>
      <c r="E362" s="87"/>
      <c r="F362" s="92"/>
      <c r="G362" s="93"/>
      <c r="H362" s="93"/>
      <c r="I362" s="93"/>
      <c r="J362" s="94"/>
    </row>
    <row r="363" spans="2:10" x14ac:dyDescent="0.25">
      <c r="B363" s="81">
        <v>43487</v>
      </c>
      <c r="C363" s="91"/>
      <c r="D363" s="87"/>
      <c r="E363" s="87"/>
      <c r="F363" s="92"/>
      <c r="G363" s="93"/>
      <c r="H363" s="93"/>
      <c r="I363" s="93"/>
      <c r="J363" s="94"/>
    </row>
    <row r="364" spans="2:10" x14ac:dyDescent="0.25">
      <c r="B364" s="81">
        <v>43488</v>
      </c>
      <c r="C364" s="91"/>
      <c r="D364" s="87"/>
      <c r="E364" s="87"/>
      <c r="F364" s="92"/>
      <c r="G364" s="93"/>
      <c r="H364" s="93"/>
      <c r="I364" s="93"/>
      <c r="J364" s="94"/>
    </row>
    <row r="365" spans="2:10" x14ac:dyDescent="0.25">
      <c r="B365" s="81">
        <v>43489</v>
      </c>
      <c r="C365" s="91"/>
      <c r="D365" s="87"/>
      <c r="E365" s="87"/>
      <c r="F365" s="92"/>
      <c r="G365" s="93"/>
      <c r="H365" s="93"/>
      <c r="I365" s="93"/>
      <c r="J365" s="94"/>
    </row>
    <row r="366" spans="2:10" x14ac:dyDescent="0.25">
      <c r="B366" s="81">
        <v>43490</v>
      </c>
      <c r="C366" s="91"/>
      <c r="D366" s="87"/>
      <c r="E366" s="87"/>
      <c r="F366" s="92"/>
      <c r="G366" s="93"/>
      <c r="H366" s="93"/>
      <c r="I366" s="93"/>
      <c r="J366" s="94"/>
    </row>
    <row r="367" spans="2:10" x14ac:dyDescent="0.25">
      <c r="B367" s="81">
        <v>43491</v>
      </c>
      <c r="C367" s="91"/>
      <c r="D367" s="87"/>
      <c r="E367" s="87"/>
      <c r="F367" s="92"/>
      <c r="G367" s="93"/>
      <c r="H367" s="93"/>
      <c r="I367" s="93"/>
      <c r="J367" s="94"/>
    </row>
    <row r="368" spans="2:10" x14ac:dyDescent="0.25">
      <c r="B368" s="81">
        <v>43492</v>
      </c>
      <c r="C368" s="91"/>
      <c r="D368" s="87"/>
      <c r="E368" s="87"/>
      <c r="F368" s="92"/>
      <c r="G368" s="93"/>
      <c r="H368" s="93"/>
      <c r="I368" s="93"/>
      <c r="J368" s="94"/>
    </row>
    <row r="369" spans="2:10" x14ac:dyDescent="0.25">
      <c r="B369" s="81">
        <v>43493</v>
      </c>
      <c r="C369" s="91"/>
      <c r="D369" s="87"/>
      <c r="E369" s="87"/>
      <c r="F369" s="92"/>
      <c r="G369" s="93"/>
      <c r="H369" s="93"/>
      <c r="I369" s="93"/>
      <c r="J369" s="94"/>
    </row>
    <row r="370" spans="2:10" x14ac:dyDescent="0.25">
      <c r="B370" s="81">
        <v>43494</v>
      </c>
      <c r="C370" s="91"/>
      <c r="D370" s="87"/>
      <c r="E370" s="87"/>
      <c r="F370" s="92"/>
      <c r="G370" s="93"/>
      <c r="H370" s="93"/>
      <c r="I370" s="93"/>
      <c r="J370" s="94"/>
    </row>
    <row r="371" spans="2:10" x14ac:dyDescent="0.25">
      <c r="B371" s="81">
        <v>43495</v>
      </c>
      <c r="C371" s="91"/>
      <c r="D371" s="87"/>
      <c r="E371" s="87"/>
      <c r="F371" s="92"/>
      <c r="G371" s="93"/>
      <c r="H371" s="93"/>
      <c r="I371" s="93"/>
      <c r="J371" s="94"/>
    </row>
    <row r="372" spans="2:10" x14ac:dyDescent="0.25">
      <c r="B372" s="81">
        <v>43496</v>
      </c>
      <c r="C372" s="91"/>
      <c r="D372" s="87"/>
      <c r="E372" s="87"/>
      <c r="F372" s="92"/>
      <c r="G372" s="93"/>
      <c r="H372" s="93"/>
      <c r="I372" s="93"/>
      <c r="J372" s="94"/>
    </row>
    <row r="373" spans="2:10" x14ac:dyDescent="0.25">
      <c r="B373" s="81">
        <v>43497</v>
      </c>
      <c r="C373" s="91"/>
      <c r="D373" s="87"/>
      <c r="E373" s="87"/>
      <c r="F373" s="92"/>
      <c r="G373" s="93"/>
      <c r="H373" s="93"/>
      <c r="I373" s="93"/>
      <c r="J373" s="94"/>
    </row>
    <row r="374" spans="2:10" x14ac:dyDescent="0.25">
      <c r="B374" s="81">
        <v>43498</v>
      </c>
      <c r="C374" s="91"/>
      <c r="D374" s="87"/>
      <c r="E374" s="87"/>
      <c r="F374" s="92"/>
      <c r="G374" s="93"/>
      <c r="H374" s="93"/>
      <c r="I374" s="93"/>
      <c r="J374" s="94"/>
    </row>
    <row r="375" spans="2:10" x14ac:dyDescent="0.25">
      <c r="B375" s="81">
        <v>43499</v>
      </c>
      <c r="C375" s="91"/>
      <c r="D375" s="87"/>
      <c r="E375" s="87"/>
      <c r="F375" s="92"/>
      <c r="G375" s="93"/>
      <c r="H375" s="93"/>
      <c r="I375" s="93"/>
      <c r="J375" s="94"/>
    </row>
    <row r="376" spans="2:10" x14ac:dyDescent="0.25">
      <c r="B376" s="81">
        <v>43500</v>
      </c>
      <c r="C376" s="91"/>
      <c r="D376" s="87"/>
      <c r="E376" s="87"/>
      <c r="F376" s="92"/>
      <c r="G376" s="93"/>
      <c r="H376" s="93"/>
      <c r="I376" s="93"/>
      <c r="J376" s="94"/>
    </row>
    <row r="377" spans="2:10" x14ac:dyDescent="0.25">
      <c r="B377" s="81">
        <v>43501</v>
      </c>
      <c r="C377" s="91"/>
      <c r="D377" s="87"/>
      <c r="E377" s="87"/>
      <c r="F377" s="92"/>
      <c r="G377" s="93"/>
      <c r="H377" s="93"/>
      <c r="I377" s="93"/>
      <c r="J377" s="94"/>
    </row>
    <row r="378" spans="2:10" x14ac:dyDescent="0.25">
      <c r="B378" s="81">
        <v>43502</v>
      </c>
      <c r="C378" s="91"/>
      <c r="D378" s="87"/>
      <c r="E378" s="87"/>
      <c r="F378" s="92"/>
      <c r="G378" s="93"/>
      <c r="H378" s="93"/>
      <c r="I378" s="93"/>
      <c r="J378" s="94"/>
    </row>
    <row r="379" spans="2:10" x14ac:dyDescent="0.25">
      <c r="B379" s="81">
        <v>43503</v>
      </c>
      <c r="C379" s="91"/>
      <c r="D379" s="87"/>
      <c r="E379" s="87"/>
      <c r="F379" s="92"/>
      <c r="G379" s="93"/>
      <c r="H379" s="93"/>
      <c r="I379" s="93"/>
      <c r="J379" s="94"/>
    </row>
    <row r="380" spans="2:10" x14ac:dyDescent="0.25">
      <c r="B380" s="81">
        <v>43504</v>
      </c>
      <c r="C380" s="91"/>
      <c r="D380" s="87"/>
      <c r="E380" s="87"/>
      <c r="F380" s="92"/>
      <c r="G380" s="93"/>
      <c r="H380" s="93"/>
      <c r="I380" s="93"/>
      <c r="J380" s="94"/>
    </row>
    <row r="381" spans="2:10" x14ac:dyDescent="0.25">
      <c r="B381" s="81">
        <v>43505</v>
      </c>
      <c r="C381" s="91"/>
      <c r="D381" s="87"/>
      <c r="E381" s="87"/>
      <c r="F381" s="92"/>
      <c r="G381" s="93"/>
      <c r="H381" s="93"/>
      <c r="I381" s="93"/>
      <c r="J381" s="94"/>
    </row>
    <row r="382" spans="2:10" x14ac:dyDescent="0.25">
      <c r="B382" s="81">
        <v>43506</v>
      </c>
      <c r="C382" s="91"/>
      <c r="D382" s="87"/>
      <c r="E382" s="87"/>
      <c r="F382" s="92"/>
      <c r="G382" s="93"/>
      <c r="H382" s="93"/>
      <c r="I382" s="93"/>
      <c r="J382" s="94"/>
    </row>
    <row r="383" spans="2:10" x14ac:dyDescent="0.25">
      <c r="B383" s="81">
        <v>43507</v>
      </c>
      <c r="C383" s="91"/>
      <c r="D383" s="87"/>
      <c r="E383" s="87"/>
      <c r="F383" s="92"/>
      <c r="G383" s="93"/>
      <c r="H383" s="93"/>
      <c r="I383" s="93"/>
      <c r="J383" s="94"/>
    </row>
    <row r="384" spans="2:10" x14ac:dyDescent="0.25">
      <c r="B384" s="81">
        <v>43508</v>
      </c>
      <c r="C384" s="91"/>
      <c r="D384" s="87"/>
      <c r="E384" s="87"/>
      <c r="F384" s="92"/>
      <c r="G384" s="93"/>
      <c r="H384" s="93"/>
      <c r="I384" s="93"/>
      <c r="J384" s="94"/>
    </row>
    <row r="385" spans="2:10" x14ac:dyDescent="0.25">
      <c r="B385" s="81">
        <v>43509</v>
      </c>
      <c r="C385" s="91"/>
      <c r="D385" s="87"/>
      <c r="E385" s="87"/>
      <c r="F385" s="92"/>
      <c r="G385" s="93"/>
      <c r="H385" s="93"/>
      <c r="I385" s="93"/>
      <c r="J385" s="94"/>
    </row>
    <row r="386" spans="2:10" x14ac:dyDescent="0.25">
      <c r="B386" s="81">
        <v>43510</v>
      </c>
      <c r="C386" s="91"/>
      <c r="D386" s="87"/>
      <c r="E386" s="87"/>
      <c r="F386" s="92"/>
      <c r="G386" s="93"/>
      <c r="H386" s="93"/>
      <c r="I386" s="93"/>
      <c r="J386" s="94"/>
    </row>
    <row r="387" spans="2:10" x14ac:dyDescent="0.25">
      <c r="B387" s="81">
        <v>43511</v>
      </c>
      <c r="C387" s="91"/>
      <c r="D387" s="87"/>
      <c r="E387" s="87"/>
      <c r="F387" s="92"/>
      <c r="G387" s="93"/>
      <c r="H387" s="93"/>
      <c r="I387" s="93"/>
      <c r="J387" s="94"/>
    </row>
    <row r="388" spans="2:10" x14ac:dyDescent="0.25">
      <c r="B388" s="81">
        <v>43512</v>
      </c>
      <c r="C388" s="91"/>
      <c r="D388" s="87"/>
      <c r="E388" s="87"/>
      <c r="F388" s="92"/>
      <c r="G388" s="93"/>
      <c r="H388" s="93"/>
      <c r="I388" s="93"/>
      <c r="J388" s="94"/>
    </row>
    <row r="389" spans="2:10" x14ac:dyDescent="0.25">
      <c r="B389" s="81">
        <v>43513</v>
      </c>
      <c r="C389" s="91"/>
      <c r="D389" s="87"/>
      <c r="E389" s="87"/>
      <c r="F389" s="92"/>
      <c r="G389" s="93"/>
      <c r="H389" s="93"/>
      <c r="I389" s="93"/>
      <c r="J389" s="94"/>
    </row>
    <row r="390" spans="2:10" x14ac:dyDescent="0.25">
      <c r="B390" s="81">
        <v>43514</v>
      </c>
      <c r="C390" s="91"/>
      <c r="D390" s="87"/>
      <c r="E390" s="87"/>
      <c r="F390" s="92"/>
      <c r="G390" s="93"/>
      <c r="H390" s="93"/>
      <c r="I390" s="93"/>
      <c r="J390" s="94"/>
    </row>
    <row r="391" spans="2:10" x14ac:dyDescent="0.25">
      <c r="B391" s="81">
        <v>43515</v>
      </c>
      <c r="C391" s="91"/>
      <c r="D391" s="87"/>
      <c r="E391" s="87"/>
      <c r="F391" s="92"/>
      <c r="G391" s="93"/>
      <c r="H391" s="93"/>
      <c r="I391" s="93"/>
      <c r="J391" s="94"/>
    </row>
    <row r="392" spans="2:10" x14ac:dyDescent="0.25">
      <c r="B392" s="81">
        <v>43516</v>
      </c>
      <c r="C392" s="91"/>
      <c r="D392" s="87"/>
      <c r="E392" s="87"/>
      <c r="F392" s="92"/>
      <c r="G392" s="93"/>
      <c r="H392" s="93"/>
      <c r="I392" s="93"/>
      <c r="J392" s="94"/>
    </row>
    <row r="393" spans="2:10" x14ac:dyDescent="0.25">
      <c r="B393" s="81">
        <v>43517</v>
      </c>
      <c r="C393" s="91"/>
      <c r="D393" s="87"/>
      <c r="E393" s="87"/>
      <c r="F393" s="92"/>
      <c r="G393" s="93"/>
      <c r="H393" s="93"/>
      <c r="I393" s="93"/>
      <c r="J393" s="94"/>
    </row>
    <row r="394" spans="2:10" x14ac:dyDescent="0.25">
      <c r="B394" s="81">
        <v>43518</v>
      </c>
      <c r="C394" s="91"/>
      <c r="D394" s="87"/>
      <c r="E394" s="87"/>
      <c r="F394" s="92"/>
      <c r="G394" s="93"/>
      <c r="H394" s="93"/>
      <c r="I394" s="93"/>
      <c r="J394" s="94"/>
    </row>
    <row r="395" spans="2:10" x14ac:dyDescent="0.25">
      <c r="B395" s="81">
        <v>43519</v>
      </c>
      <c r="C395" s="91"/>
      <c r="D395" s="87"/>
      <c r="E395" s="87"/>
      <c r="F395" s="92"/>
      <c r="G395" s="93"/>
      <c r="H395" s="93"/>
      <c r="I395" s="93"/>
      <c r="J395" s="94"/>
    </row>
    <row r="396" spans="2:10" x14ac:dyDescent="0.25">
      <c r="B396" s="81">
        <v>43520</v>
      </c>
      <c r="C396" s="91"/>
      <c r="D396" s="87"/>
      <c r="E396" s="87"/>
      <c r="F396" s="92"/>
      <c r="G396" s="93"/>
      <c r="H396" s="93"/>
      <c r="I396" s="93"/>
      <c r="J396" s="94"/>
    </row>
    <row r="397" spans="2:10" x14ac:dyDescent="0.25">
      <c r="B397" s="81">
        <v>43521</v>
      </c>
      <c r="C397" s="91"/>
      <c r="D397" s="87"/>
      <c r="E397" s="87"/>
      <c r="F397" s="92"/>
      <c r="G397" s="93"/>
      <c r="H397" s="93"/>
      <c r="I397" s="93"/>
      <c r="J397" s="94"/>
    </row>
    <row r="398" spans="2:10" x14ac:dyDescent="0.25">
      <c r="B398" s="81">
        <v>43522</v>
      </c>
      <c r="C398" s="91"/>
      <c r="D398" s="87"/>
      <c r="E398" s="87"/>
      <c r="F398" s="92"/>
      <c r="G398" s="93"/>
      <c r="H398" s="93"/>
      <c r="I398" s="93"/>
      <c r="J398" s="94"/>
    </row>
    <row r="399" spans="2:10" x14ac:dyDescent="0.25">
      <c r="B399" s="81">
        <v>43523</v>
      </c>
      <c r="C399" s="91"/>
      <c r="D399" s="87"/>
      <c r="E399" s="87"/>
      <c r="F399" s="92"/>
      <c r="G399" s="93"/>
      <c r="H399" s="93"/>
      <c r="I399" s="93"/>
      <c r="J399" s="94"/>
    </row>
    <row r="400" spans="2: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74" priority="6">
      <formula>INDIRECT("B"&amp;ROW())=TODAY()</formula>
    </cfRule>
  </conditionalFormatting>
  <conditionalFormatting sqref="B9:B427">
    <cfRule type="timePeriod" dxfId="73"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3"/>
  <sheetViews>
    <sheetView topLeftCell="A16" zoomScale="84" workbookViewId="0">
      <selection activeCell="G1" sqref="G1"/>
    </sheetView>
  </sheetViews>
  <sheetFormatPr defaultRowHeight="15" x14ac:dyDescent="0.25"/>
  <cols>
    <col min="1" max="2" width="5" style="65" customWidth="1"/>
    <col min="3" max="3" width="27.42578125" style="1" customWidth="1"/>
    <col min="4" max="4" width="17.7109375" style="203" customWidth="1"/>
    <col min="5" max="5" width="20.7109375" style="203"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x14ac:dyDescent="0.25">
      <c r="D1" s="204"/>
      <c r="E1" s="204"/>
      <c r="G1" s="202"/>
    </row>
    <row r="2" spans="3:8" s="65" customFormat="1" x14ac:dyDescent="0.25">
      <c r="D2" s="204"/>
      <c r="E2" s="204"/>
      <c r="G2" s="202"/>
    </row>
    <row r="3" spans="3:8" x14ac:dyDescent="0.25">
      <c r="C3" s="1" t="s">
        <v>477</v>
      </c>
      <c r="D3" s="203" t="s">
        <v>1</v>
      </c>
      <c r="E3" s="203" t="s">
        <v>478</v>
      </c>
      <c r="F3" s="1" t="s">
        <v>479</v>
      </c>
      <c r="G3" s="115" t="s">
        <v>3</v>
      </c>
      <c r="H3" s="1" t="s">
        <v>50</v>
      </c>
    </row>
    <row r="4" spans="3:8" ht="72" customHeight="1" x14ac:dyDescent="0.25">
      <c r="C4" s="1" t="s">
        <v>480</v>
      </c>
      <c r="D4" s="203">
        <v>43183</v>
      </c>
      <c r="E4" s="203">
        <v>43184</v>
      </c>
      <c r="F4" s="1" t="s">
        <v>486</v>
      </c>
      <c r="G4" s="115">
        <v>1</v>
      </c>
      <c r="H4" s="1" t="s">
        <v>488</v>
      </c>
    </row>
    <row r="5" spans="3:8" ht="67.5" customHeight="1" x14ac:dyDescent="0.25">
      <c r="C5" s="1" t="s">
        <v>481</v>
      </c>
      <c r="D5" s="203">
        <v>43183</v>
      </c>
      <c r="E5" s="203">
        <v>43184</v>
      </c>
      <c r="F5" s="1" t="s">
        <v>485</v>
      </c>
      <c r="G5" s="115">
        <v>1</v>
      </c>
    </row>
    <row r="6" spans="3:8" ht="75" x14ac:dyDescent="0.25">
      <c r="C6" s="1" t="s">
        <v>482</v>
      </c>
      <c r="D6" s="203">
        <v>43183</v>
      </c>
      <c r="E6" s="203">
        <v>43185</v>
      </c>
      <c r="F6" s="1" t="s">
        <v>484</v>
      </c>
      <c r="G6" s="115">
        <v>1</v>
      </c>
    </row>
    <row r="7" spans="3:8" ht="72.75" customHeight="1" x14ac:dyDescent="0.25">
      <c r="C7" s="1" t="s">
        <v>483</v>
      </c>
      <c r="D7" s="203">
        <v>43183</v>
      </c>
      <c r="E7" s="203">
        <v>43185</v>
      </c>
      <c r="F7" s="1" t="s">
        <v>487</v>
      </c>
      <c r="G7" s="115">
        <v>1</v>
      </c>
    </row>
    <row r="8" spans="3:8" ht="56.25" customHeight="1" x14ac:dyDescent="0.25">
      <c r="C8" s="1" t="s">
        <v>492</v>
      </c>
      <c r="D8" s="203">
        <v>43184</v>
      </c>
      <c r="E8" s="203">
        <v>43186</v>
      </c>
      <c r="G8" s="115">
        <v>1</v>
      </c>
    </row>
    <row r="9" spans="3:8" ht="68.25" customHeight="1" x14ac:dyDescent="0.25">
      <c r="C9" s="1" t="s">
        <v>493</v>
      </c>
      <c r="D9" s="203">
        <v>43185</v>
      </c>
      <c r="E9" s="203">
        <v>43187</v>
      </c>
      <c r="G9" s="115">
        <v>1</v>
      </c>
    </row>
    <row r="10" spans="3:8" ht="57.75" customHeight="1" x14ac:dyDescent="0.25">
      <c r="C10" s="1" t="s">
        <v>494</v>
      </c>
      <c r="G10" s="115">
        <v>1</v>
      </c>
    </row>
    <row r="11" spans="3:8" ht="98.25" customHeight="1" x14ac:dyDescent="0.25">
      <c r="C11" s="1" t="s">
        <v>495</v>
      </c>
      <c r="F11" s="1" t="s">
        <v>496</v>
      </c>
      <c r="G11" s="115">
        <v>1</v>
      </c>
    </row>
    <row r="12" spans="3:8" ht="52.5" customHeight="1" x14ac:dyDescent="0.25">
      <c r="C12" s="1" t="s">
        <v>498</v>
      </c>
      <c r="F12" s="1" t="s">
        <v>499</v>
      </c>
      <c r="G12" s="115">
        <v>1</v>
      </c>
    </row>
    <row r="13" spans="3:8" ht="45.2" customHeight="1" x14ac:dyDescent="0.25">
      <c r="C13" s="1" t="s">
        <v>500</v>
      </c>
      <c r="F13" s="1" t="s">
        <v>501</v>
      </c>
      <c r="G13" s="115">
        <v>1</v>
      </c>
    </row>
    <row r="14" spans="3:8" ht="42" customHeight="1" x14ac:dyDescent="0.25">
      <c r="C14" s="1" t="s">
        <v>502</v>
      </c>
      <c r="F14" s="1" t="s">
        <v>503</v>
      </c>
      <c r="G14" s="115">
        <v>1</v>
      </c>
    </row>
    <row r="15" spans="3:8" ht="56.25" customHeight="1" x14ac:dyDescent="0.25">
      <c r="C15" s="1" t="s">
        <v>504</v>
      </c>
      <c r="F15" s="1" t="s">
        <v>513</v>
      </c>
      <c r="G15" s="115">
        <v>1</v>
      </c>
    </row>
    <row r="16" spans="3:8" ht="120.75" customHeight="1" x14ac:dyDescent="0.25">
      <c r="C16" s="1" t="s">
        <v>505</v>
      </c>
      <c r="F16" s="1" t="s">
        <v>512</v>
      </c>
      <c r="G16" s="115">
        <v>1</v>
      </c>
    </row>
    <row r="17" spans="3:7" ht="49.5" customHeight="1" x14ac:dyDescent="0.25">
      <c r="C17" s="1" t="s">
        <v>506</v>
      </c>
      <c r="F17" s="1" t="s">
        <v>509</v>
      </c>
      <c r="G17" s="115">
        <v>1</v>
      </c>
    </row>
    <row r="18" spans="3:7" ht="31.5" customHeight="1" x14ac:dyDescent="0.25">
      <c r="C18" s="1" t="s">
        <v>507</v>
      </c>
      <c r="F18" s="1" t="s">
        <v>508</v>
      </c>
      <c r="G18" s="115">
        <v>0</v>
      </c>
    </row>
    <row r="19" spans="3:7" ht="54" customHeight="1" x14ac:dyDescent="0.25">
      <c r="C19" s="42" t="s">
        <v>510</v>
      </c>
      <c r="D19" s="205"/>
      <c r="E19" s="205"/>
      <c r="F19" s="42" t="s">
        <v>511</v>
      </c>
      <c r="G19" s="115">
        <v>0</v>
      </c>
    </row>
    <row r="20" spans="3:7" ht="54" customHeight="1" x14ac:dyDescent="0.25">
      <c r="C20" s="209" t="s">
        <v>553</v>
      </c>
      <c r="D20" s="210"/>
      <c r="E20" s="210"/>
      <c r="F20" s="209" t="s">
        <v>554</v>
      </c>
      <c r="G20" s="115">
        <v>0.8</v>
      </c>
    </row>
    <row r="21" spans="3:7" ht="54" customHeight="1" x14ac:dyDescent="0.25">
      <c r="C21" s="209" t="s">
        <v>555</v>
      </c>
      <c r="D21" s="210"/>
      <c r="E21" s="210"/>
      <c r="F21" s="209" t="s">
        <v>556</v>
      </c>
      <c r="G21" s="115">
        <v>0.7</v>
      </c>
    </row>
    <row r="22" spans="3:7" ht="42.75" customHeight="1" x14ac:dyDescent="0.25">
      <c r="C22" s="1" t="s">
        <v>514</v>
      </c>
      <c r="F22" s="1" t="s">
        <v>515</v>
      </c>
      <c r="G22" s="115">
        <v>0.09</v>
      </c>
    </row>
    <row r="23" spans="3:7" ht="69.75" customHeight="1" x14ac:dyDescent="0.25">
      <c r="C23" s="1" t="s">
        <v>519</v>
      </c>
      <c r="G23" s="115">
        <v>-0.1</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5" customHeight="1" x14ac:dyDescent="0.25">
      <c r="A1" s="68">
        <f ca="1">TODAY()</f>
        <v>43233</v>
      </c>
      <c r="B1" s="68"/>
    </row>
    <row r="2" spans="1:12" s="99" customFormat="1" ht="33.75" customHeight="1" x14ac:dyDescent="0.25">
      <c r="A2" s="98">
        <f ca="1">NOW()</f>
        <v>43233.505155671293</v>
      </c>
      <c r="B2" s="98"/>
      <c r="E2" s="100" t="s">
        <v>356</v>
      </c>
      <c r="F2" s="100"/>
      <c r="G2" s="100"/>
      <c r="J2" s="100"/>
      <c r="K2" s="100"/>
      <c r="L2" s="100"/>
    </row>
    <row r="3" spans="1:12" x14ac:dyDescent="0.25">
      <c r="A3" s="120"/>
    </row>
    <row r="4" spans="1:12" x14ac:dyDescent="0.25">
      <c r="A4" s="111"/>
    </row>
    <row r="5" spans="1:12" x14ac:dyDescent="0.25">
      <c r="C5" s="144"/>
      <c r="D5" s="144"/>
      <c r="E5" s="144"/>
      <c r="F5" s="144"/>
      <c r="G5" s="144"/>
      <c r="H5" s="144"/>
      <c r="I5" s="144"/>
      <c r="J5" s="144"/>
    </row>
    <row r="6" spans="1:12" x14ac:dyDescent="0.25">
      <c r="C6" s="144"/>
      <c r="D6" s="144"/>
      <c r="E6" s="144"/>
      <c r="F6" s="144"/>
      <c r="G6" s="144"/>
      <c r="H6" s="144"/>
      <c r="I6" s="144"/>
      <c r="J6" s="144"/>
    </row>
    <row r="7" spans="1:12" x14ac:dyDescent="0.25">
      <c r="C7" s="145" t="s">
        <v>384</v>
      </c>
      <c r="D7" s="145"/>
      <c r="E7" s="145"/>
      <c r="F7" s="145"/>
      <c r="G7" s="145"/>
      <c r="H7" s="145"/>
      <c r="I7" s="145" t="s">
        <v>54</v>
      </c>
      <c r="J7" s="144"/>
    </row>
    <row r="8" spans="1:12" x14ac:dyDescent="0.25">
      <c r="C8" s="144"/>
      <c r="D8" s="146" t="s">
        <v>385</v>
      </c>
      <c r="E8" s="146"/>
      <c r="F8" s="146"/>
      <c r="G8" s="146"/>
      <c r="H8" s="146" t="s">
        <v>386</v>
      </c>
      <c r="I8" s="144"/>
      <c r="J8" s="144"/>
    </row>
    <row r="9" spans="1:12" x14ac:dyDescent="0.25">
      <c r="C9" s="144"/>
      <c r="D9" s="144"/>
      <c r="E9" s="145" t="s">
        <v>387</v>
      </c>
      <c r="F9" s="145"/>
      <c r="G9" s="145" t="s">
        <v>388</v>
      </c>
      <c r="H9" s="144"/>
      <c r="I9" s="144"/>
      <c r="J9" s="144"/>
    </row>
    <row r="10" spans="1:12" x14ac:dyDescent="0.25">
      <c r="C10" s="144"/>
      <c r="D10" s="144"/>
      <c r="E10" s="144"/>
      <c r="F10" s="146"/>
      <c r="G10" s="144"/>
      <c r="H10" s="144"/>
      <c r="I10" s="144"/>
      <c r="J10" s="144"/>
    </row>
    <row r="11" spans="1:12" x14ac:dyDescent="0.25">
      <c r="C11" s="144"/>
      <c r="D11" s="144"/>
      <c r="E11" s="144"/>
      <c r="F11" s="146" t="s">
        <v>389</v>
      </c>
      <c r="G11" s="144"/>
      <c r="H11" s="144"/>
      <c r="I11" s="144"/>
      <c r="J11" s="144"/>
    </row>
    <row r="12" spans="1:12" x14ac:dyDescent="0.25">
      <c r="C12" s="144"/>
      <c r="D12" s="144"/>
      <c r="E12" s="144"/>
      <c r="F12" s="144"/>
      <c r="G12" s="144"/>
      <c r="H12" s="144"/>
      <c r="I12" s="144"/>
      <c r="J12" s="144"/>
    </row>
    <row r="13" spans="1:12" x14ac:dyDescent="0.25">
      <c r="C13" s="144"/>
      <c r="D13" s="144"/>
      <c r="E13" s="144"/>
      <c r="F13" s="144"/>
      <c r="G13" s="144"/>
      <c r="H13" s="144"/>
      <c r="I13" s="144"/>
      <c r="J13" s="144"/>
    </row>
    <row r="15" spans="1:12" x14ac:dyDescent="0.25">
      <c r="C15" s="78" t="s">
        <v>395</v>
      </c>
      <c r="D15" s="78" t="s">
        <v>9</v>
      </c>
      <c r="E15" s="78" t="s">
        <v>390</v>
      </c>
      <c r="F15" s="143" t="s">
        <v>392</v>
      </c>
      <c r="G15" s="78" t="s">
        <v>400</v>
      </c>
    </row>
    <row r="16" spans="1:12" ht="58.5" customHeight="1" x14ac:dyDescent="0.25">
      <c r="C16" s="78" t="s">
        <v>407</v>
      </c>
      <c r="D16" s="79" t="s">
        <v>408</v>
      </c>
      <c r="E16" s="147">
        <v>0</v>
      </c>
      <c r="F16" s="148"/>
      <c r="G16" s="148"/>
    </row>
    <row r="17" spans="3:7" ht="58.5" customHeight="1" x14ac:dyDescent="0.25">
      <c r="C17" s="143" t="s">
        <v>409</v>
      </c>
      <c r="D17" s="79" t="s">
        <v>410</v>
      </c>
      <c r="E17" s="150">
        <v>0.1</v>
      </c>
      <c r="F17" s="148"/>
      <c r="G17" s="148"/>
    </row>
    <row r="18" spans="3:7" ht="136.69999999999999" customHeight="1" x14ac:dyDescent="0.25">
      <c r="C18" s="78" t="s">
        <v>384</v>
      </c>
      <c r="D18" s="79" t="s">
        <v>391</v>
      </c>
      <c r="E18" s="147">
        <v>0.1</v>
      </c>
      <c r="F18" s="148">
        <v>43226</v>
      </c>
      <c r="G18" s="148"/>
    </row>
    <row r="19" spans="3:7" ht="39" customHeight="1" x14ac:dyDescent="0.25">
      <c r="C19" s="78" t="s">
        <v>385</v>
      </c>
      <c r="D19" s="79" t="s">
        <v>393</v>
      </c>
      <c r="E19" s="147">
        <v>0.05</v>
      </c>
    </row>
    <row r="20" spans="3:7" ht="47.45" customHeight="1" x14ac:dyDescent="0.25">
      <c r="C20" s="78" t="s">
        <v>387</v>
      </c>
      <c r="D20" s="79" t="s">
        <v>394</v>
      </c>
      <c r="E20" s="147">
        <v>0.01</v>
      </c>
    </row>
    <row r="21" spans="3:7" ht="105" customHeight="1" x14ac:dyDescent="0.25">
      <c r="C21" s="78" t="s">
        <v>388</v>
      </c>
      <c r="D21" s="79" t="s">
        <v>396</v>
      </c>
      <c r="E21" s="147">
        <v>1.4999999999999999E-2</v>
      </c>
    </row>
    <row r="22" spans="3:7" ht="64.7" customHeight="1" x14ac:dyDescent="0.25">
      <c r="C22" s="78" t="s">
        <v>54</v>
      </c>
      <c r="D22" s="79" t="s">
        <v>397</v>
      </c>
      <c r="E22" s="147">
        <v>0.1</v>
      </c>
      <c r="F22" s="148">
        <v>43261</v>
      </c>
      <c r="G22" s="148"/>
    </row>
    <row r="23" spans="3:7" ht="84.2" customHeight="1" x14ac:dyDescent="0.25">
      <c r="C23" s="78" t="s">
        <v>398</v>
      </c>
      <c r="D23" s="79" t="s">
        <v>399</v>
      </c>
      <c r="E23" s="147">
        <v>0.02</v>
      </c>
      <c r="F23" s="149">
        <v>43558</v>
      </c>
      <c r="G23" s="149"/>
    </row>
    <row r="24" spans="3:7" ht="119.45" customHeight="1" x14ac:dyDescent="0.25">
      <c r="C24" s="143" t="s">
        <v>401</v>
      </c>
      <c r="D24" s="78" t="s">
        <v>403</v>
      </c>
      <c r="E24" s="147">
        <v>0.2</v>
      </c>
    </row>
    <row r="25" spans="3:7" ht="117.2" customHeight="1" x14ac:dyDescent="0.25">
      <c r="C25" s="143" t="s">
        <v>402</v>
      </c>
      <c r="D25" s="78" t="s">
        <v>404</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39"/>
  <sheetViews>
    <sheetView topLeftCell="A6" zoomScale="50" workbookViewId="0">
      <selection activeCell="D5" sqref="D5"/>
    </sheetView>
  </sheetViews>
  <sheetFormatPr defaultColWidth="8.85546875" defaultRowHeight="15" x14ac:dyDescent="0.25"/>
  <cols>
    <col min="1" max="1" width="21.140625" style="65" customWidth="1"/>
    <col min="2" max="2" width="16.42578125" style="1" customWidth="1"/>
    <col min="3" max="3" width="20.7109375" style="110" customWidth="1"/>
    <col min="4" max="4" width="22.28515625" style="1" customWidth="1"/>
    <col min="5" max="5" width="39" style="1" customWidth="1"/>
    <col min="6" max="6" width="50.85546875" style="1" customWidth="1"/>
    <col min="7" max="7" width="35.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x14ac:dyDescent="0.25">
      <c r="A1" s="68">
        <f ca="1">TODAY()</f>
        <v>43233</v>
      </c>
      <c r="C1" s="68"/>
    </row>
    <row r="2" spans="1:45" s="99" customFormat="1" ht="33.75" customHeight="1" x14ac:dyDescent="0.25">
      <c r="A2" s="98">
        <f ca="1">NOW()</f>
        <v>43233.505155671293</v>
      </c>
      <c r="B2" s="100"/>
      <c r="C2" s="98"/>
      <c r="F2" s="100" t="s">
        <v>356</v>
      </c>
      <c r="G2" s="100"/>
      <c r="J2" s="100"/>
      <c r="K2" s="100"/>
      <c r="L2" s="100"/>
    </row>
    <row r="3" spans="1:45" s="114" customFormat="1" x14ac:dyDescent="0.25">
      <c r="A3" s="120"/>
      <c r="C3" s="114" t="s">
        <v>360</v>
      </c>
      <c r="H3" s="119"/>
      <c r="I3" s="119"/>
    </row>
    <row r="4" spans="1:45" s="113" customFormat="1" x14ac:dyDescent="0.25">
      <c r="A4" s="111"/>
      <c r="B4" s="113" t="s">
        <v>22</v>
      </c>
      <c r="C4" s="112" t="s">
        <v>41</v>
      </c>
      <c r="D4" s="113" t="s">
        <v>367</v>
      </c>
      <c r="E4" s="113" t="s">
        <v>9</v>
      </c>
      <c r="F4" s="113" t="s">
        <v>369</v>
      </c>
      <c r="G4" s="113" t="s">
        <v>374</v>
      </c>
      <c r="H4" s="113" t="s">
        <v>368</v>
      </c>
      <c r="I4" s="113" t="s">
        <v>361</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x14ac:dyDescent="0.25">
      <c r="B5" s="142">
        <v>1</v>
      </c>
      <c r="C5" s="110">
        <v>11</v>
      </c>
      <c r="D5" s="2" t="s">
        <v>569</v>
      </c>
      <c r="E5" s="1" t="s">
        <v>570</v>
      </c>
      <c r="F5" s="116" t="s">
        <v>571</v>
      </c>
      <c r="G5" s="129"/>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15">
        <v>0.6</v>
      </c>
      <c r="C6" s="110">
        <v>9</v>
      </c>
      <c r="D6" s="121" t="s">
        <v>578</v>
      </c>
      <c r="E6" s="1" t="s">
        <v>580</v>
      </c>
      <c r="F6" s="122" t="s">
        <v>581</v>
      </c>
      <c r="G6" s="123"/>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5">
      <c r="B7" s="115">
        <v>0.1</v>
      </c>
      <c r="C7" s="110">
        <v>8</v>
      </c>
      <c r="D7" s="121" t="s">
        <v>566</v>
      </c>
      <c r="E7" s="1" t="s">
        <v>567</v>
      </c>
      <c r="F7" s="116" t="s">
        <v>576</v>
      </c>
      <c r="G7" s="201" t="s">
        <v>568</v>
      </c>
      <c r="H7" s="64">
        <v>3</v>
      </c>
      <c r="I7" s="51">
        <v>43211</v>
      </c>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5">
      <c r="B8" s="115">
        <v>0.2</v>
      </c>
      <c r="C8" s="110">
        <v>7</v>
      </c>
      <c r="D8" s="2" t="s">
        <v>590</v>
      </c>
      <c r="E8" s="1" t="s">
        <v>591</v>
      </c>
      <c r="F8" s="128" t="s">
        <v>585</v>
      </c>
      <c r="G8" s="129"/>
      <c r="H8" s="64"/>
      <c r="I8" s="51"/>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x14ac:dyDescent="0.25">
      <c r="B9" s="115">
        <v>0</v>
      </c>
      <c r="C9" s="110">
        <v>7</v>
      </c>
      <c r="D9" s="121" t="s">
        <v>574</v>
      </c>
      <c r="F9" s="122" t="s">
        <v>575</v>
      </c>
      <c r="G9" s="123"/>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5">
      <c r="B10" s="115">
        <v>0.05</v>
      </c>
      <c r="C10" s="110">
        <v>6</v>
      </c>
      <c r="D10" s="2" t="s">
        <v>551</v>
      </c>
      <c r="E10" s="1" t="s">
        <v>572</v>
      </c>
      <c r="F10" s="122" t="s">
        <v>573</v>
      </c>
      <c r="G10" s="2"/>
      <c r="H10" s="64"/>
      <c r="I10" s="134">
        <v>43291</v>
      </c>
    </row>
    <row r="11" spans="1:45" ht="89.25" customHeight="1" x14ac:dyDescent="0.25">
      <c r="B11" s="115">
        <v>0.1</v>
      </c>
      <c r="C11" s="110">
        <v>6</v>
      </c>
      <c r="D11" s="2" t="s">
        <v>579</v>
      </c>
      <c r="E11" s="1" t="s">
        <v>583</v>
      </c>
      <c r="F11" s="122" t="s">
        <v>582</v>
      </c>
      <c r="G11" s="129"/>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112.15" customHeight="1" x14ac:dyDescent="0.25">
      <c r="B12" s="115">
        <v>0.2</v>
      </c>
      <c r="C12" s="110">
        <v>3</v>
      </c>
      <c r="D12" s="2" t="s">
        <v>577</v>
      </c>
      <c r="E12" s="1" t="s">
        <v>584</v>
      </c>
      <c r="F12" s="122"/>
      <c r="G12" s="2"/>
      <c r="H12" s="64"/>
      <c r="I12" s="134"/>
    </row>
    <row r="13" spans="1:45" ht="33.950000000000003" customHeight="1" x14ac:dyDescent="0.25">
      <c r="B13" s="115"/>
      <c r="D13" s="2"/>
      <c r="F13" s="122"/>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33.950000000000003" customHeight="1" x14ac:dyDescent="0.25">
      <c r="B14" s="115"/>
      <c r="D14" s="121"/>
      <c r="F14" s="122"/>
      <c r="G14" s="123"/>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33.950000000000003" customHeight="1" x14ac:dyDescent="0.25">
      <c r="B15" s="115"/>
      <c r="D15" s="121"/>
      <c r="F15" s="116"/>
      <c r="G15" s="123"/>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33.950000000000003" customHeight="1" x14ac:dyDescent="0.25">
      <c r="B16" s="115"/>
      <c r="D16" s="121"/>
      <c r="F16" s="116"/>
      <c r="G16" s="123"/>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33.950000000000003" customHeight="1" x14ac:dyDescent="0.25">
      <c r="B17" s="115"/>
      <c r="C17" s="39"/>
      <c r="D17" s="121"/>
      <c r="E17" s="2"/>
      <c r="F17" s="124"/>
      <c r="G17" s="123"/>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row r="18" spans="2:44" ht="33.950000000000003" customHeight="1" x14ac:dyDescent="0.25">
      <c r="D18" s="121"/>
      <c r="F18" s="122"/>
      <c r="G18" s="123"/>
      <c r="H18" s="64"/>
      <c r="I18" s="211"/>
    </row>
    <row r="19" spans="2:44" ht="33.950000000000003" customHeight="1" x14ac:dyDescent="0.25">
      <c r="D19" s="121"/>
      <c r="F19" s="122"/>
      <c r="G19" s="123"/>
      <c r="H19" s="64"/>
      <c r="I19" s="211"/>
    </row>
    <row r="20" spans="2:44" ht="33.950000000000003" customHeight="1" x14ac:dyDescent="0.25">
      <c r="D20" s="121"/>
      <c r="F20" s="122"/>
      <c r="G20" s="123"/>
      <c r="H20" s="64"/>
      <c r="I20" s="211"/>
    </row>
    <row r="21" spans="2:44" ht="33.950000000000003" customHeight="1" x14ac:dyDescent="0.25">
      <c r="D21" s="121"/>
      <c r="F21" s="122"/>
      <c r="G21" s="123"/>
      <c r="H21" s="64"/>
      <c r="I21" s="211"/>
    </row>
    <row r="22" spans="2:44" ht="33.950000000000003" customHeight="1" x14ac:dyDescent="0.25">
      <c r="D22" s="121"/>
      <c r="F22" s="122"/>
      <c r="G22" s="123"/>
      <c r="H22" s="64"/>
      <c r="I22" s="211"/>
    </row>
    <row r="23" spans="2:44" ht="33.950000000000003" customHeight="1" x14ac:dyDescent="0.25">
      <c r="D23" s="121"/>
      <c r="F23" s="122"/>
      <c r="G23" s="123"/>
      <c r="H23" s="64"/>
      <c r="I23" s="211"/>
    </row>
    <row r="24" spans="2:44" ht="33.950000000000003" customHeight="1" x14ac:dyDescent="0.25">
      <c r="D24" s="121"/>
      <c r="F24" s="122"/>
      <c r="G24" s="123"/>
      <c r="H24" s="64"/>
      <c r="I24" s="211"/>
    </row>
    <row r="25" spans="2:44" ht="33.950000000000003" customHeight="1" x14ac:dyDescent="0.25">
      <c r="D25" s="121"/>
      <c r="F25" s="122"/>
      <c r="G25" s="123"/>
      <c r="H25" s="64"/>
      <c r="I25" s="211"/>
    </row>
    <row r="26" spans="2:44" ht="33.950000000000003" customHeight="1" x14ac:dyDescent="0.25">
      <c r="D26" s="121"/>
      <c r="F26" s="122"/>
      <c r="G26" s="123"/>
      <c r="H26" s="64"/>
      <c r="I26" s="211"/>
    </row>
    <row r="27" spans="2:44" ht="33.950000000000003" customHeight="1" x14ac:dyDescent="0.25">
      <c r="D27" s="121"/>
      <c r="F27" s="122"/>
      <c r="G27" s="123"/>
      <c r="H27" s="64"/>
      <c r="I27" s="211"/>
    </row>
    <row r="28" spans="2:44" ht="33.950000000000003" customHeight="1" x14ac:dyDescent="0.25">
      <c r="D28" s="121"/>
      <c r="F28" s="122"/>
      <c r="G28" s="123"/>
      <c r="H28" s="64"/>
      <c r="I28" s="211"/>
    </row>
    <row r="29" spans="2:44" ht="33.950000000000003" customHeight="1" x14ac:dyDescent="0.25">
      <c r="D29" s="121"/>
      <c r="F29" s="122"/>
      <c r="G29" s="123"/>
      <c r="H29" s="64"/>
      <c r="I29" s="211"/>
    </row>
    <row r="30" spans="2:44" ht="33.950000000000003" customHeight="1" x14ac:dyDescent="0.25">
      <c r="D30" s="121"/>
      <c r="F30" s="122"/>
      <c r="G30" s="123"/>
      <c r="H30" s="64"/>
      <c r="I30" s="211"/>
    </row>
    <row r="31" spans="2:44" ht="33.950000000000003" customHeight="1" x14ac:dyDescent="0.25">
      <c r="D31" s="121"/>
      <c r="F31" s="122"/>
      <c r="G31" s="123"/>
      <c r="H31" s="64"/>
      <c r="I31" s="211"/>
    </row>
    <row r="32" spans="2:44" ht="33.950000000000003" customHeight="1" x14ac:dyDescent="0.25">
      <c r="D32" s="121"/>
      <c r="F32" s="122"/>
      <c r="G32" s="123"/>
      <c r="H32" s="64"/>
      <c r="I32" s="211"/>
    </row>
    <row r="33" spans="3:9" ht="33.950000000000003" customHeight="1" x14ac:dyDescent="0.25">
      <c r="D33" s="121"/>
      <c r="F33" s="122"/>
      <c r="G33" s="123"/>
      <c r="H33" s="64"/>
      <c r="I33" s="211"/>
    </row>
    <row r="34" spans="3:9" ht="33.950000000000003" customHeight="1" x14ac:dyDescent="0.25">
      <c r="D34" s="121"/>
      <c r="F34" s="122"/>
      <c r="G34" s="123"/>
      <c r="H34" s="64"/>
      <c r="I34" s="211"/>
    </row>
    <row r="35" spans="3:9" ht="33.950000000000003" customHeight="1" x14ac:dyDescent="0.25">
      <c r="D35" s="121"/>
      <c r="F35" s="122"/>
      <c r="G35" s="123"/>
      <c r="H35" s="64"/>
      <c r="I35" s="211"/>
    </row>
    <row r="36" spans="3:9" ht="33.950000000000003" customHeight="1" x14ac:dyDescent="0.25">
      <c r="D36" s="121"/>
      <c r="F36" s="122"/>
      <c r="G36" s="123"/>
      <c r="H36" s="64"/>
      <c r="I36" s="211"/>
    </row>
    <row r="37" spans="3:9" ht="33.950000000000003" customHeight="1" x14ac:dyDescent="0.25">
      <c r="D37" s="121"/>
      <c r="F37" s="122"/>
      <c r="G37" s="123"/>
      <c r="H37" s="64"/>
      <c r="I37" s="211"/>
    </row>
    <row r="38" spans="3:9" ht="33.950000000000003" customHeight="1" x14ac:dyDescent="0.25">
      <c r="D38" s="121"/>
      <c r="F38" s="122"/>
      <c r="G38" s="123"/>
      <c r="H38" s="64"/>
      <c r="I38" s="211"/>
    </row>
    <row r="39" spans="3:9" ht="33.950000000000003" customHeight="1" x14ac:dyDescent="0.25">
      <c r="C39" s="39"/>
      <c r="D39" s="121"/>
      <c r="E39" s="2"/>
      <c r="F39" s="124"/>
      <c r="G39" s="123"/>
      <c r="H39" s="133"/>
      <c r="I39" s="212"/>
    </row>
  </sheetData>
  <conditionalFormatting sqref="C10:C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C5:C7">
    <cfRule type="colorScale" priority="4">
      <colorScale>
        <cfvo type="num" val="0"/>
        <cfvo type="num" val="5"/>
        <cfvo type="num" val="10"/>
        <color rgb="FF00B050"/>
        <color rgb="FFFFFF00"/>
        <color rgb="FFFF2929"/>
      </colorScale>
    </cfRule>
  </conditionalFormatting>
  <conditionalFormatting sqref="B5:B7">
    <cfRule type="colorScale" priority="3">
      <colorScale>
        <cfvo type="num" val="0"/>
        <cfvo type="num" val="0.5"/>
        <cfvo type="num" val="1"/>
        <color rgb="FFF8696B"/>
        <color rgb="FFFFEB84"/>
        <color rgb="FF63BE7B"/>
      </colorScale>
    </cfRule>
  </conditionalFormatting>
  <conditionalFormatting sqref="C8:C9">
    <cfRule type="colorScale" priority="2">
      <colorScale>
        <cfvo type="num" val="0"/>
        <cfvo type="num" val="5"/>
        <cfvo type="num" val="10"/>
        <color rgb="FF00B050"/>
        <color rgb="FFFFFF00"/>
        <color rgb="FFFF2929"/>
      </colorScale>
    </cfRule>
  </conditionalFormatting>
  <conditionalFormatting sqref="B8:B24">
    <cfRule type="colorScale" priority="1">
      <colorScale>
        <cfvo type="num" val="0"/>
        <cfvo type="num" val="0.5"/>
        <cfvo type="num" val="1"/>
        <color rgb="FFF8696B"/>
        <color rgb="FFFFEB84"/>
        <color rgb="FF63BE7B"/>
      </colorScale>
    </cfRule>
  </conditionalFormatting>
  <hyperlinks>
    <hyperlink ref="G7" r:id="rId1"/>
  </hyperlinks>
  <pageMargins left="0.7" right="0.7" top="0.75" bottom="0.75" header="0.3" footer="0.3"/>
  <pageSetup paperSize="9" orientation="portrait" horizontalDpi="4294967293" verticalDpi="0"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F10" sqref="F10"/>
    </sheetView>
  </sheetViews>
  <sheetFormatPr defaultColWidth="8.85546875" defaultRowHeight="15" x14ac:dyDescent="0.25"/>
  <cols>
    <col min="1" max="1" width="20.7109375" style="65" customWidth="1"/>
    <col min="2" max="3" width="20.7109375" style="110" customWidth="1"/>
    <col min="4" max="4" width="18.140625" style="1" customWidth="1"/>
    <col min="5" max="5" width="31.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43233</v>
      </c>
      <c r="B1" s="68"/>
      <c r="C1" s="68"/>
    </row>
    <row r="2" spans="1:46" s="99" customFormat="1" ht="26.25" customHeight="1" x14ac:dyDescent="0.25">
      <c r="A2" s="98">
        <f ca="1">NOW()</f>
        <v>43233.505155671293</v>
      </c>
      <c r="B2" s="98"/>
      <c r="C2" s="98" t="s">
        <v>559</v>
      </c>
      <c r="F2" s="100" t="s">
        <v>356</v>
      </c>
      <c r="G2" s="100"/>
      <c r="J2" s="100"/>
      <c r="K2" s="100"/>
      <c r="L2" s="100"/>
      <c r="M2" s="100"/>
      <c r="N2" s="100"/>
    </row>
    <row r="3" spans="1:46" s="114" customFormat="1" x14ac:dyDescent="0.25">
      <c r="A3" s="120"/>
      <c r="B3" s="138" t="s">
        <v>360</v>
      </c>
      <c r="H3" s="119"/>
      <c r="I3" s="119"/>
    </row>
    <row r="4" spans="1:46" s="113" customFormat="1" x14ac:dyDescent="0.25">
      <c r="A4" s="111"/>
      <c r="B4" s="112" t="s">
        <v>41</v>
      </c>
      <c r="C4" s="112" t="s">
        <v>558</v>
      </c>
      <c r="D4" s="113" t="s">
        <v>21</v>
      </c>
      <c r="E4" s="113" t="s">
        <v>364</v>
      </c>
      <c r="F4" s="113" t="s">
        <v>366</v>
      </c>
      <c r="G4" s="113" t="s">
        <v>358</v>
      </c>
      <c r="H4" s="113" t="s">
        <v>357</v>
      </c>
      <c r="I4" s="113" t="s">
        <v>361</v>
      </c>
      <c r="J4" s="113" t="s">
        <v>359</v>
      </c>
      <c r="K4" s="113" t="s">
        <v>365</v>
      </c>
    </row>
    <row r="5" spans="1:46" ht="67.5" customHeight="1" x14ac:dyDescent="0.25">
      <c r="B5" s="110">
        <v>20</v>
      </c>
      <c r="C5" s="110" t="s">
        <v>631</v>
      </c>
      <c r="D5" s="2" t="s">
        <v>546</v>
      </c>
      <c r="E5" s="1" t="s">
        <v>629</v>
      </c>
      <c r="F5" s="140" t="s">
        <v>630</v>
      </c>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10">
        <v>15</v>
      </c>
      <c r="D6" s="2" t="s">
        <v>547</v>
      </c>
      <c r="E6" s="1" t="s">
        <v>596</v>
      </c>
      <c r="F6" s="140" t="s">
        <v>610</v>
      </c>
      <c r="G6" s="129"/>
      <c r="H6" s="115"/>
      <c r="I6" s="51"/>
      <c r="K6" s="117"/>
    </row>
    <row r="7" spans="1:46" ht="61.7" customHeight="1" x14ac:dyDescent="0.25">
      <c r="B7" s="110">
        <v>0</v>
      </c>
      <c r="D7" s="2" t="s">
        <v>549</v>
      </c>
      <c r="F7" s="139"/>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10">
        <v>0</v>
      </c>
      <c r="D8" s="2" t="s">
        <v>552</v>
      </c>
      <c r="F8" s="139"/>
      <c r="G8" s="2"/>
      <c r="H8" s="115"/>
      <c r="I8" s="51"/>
      <c r="K8" s="118"/>
    </row>
    <row r="9" spans="1:46" ht="106.5" customHeight="1" x14ac:dyDescent="0.25">
      <c r="B9" s="110">
        <v>0</v>
      </c>
      <c r="D9" s="121" t="s">
        <v>557</v>
      </c>
      <c r="E9" s="1" t="s">
        <v>588</v>
      </c>
      <c r="F9" s="139" t="s">
        <v>633</v>
      </c>
      <c r="G9" s="201" t="s">
        <v>606</v>
      </c>
      <c r="H9" s="115"/>
      <c r="I9" s="51"/>
      <c r="K9" s="117"/>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10">
        <v>0</v>
      </c>
      <c r="D10" s="121" t="s">
        <v>561</v>
      </c>
      <c r="E10" s="1" t="s">
        <v>595</v>
      </c>
      <c r="F10" s="116" t="s">
        <v>632</v>
      </c>
      <c r="G10" s="123"/>
      <c r="H10" s="115"/>
      <c r="I10" s="51"/>
      <c r="K10" s="118"/>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1"/>
      <c r="E11" s="2"/>
      <c r="F11" s="124"/>
      <c r="G11" s="123"/>
      <c r="H11" s="125"/>
      <c r="I11" s="126"/>
      <c r="J11" s="39"/>
      <c r="K11" s="127" t="s">
        <v>362</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hyperlinks>
    <hyperlink ref="G9" r:id="rId1"/>
  </hyperlinks>
  <pageMargins left="0.7" right="0.7" top="0.75" bottom="0.75" header="0.3" footer="0.3"/>
  <pageSetup paperSize="9" orientation="portrait" horizontalDpi="4294967293" verticalDpi="0"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70" customWidth="1"/>
    <col min="2" max="2" width="14" style="175" customWidth="1"/>
    <col min="3" max="3" width="26.140625" style="176" customWidth="1"/>
    <col min="4" max="4" width="9.140625" style="200" customWidth="1"/>
    <col min="5" max="5" width="17.42578125" style="176" customWidth="1"/>
    <col min="6" max="6" width="28.42578125" style="177" customWidth="1"/>
    <col min="7" max="7" width="29.85546875" style="177" customWidth="1"/>
    <col min="8" max="8" width="40.42578125" style="177" customWidth="1"/>
    <col min="9" max="9" width="33" style="175" customWidth="1"/>
    <col min="10" max="10" width="27.42578125" style="177" customWidth="1"/>
    <col min="11" max="11" width="26.42578125" style="175" customWidth="1"/>
    <col min="12" max="16384" width="8.85546875" style="175"/>
  </cols>
  <sheetData>
    <row r="1" spans="1:46" s="160" customFormat="1" x14ac:dyDescent="0.25">
      <c r="A1" s="159">
        <f ca="1">TODAY()</f>
        <v>43233</v>
      </c>
      <c r="C1" s="161"/>
      <c r="D1" s="167"/>
      <c r="E1" s="161"/>
      <c r="F1" s="172"/>
      <c r="G1" s="172"/>
      <c r="H1" s="172"/>
      <c r="J1" s="172"/>
    </row>
    <row r="2" spans="1:46" s="165" customFormat="1" ht="46.7" customHeight="1" x14ac:dyDescent="0.25">
      <c r="A2" s="162">
        <f ca="1">NOW()</f>
        <v>43233.505155671293</v>
      </c>
      <c r="B2" s="163"/>
      <c r="C2" s="164"/>
      <c r="D2" s="164"/>
      <c r="E2" s="164"/>
      <c r="F2" s="173"/>
      <c r="G2" s="173"/>
      <c r="H2" s="173"/>
      <c r="J2" s="17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row>
    <row r="3" spans="1:46" x14ac:dyDescent="0.25">
      <c r="A3" s="166">
        <f ca="1">HOUR(A2)</f>
        <v>12</v>
      </c>
      <c r="C3" s="187"/>
      <c r="D3" s="195"/>
      <c r="E3" s="187"/>
      <c r="F3" s="190"/>
      <c r="G3" s="188"/>
      <c r="H3" s="190"/>
      <c r="I3" s="189"/>
      <c r="J3" s="190"/>
      <c r="K3" s="189"/>
    </row>
    <row r="4" spans="1:46" x14ac:dyDescent="0.25">
      <c r="A4" s="166"/>
      <c r="C4" s="191"/>
      <c r="D4" s="197"/>
      <c r="E4" s="191"/>
      <c r="F4" s="194"/>
      <c r="G4" s="192"/>
      <c r="H4" s="194"/>
      <c r="I4" s="193"/>
      <c r="J4" s="194"/>
      <c r="K4" s="193"/>
    </row>
    <row r="5" spans="1:46" ht="15" x14ac:dyDescent="0.25">
      <c r="A5" s="196" t="s">
        <v>443</v>
      </c>
      <c r="B5" s="178" t="s">
        <v>426</v>
      </c>
      <c r="C5" s="179" t="s">
        <v>425</v>
      </c>
      <c r="D5" s="179" t="s">
        <v>441</v>
      </c>
      <c r="E5" s="179" t="s">
        <v>439</v>
      </c>
      <c r="F5" s="180" t="s">
        <v>427</v>
      </c>
      <c r="G5" s="180" t="s">
        <v>428</v>
      </c>
      <c r="H5" s="180" t="s">
        <v>429</v>
      </c>
      <c r="I5" s="178" t="s">
        <v>437</v>
      </c>
      <c r="J5" s="180" t="s">
        <v>430</v>
      </c>
      <c r="K5" s="178" t="s">
        <v>431</v>
      </c>
    </row>
    <row r="6" spans="1:46" ht="148.5" customHeight="1" x14ac:dyDescent="0.25">
      <c r="A6" s="161" t="s">
        <v>444</v>
      </c>
      <c r="B6" s="175">
        <v>0</v>
      </c>
      <c r="C6" s="187">
        <v>43176</v>
      </c>
      <c r="D6" s="195" t="s">
        <v>442</v>
      </c>
      <c r="E6" s="187" t="s">
        <v>440</v>
      </c>
      <c r="F6" s="190" t="s">
        <v>432</v>
      </c>
      <c r="G6" s="188" t="s">
        <v>433</v>
      </c>
      <c r="H6" s="190" t="s">
        <v>435</v>
      </c>
      <c r="I6" s="189" t="s">
        <v>438</v>
      </c>
      <c r="J6" s="190" t="s">
        <v>436</v>
      </c>
      <c r="K6" s="189" t="s">
        <v>434</v>
      </c>
    </row>
    <row r="7" spans="1:46" ht="68.25" customHeight="1" x14ac:dyDescent="0.25">
      <c r="A7" s="167" t="s">
        <v>446</v>
      </c>
      <c r="B7" s="175">
        <f>IF(NOT(ISBLANK(C7)),(C7-C6),0)</f>
        <v>1</v>
      </c>
      <c r="C7" s="181">
        <v>43177</v>
      </c>
      <c r="D7" s="198" t="s">
        <v>442</v>
      </c>
      <c r="E7" s="181" t="s">
        <v>450</v>
      </c>
      <c r="F7" s="174" t="s">
        <v>451</v>
      </c>
      <c r="G7" s="182" t="s">
        <v>452</v>
      </c>
      <c r="H7" s="174" t="s">
        <v>453</v>
      </c>
      <c r="I7" s="183" t="s">
        <v>454</v>
      </c>
      <c r="J7" s="174" t="s">
        <v>455</v>
      </c>
      <c r="K7" s="183" t="s">
        <v>456</v>
      </c>
    </row>
    <row r="8" spans="1:46" ht="72.75" customHeight="1" x14ac:dyDescent="0.25">
      <c r="A8" s="168"/>
      <c r="B8" s="175">
        <f t="shared" ref="B8:B71" si="0">IF(NOT(ISBLANK(C8)),(C8-C7),0)</f>
        <v>5</v>
      </c>
      <c r="C8" s="187">
        <v>43182</v>
      </c>
      <c r="D8" s="195" t="s">
        <v>442</v>
      </c>
      <c r="E8" s="187" t="s">
        <v>440</v>
      </c>
      <c r="F8" s="190" t="s">
        <v>466</v>
      </c>
      <c r="G8" s="188" t="s">
        <v>467</v>
      </c>
      <c r="H8" s="190" t="s">
        <v>468</v>
      </c>
      <c r="I8" s="189" t="s">
        <v>471</v>
      </c>
      <c r="J8" s="190" t="s">
        <v>469</v>
      </c>
      <c r="K8" s="189" t="s">
        <v>470</v>
      </c>
    </row>
    <row r="9" spans="1:46" ht="129.75" customHeight="1" x14ac:dyDescent="0.25">
      <c r="A9" s="168"/>
      <c r="B9" s="175">
        <f t="shared" si="0"/>
        <v>1</v>
      </c>
      <c r="C9" s="181">
        <v>43183</v>
      </c>
      <c r="D9" s="198" t="s">
        <v>474</v>
      </c>
      <c r="E9" s="181" t="s">
        <v>475</v>
      </c>
      <c r="F9" s="174" t="s">
        <v>472</v>
      </c>
      <c r="G9" s="182" t="s">
        <v>473</v>
      </c>
      <c r="H9" s="174"/>
      <c r="I9" s="183"/>
      <c r="J9" s="174"/>
      <c r="K9" s="183" t="s">
        <v>476</v>
      </c>
    </row>
    <row r="10" spans="1:46" ht="65.45" customHeight="1" x14ac:dyDescent="0.25">
      <c r="A10" s="168"/>
      <c r="B10" s="175">
        <v>15</v>
      </c>
      <c r="C10" s="181">
        <v>43215</v>
      </c>
      <c r="D10" s="198" t="s">
        <v>474</v>
      </c>
      <c r="E10" s="181" t="s">
        <v>597</v>
      </c>
      <c r="F10" s="174" t="s">
        <v>602</v>
      </c>
      <c r="G10" s="182" t="s">
        <v>600</v>
      </c>
      <c r="H10" s="174" t="s">
        <v>599</v>
      </c>
      <c r="I10" s="183"/>
      <c r="J10" s="174" t="s">
        <v>601</v>
      </c>
      <c r="K10" s="183" t="s">
        <v>598</v>
      </c>
    </row>
    <row r="11" spans="1:46" x14ac:dyDescent="0.25">
      <c r="A11" s="168"/>
      <c r="B11" s="175">
        <f t="shared" si="0"/>
        <v>0</v>
      </c>
      <c r="C11" s="181"/>
      <c r="D11" s="198"/>
      <c r="E11" s="181"/>
      <c r="F11" s="174"/>
      <c r="G11" s="182"/>
      <c r="H11" s="174"/>
      <c r="I11" s="183"/>
      <c r="J11" s="174"/>
      <c r="K11" s="183"/>
    </row>
    <row r="12" spans="1:46" x14ac:dyDescent="0.25">
      <c r="A12" s="168"/>
      <c r="B12" s="175">
        <f t="shared" si="0"/>
        <v>0</v>
      </c>
      <c r="C12" s="181"/>
      <c r="D12" s="198"/>
      <c r="E12" s="181"/>
      <c r="F12" s="174"/>
      <c r="G12" s="182"/>
      <c r="H12" s="174"/>
      <c r="I12" s="183"/>
      <c r="J12" s="174"/>
      <c r="K12" s="183"/>
    </row>
    <row r="13" spans="1:46" x14ac:dyDescent="0.25">
      <c r="A13" s="168"/>
      <c r="B13" s="175">
        <f t="shared" si="0"/>
        <v>0</v>
      </c>
      <c r="C13" s="181"/>
      <c r="D13" s="198"/>
      <c r="E13" s="181"/>
      <c r="F13" s="174"/>
      <c r="G13" s="182"/>
      <c r="H13" s="174"/>
      <c r="I13" s="183"/>
      <c r="J13" s="174"/>
      <c r="K13" s="183"/>
    </row>
    <row r="14" spans="1:46" x14ac:dyDescent="0.25">
      <c r="A14" s="168"/>
      <c r="B14" s="175">
        <f t="shared" si="0"/>
        <v>0</v>
      </c>
      <c r="C14" s="181"/>
      <c r="D14" s="198"/>
      <c r="E14" s="181"/>
      <c r="F14" s="174"/>
      <c r="G14" s="182"/>
      <c r="H14" s="174"/>
      <c r="I14" s="183"/>
      <c r="J14" s="174"/>
      <c r="K14" s="183"/>
    </row>
    <row r="15" spans="1:46" x14ac:dyDescent="0.25">
      <c r="A15" s="168"/>
      <c r="B15" s="175">
        <f t="shared" si="0"/>
        <v>0</v>
      </c>
      <c r="C15" s="181"/>
      <c r="D15" s="198"/>
      <c r="E15" s="181"/>
      <c r="F15" s="174"/>
      <c r="G15" s="182"/>
      <c r="H15" s="174"/>
      <c r="I15" s="183"/>
      <c r="J15" s="174"/>
      <c r="K15" s="183"/>
    </row>
    <row r="16" spans="1:46" x14ac:dyDescent="0.25">
      <c r="A16" s="168"/>
      <c r="B16" s="175">
        <f t="shared" si="0"/>
        <v>0</v>
      </c>
      <c r="C16" s="181"/>
      <c r="D16" s="198"/>
      <c r="E16" s="181"/>
      <c r="F16" s="174"/>
      <c r="G16" s="182"/>
      <c r="H16" s="174"/>
      <c r="I16" s="183"/>
      <c r="J16" s="174"/>
      <c r="K16" s="183"/>
    </row>
    <row r="17" spans="1:11" x14ac:dyDescent="0.25">
      <c r="A17" s="168"/>
      <c r="B17" s="175">
        <f t="shared" si="0"/>
        <v>0</v>
      </c>
      <c r="C17" s="181"/>
      <c r="D17" s="198"/>
      <c r="E17" s="181"/>
      <c r="F17" s="174"/>
      <c r="G17" s="182"/>
      <c r="H17" s="174"/>
      <c r="I17" s="183"/>
      <c r="J17" s="174"/>
      <c r="K17" s="183"/>
    </row>
    <row r="18" spans="1:11" x14ac:dyDescent="0.25">
      <c r="A18" s="168"/>
      <c r="B18" s="175">
        <f t="shared" si="0"/>
        <v>0</v>
      </c>
      <c r="C18" s="181"/>
      <c r="D18" s="198"/>
      <c r="E18" s="181"/>
      <c r="F18" s="174"/>
      <c r="G18" s="182"/>
      <c r="H18" s="174"/>
      <c r="I18" s="183"/>
      <c r="J18" s="174"/>
      <c r="K18" s="183"/>
    </row>
    <row r="19" spans="1:11" x14ac:dyDescent="0.25">
      <c r="A19" s="168"/>
      <c r="B19" s="175">
        <f t="shared" si="0"/>
        <v>0</v>
      </c>
      <c r="C19" s="181"/>
      <c r="D19" s="198"/>
      <c r="E19" s="181"/>
      <c r="F19" s="174"/>
      <c r="G19" s="182"/>
      <c r="H19" s="174"/>
      <c r="I19" s="183"/>
      <c r="J19" s="174"/>
      <c r="K19" s="183"/>
    </row>
    <row r="20" spans="1:11" s="184" customFormat="1" ht="20.25" customHeight="1" x14ac:dyDescent="0.25">
      <c r="A20" s="171"/>
      <c r="B20" s="42">
        <f>IF(NOT(ISBLANK(C20)),(C20-C19),0)</f>
        <v>0</v>
      </c>
      <c r="C20" s="46"/>
      <c r="D20" s="199"/>
      <c r="E20" s="46"/>
      <c r="F20" s="185"/>
      <c r="G20" s="186" t="s">
        <v>603</v>
      </c>
      <c r="H20" s="185"/>
      <c r="J20" s="185"/>
    </row>
    <row r="21" spans="1:11" x14ac:dyDescent="0.25">
      <c r="A21" s="168"/>
      <c r="B21" s="175">
        <f t="shared" si="0"/>
        <v>0</v>
      </c>
      <c r="C21" s="181"/>
      <c r="D21" s="198"/>
      <c r="E21" s="181"/>
      <c r="F21" s="174"/>
      <c r="G21" s="182"/>
      <c r="H21" s="174"/>
      <c r="I21" s="183"/>
      <c r="J21" s="174"/>
      <c r="K21" s="183"/>
    </row>
    <row r="22" spans="1:11" x14ac:dyDescent="0.25">
      <c r="A22" s="168"/>
      <c r="B22" s="175">
        <f t="shared" si="0"/>
        <v>0</v>
      </c>
      <c r="C22" s="181"/>
      <c r="D22" s="198"/>
      <c r="E22" s="181"/>
      <c r="F22" s="174"/>
      <c r="G22" s="182"/>
      <c r="H22" s="174"/>
      <c r="I22" s="183"/>
      <c r="J22" s="174"/>
      <c r="K22" s="183"/>
    </row>
    <row r="23" spans="1:11" x14ac:dyDescent="0.25">
      <c r="A23" s="168"/>
      <c r="B23" s="175">
        <f t="shared" si="0"/>
        <v>0</v>
      </c>
      <c r="C23" s="181"/>
      <c r="D23" s="198"/>
      <c r="E23" s="181"/>
      <c r="F23" s="174"/>
      <c r="G23" s="182"/>
      <c r="H23" s="174"/>
      <c r="I23" s="183"/>
      <c r="J23" s="174"/>
      <c r="K23" s="183"/>
    </row>
    <row r="24" spans="1:11" x14ac:dyDescent="0.25">
      <c r="A24" s="168"/>
      <c r="B24" s="175">
        <f t="shared" si="0"/>
        <v>0</v>
      </c>
      <c r="C24" s="181"/>
      <c r="D24" s="198"/>
      <c r="E24" s="181"/>
      <c r="F24" s="174"/>
      <c r="G24" s="182"/>
      <c r="H24" s="174"/>
      <c r="I24" s="183"/>
      <c r="J24" s="174"/>
      <c r="K24" s="183"/>
    </row>
    <row r="25" spans="1:11" x14ac:dyDescent="0.25">
      <c r="A25" s="168"/>
      <c r="B25" s="175">
        <f t="shared" si="0"/>
        <v>0</v>
      </c>
      <c r="C25" s="181"/>
      <c r="D25" s="198"/>
      <c r="E25" s="181"/>
      <c r="F25" s="174"/>
      <c r="G25" s="182"/>
      <c r="H25" s="174"/>
      <c r="I25" s="183"/>
      <c r="J25" s="174"/>
      <c r="K25" s="183"/>
    </row>
    <row r="26" spans="1:11" x14ac:dyDescent="0.25">
      <c r="A26" s="168"/>
      <c r="B26" s="175">
        <f t="shared" si="0"/>
        <v>0</v>
      </c>
      <c r="C26" s="181"/>
      <c r="D26" s="198"/>
      <c r="E26" s="181"/>
      <c r="F26" s="174"/>
      <c r="G26" s="182"/>
      <c r="H26" s="174"/>
      <c r="I26" s="183"/>
      <c r="J26" s="174"/>
      <c r="K26" s="183"/>
    </row>
    <row r="27" spans="1:11" x14ac:dyDescent="0.25">
      <c r="A27" s="168"/>
      <c r="B27" s="175">
        <f t="shared" si="0"/>
        <v>0</v>
      </c>
      <c r="C27" s="181"/>
      <c r="D27" s="198"/>
      <c r="E27" s="181"/>
      <c r="F27" s="174"/>
      <c r="G27" s="182"/>
      <c r="H27" s="174"/>
      <c r="I27" s="183"/>
      <c r="J27" s="174"/>
      <c r="K27" s="183"/>
    </row>
    <row r="28" spans="1:11" x14ac:dyDescent="0.25">
      <c r="A28" s="168"/>
      <c r="B28" s="175">
        <f t="shared" si="0"/>
        <v>0</v>
      </c>
      <c r="C28" s="181"/>
      <c r="D28" s="198"/>
      <c r="E28" s="181"/>
      <c r="F28" s="174"/>
      <c r="G28" s="182"/>
      <c r="H28" s="174"/>
      <c r="I28" s="183"/>
      <c r="J28" s="174"/>
      <c r="K28" s="183"/>
    </row>
    <row r="29" spans="1:11" x14ac:dyDescent="0.25">
      <c r="A29" s="168"/>
      <c r="B29" s="175">
        <f t="shared" si="0"/>
        <v>0</v>
      </c>
      <c r="C29" s="181"/>
      <c r="D29" s="198"/>
      <c r="E29" s="181"/>
      <c r="F29" s="174"/>
      <c r="G29" s="182"/>
      <c r="H29" s="174"/>
      <c r="I29" s="183"/>
      <c r="J29" s="174"/>
      <c r="K29" s="183"/>
    </row>
    <row r="30" spans="1:11" x14ac:dyDescent="0.25">
      <c r="A30" s="168"/>
      <c r="B30" s="175">
        <f t="shared" si="0"/>
        <v>0</v>
      </c>
      <c r="C30" s="181"/>
      <c r="D30" s="198"/>
      <c r="E30" s="181"/>
      <c r="F30" s="174"/>
      <c r="G30" s="182"/>
      <c r="H30" s="174"/>
      <c r="I30" s="183"/>
      <c r="J30" s="174"/>
      <c r="K30" s="183"/>
    </row>
    <row r="31" spans="1:11" x14ac:dyDescent="0.25">
      <c r="A31" s="168"/>
      <c r="B31" s="175">
        <f t="shared" si="0"/>
        <v>0</v>
      </c>
      <c r="C31" s="181"/>
      <c r="D31" s="198"/>
      <c r="E31" s="181"/>
      <c r="F31" s="174"/>
      <c r="G31" s="182"/>
      <c r="H31" s="174"/>
      <c r="I31" s="183"/>
      <c r="J31" s="174"/>
      <c r="K31" s="183"/>
    </row>
    <row r="32" spans="1:11" x14ac:dyDescent="0.25">
      <c r="A32" s="169"/>
      <c r="B32" s="175">
        <f t="shared" si="0"/>
        <v>0</v>
      </c>
      <c r="C32" s="181"/>
      <c r="D32" s="198"/>
      <c r="E32" s="181"/>
      <c r="F32" s="174"/>
      <c r="G32" s="182"/>
      <c r="H32" s="174"/>
      <c r="I32" s="183"/>
      <c r="J32" s="174"/>
      <c r="K32" s="183"/>
    </row>
    <row r="33" spans="1:11" x14ac:dyDescent="0.25">
      <c r="A33" s="169"/>
      <c r="B33" s="175">
        <f t="shared" si="0"/>
        <v>0</v>
      </c>
      <c r="C33" s="181"/>
      <c r="D33" s="198"/>
      <c r="E33" s="181"/>
      <c r="F33" s="174"/>
      <c r="G33" s="182"/>
      <c r="H33" s="174"/>
      <c r="I33" s="183"/>
      <c r="J33" s="174"/>
      <c r="K33" s="183"/>
    </row>
    <row r="34" spans="1:11" x14ac:dyDescent="0.25">
      <c r="B34" s="175">
        <f t="shared" si="0"/>
        <v>0</v>
      </c>
      <c r="C34" s="181"/>
      <c r="D34" s="198"/>
      <c r="E34" s="181"/>
      <c r="F34" s="174"/>
      <c r="G34" s="182"/>
      <c r="H34" s="174"/>
      <c r="I34" s="183"/>
      <c r="J34" s="174"/>
      <c r="K34" s="183"/>
    </row>
    <row r="35" spans="1:11" x14ac:dyDescent="0.25">
      <c r="B35" s="175">
        <f t="shared" si="0"/>
        <v>0</v>
      </c>
      <c r="C35" s="181"/>
      <c r="D35" s="198"/>
      <c r="E35" s="181"/>
      <c r="F35" s="174"/>
      <c r="G35" s="182"/>
      <c r="H35" s="174"/>
      <c r="I35" s="183"/>
      <c r="J35" s="174"/>
      <c r="K35" s="183"/>
    </row>
    <row r="36" spans="1:11" x14ac:dyDescent="0.25">
      <c r="B36" s="175">
        <f t="shared" si="0"/>
        <v>0</v>
      </c>
      <c r="C36" s="181"/>
      <c r="D36" s="198"/>
      <c r="E36" s="181"/>
      <c r="F36" s="174"/>
      <c r="G36" s="182"/>
      <c r="H36" s="174"/>
      <c r="I36" s="183"/>
      <c r="J36" s="174"/>
      <c r="K36" s="183"/>
    </row>
    <row r="37" spans="1:11" x14ac:dyDescent="0.25">
      <c r="B37" s="175">
        <f t="shared" si="0"/>
        <v>0</v>
      </c>
      <c r="C37" s="181"/>
      <c r="D37" s="198"/>
      <c r="E37" s="181"/>
      <c r="F37" s="174"/>
      <c r="G37" s="182"/>
      <c r="H37" s="174"/>
      <c r="I37" s="183"/>
      <c r="J37" s="174"/>
      <c r="K37" s="183"/>
    </row>
    <row r="38" spans="1:11" x14ac:dyDescent="0.25">
      <c r="B38" s="175">
        <f t="shared" si="0"/>
        <v>0</v>
      </c>
      <c r="C38" s="181"/>
      <c r="D38" s="198"/>
      <c r="E38" s="181"/>
      <c r="F38" s="174"/>
      <c r="G38" s="182"/>
      <c r="H38" s="174"/>
      <c r="I38" s="183"/>
      <c r="J38" s="174"/>
      <c r="K38" s="183"/>
    </row>
    <row r="39" spans="1:11" x14ac:dyDescent="0.25">
      <c r="B39" s="175">
        <f t="shared" si="0"/>
        <v>0</v>
      </c>
      <c r="C39" s="181"/>
      <c r="D39" s="198"/>
      <c r="E39" s="181"/>
      <c r="F39" s="174"/>
      <c r="G39" s="182"/>
      <c r="H39" s="174"/>
      <c r="I39" s="183"/>
      <c r="J39" s="174"/>
      <c r="K39" s="183"/>
    </row>
    <row r="40" spans="1:11" x14ac:dyDescent="0.25">
      <c r="B40" s="175">
        <f t="shared" si="0"/>
        <v>0</v>
      </c>
      <c r="C40" s="181"/>
      <c r="D40" s="198"/>
      <c r="E40" s="181"/>
      <c r="F40" s="174"/>
      <c r="G40" s="182"/>
      <c r="H40" s="174"/>
      <c r="I40" s="183"/>
      <c r="J40" s="174"/>
      <c r="K40" s="183"/>
    </row>
    <row r="41" spans="1:11" x14ac:dyDescent="0.25">
      <c r="B41" s="175">
        <f t="shared" si="0"/>
        <v>0</v>
      </c>
      <c r="C41" s="181"/>
      <c r="D41" s="198"/>
      <c r="E41" s="181"/>
      <c r="F41" s="174"/>
      <c r="G41" s="182"/>
      <c r="H41" s="174"/>
      <c r="I41" s="183"/>
      <c r="J41" s="174"/>
      <c r="K41" s="183"/>
    </row>
    <row r="42" spans="1:11" x14ac:dyDescent="0.25">
      <c r="B42" s="175">
        <f t="shared" si="0"/>
        <v>0</v>
      </c>
      <c r="C42" s="181"/>
      <c r="D42" s="198"/>
      <c r="E42" s="181"/>
      <c r="F42" s="174"/>
      <c r="G42" s="182"/>
      <c r="H42" s="174"/>
      <c r="I42" s="183"/>
      <c r="J42" s="174"/>
      <c r="K42" s="183"/>
    </row>
    <row r="43" spans="1:11" x14ac:dyDescent="0.25">
      <c r="B43" s="175">
        <f t="shared" si="0"/>
        <v>0</v>
      </c>
      <c r="C43" s="181"/>
      <c r="D43" s="198"/>
      <c r="E43" s="181"/>
      <c r="F43" s="174"/>
      <c r="G43" s="182"/>
      <c r="H43" s="174"/>
      <c r="I43" s="183"/>
      <c r="J43" s="174"/>
      <c r="K43" s="183"/>
    </row>
    <row r="44" spans="1:11" x14ac:dyDescent="0.25">
      <c r="B44" s="175">
        <f t="shared" si="0"/>
        <v>0</v>
      </c>
      <c r="C44" s="181"/>
      <c r="D44" s="198"/>
      <c r="E44" s="181"/>
      <c r="F44" s="174"/>
      <c r="G44" s="182"/>
      <c r="H44" s="174"/>
      <c r="I44" s="183"/>
      <c r="J44" s="174"/>
      <c r="K44" s="183"/>
    </row>
    <row r="45" spans="1:11" x14ac:dyDescent="0.25">
      <c r="B45" s="175">
        <f t="shared" si="0"/>
        <v>0</v>
      </c>
      <c r="C45" s="181"/>
      <c r="D45" s="198"/>
      <c r="E45" s="181"/>
      <c r="F45" s="174"/>
      <c r="G45" s="182"/>
      <c r="H45" s="174"/>
      <c r="I45" s="183"/>
      <c r="J45" s="174"/>
      <c r="K45" s="183"/>
    </row>
    <row r="46" spans="1:11" x14ac:dyDescent="0.25">
      <c r="B46" s="175">
        <f t="shared" si="0"/>
        <v>0</v>
      </c>
      <c r="C46" s="181"/>
      <c r="D46" s="198"/>
      <c r="E46" s="181"/>
      <c r="F46" s="174"/>
      <c r="G46" s="182"/>
      <c r="H46" s="174"/>
      <c r="I46" s="183"/>
      <c r="J46" s="174"/>
      <c r="K46" s="183"/>
    </row>
    <row r="47" spans="1:11" x14ac:dyDescent="0.25">
      <c r="B47" s="175">
        <f t="shared" si="0"/>
        <v>0</v>
      </c>
      <c r="C47" s="181"/>
      <c r="D47" s="198"/>
      <c r="E47" s="181"/>
      <c r="F47" s="174"/>
      <c r="G47" s="182"/>
      <c r="H47" s="174"/>
      <c r="I47" s="183"/>
      <c r="J47" s="174"/>
      <c r="K47" s="183"/>
    </row>
    <row r="48" spans="1:11" x14ac:dyDescent="0.25">
      <c r="B48" s="175">
        <f t="shared" si="0"/>
        <v>0</v>
      </c>
      <c r="C48" s="181"/>
      <c r="D48" s="198"/>
      <c r="E48" s="181"/>
      <c r="F48" s="174"/>
      <c r="G48" s="182"/>
      <c r="H48" s="174"/>
      <c r="I48" s="183"/>
      <c r="J48" s="174"/>
      <c r="K48" s="183"/>
    </row>
    <row r="49" spans="1:11" x14ac:dyDescent="0.25">
      <c r="B49" s="175">
        <f t="shared" si="0"/>
        <v>0</v>
      </c>
      <c r="C49" s="181"/>
      <c r="D49" s="198"/>
      <c r="E49" s="181"/>
      <c r="F49" s="174"/>
      <c r="G49" s="182"/>
      <c r="H49" s="174"/>
      <c r="I49" s="183"/>
      <c r="J49" s="174"/>
      <c r="K49" s="183"/>
    </row>
    <row r="50" spans="1:11" x14ac:dyDescent="0.25">
      <c r="B50" s="175">
        <f t="shared" si="0"/>
        <v>0</v>
      </c>
      <c r="C50" s="181"/>
      <c r="D50" s="198"/>
      <c r="E50" s="181"/>
      <c r="F50" s="174"/>
      <c r="G50" s="182"/>
      <c r="H50" s="174"/>
      <c r="I50" s="183"/>
      <c r="J50" s="174"/>
      <c r="K50" s="183"/>
    </row>
    <row r="51" spans="1:11" x14ac:dyDescent="0.25">
      <c r="B51" s="175">
        <f>IF(NOT(ISBLANK(C51)),(C51-C50),0)</f>
        <v>0</v>
      </c>
      <c r="C51" s="181"/>
      <c r="D51" s="198"/>
      <c r="E51" s="181"/>
      <c r="F51" s="174"/>
      <c r="G51" s="182"/>
      <c r="H51" s="174"/>
      <c r="I51" s="183"/>
      <c r="J51" s="174"/>
      <c r="K51" s="183"/>
    </row>
    <row r="52" spans="1:11" x14ac:dyDescent="0.25">
      <c r="B52" s="175">
        <f t="shared" si="0"/>
        <v>0</v>
      </c>
      <c r="C52" s="181"/>
      <c r="D52" s="198"/>
      <c r="E52" s="181"/>
      <c r="F52" s="174"/>
      <c r="G52" s="182"/>
      <c r="H52" s="174"/>
      <c r="I52" s="183"/>
      <c r="J52" s="174"/>
      <c r="K52" s="183"/>
    </row>
    <row r="53" spans="1:11" x14ac:dyDescent="0.25">
      <c r="B53" s="175">
        <f t="shared" si="0"/>
        <v>0</v>
      </c>
      <c r="C53" s="181"/>
      <c r="D53" s="198"/>
      <c r="E53" s="181"/>
      <c r="F53" s="174"/>
      <c r="G53" s="182"/>
      <c r="H53" s="174"/>
      <c r="I53" s="183"/>
      <c r="J53" s="174"/>
      <c r="K53" s="183"/>
    </row>
    <row r="54" spans="1:11" x14ac:dyDescent="0.25">
      <c r="B54" s="175">
        <f t="shared" si="0"/>
        <v>0</v>
      </c>
      <c r="C54" s="181"/>
      <c r="D54" s="198"/>
      <c r="E54" s="181"/>
      <c r="F54" s="174"/>
      <c r="G54" s="182"/>
      <c r="H54" s="174"/>
      <c r="I54" s="183"/>
      <c r="J54" s="174"/>
      <c r="K54" s="183"/>
    </row>
    <row r="55" spans="1:11" x14ac:dyDescent="0.25">
      <c r="B55" s="175">
        <f t="shared" si="0"/>
        <v>0</v>
      </c>
      <c r="C55" s="181"/>
      <c r="D55" s="198"/>
      <c r="E55" s="181"/>
      <c r="F55" s="174"/>
      <c r="G55" s="182"/>
      <c r="H55" s="174"/>
      <c r="I55" s="183"/>
      <c r="J55" s="174"/>
      <c r="K55" s="183"/>
    </row>
    <row r="56" spans="1:11" x14ac:dyDescent="0.25">
      <c r="B56" s="175">
        <f t="shared" si="0"/>
        <v>0</v>
      </c>
      <c r="C56" s="181"/>
      <c r="D56" s="198"/>
      <c r="E56" s="181"/>
      <c r="F56" s="174"/>
      <c r="G56" s="182"/>
      <c r="H56" s="174"/>
      <c r="I56" s="183"/>
      <c r="J56" s="174"/>
      <c r="K56" s="183"/>
    </row>
    <row r="57" spans="1:11" x14ac:dyDescent="0.25">
      <c r="B57" s="175">
        <f t="shared" si="0"/>
        <v>0</v>
      </c>
      <c r="C57" s="181"/>
      <c r="D57" s="198"/>
      <c r="E57" s="181"/>
      <c r="F57" s="174"/>
      <c r="G57" s="182"/>
      <c r="H57" s="174"/>
      <c r="I57" s="183"/>
      <c r="J57" s="174"/>
      <c r="K57" s="183"/>
    </row>
    <row r="58" spans="1:11" x14ac:dyDescent="0.25">
      <c r="B58" s="175">
        <f t="shared" si="0"/>
        <v>0</v>
      </c>
      <c r="C58" s="181"/>
      <c r="D58" s="198"/>
      <c r="E58" s="181"/>
      <c r="F58" s="174"/>
      <c r="G58" s="182"/>
      <c r="H58" s="174"/>
      <c r="I58" s="183"/>
      <c r="J58" s="174"/>
      <c r="K58" s="183"/>
    </row>
    <row r="59" spans="1:11" x14ac:dyDescent="0.25">
      <c r="B59" s="175">
        <f t="shared" si="0"/>
        <v>0</v>
      </c>
      <c r="C59" s="181"/>
      <c r="D59" s="198"/>
      <c r="E59" s="181"/>
      <c r="F59" s="174"/>
      <c r="G59" s="182"/>
      <c r="H59" s="174"/>
      <c r="I59" s="183"/>
      <c r="J59" s="174"/>
      <c r="K59" s="183"/>
    </row>
    <row r="60" spans="1:11" x14ac:dyDescent="0.25">
      <c r="B60" s="175">
        <f t="shared" si="0"/>
        <v>0</v>
      </c>
      <c r="C60" s="181"/>
      <c r="D60" s="198"/>
      <c r="E60" s="181"/>
      <c r="F60" s="174"/>
      <c r="G60" s="182"/>
      <c r="H60" s="174"/>
      <c r="I60" s="183"/>
      <c r="J60" s="174"/>
      <c r="K60" s="183"/>
    </row>
    <row r="61" spans="1:11" x14ac:dyDescent="0.25">
      <c r="B61" s="175">
        <f t="shared" si="0"/>
        <v>0</v>
      </c>
      <c r="C61" s="181"/>
      <c r="D61" s="198"/>
      <c r="E61" s="181"/>
      <c r="F61" s="174"/>
      <c r="G61" s="182"/>
      <c r="H61" s="174"/>
      <c r="I61" s="183"/>
      <c r="J61" s="174"/>
      <c r="K61" s="183"/>
    </row>
    <row r="62" spans="1:11" x14ac:dyDescent="0.25">
      <c r="B62" s="175">
        <f t="shared" si="0"/>
        <v>0</v>
      </c>
      <c r="C62" s="181"/>
      <c r="D62" s="198"/>
      <c r="E62" s="181"/>
      <c r="F62" s="174"/>
      <c r="G62" s="182"/>
      <c r="H62" s="174"/>
      <c r="I62" s="183"/>
      <c r="J62" s="174"/>
      <c r="K62" s="183"/>
    </row>
    <row r="63" spans="1:11" s="184" customFormat="1" ht="20.25" customHeight="1" x14ac:dyDescent="0.25">
      <c r="A63" s="171"/>
      <c r="B63" s="42">
        <f>IF(NOT(ISBLANK(C63)),(C63-C62),0)</f>
        <v>0</v>
      </c>
      <c r="C63" s="46"/>
      <c r="D63" s="199"/>
      <c r="E63" s="46"/>
      <c r="F63" s="185"/>
      <c r="G63" s="186" t="s">
        <v>445</v>
      </c>
      <c r="H63" s="185"/>
      <c r="J63" s="185"/>
    </row>
    <row r="64" spans="1:11" x14ac:dyDescent="0.25">
      <c r="B64" s="175">
        <f>IF(NOT(ISBLANK(C64)),(C64-C63),0)</f>
        <v>0</v>
      </c>
      <c r="C64" s="181"/>
      <c r="D64" s="198"/>
      <c r="E64" s="181"/>
      <c r="F64" s="174"/>
      <c r="G64" s="182"/>
      <c r="H64" s="174"/>
      <c r="I64" s="183"/>
      <c r="J64" s="174"/>
      <c r="K64" s="183"/>
    </row>
    <row r="65" spans="2:11" x14ac:dyDescent="0.25">
      <c r="B65" s="175">
        <f t="shared" si="0"/>
        <v>0</v>
      </c>
      <c r="C65" s="181"/>
      <c r="D65" s="198"/>
      <c r="E65" s="181"/>
      <c r="F65" s="174"/>
      <c r="G65" s="182"/>
      <c r="H65" s="174"/>
      <c r="I65" s="183"/>
      <c r="J65" s="174"/>
      <c r="K65" s="183"/>
    </row>
    <row r="66" spans="2:11" x14ac:dyDescent="0.25">
      <c r="B66" s="175">
        <f t="shared" si="0"/>
        <v>0</v>
      </c>
      <c r="C66" s="181"/>
      <c r="D66" s="198"/>
      <c r="E66" s="181"/>
      <c r="F66" s="174"/>
      <c r="G66" s="182"/>
      <c r="H66" s="174"/>
      <c r="I66" s="183"/>
      <c r="J66" s="174"/>
      <c r="K66" s="183"/>
    </row>
    <row r="67" spans="2:11" x14ac:dyDescent="0.25">
      <c r="B67" s="175">
        <f t="shared" si="0"/>
        <v>0</v>
      </c>
      <c r="C67" s="181"/>
      <c r="D67" s="198"/>
      <c r="E67" s="181"/>
      <c r="F67" s="174"/>
      <c r="G67" s="182"/>
      <c r="H67" s="174"/>
      <c r="I67" s="183"/>
      <c r="J67" s="174"/>
      <c r="K67" s="183"/>
    </row>
    <row r="68" spans="2:11" x14ac:dyDescent="0.25">
      <c r="B68" s="175">
        <f t="shared" si="0"/>
        <v>0</v>
      </c>
      <c r="C68" s="181"/>
      <c r="D68" s="198"/>
      <c r="E68" s="181"/>
      <c r="F68" s="174"/>
      <c r="G68" s="182"/>
      <c r="H68" s="174"/>
      <c r="I68" s="183"/>
      <c r="J68" s="174"/>
      <c r="K68" s="183"/>
    </row>
    <row r="69" spans="2:11" x14ac:dyDescent="0.25">
      <c r="B69" s="175">
        <f t="shared" si="0"/>
        <v>0</v>
      </c>
      <c r="C69" s="181"/>
      <c r="D69" s="198"/>
      <c r="E69" s="181"/>
      <c r="F69" s="174"/>
      <c r="G69" s="182"/>
      <c r="H69" s="174"/>
      <c r="I69" s="183"/>
      <c r="J69" s="174"/>
      <c r="K69" s="183"/>
    </row>
    <row r="70" spans="2:11" x14ac:dyDescent="0.25">
      <c r="B70" s="175">
        <f t="shared" si="0"/>
        <v>0</v>
      </c>
      <c r="C70" s="181"/>
      <c r="D70" s="198"/>
      <c r="E70" s="181"/>
      <c r="F70" s="174"/>
      <c r="G70" s="182"/>
      <c r="H70" s="174"/>
      <c r="I70" s="183"/>
      <c r="J70" s="174"/>
      <c r="K70" s="183"/>
    </row>
    <row r="71" spans="2:11" x14ac:dyDescent="0.25">
      <c r="B71" s="175">
        <f t="shared" si="0"/>
        <v>0</v>
      </c>
      <c r="C71" s="181"/>
      <c r="D71" s="198"/>
      <c r="E71" s="181"/>
      <c r="F71" s="174"/>
      <c r="G71" s="182"/>
      <c r="H71" s="174"/>
      <c r="I71" s="183"/>
      <c r="J71" s="174"/>
      <c r="K71" s="183"/>
    </row>
    <row r="72" spans="2:11" x14ac:dyDescent="0.25">
      <c r="B72" s="175">
        <f t="shared" ref="B72:B135" si="1">IF(NOT(ISBLANK(C72)),(C72-C71),0)</f>
        <v>0</v>
      </c>
      <c r="C72" s="181"/>
      <c r="D72" s="198"/>
      <c r="E72" s="181"/>
      <c r="F72" s="174"/>
      <c r="G72" s="182"/>
      <c r="H72" s="174"/>
      <c r="I72" s="183"/>
      <c r="J72" s="174"/>
      <c r="K72" s="183"/>
    </row>
    <row r="73" spans="2:11" x14ac:dyDescent="0.25">
      <c r="B73" s="175">
        <f t="shared" si="1"/>
        <v>0</v>
      </c>
      <c r="C73" s="181"/>
      <c r="D73" s="198"/>
      <c r="E73" s="181"/>
      <c r="F73" s="174"/>
      <c r="G73" s="182"/>
      <c r="H73" s="174"/>
      <c r="I73" s="183"/>
      <c r="J73" s="174"/>
      <c r="K73" s="183"/>
    </row>
    <row r="74" spans="2:11" x14ac:dyDescent="0.25">
      <c r="B74" s="175">
        <f t="shared" si="1"/>
        <v>0</v>
      </c>
      <c r="C74" s="181"/>
      <c r="D74" s="198"/>
      <c r="E74" s="181"/>
      <c r="F74" s="174"/>
      <c r="G74" s="182"/>
      <c r="H74" s="174"/>
      <c r="I74" s="183"/>
      <c r="J74" s="174"/>
      <c r="K74" s="183"/>
    </row>
    <row r="75" spans="2:11" x14ac:dyDescent="0.25">
      <c r="B75" s="175">
        <f t="shared" si="1"/>
        <v>0</v>
      </c>
      <c r="C75" s="181"/>
      <c r="D75" s="198"/>
      <c r="E75" s="181"/>
      <c r="F75" s="174"/>
      <c r="G75" s="182"/>
      <c r="H75" s="174"/>
      <c r="I75" s="183"/>
      <c r="J75" s="174"/>
      <c r="K75" s="183"/>
    </row>
    <row r="76" spans="2:11" x14ac:dyDescent="0.25">
      <c r="B76" s="175">
        <f t="shared" si="1"/>
        <v>0</v>
      </c>
      <c r="C76" s="181"/>
      <c r="D76" s="198"/>
      <c r="E76" s="181"/>
      <c r="F76" s="174"/>
      <c r="G76" s="182"/>
      <c r="H76" s="174"/>
      <c r="I76" s="183"/>
      <c r="J76" s="174"/>
      <c r="K76" s="183"/>
    </row>
    <row r="77" spans="2:11" x14ac:dyDescent="0.25">
      <c r="B77" s="175">
        <f t="shared" si="1"/>
        <v>0</v>
      </c>
      <c r="C77" s="181"/>
      <c r="D77" s="198"/>
      <c r="E77" s="181"/>
      <c r="F77" s="174"/>
      <c r="G77" s="182"/>
      <c r="H77" s="174"/>
      <c r="I77" s="183"/>
      <c r="J77" s="174"/>
      <c r="K77" s="183"/>
    </row>
    <row r="78" spans="2:11" x14ac:dyDescent="0.25">
      <c r="B78" s="175">
        <f t="shared" si="1"/>
        <v>0</v>
      </c>
      <c r="C78" s="181"/>
      <c r="D78" s="198"/>
      <c r="E78" s="181"/>
      <c r="F78" s="174"/>
      <c r="G78" s="182"/>
      <c r="H78" s="174"/>
      <c r="I78" s="183"/>
      <c r="J78" s="174"/>
      <c r="K78" s="183"/>
    </row>
    <row r="79" spans="2:11" x14ac:dyDescent="0.25">
      <c r="B79" s="175">
        <f t="shared" si="1"/>
        <v>0</v>
      </c>
      <c r="C79" s="181"/>
      <c r="D79" s="198"/>
      <c r="E79" s="181"/>
      <c r="F79" s="174"/>
      <c r="G79" s="182"/>
      <c r="H79" s="174"/>
      <c r="I79" s="183"/>
      <c r="J79" s="174"/>
      <c r="K79" s="183"/>
    </row>
    <row r="80" spans="2:11" x14ac:dyDescent="0.25">
      <c r="B80" s="175">
        <f t="shared" si="1"/>
        <v>0</v>
      </c>
      <c r="C80" s="181"/>
      <c r="D80" s="198"/>
      <c r="E80" s="181"/>
      <c r="F80" s="174"/>
      <c r="G80" s="182"/>
      <c r="H80" s="174"/>
      <c r="I80" s="183"/>
      <c r="J80" s="174"/>
      <c r="K80" s="183"/>
    </row>
    <row r="81" spans="2:11" x14ac:dyDescent="0.25">
      <c r="B81" s="175">
        <f t="shared" si="1"/>
        <v>0</v>
      </c>
      <c r="C81" s="181"/>
      <c r="D81" s="198"/>
      <c r="E81" s="181"/>
      <c r="F81" s="174"/>
      <c r="G81" s="182"/>
      <c r="H81" s="174"/>
      <c r="I81" s="183"/>
      <c r="J81" s="174"/>
      <c r="K81" s="183"/>
    </row>
    <row r="82" spans="2:11" x14ac:dyDescent="0.25">
      <c r="B82" s="175">
        <f t="shared" si="1"/>
        <v>0</v>
      </c>
      <c r="C82" s="181"/>
      <c r="D82" s="198"/>
      <c r="E82" s="181"/>
      <c r="F82" s="174"/>
      <c r="G82" s="182"/>
      <c r="H82" s="174"/>
      <c r="I82" s="183"/>
      <c r="J82" s="174"/>
      <c r="K82" s="183"/>
    </row>
    <row r="83" spans="2:11" x14ac:dyDescent="0.25">
      <c r="B83" s="175">
        <f t="shared" si="1"/>
        <v>0</v>
      </c>
      <c r="C83" s="181"/>
      <c r="D83" s="198"/>
      <c r="E83" s="181"/>
      <c r="F83" s="174"/>
      <c r="G83" s="182"/>
      <c r="H83" s="174"/>
      <c r="I83" s="183"/>
      <c r="J83" s="174"/>
      <c r="K83" s="183"/>
    </row>
    <row r="84" spans="2:11" x14ac:dyDescent="0.25">
      <c r="B84" s="175">
        <f t="shared" si="1"/>
        <v>0</v>
      </c>
      <c r="C84" s="181"/>
      <c r="D84" s="198"/>
      <c r="E84" s="181"/>
      <c r="F84" s="174"/>
      <c r="G84" s="182"/>
      <c r="H84" s="174"/>
      <c r="I84" s="183"/>
      <c r="J84" s="174"/>
      <c r="K84" s="183"/>
    </row>
    <row r="85" spans="2:11" x14ac:dyDescent="0.25">
      <c r="B85" s="175">
        <f t="shared" si="1"/>
        <v>0</v>
      </c>
      <c r="C85" s="181"/>
      <c r="D85" s="198"/>
      <c r="E85" s="181"/>
      <c r="F85" s="174"/>
      <c r="G85" s="182"/>
      <c r="H85" s="174"/>
      <c r="I85" s="183"/>
      <c r="J85" s="174"/>
      <c r="K85" s="183"/>
    </row>
    <row r="86" spans="2:11" x14ac:dyDescent="0.25">
      <c r="B86" s="175">
        <f t="shared" si="1"/>
        <v>0</v>
      </c>
      <c r="C86" s="181"/>
      <c r="D86" s="198"/>
      <c r="E86" s="181"/>
      <c r="F86" s="174"/>
      <c r="G86" s="182"/>
      <c r="H86" s="174"/>
      <c r="I86" s="183"/>
      <c r="J86" s="174"/>
      <c r="K86" s="183"/>
    </row>
    <row r="87" spans="2:11" x14ac:dyDescent="0.25">
      <c r="B87" s="175">
        <f t="shared" si="1"/>
        <v>0</v>
      </c>
      <c r="C87" s="181"/>
      <c r="D87" s="198"/>
      <c r="E87" s="181"/>
      <c r="F87" s="174"/>
      <c r="G87" s="182"/>
      <c r="H87" s="174"/>
      <c r="I87" s="183"/>
      <c r="J87" s="174"/>
      <c r="K87" s="183"/>
    </row>
    <row r="88" spans="2:11" x14ac:dyDescent="0.25">
      <c r="B88" s="175">
        <f t="shared" si="1"/>
        <v>0</v>
      </c>
      <c r="C88" s="181"/>
      <c r="D88" s="198"/>
      <c r="E88" s="181"/>
      <c r="F88" s="174"/>
      <c r="G88" s="182"/>
      <c r="H88" s="174"/>
      <c r="I88" s="183"/>
      <c r="J88" s="174"/>
      <c r="K88" s="183"/>
    </row>
    <row r="89" spans="2:11" x14ac:dyDescent="0.25">
      <c r="B89" s="175">
        <f t="shared" si="1"/>
        <v>0</v>
      </c>
      <c r="C89" s="181"/>
      <c r="D89" s="198"/>
      <c r="E89" s="181"/>
      <c r="F89" s="174"/>
      <c r="G89" s="182"/>
      <c r="H89" s="174"/>
      <c r="I89" s="183"/>
      <c r="J89" s="174"/>
      <c r="K89" s="183"/>
    </row>
    <row r="90" spans="2:11" x14ac:dyDescent="0.25">
      <c r="B90" s="175">
        <f t="shared" si="1"/>
        <v>0</v>
      </c>
      <c r="C90" s="181"/>
      <c r="D90" s="198"/>
      <c r="E90" s="181"/>
      <c r="F90" s="174"/>
      <c r="G90" s="182"/>
      <c r="H90" s="174"/>
      <c r="I90" s="183"/>
      <c r="J90" s="174"/>
      <c r="K90" s="183"/>
    </row>
    <row r="91" spans="2:11" x14ac:dyDescent="0.25">
      <c r="B91" s="175">
        <f t="shared" si="1"/>
        <v>0</v>
      </c>
      <c r="C91" s="181"/>
      <c r="D91" s="198"/>
      <c r="E91" s="181"/>
      <c r="F91" s="174"/>
      <c r="G91" s="182"/>
      <c r="H91" s="174"/>
      <c r="I91" s="183"/>
      <c r="J91" s="174"/>
      <c r="K91" s="183"/>
    </row>
    <row r="92" spans="2:11" x14ac:dyDescent="0.25">
      <c r="B92" s="175">
        <f t="shared" si="1"/>
        <v>0</v>
      </c>
      <c r="C92" s="181"/>
      <c r="D92" s="198"/>
      <c r="E92" s="181"/>
      <c r="F92" s="174"/>
      <c r="G92" s="182"/>
      <c r="H92" s="174"/>
      <c r="I92" s="183"/>
      <c r="J92" s="174"/>
      <c r="K92" s="183"/>
    </row>
    <row r="93" spans="2:11" x14ac:dyDescent="0.25">
      <c r="B93" s="175">
        <f t="shared" si="1"/>
        <v>0</v>
      </c>
      <c r="C93" s="181"/>
      <c r="D93" s="198"/>
      <c r="E93" s="181"/>
      <c r="F93" s="174"/>
      <c r="G93" s="182"/>
      <c r="H93" s="174"/>
      <c r="I93" s="183"/>
      <c r="J93" s="174"/>
      <c r="K93" s="183"/>
    </row>
    <row r="94" spans="2:11" x14ac:dyDescent="0.25">
      <c r="B94" s="175">
        <f t="shared" si="1"/>
        <v>0</v>
      </c>
      <c r="C94" s="181"/>
      <c r="D94" s="198"/>
      <c r="E94" s="181"/>
      <c r="F94" s="174"/>
      <c r="G94" s="182"/>
      <c r="H94" s="174"/>
      <c r="I94" s="183"/>
      <c r="J94" s="174"/>
      <c r="K94" s="183"/>
    </row>
    <row r="95" spans="2:11" x14ac:dyDescent="0.25">
      <c r="B95" s="175">
        <f t="shared" si="1"/>
        <v>0</v>
      </c>
      <c r="C95" s="181"/>
      <c r="D95" s="198"/>
      <c r="E95" s="181"/>
      <c r="F95" s="174"/>
      <c r="G95" s="182"/>
      <c r="H95" s="174"/>
      <c r="I95" s="183"/>
      <c r="J95" s="174"/>
      <c r="K95" s="183"/>
    </row>
    <row r="96" spans="2:11" x14ac:dyDescent="0.25">
      <c r="B96" s="175">
        <f t="shared" si="1"/>
        <v>0</v>
      </c>
      <c r="C96" s="181"/>
      <c r="D96" s="198"/>
      <c r="E96" s="181"/>
      <c r="F96" s="174"/>
      <c r="G96" s="182"/>
      <c r="H96" s="174"/>
      <c r="I96" s="183"/>
      <c r="J96" s="174"/>
      <c r="K96" s="183"/>
    </row>
    <row r="97" spans="2:11" x14ac:dyDescent="0.25">
      <c r="B97" s="175">
        <f t="shared" si="1"/>
        <v>0</v>
      </c>
      <c r="C97" s="181"/>
      <c r="D97" s="198"/>
      <c r="E97" s="181"/>
      <c r="F97" s="174"/>
      <c r="G97" s="182"/>
      <c r="H97" s="174"/>
      <c r="I97" s="183"/>
      <c r="J97" s="174"/>
      <c r="K97" s="183"/>
    </row>
    <row r="98" spans="2:11" x14ac:dyDescent="0.25">
      <c r="B98" s="175">
        <f t="shared" si="1"/>
        <v>0</v>
      </c>
      <c r="C98" s="181"/>
      <c r="D98" s="198"/>
      <c r="E98" s="181"/>
      <c r="F98" s="174"/>
      <c r="G98" s="182"/>
      <c r="H98" s="174"/>
      <c r="I98" s="183"/>
      <c r="J98" s="174"/>
      <c r="K98" s="183"/>
    </row>
    <row r="99" spans="2:11" x14ac:dyDescent="0.25">
      <c r="B99" s="175">
        <f t="shared" si="1"/>
        <v>0</v>
      </c>
      <c r="C99" s="181"/>
      <c r="D99" s="198"/>
      <c r="E99" s="181"/>
      <c r="F99" s="174"/>
      <c r="G99" s="182"/>
      <c r="H99" s="174"/>
      <c r="I99" s="183"/>
      <c r="J99" s="174"/>
      <c r="K99" s="183"/>
    </row>
    <row r="100" spans="2:11" x14ac:dyDescent="0.25">
      <c r="B100" s="175">
        <f t="shared" si="1"/>
        <v>0</v>
      </c>
      <c r="C100" s="181"/>
      <c r="D100" s="198"/>
      <c r="E100" s="181"/>
      <c r="F100" s="174"/>
      <c r="G100" s="182"/>
      <c r="H100" s="174"/>
      <c r="I100" s="183"/>
      <c r="J100" s="174"/>
      <c r="K100" s="183"/>
    </row>
    <row r="101" spans="2:11" x14ac:dyDescent="0.25">
      <c r="B101" s="175">
        <f t="shared" si="1"/>
        <v>0</v>
      </c>
      <c r="C101" s="181"/>
      <c r="D101" s="198"/>
      <c r="E101" s="181"/>
      <c r="F101" s="174"/>
      <c r="G101" s="182"/>
      <c r="H101" s="174"/>
      <c r="I101" s="183"/>
      <c r="J101" s="174"/>
      <c r="K101" s="183"/>
    </row>
    <row r="102" spans="2:11" x14ac:dyDescent="0.25">
      <c r="B102" s="175">
        <f t="shared" si="1"/>
        <v>0</v>
      </c>
      <c r="C102" s="181"/>
      <c r="D102" s="198"/>
      <c r="E102" s="181"/>
      <c r="F102" s="174"/>
      <c r="G102" s="182"/>
      <c r="H102" s="174"/>
      <c r="I102" s="183"/>
      <c r="J102" s="174"/>
      <c r="K102" s="183"/>
    </row>
    <row r="103" spans="2:11" x14ac:dyDescent="0.25">
      <c r="B103" s="175">
        <f t="shared" si="1"/>
        <v>0</v>
      </c>
      <c r="C103" s="181"/>
      <c r="D103" s="198"/>
      <c r="E103" s="181"/>
      <c r="F103" s="174"/>
      <c r="G103" s="182"/>
      <c r="H103" s="174"/>
      <c r="I103" s="183"/>
      <c r="J103" s="174"/>
      <c r="K103" s="183"/>
    </row>
    <row r="104" spans="2:11" x14ac:dyDescent="0.25">
      <c r="B104" s="175">
        <f t="shared" si="1"/>
        <v>0</v>
      </c>
      <c r="C104" s="181"/>
      <c r="D104" s="198"/>
      <c r="E104" s="181"/>
      <c r="F104" s="174"/>
      <c r="G104" s="182"/>
      <c r="H104" s="174"/>
      <c r="I104" s="183"/>
      <c r="J104" s="174"/>
      <c r="K104" s="183"/>
    </row>
    <row r="105" spans="2:11" x14ac:dyDescent="0.25">
      <c r="B105" s="175">
        <f t="shared" si="1"/>
        <v>0</v>
      </c>
      <c r="C105" s="181"/>
      <c r="D105" s="198"/>
      <c r="E105" s="181"/>
      <c r="F105" s="174"/>
      <c r="G105" s="182"/>
      <c r="H105" s="174"/>
      <c r="I105" s="183"/>
      <c r="J105" s="174"/>
      <c r="K105" s="183"/>
    </row>
    <row r="106" spans="2:11" x14ac:dyDescent="0.25">
      <c r="B106" s="175">
        <f t="shared" si="1"/>
        <v>0</v>
      </c>
      <c r="C106" s="181"/>
      <c r="D106" s="198"/>
      <c r="E106" s="181"/>
      <c r="F106" s="174"/>
      <c r="G106" s="182"/>
      <c r="H106" s="174"/>
      <c r="I106" s="183"/>
      <c r="J106" s="174"/>
      <c r="K106" s="183"/>
    </row>
    <row r="107" spans="2:11" x14ac:dyDescent="0.25">
      <c r="B107" s="175">
        <f t="shared" si="1"/>
        <v>0</v>
      </c>
      <c r="C107" s="181"/>
      <c r="D107" s="198"/>
      <c r="E107" s="181"/>
      <c r="F107" s="174"/>
      <c r="G107" s="182"/>
      <c r="H107" s="174"/>
      <c r="I107" s="183"/>
      <c r="J107" s="174"/>
      <c r="K107" s="183"/>
    </row>
    <row r="108" spans="2:11" x14ac:dyDescent="0.25">
      <c r="B108" s="175">
        <f t="shared" si="1"/>
        <v>0</v>
      </c>
      <c r="C108" s="181"/>
      <c r="D108" s="198"/>
      <c r="E108" s="181"/>
      <c r="F108" s="174"/>
      <c r="G108" s="182"/>
      <c r="H108" s="174"/>
      <c r="I108" s="183"/>
      <c r="J108" s="174"/>
      <c r="K108" s="183"/>
    </row>
    <row r="109" spans="2:11" x14ac:dyDescent="0.25">
      <c r="B109" s="175">
        <f t="shared" si="1"/>
        <v>0</v>
      </c>
      <c r="C109" s="181"/>
      <c r="D109" s="198"/>
      <c r="E109" s="181"/>
      <c r="F109" s="174"/>
      <c r="G109" s="182"/>
      <c r="H109" s="174"/>
      <c r="I109" s="183"/>
      <c r="J109" s="174"/>
      <c r="K109" s="183"/>
    </row>
    <row r="110" spans="2:11" x14ac:dyDescent="0.25">
      <c r="B110" s="175">
        <f t="shared" si="1"/>
        <v>0</v>
      </c>
      <c r="C110" s="181"/>
      <c r="D110" s="198"/>
      <c r="E110" s="181"/>
      <c r="F110" s="174"/>
      <c r="G110" s="182"/>
      <c r="H110" s="174"/>
      <c r="I110" s="183"/>
      <c r="J110" s="174"/>
      <c r="K110" s="183"/>
    </row>
    <row r="111" spans="2:11" x14ac:dyDescent="0.25">
      <c r="B111" s="175">
        <f t="shared" si="1"/>
        <v>0</v>
      </c>
      <c r="C111" s="181"/>
      <c r="D111" s="198"/>
      <c r="E111" s="181"/>
      <c r="F111" s="174"/>
      <c r="G111" s="182"/>
      <c r="H111" s="174"/>
      <c r="I111" s="183"/>
      <c r="J111" s="174"/>
      <c r="K111" s="183"/>
    </row>
    <row r="112" spans="2:11" x14ac:dyDescent="0.25">
      <c r="B112" s="175">
        <f t="shared" si="1"/>
        <v>0</v>
      </c>
      <c r="C112" s="181"/>
      <c r="D112" s="198"/>
      <c r="E112" s="181"/>
      <c r="F112" s="174"/>
      <c r="G112" s="182"/>
      <c r="H112" s="174"/>
      <c r="I112" s="183"/>
      <c r="J112" s="174"/>
      <c r="K112" s="183"/>
    </row>
    <row r="113" spans="2:11" x14ac:dyDescent="0.25">
      <c r="B113" s="175">
        <f t="shared" si="1"/>
        <v>0</v>
      </c>
      <c r="C113" s="181"/>
      <c r="D113" s="198"/>
      <c r="E113" s="181"/>
      <c r="F113" s="174"/>
      <c r="G113" s="182"/>
      <c r="H113" s="174"/>
      <c r="I113" s="183"/>
      <c r="J113" s="174"/>
      <c r="K113" s="183"/>
    </row>
    <row r="114" spans="2:11" x14ac:dyDescent="0.25">
      <c r="B114" s="175">
        <f t="shared" si="1"/>
        <v>0</v>
      </c>
      <c r="C114" s="181"/>
      <c r="D114" s="198"/>
      <c r="E114" s="181"/>
      <c r="F114" s="174"/>
      <c r="G114" s="182"/>
      <c r="H114" s="174"/>
      <c r="I114" s="183"/>
      <c r="J114" s="174"/>
      <c r="K114" s="183"/>
    </row>
    <row r="115" spans="2:11" x14ac:dyDescent="0.25">
      <c r="B115" s="175">
        <f t="shared" si="1"/>
        <v>0</v>
      </c>
      <c r="C115" s="181"/>
      <c r="D115" s="198"/>
      <c r="E115" s="181"/>
      <c r="F115" s="174"/>
      <c r="G115" s="182"/>
      <c r="H115" s="174"/>
      <c r="I115" s="183"/>
      <c r="J115" s="174"/>
      <c r="K115" s="183"/>
    </row>
    <row r="116" spans="2:11" x14ac:dyDescent="0.25">
      <c r="B116" s="175">
        <f t="shared" si="1"/>
        <v>0</v>
      </c>
      <c r="C116" s="181"/>
      <c r="D116" s="198"/>
      <c r="E116" s="181"/>
      <c r="F116" s="174"/>
      <c r="G116" s="182"/>
      <c r="H116" s="174"/>
      <c r="I116" s="183"/>
      <c r="J116" s="174"/>
      <c r="K116" s="183"/>
    </row>
    <row r="117" spans="2:11" x14ac:dyDescent="0.25">
      <c r="B117" s="175">
        <f t="shared" si="1"/>
        <v>0</v>
      </c>
      <c r="C117" s="181"/>
      <c r="D117" s="198"/>
      <c r="E117" s="181"/>
      <c r="F117" s="174"/>
      <c r="G117" s="182"/>
      <c r="H117" s="174"/>
      <c r="I117" s="183"/>
      <c r="J117" s="174"/>
      <c r="K117" s="183"/>
    </row>
    <row r="118" spans="2:11" x14ac:dyDescent="0.25">
      <c r="B118" s="175">
        <f t="shared" si="1"/>
        <v>0</v>
      </c>
      <c r="C118" s="181"/>
      <c r="D118" s="198"/>
      <c r="E118" s="181"/>
      <c r="F118" s="174"/>
      <c r="G118" s="182"/>
      <c r="H118" s="174"/>
      <c r="I118" s="183"/>
      <c r="J118" s="174"/>
      <c r="K118" s="183"/>
    </row>
    <row r="119" spans="2:11" x14ac:dyDescent="0.25">
      <c r="B119" s="175">
        <f t="shared" si="1"/>
        <v>0</v>
      </c>
      <c r="C119" s="181"/>
      <c r="D119" s="198"/>
      <c r="E119" s="181"/>
      <c r="F119" s="174"/>
      <c r="G119" s="182"/>
      <c r="H119" s="174"/>
      <c r="I119" s="183"/>
      <c r="J119" s="174"/>
      <c r="K119" s="183"/>
    </row>
    <row r="120" spans="2:11" x14ac:dyDescent="0.25">
      <c r="B120" s="175">
        <f t="shared" si="1"/>
        <v>0</v>
      </c>
      <c r="C120" s="181"/>
      <c r="D120" s="198"/>
      <c r="E120" s="181"/>
      <c r="F120" s="174"/>
      <c r="G120" s="182"/>
      <c r="H120" s="174"/>
      <c r="I120" s="183"/>
      <c r="J120" s="174"/>
      <c r="K120" s="183"/>
    </row>
    <row r="121" spans="2:11" x14ac:dyDescent="0.25">
      <c r="B121" s="175">
        <f t="shared" si="1"/>
        <v>0</v>
      </c>
      <c r="C121" s="181"/>
      <c r="D121" s="198"/>
      <c r="E121" s="181"/>
      <c r="F121" s="174"/>
      <c r="G121" s="182"/>
      <c r="H121" s="174"/>
      <c r="I121" s="183"/>
      <c r="J121" s="174"/>
      <c r="K121" s="183"/>
    </row>
    <row r="122" spans="2:11" x14ac:dyDescent="0.25">
      <c r="B122" s="175">
        <f t="shared" si="1"/>
        <v>0</v>
      </c>
      <c r="C122" s="181"/>
      <c r="D122" s="198"/>
      <c r="E122" s="181"/>
      <c r="F122" s="174"/>
      <c r="G122" s="182"/>
      <c r="H122" s="174"/>
      <c r="I122" s="183"/>
      <c r="J122" s="174"/>
      <c r="K122" s="183"/>
    </row>
    <row r="123" spans="2:11" x14ac:dyDescent="0.25">
      <c r="B123" s="175">
        <f t="shared" si="1"/>
        <v>0</v>
      </c>
      <c r="C123" s="181"/>
      <c r="D123" s="198"/>
      <c r="E123" s="181"/>
      <c r="F123" s="174"/>
      <c r="G123" s="182"/>
      <c r="H123" s="174"/>
      <c r="I123" s="183"/>
      <c r="J123" s="174"/>
      <c r="K123" s="183"/>
    </row>
    <row r="124" spans="2:11" x14ac:dyDescent="0.25">
      <c r="B124" s="175">
        <f t="shared" si="1"/>
        <v>0</v>
      </c>
      <c r="C124" s="181"/>
      <c r="D124" s="198"/>
      <c r="E124" s="181"/>
      <c r="F124" s="174"/>
      <c r="G124" s="182"/>
      <c r="H124" s="174"/>
      <c r="I124" s="183"/>
      <c r="J124" s="174"/>
      <c r="K124" s="183"/>
    </row>
    <row r="125" spans="2:11" x14ac:dyDescent="0.25">
      <c r="B125" s="175">
        <f t="shared" si="1"/>
        <v>0</v>
      </c>
      <c r="C125" s="181"/>
      <c r="D125" s="198"/>
      <c r="E125" s="181"/>
      <c r="F125" s="174"/>
      <c r="G125" s="182"/>
      <c r="H125" s="174"/>
      <c r="I125" s="183"/>
      <c r="J125" s="174"/>
      <c r="K125" s="183"/>
    </row>
    <row r="126" spans="2:11" x14ac:dyDescent="0.25">
      <c r="B126" s="175">
        <f t="shared" si="1"/>
        <v>0</v>
      </c>
      <c r="C126" s="181"/>
      <c r="D126" s="198"/>
      <c r="E126" s="181"/>
      <c r="F126" s="174"/>
      <c r="G126" s="182"/>
      <c r="H126" s="174"/>
      <c r="I126" s="183"/>
      <c r="J126" s="174"/>
      <c r="K126" s="183"/>
    </row>
    <row r="127" spans="2:11" x14ac:dyDescent="0.25">
      <c r="B127" s="175">
        <f t="shared" si="1"/>
        <v>0</v>
      </c>
      <c r="C127" s="181"/>
      <c r="D127" s="198"/>
      <c r="E127" s="181"/>
      <c r="F127" s="174"/>
      <c r="G127" s="182"/>
      <c r="H127" s="174"/>
      <c r="I127" s="183"/>
      <c r="J127" s="174"/>
      <c r="K127" s="183"/>
    </row>
    <row r="128" spans="2:11" x14ac:dyDescent="0.25">
      <c r="B128" s="175">
        <f t="shared" si="1"/>
        <v>0</v>
      </c>
      <c r="C128" s="181"/>
      <c r="D128" s="198"/>
      <c r="E128" s="181"/>
      <c r="F128" s="174"/>
      <c r="G128" s="182"/>
      <c r="H128" s="174"/>
      <c r="I128" s="183"/>
      <c r="J128" s="174"/>
      <c r="K128" s="183"/>
    </row>
    <row r="129" spans="2:11" x14ac:dyDescent="0.25">
      <c r="B129" s="175">
        <f t="shared" si="1"/>
        <v>0</v>
      </c>
      <c r="C129" s="181"/>
      <c r="D129" s="198"/>
      <c r="E129" s="181"/>
      <c r="F129" s="174"/>
      <c r="G129" s="182"/>
      <c r="H129" s="174"/>
      <c r="I129" s="183"/>
      <c r="J129" s="174"/>
      <c r="K129" s="183"/>
    </row>
    <row r="130" spans="2:11" x14ac:dyDescent="0.25">
      <c r="B130" s="175">
        <f t="shared" si="1"/>
        <v>0</v>
      </c>
      <c r="C130" s="181"/>
      <c r="D130" s="198"/>
      <c r="E130" s="181"/>
      <c r="F130" s="174"/>
      <c r="G130" s="182"/>
      <c r="H130" s="174"/>
      <c r="I130" s="183"/>
      <c r="J130" s="174"/>
      <c r="K130" s="183"/>
    </row>
    <row r="131" spans="2:11" x14ac:dyDescent="0.25">
      <c r="B131" s="175">
        <f t="shared" si="1"/>
        <v>0</v>
      </c>
      <c r="C131" s="181"/>
      <c r="D131" s="198"/>
      <c r="E131" s="181"/>
      <c r="F131" s="174"/>
      <c r="G131" s="182"/>
      <c r="H131" s="174"/>
      <c r="I131" s="183"/>
      <c r="J131" s="174"/>
      <c r="K131" s="183"/>
    </row>
    <row r="132" spans="2:11" x14ac:dyDescent="0.25">
      <c r="B132" s="175">
        <f t="shared" si="1"/>
        <v>0</v>
      </c>
      <c r="C132" s="181"/>
      <c r="D132" s="198"/>
      <c r="E132" s="181"/>
      <c r="F132" s="174"/>
      <c r="G132" s="182"/>
      <c r="H132" s="174"/>
      <c r="I132" s="183"/>
      <c r="J132" s="174"/>
      <c r="K132" s="183"/>
    </row>
    <row r="133" spans="2:11" x14ac:dyDescent="0.25">
      <c r="B133" s="175">
        <f t="shared" si="1"/>
        <v>0</v>
      </c>
      <c r="C133" s="181"/>
      <c r="D133" s="198"/>
      <c r="E133" s="181"/>
      <c r="F133" s="174"/>
      <c r="G133" s="182"/>
      <c r="H133" s="174"/>
      <c r="I133" s="183"/>
      <c r="J133" s="174"/>
      <c r="K133" s="183"/>
    </row>
    <row r="134" spans="2:11" x14ac:dyDescent="0.25">
      <c r="B134" s="175">
        <f t="shared" si="1"/>
        <v>0</v>
      </c>
      <c r="C134" s="181"/>
      <c r="D134" s="198"/>
      <c r="E134" s="181"/>
      <c r="F134" s="174"/>
      <c r="G134" s="182"/>
      <c r="H134" s="174"/>
      <c r="I134" s="183"/>
      <c r="J134" s="174"/>
      <c r="K134" s="183"/>
    </row>
    <row r="135" spans="2:11" x14ac:dyDescent="0.25">
      <c r="B135" s="175">
        <f t="shared" si="1"/>
        <v>0</v>
      </c>
      <c r="C135" s="181"/>
      <c r="D135" s="198"/>
      <c r="E135" s="181"/>
      <c r="F135" s="174"/>
      <c r="G135" s="182"/>
      <c r="H135" s="174"/>
      <c r="I135" s="183"/>
      <c r="J135" s="174"/>
      <c r="K135" s="183"/>
    </row>
    <row r="136" spans="2:11" x14ac:dyDescent="0.25">
      <c r="B136" s="175">
        <f t="shared" ref="B136:B199" si="2">IF(NOT(ISBLANK(C136)),(C136-C135),0)</f>
        <v>0</v>
      </c>
      <c r="C136" s="181"/>
      <c r="D136" s="198"/>
      <c r="E136" s="181"/>
      <c r="F136" s="174"/>
      <c r="G136" s="182"/>
      <c r="H136" s="174"/>
      <c r="I136" s="183"/>
      <c r="J136" s="174"/>
      <c r="K136" s="183"/>
    </row>
    <row r="137" spans="2:11" x14ac:dyDescent="0.25">
      <c r="B137" s="175">
        <f t="shared" si="2"/>
        <v>0</v>
      </c>
      <c r="C137" s="181"/>
      <c r="D137" s="198"/>
      <c r="E137" s="181"/>
      <c r="F137" s="174"/>
      <c r="G137" s="182"/>
      <c r="H137" s="174"/>
      <c r="I137" s="183"/>
      <c r="J137" s="174"/>
      <c r="K137" s="183"/>
    </row>
    <row r="138" spans="2:11" x14ac:dyDescent="0.25">
      <c r="B138" s="175">
        <f t="shared" si="2"/>
        <v>0</v>
      </c>
      <c r="C138" s="181"/>
      <c r="D138" s="198"/>
      <c r="E138" s="181"/>
      <c r="F138" s="174"/>
      <c r="G138" s="182"/>
      <c r="H138" s="174"/>
      <c r="I138" s="183"/>
      <c r="J138" s="174"/>
      <c r="K138" s="183"/>
    </row>
    <row r="139" spans="2:11" x14ac:dyDescent="0.25">
      <c r="B139" s="175">
        <f t="shared" si="2"/>
        <v>0</v>
      </c>
      <c r="C139" s="181"/>
      <c r="D139" s="198"/>
      <c r="E139" s="181"/>
      <c r="F139" s="174"/>
      <c r="G139" s="182"/>
      <c r="H139" s="174"/>
      <c r="I139" s="183"/>
      <c r="J139" s="174"/>
      <c r="K139" s="183"/>
    </row>
    <row r="140" spans="2:11" x14ac:dyDescent="0.25">
      <c r="B140" s="175">
        <f t="shared" si="2"/>
        <v>0</v>
      </c>
      <c r="C140" s="181"/>
      <c r="D140" s="198"/>
      <c r="E140" s="181"/>
      <c r="F140" s="174"/>
      <c r="G140" s="182"/>
      <c r="H140" s="174"/>
      <c r="I140" s="183"/>
      <c r="J140" s="174"/>
      <c r="K140" s="183"/>
    </row>
    <row r="141" spans="2:11" x14ac:dyDescent="0.25">
      <c r="B141" s="175">
        <f t="shared" si="2"/>
        <v>0</v>
      </c>
      <c r="C141" s="181"/>
      <c r="D141" s="198"/>
      <c r="E141" s="181"/>
      <c r="F141" s="174"/>
      <c r="G141" s="182"/>
      <c r="H141" s="174"/>
      <c r="I141" s="183"/>
      <c r="J141" s="174"/>
      <c r="K141" s="183"/>
    </row>
    <row r="142" spans="2:11" x14ac:dyDescent="0.25">
      <c r="B142" s="175">
        <f t="shared" si="2"/>
        <v>0</v>
      </c>
      <c r="C142" s="181"/>
      <c r="D142" s="198"/>
      <c r="E142" s="181"/>
      <c r="F142" s="174"/>
      <c r="G142" s="182"/>
      <c r="H142" s="174"/>
      <c r="I142" s="183"/>
      <c r="J142" s="174"/>
      <c r="K142" s="183"/>
    </row>
    <row r="143" spans="2:11" x14ac:dyDescent="0.25">
      <c r="B143" s="175">
        <f t="shared" si="2"/>
        <v>0</v>
      </c>
      <c r="C143" s="181"/>
      <c r="D143" s="198"/>
      <c r="E143" s="181"/>
      <c r="F143" s="174"/>
      <c r="G143" s="182"/>
      <c r="H143" s="174"/>
      <c r="I143" s="183"/>
      <c r="J143" s="174"/>
      <c r="K143" s="183"/>
    </row>
    <row r="144" spans="2:11" x14ac:dyDescent="0.25">
      <c r="B144" s="175">
        <f t="shared" si="2"/>
        <v>0</v>
      </c>
      <c r="C144" s="181"/>
      <c r="D144" s="198"/>
      <c r="E144" s="181"/>
      <c r="F144" s="174"/>
      <c r="G144" s="182"/>
      <c r="H144" s="174"/>
      <c r="I144" s="183"/>
      <c r="J144" s="174"/>
      <c r="K144" s="183"/>
    </row>
    <row r="145" spans="2:11" x14ac:dyDescent="0.25">
      <c r="B145" s="175">
        <f t="shared" si="2"/>
        <v>0</v>
      </c>
      <c r="C145" s="181"/>
      <c r="D145" s="198"/>
      <c r="E145" s="181"/>
      <c r="F145" s="174"/>
      <c r="G145" s="182"/>
      <c r="H145" s="174"/>
      <c r="I145" s="183"/>
      <c r="J145" s="174"/>
      <c r="K145" s="183"/>
    </row>
    <row r="146" spans="2:11" x14ac:dyDescent="0.25">
      <c r="B146" s="175">
        <f t="shared" si="2"/>
        <v>0</v>
      </c>
      <c r="C146" s="181"/>
      <c r="D146" s="198"/>
      <c r="E146" s="181"/>
      <c r="F146" s="174"/>
      <c r="G146" s="182"/>
      <c r="H146" s="174"/>
      <c r="I146" s="183"/>
      <c r="J146" s="174"/>
      <c r="K146" s="183"/>
    </row>
    <row r="147" spans="2:11" x14ac:dyDescent="0.25">
      <c r="B147" s="175">
        <f t="shared" si="2"/>
        <v>0</v>
      </c>
      <c r="C147" s="181"/>
      <c r="D147" s="198"/>
      <c r="E147" s="181"/>
      <c r="F147" s="174"/>
      <c r="G147" s="182"/>
      <c r="H147" s="174"/>
      <c r="I147" s="183"/>
      <c r="J147" s="174"/>
      <c r="K147" s="183"/>
    </row>
    <row r="148" spans="2:11" x14ac:dyDescent="0.25">
      <c r="B148" s="175">
        <f t="shared" si="2"/>
        <v>0</v>
      </c>
      <c r="C148" s="181"/>
      <c r="D148" s="198"/>
      <c r="E148" s="181"/>
      <c r="F148" s="174"/>
      <c r="G148" s="182"/>
      <c r="H148" s="174"/>
      <c r="I148" s="183"/>
      <c r="J148" s="174"/>
      <c r="K148" s="183"/>
    </row>
    <row r="149" spans="2:11" x14ac:dyDescent="0.25">
      <c r="B149" s="175">
        <f t="shared" si="2"/>
        <v>0</v>
      </c>
      <c r="C149" s="181"/>
      <c r="D149" s="198"/>
      <c r="E149" s="181"/>
      <c r="F149" s="174"/>
      <c r="G149" s="182"/>
      <c r="H149" s="174"/>
      <c r="I149" s="183"/>
      <c r="J149" s="174"/>
      <c r="K149" s="183"/>
    </row>
    <row r="150" spans="2:11" x14ac:dyDescent="0.25">
      <c r="B150" s="175">
        <f t="shared" si="2"/>
        <v>0</v>
      </c>
      <c r="C150" s="181"/>
      <c r="D150" s="198"/>
      <c r="E150" s="181"/>
      <c r="F150" s="174"/>
      <c r="G150" s="182"/>
      <c r="H150" s="174"/>
      <c r="I150" s="183"/>
      <c r="J150" s="174"/>
      <c r="K150" s="183"/>
    </row>
    <row r="151" spans="2:11" x14ac:dyDescent="0.25">
      <c r="B151" s="175">
        <f t="shared" si="2"/>
        <v>0</v>
      </c>
      <c r="C151" s="181"/>
      <c r="D151" s="198"/>
      <c r="E151" s="181"/>
      <c r="F151" s="174"/>
      <c r="G151" s="182"/>
      <c r="H151" s="174"/>
      <c r="I151" s="183"/>
      <c r="J151" s="174"/>
      <c r="K151" s="183"/>
    </row>
    <row r="152" spans="2:11" x14ac:dyDescent="0.25">
      <c r="B152" s="175">
        <f t="shared" si="2"/>
        <v>0</v>
      </c>
      <c r="C152" s="181"/>
      <c r="D152" s="198"/>
      <c r="E152" s="181"/>
      <c r="F152" s="174"/>
      <c r="G152" s="182"/>
      <c r="H152" s="174"/>
      <c r="I152" s="183"/>
      <c r="J152" s="174"/>
      <c r="K152" s="183"/>
    </row>
    <row r="153" spans="2:11" x14ac:dyDescent="0.25">
      <c r="B153" s="175">
        <f t="shared" si="2"/>
        <v>0</v>
      </c>
      <c r="C153" s="181"/>
      <c r="D153" s="198"/>
      <c r="E153" s="181"/>
      <c r="F153" s="174"/>
      <c r="G153" s="182"/>
      <c r="H153" s="174"/>
      <c r="I153" s="183"/>
      <c r="J153" s="174"/>
      <c r="K153" s="183"/>
    </row>
    <row r="154" spans="2:11" x14ac:dyDescent="0.25">
      <c r="B154" s="175">
        <f t="shared" si="2"/>
        <v>0</v>
      </c>
      <c r="C154" s="181"/>
      <c r="D154" s="198"/>
      <c r="E154" s="181"/>
      <c r="F154" s="174"/>
      <c r="G154" s="182"/>
      <c r="H154" s="174"/>
      <c r="I154" s="183"/>
      <c r="J154" s="174"/>
      <c r="K154" s="183"/>
    </row>
    <row r="155" spans="2:11" x14ac:dyDescent="0.25">
      <c r="B155" s="175">
        <f t="shared" si="2"/>
        <v>0</v>
      </c>
      <c r="C155" s="181"/>
      <c r="D155" s="198"/>
      <c r="E155" s="181"/>
      <c r="F155" s="174"/>
      <c r="G155" s="182"/>
      <c r="H155" s="174"/>
      <c r="I155" s="183"/>
      <c r="J155" s="174"/>
      <c r="K155" s="183"/>
    </row>
    <row r="156" spans="2:11" x14ac:dyDescent="0.25">
      <c r="B156" s="175">
        <f t="shared" si="2"/>
        <v>0</v>
      </c>
      <c r="C156" s="181"/>
      <c r="D156" s="198"/>
      <c r="E156" s="181"/>
      <c r="F156" s="174"/>
      <c r="G156" s="182"/>
      <c r="H156" s="174"/>
      <c r="I156" s="183"/>
      <c r="J156" s="174"/>
      <c r="K156" s="183"/>
    </row>
    <row r="157" spans="2:11" x14ac:dyDescent="0.25">
      <c r="B157" s="175">
        <f t="shared" si="2"/>
        <v>0</v>
      </c>
      <c r="C157" s="181"/>
      <c r="D157" s="198"/>
      <c r="E157" s="181"/>
      <c r="F157" s="174"/>
      <c r="G157" s="182"/>
      <c r="H157" s="174"/>
      <c r="I157" s="183"/>
      <c r="J157" s="174"/>
      <c r="K157" s="183"/>
    </row>
    <row r="158" spans="2:11" x14ac:dyDescent="0.25">
      <c r="B158" s="175">
        <f t="shared" si="2"/>
        <v>0</v>
      </c>
      <c r="C158" s="181"/>
      <c r="D158" s="198"/>
      <c r="E158" s="181"/>
      <c r="F158" s="174"/>
      <c r="G158" s="182"/>
      <c r="H158" s="174"/>
      <c r="I158" s="183"/>
      <c r="J158" s="174"/>
      <c r="K158" s="183"/>
    </row>
    <row r="159" spans="2:11" x14ac:dyDescent="0.25">
      <c r="B159" s="175">
        <f t="shared" si="2"/>
        <v>0</v>
      </c>
      <c r="C159" s="181"/>
      <c r="D159" s="198"/>
      <c r="E159" s="181"/>
      <c r="F159" s="174"/>
      <c r="G159" s="182"/>
      <c r="H159" s="174"/>
      <c r="I159" s="183"/>
      <c r="J159" s="174"/>
      <c r="K159" s="183"/>
    </row>
    <row r="160" spans="2:11" x14ac:dyDescent="0.25">
      <c r="B160" s="175">
        <f t="shared" si="2"/>
        <v>0</v>
      </c>
      <c r="C160" s="181"/>
      <c r="D160" s="198"/>
      <c r="E160" s="181"/>
      <c r="F160" s="174"/>
      <c r="G160" s="182"/>
      <c r="H160" s="174"/>
      <c r="I160" s="183"/>
      <c r="J160" s="174"/>
      <c r="K160" s="183"/>
    </row>
    <row r="161" spans="2:11" x14ac:dyDescent="0.25">
      <c r="B161" s="175">
        <f t="shared" si="2"/>
        <v>0</v>
      </c>
      <c r="C161" s="181"/>
      <c r="D161" s="198"/>
      <c r="E161" s="181"/>
      <c r="F161" s="174"/>
      <c r="G161" s="182"/>
      <c r="H161" s="174"/>
      <c r="I161" s="183"/>
      <c r="J161" s="174"/>
      <c r="K161" s="183"/>
    </row>
    <row r="162" spans="2:11" x14ac:dyDescent="0.25">
      <c r="B162" s="175">
        <f t="shared" si="2"/>
        <v>0</v>
      </c>
      <c r="C162" s="181"/>
      <c r="D162" s="198"/>
      <c r="E162" s="181"/>
      <c r="F162" s="174"/>
      <c r="G162" s="182"/>
      <c r="H162" s="174"/>
      <c r="I162" s="183"/>
      <c r="J162" s="174"/>
      <c r="K162" s="183"/>
    </row>
    <row r="163" spans="2:11" x14ac:dyDescent="0.25">
      <c r="B163" s="175">
        <f t="shared" si="2"/>
        <v>0</v>
      </c>
      <c r="C163" s="181"/>
      <c r="D163" s="198"/>
      <c r="E163" s="181"/>
      <c r="F163" s="174"/>
      <c r="G163" s="182"/>
      <c r="H163" s="174"/>
      <c r="I163" s="183"/>
      <c r="J163" s="174"/>
      <c r="K163" s="183"/>
    </row>
    <row r="164" spans="2:11" x14ac:dyDescent="0.25">
      <c r="B164" s="175">
        <f t="shared" si="2"/>
        <v>0</v>
      </c>
      <c r="C164" s="181"/>
      <c r="D164" s="198"/>
      <c r="E164" s="181"/>
      <c r="F164" s="174"/>
      <c r="G164" s="182"/>
      <c r="H164" s="174"/>
      <c r="I164" s="183"/>
      <c r="J164" s="174"/>
      <c r="K164" s="183"/>
    </row>
    <row r="165" spans="2:11" x14ac:dyDescent="0.25">
      <c r="B165" s="175">
        <f t="shared" si="2"/>
        <v>0</v>
      </c>
      <c r="C165" s="181"/>
      <c r="D165" s="198"/>
      <c r="E165" s="181"/>
      <c r="F165" s="174"/>
      <c r="G165" s="182"/>
      <c r="H165" s="174"/>
      <c r="I165" s="183"/>
      <c r="J165" s="174"/>
      <c r="K165" s="183"/>
    </row>
    <row r="166" spans="2:11" x14ac:dyDescent="0.25">
      <c r="B166" s="175">
        <f t="shared" si="2"/>
        <v>0</v>
      </c>
      <c r="C166" s="181"/>
      <c r="D166" s="198"/>
      <c r="E166" s="181"/>
      <c r="F166" s="174"/>
      <c r="G166" s="182"/>
      <c r="H166" s="174"/>
      <c r="I166" s="183"/>
      <c r="J166" s="174"/>
      <c r="K166" s="183"/>
    </row>
    <row r="167" spans="2:11" x14ac:dyDescent="0.25">
      <c r="B167" s="175">
        <f t="shared" si="2"/>
        <v>0</v>
      </c>
      <c r="C167" s="181"/>
      <c r="D167" s="198"/>
      <c r="E167" s="181"/>
      <c r="F167" s="174"/>
      <c r="G167" s="182"/>
      <c r="H167" s="174"/>
      <c r="I167" s="183"/>
      <c r="J167" s="174"/>
      <c r="K167" s="183"/>
    </row>
    <row r="168" spans="2:11" x14ac:dyDescent="0.25">
      <c r="B168" s="175">
        <f t="shared" si="2"/>
        <v>0</v>
      </c>
      <c r="C168" s="181"/>
      <c r="D168" s="198"/>
      <c r="E168" s="181"/>
      <c r="F168" s="174"/>
      <c r="G168" s="182"/>
      <c r="H168" s="174"/>
      <c r="I168" s="183"/>
      <c r="J168" s="174"/>
      <c r="K168" s="183"/>
    </row>
    <row r="169" spans="2:11" x14ac:dyDescent="0.25">
      <c r="B169" s="175">
        <f t="shared" si="2"/>
        <v>0</v>
      </c>
      <c r="C169" s="181"/>
      <c r="D169" s="198"/>
      <c r="E169" s="181"/>
      <c r="F169" s="174"/>
      <c r="G169" s="182"/>
      <c r="H169" s="174"/>
      <c r="I169" s="183"/>
      <c r="J169" s="174"/>
      <c r="K169" s="183"/>
    </row>
    <row r="170" spans="2:11" x14ac:dyDescent="0.25">
      <c r="B170" s="175">
        <f t="shared" si="2"/>
        <v>0</v>
      </c>
      <c r="C170" s="181"/>
      <c r="D170" s="198"/>
      <c r="E170" s="181"/>
      <c r="F170" s="174"/>
      <c r="G170" s="182"/>
      <c r="H170" s="174"/>
      <c r="I170" s="183"/>
      <c r="J170" s="174"/>
      <c r="K170" s="183"/>
    </row>
    <row r="171" spans="2:11" x14ac:dyDescent="0.25">
      <c r="B171" s="175">
        <f t="shared" si="2"/>
        <v>0</v>
      </c>
      <c r="C171" s="181"/>
      <c r="D171" s="198"/>
      <c r="E171" s="181"/>
      <c r="F171" s="174"/>
      <c r="G171" s="182"/>
      <c r="H171" s="174"/>
      <c r="I171" s="183"/>
      <c r="J171" s="174"/>
      <c r="K171" s="183"/>
    </row>
    <row r="172" spans="2:11" x14ac:dyDescent="0.25">
      <c r="B172" s="175">
        <f t="shared" si="2"/>
        <v>0</v>
      </c>
      <c r="C172" s="181"/>
      <c r="D172" s="198"/>
      <c r="E172" s="181"/>
      <c r="F172" s="174"/>
      <c r="G172" s="182"/>
      <c r="H172" s="174"/>
      <c r="I172" s="183"/>
      <c r="J172" s="174"/>
      <c r="K172" s="183"/>
    </row>
    <row r="173" spans="2:11" x14ac:dyDescent="0.25">
      <c r="B173" s="175">
        <f t="shared" si="2"/>
        <v>0</v>
      </c>
      <c r="C173" s="181"/>
      <c r="D173" s="198"/>
      <c r="E173" s="181"/>
      <c r="F173" s="174"/>
      <c r="G173" s="182"/>
      <c r="H173" s="174"/>
      <c r="I173" s="183"/>
      <c r="J173" s="174"/>
      <c r="K173" s="183"/>
    </row>
    <row r="174" spans="2:11" x14ac:dyDescent="0.25">
      <c r="B174" s="175">
        <f t="shared" si="2"/>
        <v>0</v>
      </c>
      <c r="C174" s="181"/>
      <c r="D174" s="198"/>
      <c r="E174" s="181"/>
      <c r="F174" s="174"/>
      <c r="G174" s="182"/>
      <c r="H174" s="174"/>
      <c r="I174" s="183"/>
      <c r="J174" s="174"/>
      <c r="K174" s="183"/>
    </row>
    <row r="175" spans="2:11" x14ac:dyDescent="0.25">
      <c r="B175" s="175">
        <f t="shared" si="2"/>
        <v>0</v>
      </c>
      <c r="C175" s="181"/>
      <c r="D175" s="198"/>
      <c r="E175" s="181"/>
      <c r="F175" s="174"/>
      <c r="G175" s="182"/>
      <c r="H175" s="174"/>
      <c r="I175" s="183"/>
      <c r="J175" s="174"/>
      <c r="K175" s="183"/>
    </row>
    <row r="176" spans="2:11" x14ac:dyDescent="0.25">
      <c r="B176" s="175">
        <f t="shared" si="2"/>
        <v>0</v>
      </c>
      <c r="C176" s="181"/>
      <c r="D176" s="198"/>
      <c r="E176" s="181"/>
      <c r="F176" s="174"/>
      <c r="G176" s="182"/>
      <c r="H176" s="174"/>
      <c r="I176" s="183"/>
      <c r="J176" s="174"/>
      <c r="K176" s="183"/>
    </row>
    <row r="177" spans="2:11" x14ac:dyDescent="0.25">
      <c r="B177" s="175">
        <f t="shared" si="2"/>
        <v>0</v>
      </c>
      <c r="C177" s="181"/>
      <c r="D177" s="198"/>
      <c r="E177" s="181"/>
      <c r="F177" s="174"/>
      <c r="G177" s="182"/>
      <c r="H177" s="174"/>
      <c r="I177" s="183"/>
      <c r="J177" s="174"/>
      <c r="K177" s="183"/>
    </row>
    <row r="178" spans="2:11" x14ac:dyDescent="0.25">
      <c r="B178" s="175">
        <f t="shared" si="2"/>
        <v>0</v>
      </c>
      <c r="C178" s="181"/>
      <c r="D178" s="198"/>
      <c r="E178" s="181"/>
      <c r="F178" s="174"/>
      <c r="G178" s="182"/>
      <c r="H178" s="174"/>
      <c r="I178" s="183"/>
      <c r="J178" s="174"/>
      <c r="K178" s="183"/>
    </row>
    <row r="179" spans="2:11" x14ac:dyDescent="0.25">
      <c r="B179" s="175">
        <f t="shared" si="2"/>
        <v>0</v>
      </c>
      <c r="C179" s="181"/>
      <c r="D179" s="198"/>
      <c r="E179" s="181"/>
      <c r="F179" s="174"/>
      <c r="G179" s="182"/>
      <c r="H179" s="174"/>
      <c r="I179" s="183"/>
      <c r="J179" s="174"/>
      <c r="K179" s="183"/>
    </row>
    <row r="180" spans="2:11" x14ac:dyDescent="0.25">
      <c r="B180" s="175">
        <f t="shared" si="2"/>
        <v>0</v>
      </c>
      <c r="C180" s="181"/>
      <c r="D180" s="198"/>
      <c r="E180" s="181"/>
      <c r="F180" s="174"/>
      <c r="G180" s="182"/>
      <c r="H180" s="174"/>
      <c r="I180" s="183"/>
      <c r="J180" s="174"/>
      <c r="K180" s="183"/>
    </row>
    <row r="181" spans="2:11" x14ac:dyDescent="0.25">
      <c r="B181" s="175">
        <f t="shared" si="2"/>
        <v>0</v>
      </c>
      <c r="C181" s="181"/>
      <c r="D181" s="198"/>
      <c r="E181" s="181"/>
      <c r="F181" s="174"/>
      <c r="G181" s="182"/>
      <c r="H181" s="174"/>
      <c r="I181" s="183"/>
      <c r="J181" s="174"/>
      <c r="K181" s="183"/>
    </row>
    <row r="182" spans="2:11" x14ac:dyDescent="0.25">
      <c r="B182" s="175">
        <f t="shared" si="2"/>
        <v>0</v>
      </c>
      <c r="C182" s="181"/>
      <c r="D182" s="198"/>
      <c r="E182" s="181"/>
      <c r="F182" s="174"/>
      <c r="G182" s="182"/>
      <c r="H182" s="174"/>
      <c r="I182" s="183"/>
      <c r="J182" s="174"/>
      <c r="K182" s="183"/>
    </row>
    <row r="183" spans="2:11" x14ac:dyDescent="0.25">
      <c r="B183" s="175">
        <f t="shared" si="2"/>
        <v>0</v>
      </c>
      <c r="C183" s="181"/>
      <c r="D183" s="198"/>
      <c r="E183" s="181"/>
      <c r="F183" s="174"/>
      <c r="G183" s="182"/>
      <c r="H183" s="174"/>
      <c r="I183" s="183"/>
      <c r="J183" s="174"/>
      <c r="K183" s="183"/>
    </row>
    <row r="184" spans="2:11" x14ac:dyDescent="0.25">
      <c r="B184" s="175">
        <f t="shared" si="2"/>
        <v>0</v>
      </c>
      <c r="C184" s="181"/>
      <c r="D184" s="198"/>
      <c r="E184" s="181"/>
      <c r="F184" s="174"/>
      <c r="G184" s="182"/>
      <c r="H184" s="174"/>
      <c r="I184" s="183"/>
      <c r="J184" s="174"/>
      <c r="K184" s="183"/>
    </row>
    <row r="185" spans="2:11" x14ac:dyDescent="0.25">
      <c r="B185" s="175">
        <f t="shared" si="2"/>
        <v>0</v>
      </c>
      <c r="C185" s="181"/>
      <c r="D185" s="198"/>
      <c r="E185" s="181"/>
      <c r="F185" s="174"/>
      <c r="G185" s="182"/>
      <c r="H185" s="174"/>
      <c r="I185" s="183"/>
      <c r="J185" s="174"/>
      <c r="K185" s="183"/>
    </row>
    <row r="186" spans="2:11" x14ac:dyDescent="0.25">
      <c r="B186" s="175">
        <f t="shared" si="2"/>
        <v>0</v>
      </c>
      <c r="C186" s="181"/>
      <c r="D186" s="198"/>
      <c r="E186" s="181"/>
      <c r="F186" s="174"/>
      <c r="G186" s="182"/>
      <c r="H186" s="174"/>
      <c r="I186" s="183"/>
      <c r="J186" s="174"/>
      <c r="K186" s="183"/>
    </row>
    <row r="187" spans="2:11" x14ac:dyDescent="0.25">
      <c r="B187" s="175">
        <f t="shared" si="2"/>
        <v>0</v>
      </c>
      <c r="C187" s="181"/>
      <c r="D187" s="198"/>
      <c r="E187" s="181"/>
      <c r="F187" s="174"/>
      <c r="G187" s="182"/>
      <c r="H187" s="174"/>
      <c r="I187" s="183"/>
      <c r="J187" s="174"/>
      <c r="K187" s="183"/>
    </row>
    <row r="188" spans="2:11" x14ac:dyDescent="0.25">
      <c r="B188" s="175">
        <f t="shared" si="2"/>
        <v>0</v>
      </c>
      <c r="C188" s="181"/>
      <c r="D188" s="198"/>
      <c r="E188" s="181"/>
      <c r="F188" s="174"/>
      <c r="G188" s="182"/>
      <c r="H188" s="174"/>
      <c r="I188" s="183"/>
      <c r="J188" s="174"/>
      <c r="K188" s="183"/>
    </row>
    <row r="189" spans="2:11" x14ac:dyDescent="0.25">
      <c r="B189" s="175">
        <f t="shared" si="2"/>
        <v>0</v>
      </c>
      <c r="C189" s="181"/>
      <c r="D189" s="198"/>
      <c r="E189" s="181"/>
      <c r="F189" s="174"/>
      <c r="G189" s="182"/>
      <c r="H189" s="174"/>
      <c r="I189" s="183"/>
      <c r="J189" s="174"/>
      <c r="K189" s="183"/>
    </row>
    <row r="190" spans="2:11" x14ac:dyDescent="0.25">
      <c r="B190" s="175">
        <f t="shared" si="2"/>
        <v>0</v>
      </c>
      <c r="C190" s="181"/>
      <c r="D190" s="198"/>
      <c r="E190" s="181"/>
      <c r="F190" s="174"/>
      <c r="G190" s="182"/>
      <c r="H190" s="174"/>
      <c r="I190" s="183"/>
      <c r="J190" s="174"/>
      <c r="K190" s="183"/>
    </row>
    <row r="191" spans="2:11" x14ac:dyDescent="0.25">
      <c r="B191" s="175">
        <f t="shared" si="2"/>
        <v>0</v>
      </c>
      <c r="C191" s="181"/>
      <c r="D191" s="198"/>
      <c r="E191" s="181"/>
      <c r="F191" s="174"/>
      <c r="G191" s="182"/>
      <c r="H191" s="174"/>
      <c r="I191" s="183"/>
      <c r="J191" s="174"/>
      <c r="K191" s="183"/>
    </row>
    <row r="192" spans="2:11" x14ac:dyDescent="0.25">
      <c r="B192" s="175">
        <f t="shared" si="2"/>
        <v>0</v>
      </c>
      <c r="C192" s="181"/>
      <c r="D192" s="198"/>
      <c r="E192" s="181"/>
      <c r="F192" s="174"/>
      <c r="G192" s="182"/>
      <c r="H192" s="174"/>
      <c r="I192" s="183"/>
      <c r="J192" s="174"/>
      <c r="K192" s="183"/>
    </row>
    <row r="193" spans="2:11" x14ac:dyDescent="0.25">
      <c r="B193" s="175">
        <f t="shared" si="2"/>
        <v>0</v>
      </c>
      <c r="C193" s="181"/>
      <c r="D193" s="198"/>
      <c r="E193" s="181"/>
      <c r="F193" s="174"/>
      <c r="G193" s="182"/>
      <c r="H193" s="174"/>
      <c r="I193" s="183"/>
      <c r="J193" s="174"/>
      <c r="K193" s="183"/>
    </row>
    <row r="194" spans="2:11" x14ac:dyDescent="0.25">
      <c r="B194" s="175">
        <f t="shared" si="2"/>
        <v>0</v>
      </c>
      <c r="C194" s="181"/>
      <c r="D194" s="198"/>
      <c r="E194" s="181"/>
      <c r="F194" s="174"/>
      <c r="G194" s="182"/>
      <c r="H194" s="174"/>
      <c r="I194" s="183"/>
      <c r="J194" s="174"/>
      <c r="K194" s="183"/>
    </row>
    <row r="195" spans="2:11" x14ac:dyDescent="0.25">
      <c r="B195" s="175">
        <f t="shared" si="2"/>
        <v>0</v>
      </c>
      <c r="C195" s="181"/>
      <c r="D195" s="198"/>
      <c r="E195" s="181"/>
      <c r="F195" s="174"/>
      <c r="G195" s="182"/>
      <c r="H195" s="174"/>
      <c r="I195" s="183"/>
      <c r="J195" s="174"/>
      <c r="K195" s="183"/>
    </row>
    <row r="196" spans="2:11" x14ac:dyDescent="0.25">
      <c r="B196" s="175">
        <f t="shared" si="2"/>
        <v>0</v>
      </c>
      <c r="C196" s="181"/>
      <c r="D196" s="198"/>
      <c r="E196" s="181"/>
      <c r="F196" s="174"/>
      <c r="G196" s="182"/>
      <c r="H196" s="174"/>
      <c r="I196" s="183"/>
      <c r="J196" s="174"/>
      <c r="K196" s="183"/>
    </row>
    <row r="197" spans="2:11" x14ac:dyDescent="0.25">
      <c r="B197" s="175">
        <f t="shared" si="2"/>
        <v>0</v>
      </c>
      <c r="C197" s="181"/>
      <c r="D197" s="198"/>
      <c r="E197" s="181"/>
      <c r="F197" s="174"/>
      <c r="G197" s="182"/>
      <c r="H197" s="174"/>
      <c r="I197" s="183"/>
      <c r="J197" s="174"/>
      <c r="K197" s="183"/>
    </row>
    <row r="198" spans="2:11" x14ac:dyDescent="0.25">
      <c r="B198" s="175">
        <f t="shared" si="2"/>
        <v>0</v>
      </c>
      <c r="C198" s="181"/>
      <c r="D198" s="198"/>
      <c r="E198" s="181"/>
      <c r="F198" s="174"/>
      <c r="G198" s="182"/>
      <c r="H198" s="174"/>
      <c r="I198" s="183"/>
      <c r="J198" s="174"/>
      <c r="K198" s="183"/>
    </row>
    <row r="199" spans="2:11" x14ac:dyDescent="0.25">
      <c r="B199" s="175">
        <f t="shared" si="2"/>
        <v>0</v>
      </c>
      <c r="C199" s="181"/>
      <c r="D199" s="198"/>
      <c r="E199" s="181"/>
      <c r="F199" s="174"/>
      <c r="G199" s="182"/>
      <c r="H199" s="174"/>
      <c r="I199" s="183"/>
      <c r="J199" s="174"/>
      <c r="K199" s="183"/>
    </row>
    <row r="200" spans="2:11" x14ac:dyDescent="0.25">
      <c r="B200" s="175">
        <f t="shared" ref="B200:B226" si="3">IF(NOT(ISBLANK(C200)),(C200-C199),0)</f>
        <v>0</v>
      </c>
      <c r="C200" s="181"/>
      <c r="D200" s="198"/>
      <c r="E200" s="181"/>
      <c r="F200" s="174"/>
      <c r="G200" s="182"/>
      <c r="H200" s="174"/>
      <c r="I200" s="183"/>
      <c r="J200" s="174"/>
      <c r="K200" s="183"/>
    </row>
    <row r="201" spans="2:11" x14ac:dyDescent="0.25">
      <c r="B201" s="175">
        <f t="shared" si="3"/>
        <v>0</v>
      </c>
      <c r="C201" s="181"/>
      <c r="D201" s="198"/>
      <c r="E201" s="181"/>
      <c r="F201" s="174"/>
      <c r="G201" s="182"/>
      <c r="H201" s="174"/>
      <c r="I201" s="183"/>
      <c r="J201" s="174"/>
      <c r="K201" s="183"/>
    </row>
    <row r="202" spans="2:11" x14ac:dyDescent="0.25">
      <c r="B202" s="175">
        <f t="shared" si="3"/>
        <v>0</v>
      </c>
      <c r="C202" s="181"/>
      <c r="D202" s="198"/>
      <c r="E202" s="181"/>
      <c r="F202" s="174"/>
      <c r="G202" s="182"/>
      <c r="H202" s="174"/>
      <c r="I202" s="183"/>
      <c r="J202" s="174"/>
      <c r="K202" s="183"/>
    </row>
    <row r="203" spans="2:11" x14ac:dyDescent="0.25">
      <c r="B203" s="175">
        <f t="shared" si="3"/>
        <v>0</v>
      </c>
      <c r="C203" s="181"/>
      <c r="D203" s="198"/>
      <c r="E203" s="181"/>
      <c r="F203" s="174"/>
      <c r="G203" s="182"/>
      <c r="H203" s="174"/>
      <c r="I203" s="183"/>
      <c r="J203" s="174"/>
      <c r="K203" s="183"/>
    </row>
    <row r="204" spans="2:11" x14ac:dyDescent="0.25">
      <c r="B204" s="175">
        <f t="shared" si="3"/>
        <v>0</v>
      </c>
      <c r="C204" s="181"/>
      <c r="D204" s="198"/>
      <c r="E204" s="181"/>
      <c r="F204" s="174"/>
      <c r="G204" s="182"/>
      <c r="H204" s="174"/>
      <c r="I204" s="183"/>
      <c r="J204" s="174"/>
      <c r="K204" s="183"/>
    </row>
    <row r="205" spans="2:11" x14ac:dyDescent="0.25">
      <c r="B205" s="175">
        <f t="shared" si="3"/>
        <v>0</v>
      </c>
      <c r="C205" s="181"/>
      <c r="D205" s="198"/>
      <c r="E205" s="181"/>
      <c r="F205" s="174"/>
      <c r="G205" s="182"/>
      <c r="H205" s="174"/>
      <c r="I205" s="183"/>
      <c r="J205" s="174"/>
      <c r="K205" s="183"/>
    </row>
    <row r="206" spans="2:11" x14ac:dyDescent="0.25">
      <c r="B206" s="175">
        <f t="shared" si="3"/>
        <v>0</v>
      </c>
      <c r="C206" s="181"/>
      <c r="D206" s="198"/>
      <c r="E206" s="181"/>
      <c r="F206" s="174"/>
      <c r="G206" s="182"/>
      <c r="H206" s="174"/>
      <c r="I206" s="183"/>
      <c r="J206" s="174"/>
      <c r="K206" s="183"/>
    </row>
    <row r="207" spans="2:11" x14ac:dyDescent="0.25">
      <c r="B207" s="175">
        <f t="shared" si="3"/>
        <v>0</v>
      </c>
      <c r="C207" s="181"/>
      <c r="D207" s="198"/>
      <c r="E207" s="181"/>
      <c r="F207" s="174"/>
      <c r="G207" s="182"/>
      <c r="H207" s="174"/>
      <c r="I207" s="183"/>
      <c r="J207" s="174"/>
      <c r="K207" s="183"/>
    </row>
    <row r="208" spans="2:11" x14ac:dyDescent="0.25">
      <c r="B208" s="175">
        <f t="shared" si="3"/>
        <v>0</v>
      </c>
      <c r="C208" s="181"/>
      <c r="D208" s="198"/>
      <c r="E208" s="181"/>
      <c r="F208" s="174"/>
      <c r="G208" s="182"/>
      <c r="H208" s="174"/>
      <c r="I208" s="183"/>
      <c r="J208" s="174"/>
      <c r="K208" s="183"/>
    </row>
    <row r="209" spans="2:11" x14ac:dyDescent="0.25">
      <c r="B209" s="175">
        <f t="shared" si="3"/>
        <v>0</v>
      </c>
      <c r="C209" s="181"/>
      <c r="D209" s="198"/>
      <c r="E209" s="181"/>
      <c r="F209" s="174"/>
      <c r="G209" s="182"/>
      <c r="H209" s="174"/>
      <c r="I209" s="183"/>
      <c r="J209" s="174"/>
      <c r="K209" s="183"/>
    </row>
    <row r="210" spans="2:11" x14ac:dyDescent="0.25">
      <c r="B210" s="175">
        <f t="shared" si="3"/>
        <v>0</v>
      </c>
      <c r="C210" s="181"/>
      <c r="D210" s="198"/>
      <c r="E210" s="181"/>
      <c r="F210" s="174"/>
      <c r="G210" s="182"/>
      <c r="H210" s="174"/>
      <c r="I210" s="183"/>
      <c r="J210" s="174"/>
      <c r="K210" s="183"/>
    </row>
    <row r="211" spans="2:11" x14ac:dyDescent="0.25">
      <c r="B211" s="175">
        <f t="shared" si="3"/>
        <v>0</v>
      </c>
      <c r="C211" s="181"/>
      <c r="D211" s="198"/>
      <c r="E211" s="181"/>
      <c r="F211" s="174"/>
      <c r="G211" s="182"/>
      <c r="H211" s="174"/>
      <c r="I211" s="183"/>
      <c r="J211" s="174"/>
      <c r="K211" s="183"/>
    </row>
    <row r="212" spans="2:11" x14ac:dyDescent="0.25">
      <c r="B212" s="175">
        <f t="shared" si="3"/>
        <v>0</v>
      </c>
      <c r="C212" s="181"/>
      <c r="D212" s="198"/>
      <c r="E212" s="181"/>
      <c r="F212" s="174"/>
      <c r="G212" s="182"/>
      <c r="H212" s="174"/>
      <c r="I212" s="183"/>
      <c r="J212" s="174"/>
      <c r="K212" s="183"/>
    </row>
    <row r="213" spans="2:11" x14ac:dyDescent="0.25">
      <c r="B213" s="175">
        <f t="shared" si="3"/>
        <v>0</v>
      </c>
      <c r="C213" s="181"/>
      <c r="D213" s="198"/>
      <c r="E213" s="181"/>
      <c r="F213" s="174"/>
      <c r="G213" s="182"/>
      <c r="H213" s="174"/>
      <c r="I213" s="183"/>
      <c r="J213" s="174"/>
      <c r="K213" s="183"/>
    </row>
    <row r="214" spans="2:11" x14ac:dyDescent="0.25">
      <c r="B214" s="175">
        <f t="shared" si="3"/>
        <v>0</v>
      </c>
      <c r="C214" s="181"/>
      <c r="D214" s="198"/>
      <c r="E214" s="181"/>
      <c r="F214" s="174"/>
      <c r="G214" s="182"/>
      <c r="H214" s="174"/>
      <c r="I214" s="183"/>
      <c r="J214" s="174"/>
      <c r="K214" s="183"/>
    </row>
    <row r="215" spans="2:11" x14ac:dyDescent="0.25">
      <c r="B215" s="175">
        <f t="shared" si="3"/>
        <v>0</v>
      </c>
      <c r="C215" s="181"/>
      <c r="D215" s="198"/>
      <c r="E215" s="181"/>
      <c r="F215" s="174"/>
      <c r="G215" s="182"/>
      <c r="H215" s="174"/>
      <c r="I215" s="183"/>
      <c r="J215" s="174"/>
      <c r="K215" s="183"/>
    </row>
    <row r="216" spans="2:11" x14ac:dyDescent="0.25">
      <c r="B216" s="175">
        <f t="shared" si="3"/>
        <v>0</v>
      </c>
      <c r="C216" s="181"/>
      <c r="D216" s="198"/>
      <c r="E216" s="181"/>
      <c r="F216" s="174"/>
      <c r="G216" s="182"/>
      <c r="H216" s="174"/>
      <c r="I216" s="183"/>
      <c r="J216" s="174"/>
      <c r="K216" s="183"/>
    </row>
    <row r="217" spans="2:11" x14ac:dyDescent="0.25">
      <c r="B217" s="175">
        <f t="shared" si="3"/>
        <v>0</v>
      </c>
      <c r="C217" s="181"/>
      <c r="D217" s="198"/>
      <c r="E217" s="181"/>
      <c r="F217" s="174"/>
      <c r="G217" s="182"/>
      <c r="H217" s="174"/>
      <c r="I217" s="183"/>
      <c r="J217" s="174"/>
      <c r="K217" s="183"/>
    </row>
    <row r="218" spans="2:11" x14ac:dyDescent="0.25">
      <c r="B218" s="175">
        <f t="shared" si="3"/>
        <v>0</v>
      </c>
      <c r="C218" s="181"/>
      <c r="D218" s="198"/>
      <c r="E218" s="181"/>
      <c r="F218" s="174"/>
      <c r="G218" s="182"/>
      <c r="H218" s="174"/>
      <c r="I218" s="183"/>
      <c r="J218" s="174"/>
      <c r="K218" s="183"/>
    </row>
    <row r="219" spans="2:11" x14ac:dyDescent="0.25">
      <c r="B219" s="175">
        <f t="shared" si="3"/>
        <v>0</v>
      </c>
      <c r="C219" s="181"/>
      <c r="D219" s="198"/>
      <c r="E219" s="181"/>
      <c r="F219" s="174"/>
      <c r="G219" s="182"/>
      <c r="H219" s="174"/>
      <c r="I219" s="183"/>
      <c r="J219" s="174"/>
      <c r="K219" s="183"/>
    </row>
    <row r="220" spans="2:11" x14ac:dyDescent="0.25">
      <c r="B220" s="175">
        <f t="shared" si="3"/>
        <v>0</v>
      </c>
      <c r="C220" s="181"/>
      <c r="D220" s="198"/>
      <c r="E220" s="181"/>
      <c r="F220" s="174"/>
      <c r="G220" s="182"/>
      <c r="H220" s="174"/>
      <c r="I220" s="183"/>
      <c r="J220" s="174"/>
      <c r="K220" s="183"/>
    </row>
    <row r="221" spans="2:11" x14ac:dyDescent="0.25">
      <c r="B221" s="175">
        <f t="shared" si="3"/>
        <v>0</v>
      </c>
      <c r="C221" s="181"/>
      <c r="D221" s="198"/>
      <c r="E221" s="181"/>
      <c r="F221" s="174"/>
      <c r="G221" s="182"/>
      <c r="H221" s="174"/>
      <c r="I221" s="183"/>
      <c r="J221" s="174"/>
      <c r="K221" s="183"/>
    </row>
    <row r="222" spans="2:11" x14ac:dyDescent="0.25">
      <c r="B222" s="175">
        <f t="shared" si="3"/>
        <v>0</v>
      </c>
      <c r="C222" s="181"/>
      <c r="D222" s="198"/>
      <c r="E222" s="181"/>
      <c r="F222" s="174"/>
      <c r="G222" s="182"/>
      <c r="H222" s="174"/>
      <c r="I222" s="183"/>
      <c r="J222" s="174"/>
      <c r="K222" s="183"/>
    </row>
    <row r="223" spans="2:11" x14ac:dyDescent="0.25">
      <c r="B223" s="175">
        <f t="shared" si="3"/>
        <v>0</v>
      </c>
      <c r="C223" s="181"/>
      <c r="D223" s="198"/>
      <c r="E223" s="181"/>
      <c r="F223" s="174"/>
      <c r="G223" s="182"/>
      <c r="H223" s="174"/>
      <c r="I223" s="183"/>
      <c r="J223" s="174"/>
      <c r="K223" s="183"/>
    </row>
    <row r="224" spans="2:11" x14ac:dyDescent="0.25">
      <c r="B224" s="175">
        <f t="shared" si="3"/>
        <v>0</v>
      </c>
      <c r="C224" s="181"/>
      <c r="D224" s="198"/>
      <c r="E224" s="181"/>
      <c r="F224" s="174"/>
      <c r="G224" s="182"/>
      <c r="H224" s="174"/>
      <c r="I224" s="183"/>
      <c r="J224" s="174"/>
      <c r="K224" s="183"/>
    </row>
    <row r="225" spans="2:11" x14ac:dyDescent="0.25">
      <c r="B225" s="175">
        <f t="shared" si="3"/>
        <v>0</v>
      </c>
      <c r="C225" s="181"/>
      <c r="D225" s="198"/>
      <c r="E225" s="181"/>
      <c r="F225" s="174"/>
      <c r="G225" s="182"/>
      <c r="H225" s="174"/>
      <c r="I225" s="183"/>
      <c r="J225" s="174"/>
      <c r="K225" s="183"/>
    </row>
    <row r="226" spans="2:11" x14ac:dyDescent="0.25">
      <c r="B226" s="175">
        <f t="shared" si="3"/>
        <v>0</v>
      </c>
      <c r="C226" s="181"/>
      <c r="D226" s="198"/>
      <c r="E226" s="181"/>
      <c r="F226" s="174"/>
      <c r="G226" s="182"/>
      <c r="H226" s="174"/>
      <c r="I226" s="183"/>
      <c r="J226" s="174"/>
      <c r="K226" s="183"/>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43233</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5"/>
      <c r="B6" s="102"/>
      <c r="C6" s="102"/>
      <c r="D6" s="102"/>
      <c r="E6" s="102"/>
      <c r="F6" s="103"/>
      <c r="G6" s="15"/>
      <c r="H6" s="14">
        <f t="shared" ref="H6:N6" ca="1" si="0">TODAY()+((COLUMN()-$H$4)*$N$3)</f>
        <v>43217</v>
      </c>
      <c r="I6" s="14">
        <f t="shared" ca="1" si="0"/>
        <v>43219</v>
      </c>
      <c r="J6" s="14">
        <f t="shared" ca="1" si="0"/>
        <v>43221</v>
      </c>
      <c r="K6" s="14">
        <f t="shared" ca="1" si="0"/>
        <v>43223</v>
      </c>
      <c r="L6" s="14">
        <f t="shared" ca="1" si="0"/>
        <v>43225</v>
      </c>
      <c r="M6" s="14">
        <f t="shared" ca="1" si="0"/>
        <v>43227</v>
      </c>
      <c r="N6" s="14">
        <f t="shared" ca="1" si="0"/>
        <v>43229</v>
      </c>
      <c r="O6" s="14">
        <f t="shared" ref="O6:BZ6" ca="1" si="1">TODAY()+((COLUMN()-$H$4)*$N$3)</f>
        <v>43231</v>
      </c>
      <c r="P6" s="14">
        <f t="shared" ca="1" si="1"/>
        <v>43233</v>
      </c>
      <c r="Q6" s="14">
        <f t="shared" ca="1" si="1"/>
        <v>43235</v>
      </c>
      <c r="R6" s="14">
        <f t="shared" ca="1" si="1"/>
        <v>43237</v>
      </c>
      <c r="S6" s="14">
        <f t="shared" ca="1" si="1"/>
        <v>43239</v>
      </c>
      <c r="T6" s="14">
        <f ca="1">TODAY()+((COLUMN()-$H$4)*$N$3)</f>
        <v>43241</v>
      </c>
      <c r="U6" s="14">
        <f t="shared" ca="1" si="1"/>
        <v>43243</v>
      </c>
      <c r="V6" s="14">
        <f t="shared" ca="1" si="1"/>
        <v>43245</v>
      </c>
      <c r="W6" s="14">
        <f t="shared" ca="1" si="1"/>
        <v>43247</v>
      </c>
      <c r="X6" s="14">
        <f t="shared" ca="1" si="1"/>
        <v>43249</v>
      </c>
      <c r="Y6" s="14">
        <f t="shared" ca="1" si="1"/>
        <v>43251</v>
      </c>
      <c r="Z6" s="14">
        <f t="shared" ca="1" si="1"/>
        <v>43253</v>
      </c>
      <c r="AA6" s="14">
        <f t="shared" ca="1" si="1"/>
        <v>43255</v>
      </c>
      <c r="AB6" s="14">
        <f t="shared" ca="1" si="1"/>
        <v>43257</v>
      </c>
      <c r="AC6" s="14">
        <f t="shared" ca="1" si="1"/>
        <v>43259</v>
      </c>
      <c r="AD6" s="14">
        <f t="shared" ca="1" si="1"/>
        <v>43261</v>
      </c>
      <c r="AE6" s="14">
        <f t="shared" ca="1" si="1"/>
        <v>43263</v>
      </c>
      <c r="AF6" s="14">
        <f t="shared" ca="1" si="1"/>
        <v>43265</v>
      </c>
      <c r="AG6" s="14">
        <f t="shared" ca="1" si="1"/>
        <v>43267</v>
      </c>
      <c r="AH6" s="14">
        <f t="shared" ca="1" si="1"/>
        <v>43269</v>
      </c>
      <c r="AI6" s="14">
        <f t="shared" ca="1" si="1"/>
        <v>43271</v>
      </c>
      <c r="AJ6" s="14">
        <f t="shared" ca="1" si="1"/>
        <v>43273</v>
      </c>
      <c r="AK6" s="14">
        <f t="shared" ca="1" si="1"/>
        <v>43275</v>
      </c>
      <c r="AL6" s="14">
        <f t="shared" ca="1" si="1"/>
        <v>43277</v>
      </c>
      <c r="AM6" s="14">
        <f t="shared" ca="1" si="1"/>
        <v>43279</v>
      </c>
      <c r="AN6" s="14">
        <f t="shared" ca="1" si="1"/>
        <v>43281</v>
      </c>
      <c r="AO6" s="14">
        <f t="shared" ca="1" si="1"/>
        <v>43283</v>
      </c>
      <c r="AP6" s="14">
        <f t="shared" ca="1" si="1"/>
        <v>43285</v>
      </c>
      <c r="AQ6" s="14">
        <f t="shared" ca="1" si="1"/>
        <v>43287</v>
      </c>
      <c r="AR6" s="14">
        <f t="shared" ca="1" si="1"/>
        <v>43289</v>
      </c>
      <c r="AS6" s="14">
        <f t="shared" ca="1" si="1"/>
        <v>43291</v>
      </c>
      <c r="AT6" s="14">
        <f t="shared" ca="1" si="1"/>
        <v>43293</v>
      </c>
      <c r="AU6" s="14">
        <f t="shared" ca="1" si="1"/>
        <v>43295</v>
      </c>
      <c r="AV6" s="14">
        <f t="shared" ca="1" si="1"/>
        <v>43297</v>
      </c>
      <c r="AW6" s="14">
        <f t="shared" ca="1" si="1"/>
        <v>43299</v>
      </c>
      <c r="AX6" s="14">
        <f t="shared" ca="1" si="1"/>
        <v>43301</v>
      </c>
      <c r="AY6" s="14">
        <f t="shared" ca="1" si="1"/>
        <v>43303</v>
      </c>
      <c r="AZ6" s="14">
        <f t="shared" ca="1" si="1"/>
        <v>43305</v>
      </c>
      <c r="BA6" s="14">
        <f t="shared" ca="1" si="1"/>
        <v>43307</v>
      </c>
      <c r="BB6" s="14">
        <f t="shared" ca="1" si="1"/>
        <v>43309</v>
      </c>
      <c r="BC6" s="14">
        <f t="shared" ca="1" si="1"/>
        <v>43311</v>
      </c>
      <c r="BD6" s="14">
        <f t="shared" ca="1" si="1"/>
        <v>43313</v>
      </c>
      <c r="BE6" s="14">
        <f t="shared" ca="1" si="1"/>
        <v>43315</v>
      </c>
      <c r="BF6" s="14">
        <f t="shared" ca="1" si="1"/>
        <v>43317</v>
      </c>
      <c r="BG6" s="14">
        <f t="shared" ca="1" si="1"/>
        <v>43319</v>
      </c>
      <c r="BH6" s="14">
        <f t="shared" ca="1" si="1"/>
        <v>43321</v>
      </c>
      <c r="BI6" s="14">
        <f t="shared" ca="1" si="1"/>
        <v>43323</v>
      </c>
      <c r="BJ6" s="14">
        <f t="shared" ca="1" si="1"/>
        <v>43325</v>
      </c>
      <c r="BK6" s="14">
        <f t="shared" ca="1" si="1"/>
        <v>43327</v>
      </c>
      <c r="BL6" s="14">
        <f t="shared" ca="1" si="1"/>
        <v>43329</v>
      </c>
      <c r="BM6" s="14">
        <f t="shared" ca="1" si="1"/>
        <v>43331</v>
      </c>
      <c r="BN6" s="14">
        <f t="shared" ca="1" si="1"/>
        <v>43333</v>
      </c>
      <c r="BO6" s="14">
        <f t="shared" ca="1" si="1"/>
        <v>43335</v>
      </c>
      <c r="BP6" s="14">
        <f t="shared" ca="1" si="1"/>
        <v>43337</v>
      </c>
      <c r="BQ6" s="14">
        <f t="shared" ca="1" si="1"/>
        <v>43339</v>
      </c>
      <c r="BR6" s="14">
        <f t="shared" ca="1" si="1"/>
        <v>43341</v>
      </c>
      <c r="BS6" s="14">
        <f t="shared" ca="1" si="1"/>
        <v>43343</v>
      </c>
      <c r="BT6" s="14">
        <f t="shared" ca="1" si="1"/>
        <v>43345</v>
      </c>
      <c r="BU6" s="14">
        <f t="shared" ca="1" si="1"/>
        <v>43347</v>
      </c>
      <c r="BV6" s="14">
        <f t="shared" ca="1" si="1"/>
        <v>43349</v>
      </c>
      <c r="BW6" s="14">
        <f t="shared" ca="1" si="1"/>
        <v>43351</v>
      </c>
      <c r="BX6" s="14">
        <f t="shared" ca="1" si="1"/>
        <v>43353</v>
      </c>
      <c r="BY6" s="14">
        <f t="shared" ca="1" si="1"/>
        <v>43355</v>
      </c>
      <c r="BZ6" s="14">
        <f t="shared" ca="1" si="1"/>
        <v>43357</v>
      </c>
      <c r="CA6" s="14">
        <f t="shared" ref="CA6:EL6" ca="1" si="2">TODAY()+((COLUMN()-$H$4)*$N$3)</f>
        <v>43359</v>
      </c>
      <c r="CB6" s="14">
        <f t="shared" ca="1" si="2"/>
        <v>43361</v>
      </c>
      <c r="CC6" s="14">
        <f t="shared" ca="1" si="2"/>
        <v>43363</v>
      </c>
      <c r="CD6" s="14">
        <f t="shared" ca="1" si="2"/>
        <v>43365</v>
      </c>
      <c r="CE6" s="14">
        <f t="shared" ca="1" si="2"/>
        <v>43367</v>
      </c>
      <c r="CF6" s="14">
        <f t="shared" ca="1" si="2"/>
        <v>43369</v>
      </c>
      <c r="CG6" s="14">
        <f t="shared" ca="1" si="2"/>
        <v>43371</v>
      </c>
      <c r="CH6" s="14">
        <f t="shared" ca="1" si="2"/>
        <v>43373</v>
      </c>
      <c r="CI6" s="14">
        <f t="shared" ca="1" si="2"/>
        <v>43375</v>
      </c>
      <c r="CJ6" s="14">
        <f t="shared" ca="1" si="2"/>
        <v>43377</v>
      </c>
      <c r="CK6" s="14">
        <f t="shared" ca="1" si="2"/>
        <v>43379</v>
      </c>
      <c r="CL6" s="14">
        <f t="shared" ca="1" si="2"/>
        <v>43381</v>
      </c>
      <c r="CM6" s="14">
        <f t="shared" ca="1" si="2"/>
        <v>43383</v>
      </c>
      <c r="CN6" s="14">
        <f t="shared" ca="1" si="2"/>
        <v>43385</v>
      </c>
      <c r="CO6" s="14">
        <f t="shared" ca="1" si="2"/>
        <v>43387</v>
      </c>
      <c r="CP6" s="14">
        <f t="shared" ca="1" si="2"/>
        <v>43389</v>
      </c>
      <c r="CQ6" s="14">
        <f t="shared" ca="1" si="2"/>
        <v>43391</v>
      </c>
      <c r="CR6" s="14">
        <f t="shared" ca="1" si="2"/>
        <v>43393</v>
      </c>
      <c r="CS6" s="14">
        <f t="shared" ca="1" si="2"/>
        <v>43395</v>
      </c>
      <c r="CT6" s="14">
        <f t="shared" ca="1" si="2"/>
        <v>43397</v>
      </c>
      <c r="CU6" s="14">
        <f t="shared" ca="1" si="2"/>
        <v>43399</v>
      </c>
      <c r="CV6" s="14">
        <f t="shared" ca="1" si="2"/>
        <v>43401</v>
      </c>
      <c r="CW6" s="14">
        <f t="shared" ca="1" si="2"/>
        <v>43403</v>
      </c>
      <c r="CX6" s="14">
        <f t="shared" ca="1" si="2"/>
        <v>43405</v>
      </c>
      <c r="CY6" s="14">
        <f t="shared" ca="1" si="2"/>
        <v>43407</v>
      </c>
      <c r="CZ6" s="14">
        <f t="shared" ca="1" si="2"/>
        <v>43409</v>
      </c>
      <c r="DA6" s="14">
        <f t="shared" ca="1" si="2"/>
        <v>43411</v>
      </c>
      <c r="DB6" s="14">
        <f t="shared" ca="1" si="2"/>
        <v>43413</v>
      </c>
      <c r="DC6" s="14">
        <f t="shared" ca="1" si="2"/>
        <v>43415</v>
      </c>
      <c r="DD6" s="14">
        <f t="shared" ca="1" si="2"/>
        <v>43417</v>
      </c>
      <c r="DE6" s="14">
        <f t="shared" ca="1" si="2"/>
        <v>43419</v>
      </c>
      <c r="DF6" s="14">
        <f t="shared" ca="1" si="2"/>
        <v>43421</v>
      </c>
      <c r="DG6" s="14">
        <f t="shared" ca="1" si="2"/>
        <v>43423</v>
      </c>
      <c r="DH6" s="14">
        <f t="shared" ca="1" si="2"/>
        <v>43425</v>
      </c>
      <c r="DI6" s="14">
        <f t="shared" ca="1" si="2"/>
        <v>43427</v>
      </c>
      <c r="DJ6" s="14">
        <f t="shared" ca="1" si="2"/>
        <v>43429</v>
      </c>
      <c r="DK6" s="14">
        <f t="shared" ca="1" si="2"/>
        <v>43431</v>
      </c>
      <c r="DL6" s="14">
        <f t="shared" ca="1" si="2"/>
        <v>43433</v>
      </c>
      <c r="DM6" s="14">
        <f t="shared" ca="1" si="2"/>
        <v>43435</v>
      </c>
      <c r="DN6" s="14">
        <f t="shared" ca="1" si="2"/>
        <v>43437</v>
      </c>
      <c r="DO6" s="14">
        <f t="shared" ca="1" si="2"/>
        <v>43439</v>
      </c>
      <c r="DP6" s="14">
        <f t="shared" ca="1" si="2"/>
        <v>43441</v>
      </c>
      <c r="DQ6" s="14">
        <f t="shared" ca="1" si="2"/>
        <v>43443</v>
      </c>
      <c r="DR6" s="14">
        <f t="shared" ca="1" si="2"/>
        <v>43445</v>
      </c>
      <c r="DS6" s="14">
        <f t="shared" ca="1" si="2"/>
        <v>43447</v>
      </c>
      <c r="DT6" s="14">
        <f t="shared" ca="1" si="2"/>
        <v>43449</v>
      </c>
      <c r="DU6" s="14">
        <f t="shared" ca="1" si="2"/>
        <v>43451</v>
      </c>
      <c r="DV6" s="14">
        <f t="shared" ca="1" si="2"/>
        <v>43453</v>
      </c>
      <c r="DW6" s="14">
        <f t="shared" ca="1" si="2"/>
        <v>43455</v>
      </c>
      <c r="DX6" s="14">
        <f t="shared" ca="1" si="2"/>
        <v>43457</v>
      </c>
      <c r="DY6" s="14">
        <f t="shared" ca="1" si="2"/>
        <v>43459</v>
      </c>
      <c r="DZ6" s="14">
        <f t="shared" ca="1" si="2"/>
        <v>43461</v>
      </c>
      <c r="EA6" s="14">
        <f t="shared" ca="1" si="2"/>
        <v>43463</v>
      </c>
      <c r="EB6" s="14">
        <f t="shared" ca="1" si="2"/>
        <v>43465</v>
      </c>
      <c r="EC6" s="14">
        <f t="shared" ca="1" si="2"/>
        <v>43467</v>
      </c>
      <c r="ED6" s="14">
        <f t="shared" ca="1" si="2"/>
        <v>43469</v>
      </c>
      <c r="EE6" s="14">
        <f t="shared" ca="1" si="2"/>
        <v>43471</v>
      </c>
      <c r="EF6" s="14">
        <f t="shared" ca="1" si="2"/>
        <v>43473</v>
      </c>
      <c r="EG6" s="14">
        <f t="shared" ca="1" si="2"/>
        <v>43475</v>
      </c>
      <c r="EH6" s="14">
        <f t="shared" ca="1" si="2"/>
        <v>43477</v>
      </c>
      <c r="EI6" s="14">
        <f t="shared" ca="1" si="2"/>
        <v>43479</v>
      </c>
      <c r="EJ6" s="14">
        <f t="shared" ca="1" si="2"/>
        <v>43481</v>
      </c>
      <c r="EK6" s="14">
        <f t="shared" ca="1" si="2"/>
        <v>43483</v>
      </c>
      <c r="EL6" s="14">
        <f t="shared" ca="1" si="2"/>
        <v>43485</v>
      </c>
      <c r="EM6" s="14">
        <f t="shared" ref="EM6:GX6" ca="1" si="3">TODAY()+((COLUMN()-$H$4)*$N$3)</f>
        <v>43487</v>
      </c>
      <c r="EN6" s="14">
        <f t="shared" ca="1" si="3"/>
        <v>43489</v>
      </c>
      <c r="EO6" s="14">
        <f t="shared" ca="1" si="3"/>
        <v>43491</v>
      </c>
      <c r="EP6" s="14">
        <f t="shared" ca="1" si="3"/>
        <v>43493</v>
      </c>
      <c r="EQ6" s="14">
        <f t="shared" ca="1" si="3"/>
        <v>43495</v>
      </c>
      <c r="ER6" s="14">
        <f t="shared" ca="1" si="3"/>
        <v>43497</v>
      </c>
      <c r="ES6" s="14">
        <f t="shared" ca="1" si="3"/>
        <v>43499</v>
      </c>
      <c r="ET6" s="14">
        <f t="shared" ca="1" si="3"/>
        <v>43501</v>
      </c>
      <c r="EU6" s="14">
        <f t="shared" ca="1" si="3"/>
        <v>43503</v>
      </c>
      <c r="EV6" s="14">
        <f t="shared" ca="1" si="3"/>
        <v>43505</v>
      </c>
      <c r="EW6" s="14">
        <f t="shared" ca="1" si="3"/>
        <v>43507</v>
      </c>
      <c r="EX6" s="14">
        <f t="shared" ca="1" si="3"/>
        <v>43509</v>
      </c>
      <c r="EY6" s="14">
        <f t="shared" ca="1" si="3"/>
        <v>43511</v>
      </c>
      <c r="EZ6" s="14">
        <f t="shared" ca="1" si="3"/>
        <v>43513</v>
      </c>
      <c r="FA6" s="14">
        <f t="shared" ca="1" si="3"/>
        <v>43515</v>
      </c>
      <c r="FB6" s="14">
        <f t="shared" ca="1" si="3"/>
        <v>43517</v>
      </c>
      <c r="FC6" s="14">
        <f t="shared" ca="1" si="3"/>
        <v>43519</v>
      </c>
      <c r="FD6" s="14">
        <f t="shared" ca="1" si="3"/>
        <v>43521</v>
      </c>
      <c r="FE6" s="14">
        <f t="shared" ca="1" si="3"/>
        <v>43523</v>
      </c>
      <c r="FF6" s="14">
        <f t="shared" ca="1" si="3"/>
        <v>43525</v>
      </c>
      <c r="FG6" s="14">
        <f t="shared" ca="1" si="3"/>
        <v>43527</v>
      </c>
      <c r="FH6" s="14">
        <f t="shared" ca="1" si="3"/>
        <v>43529</v>
      </c>
      <c r="FI6" s="14">
        <f t="shared" ca="1" si="3"/>
        <v>43531</v>
      </c>
      <c r="FJ6" s="14">
        <f t="shared" ca="1" si="3"/>
        <v>43533</v>
      </c>
      <c r="FK6" s="14">
        <f t="shared" ca="1" si="3"/>
        <v>43535</v>
      </c>
      <c r="FL6" s="14">
        <f t="shared" ca="1" si="3"/>
        <v>43537</v>
      </c>
      <c r="FM6" s="14">
        <f t="shared" ca="1" si="3"/>
        <v>43539</v>
      </c>
      <c r="FN6" s="14">
        <f t="shared" ca="1" si="3"/>
        <v>43541</v>
      </c>
      <c r="FO6" s="14">
        <f t="shared" ca="1" si="3"/>
        <v>43543</v>
      </c>
      <c r="FP6" s="14">
        <f t="shared" ca="1" si="3"/>
        <v>43545</v>
      </c>
      <c r="FQ6" s="14">
        <f t="shared" ca="1" si="3"/>
        <v>43547</v>
      </c>
      <c r="FR6" s="14">
        <f t="shared" ca="1" si="3"/>
        <v>43549</v>
      </c>
      <c r="FS6" s="14">
        <f t="shared" ca="1" si="3"/>
        <v>43551</v>
      </c>
      <c r="FT6" s="14">
        <f t="shared" ca="1" si="3"/>
        <v>43553</v>
      </c>
      <c r="FU6" s="14">
        <f t="shared" ca="1" si="3"/>
        <v>43555</v>
      </c>
      <c r="FV6" s="14">
        <f t="shared" ca="1" si="3"/>
        <v>43557</v>
      </c>
      <c r="FW6" s="14">
        <f t="shared" ca="1" si="3"/>
        <v>43559</v>
      </c>
      <c r="FX6" s="14">
        <f t="shared" ca="1" si="3"/>
        <v>43561</v>
      </c>
      <c r="FY6" s="14">
        <f t="shared" ca="1" si="3"/>
        <v>43563</v>
      </c>
      <c r="FZ6" s="14">
        <f t="shared" ca="1" si="3"/>
        <v>43565</v>
      </c>
      <c r="GA6" s="14">
        <f t="shared" ca="1" si="3"/>
        <v>43567</v>
      </c>
      <c r="GB6" s="14">
        <f t="shared" ca="1" si="3"/>
        <v>43569</v>
      </c>
      <c r="GC6" s="14">
        <f t="shared" ca="1" si="3"/>
        <v>43571</v>
      </c>
      <c r="GD6" s="14">
        <f t="shared" ca="1" si="3"/>
        <v>43573</v>
      </c>
      <c r="GE6" s="14">
        <f t="shared" ca="1" si="3"/>
        <v>43575</v>
      </c>
      <c r="GF6" s="14">
        <f t="shared" ca="1" si="3"/>
        <v>43577</v>
      </c>
      <c r="GG6" s="14">
        <f t="shared" ca="1" si="3"/>
        <v>43579</v>
      </c>
      <c r="GH6" s="14">
        <f t="shared" ca="1" si="3"/>
        <v>43581</v>
      </c>
      <c r="GI6" s="14">
        <f t="shared" ca="1" si="3"/>
        <v>43583</v>
      </c>
      <c r="GJ6" s="14">
        <f t="shared" ca="1" si="3"/>
        <v>43585</v>
      </c>
      <c r="GK6" s="14">
        <f t="shared" ca="1" si="3"/>
        <v>43587</v>
      </c>
      <c r="GL6" s="14">
        <f t="shared" ca="1" si="3"/>
        <v>43589</v>
      </c>
      <c r="GM6" s="14">
        <f t="shared" ca="1" si="3"/>
        <v>43591</v>
      </c>
      <c r="GN6" s="14">
        <f t="shared" ca="1" si="3"/>
        <v>43593</v>
      </c>
      <c r="GO6" s="14">
        <f t="shared" ca="1" si="3"/>
        <v>43595</v>
      </c>
      <c r="GP6" s="14">
        <f t="shared" ca="1" si="3"/>
        <v>43597</v>
      </c>
      <c r="GQ6" s="14">
        <f t="shared" ca="1" si="3"/>
        <v>43599</v>
      </c>
      <c r="GR6" s="14">
        <f t="shared" ca="1" si="3"/>
        <v>43601</v>
      </c>
      <c r="GS6" s="14">
        <f t="shared" ca="1" si="3"/>
        <v>43603</v>
      </c>
      <c r="GT6" s="14">
        <f t="shared" ca="1" si="3"/>
        <v>43605</v>
      </c>
      <c r="GU6" s="14">
        <f t="shared" ca="1" si="3"/>
        <v>43607</v>
      </c>
      <c r="GV6" s="14">
        <f t="shared" ca="1" si="3"/>
        <v>43609</v>
      </c>
      <c r="GW6" s="14">
        <f t="shared" ca="1" si="3"/>
        <v>43611</v>
      </c>
      <c r="GX6" s="14">
        <f t="shared" ca="1" si="3"/>
        <v>43613</v>
      </c>
      <c r="GY6" s="14">
        <f t="shared" ref="GY6:JJ6" ca="1" si="4">TODAY()+((COLUMN()-$H$4)*$N$3)</f>
        <v>43615</v>
      </c>
      <c r="GZ6" s="14">
        <f t="shared" ca="1" si="4"/>
        <v>43617</v>
      </c>
      <c r="HA6" s="14">
        <f t="shared" ca="1" si="4"/>
        <v>43619</v>
      </c>
      <c r="HB6" s="14">
        <f t="shared" ca="1" si="4"/>
        <v>43621</v>
      </c>
      <c r="HC6" s="14">
        <f t="shared" ca="1" si="4"/>
        <v>43623</v>
      </c>
      <c r="HD6" s="14">
        <f t="shared" ca="1" si="4"/>
        <v>43625</v>
      </c>
      <c r="HE6" s="14">
        <f t="shared" ca="1" si="4"/>
        <v>43627</v>
      </c>
      <c r="HF6" s="14">
        <f t="shared" ca="1" si="4"/>
        <v>43629</v>
      </c>
      <c r="HG6" s="14">
        <f t="shared" ca="1" si="4"/>
        <v>43631</v>
      </c>
      <c r="HH6" s="14">
        <f t="shared" ca="1" si="4"/>
        <v>43633</v>
      </c>
      <c r="HI6" s="14">
        <f t="shared" ca="1" si="4"/>
        <v>43635</v>
      </c>
      <c r="HJ6" s="14">
        <f t="shared" ca="1" si="4"/>
        <v>43637</v>
      </c>
      <c r="HK6" s="14">
        <f t="shared" ca="1" si="4"/>
        <v>43639</v>
      </c>
      <c r="HL6" s="14">
        <f t="shared" ca="1" si="4"/>
        <v>43641</v>
      </c>
      <c r="HM6" s="14">
        <f t="shared" ca="1" si="4"/>
        <v>43643</v>
      </c>
      <c r="HN6" s="14">
        <f t="shared" ca="1" si="4"/>
        <v>43645</v>
      </c>
      <c r="HO6" s="14">
        <f t="shared" ca="1" si="4"/>
        <v>43647</v>
      </c>
      <c r="HP6" s="14">
        <f t="shared" ca="1" si="4"/>
        <v>43649</v>
      </c>
      <c r="HQ6" s="14">
        <f t="shared" ca="1" si="4"/>
        <v>43651</v>
      </c>
      <c r="HR6" s="14">
        <f t="shared" ca="1" si="4"/>
        <v>43653</v>
      </c>
      <c r="HS6" s="14">
        <f t="shared" ca="1" si="4"/>
        <v>43655</v>
      </c>
      <c r="HT6" s="14">
        <f t="shared" ca="1" si="4"/>
        <v>43657</v>
      </c>
      <c r="HU6" s="14">
        <f t="shared" ca="1" si="4"/>
        <v>43659</v>
      </c>
      <c r="HV6" s="14">
        <f t="shared" ca="1" si="4"/>
        <v>43661</v>
      </c>
      <c r="HW6" s="14">
        <f t="shared" ca="1" si="4"/>
        <v>43663</v>
      </c>
      <c r="HX6" s="14">
        <f t="shared" ca="1" si="4"/>
        <v>43665</v>
      </c>
      <c r="HY6" s="14">
        <f t="shared" ca="1" si="4"/>
        <v>43667</v>
      </c>
      <c r="HZ6" s="14">
        <f t="shared" ca="1" si="4"/>
        <v>43669</v>
      </c>
      <c r="IA6" s="14">
        <f t="shared" ca="1" si="4"/>
        <v>43671</v>
      </c>
      <c r="IB6" s="14">
        <f t="shared" ca="1" si="4"/>
        <v>43673</v>
      </c>
      <c r="IC6" s="14">
        <f t="shared" ca="1" si="4"/>
        <v>43675</v>
      </c>
      <c r="ID6" s="14">
        <f t="shared" ca="1" si="4"/>
        <v>43677</v>
      </c>
      <c r="IE6" s="14">
        <f t="shared" ca="1" si="4"/>
        <v>43679</v>
      </c>
      <c r="IF6" s="14">
        <f t="shared" ca="1" si="4"/>
        <v>43681</v>
      </c>
      <c r="IG6" s="14">
        <f t="shared" ca="1" si="4"/>
        <v>43683</v>
      </c>
      <c r="IH6" s="14">
        <f t="shared" ca="1" si="4"/>
        <v>43685</v>
      </c>
      <c r="II6" s="14">
        <f t="shared" ca="1" si="4"/>
        <v>43687</v>
      </c>
      <c r="IJ6" s="14">
        <f t="shared" ca="1" si="4"/>
        <v>43689</v>
      </c>
      <c r="IK6" s="14">
        <f t="shared" ca="1" si="4"/>
        <v>43691</v>
      </c>
      <c r="IL6" s="14">
        <f t="shared" ca="1" si="4"/>
        <v>43693</v>
      </c>
      <c r="IM6" s="14">
        <f t="shared" ca="1" si="4"/>
        <v>43695</v>
      </c>
      <c r="IN6" s="14">
        <f t="shared" ca="1" si="4"/>
        <v>43697</v>
      </c>
      <c r="IO6" s="14">
        <f t="shared" ca="1" si="4"/>
        <v>43699</v>
      </c>
      <c r="IP6" s="14">
        <f t="shared" ca="1" si="4"/>
        <v>43701</v>
      </c>
      <c r="IQ6" s="14">
        <f t="shared" ca="1" si="4"/>
        <v>43703</v>
      </c>
      <c r="IR6" s="14">
        <f t="shared" ca="1" si="4"/>
        <v>43705</v>
      </c>
      <c r="IS6" s="14">
        <f t="shared" ca="1" si="4"/>
        <v>43707</v>
      </c>
      <c r="IT6" s="14">
        <f t="shared" ca="1" si="4"/>
        <v>43709</v>
      </c>
      <c r="IU6" s="14">
        <f t="shared" ca="1" si="4"/>
        <v>43711</v>
      </c>
      <c r="IV6" s="14">
        <f t="shared" ca="1" si="4"/>
        <v>43713</v>
      </c>
      <c r="IW6" s="14">
        <f t="shared" ca="1" si="4"/>
        <v>43715</v>
      </c>
      <c r="IX6" s="14">
        <f t="shared" ca="1" si="4"/>
        <v>43717</v>
      </c>
      <c r="IY6" s="14">
        <f t="shared" ca="1" si="4"/>
        <v>43719</v>
      </c>
      <c r="IZ6" s="14">
        <f t="shared" ca="1" si="4"/>
        <v>43721</v>
      </c>
      <c r="JA6" s="14">
        <f t="shared" ca="1" si="4"/>
        <v>43723</v>
      </c>
      <c r="JB6" s="14">
        <f t="shared" ca="1" si="4"/>
        <v>43725</v>
      </c>
      <c r="JC6" s="14">
        <f t="shared" ca="1" si="4"/>
        <v>43727</v>
      </c>
      <c r="JD6" s="14">
        <f t="shared" ca="1" si="4"/>
        <v>43729</v>
      </c>
      <c r="JE6" s="14">
        <f t="shared" ca="1" si="4"/>
        <v>43731</v>
      </c>
      <c r="JF6" s="14">
        <f t="shared" ca="1" si="4"/>
        <v>43733</v>
      </c>
      <c r="JG6" s="14">
        <f t="shared" ca="1" si="4"/>
        <v>43735</v>
      </c>
      <c r="JH6" s="14">
        <f t="shared" ca="1" si="4"/>
        <v>43737</v>
      </c>
      <c r="JI6" s="14">
        <f t="shared" ca="1" si="4"/>
        <v>43739</v>
      </c>
      <c r="JJ6" s="14">
        <f t="shared" ca="1" si="4"/>
        <v>43741</v>
      </c>
      <c r="JK6" s="14">
        <f t="shared" ref="JK6:LV6" ca="1" si="5">TODAY()+((COLUMN()-$H$4)*$N$3)</f>
        <v>43743</v>
      </c>
      <c r="JL6" s="14">
        <f t="shared" ca="1" si="5"/>
        <v>43745</v>
      </c>
      <c r="JM6" s="14">
        <f t="shared" ca="1" si="5"/>
        <v>43747</v>
      </c>
      <c r="JN6" s="14">
        <f t="shared" ca="1" si="5"/>
        <v>43749</v>
      </c>
      <c r="JO6" s="14">
        <f t="shared" ca="1" si="5"/>
        <v>43751</v>
      </c>
      <c r="JP6" s="14">
        <f t="shared" ca="1" si="5"/>
        <v>43753</v>
      </c>
      <c r="JQ6" s="14">
        <f t="shared" ca="1" si="5"/>
        <v>43755</v>
      </c>
      <c r="JR6" s="14">
        <f t="shared" ca="1" si="5"/>
        <v>43757</v>
      </c>
      <c r="JS6" s="14">
        <f t="shared" ca="1" si="5"/>
        <v>43759</v>
      </c>
      <c r="JT6" s="14">
        <f t="shared" ca="1" si="5"/>
        <v>43761</v>
      </c>
      <c r="JU6" s="14">
        <f t="shared" ca="1" si="5"/>
        <v>43763</v>
      </c>
      <c r="JV6" s="14">
        <f t="shared" ca="1" si="5"/>
        <v>43765</v>
      </c>
      <c r="JW6" s="14">
        <f t="shared" ca="1" si="5"/>
        <v>43767</v>
      </c>
      <c r="JX6" s="14">
        <f t="shared" ca="1" si="5"/>
        <v>43769</v>
      </c>
      <c r="JY6" s="14">
        <f t="shared" ca="1" si="5"/>
        <v>43771</v>
      </c>
      <c r="JZ6" s="14">
        <f t="shared" ca="1" si="5"/>
        <v>43773</v>
      </c>
      <c r="KA6" s="14">
        <f t="shared" ca="1" si="5"/>
        <v>43775</v>
      </c>
      <c r="KB6" s="14">
        <f t="shared" ca="1" si="5"/>
        <v>43777</v>
      </c>
      <c r="KC6" s="14">
        <f t="shared" ca="1" si="5"/>
        <v>43779</v>
      </c>
      <c r="KD6" s="14">
        <f t="shared" ca="1" si="5"/>
        <v>43781</v>
      </c>
      <c r="KE6" s="14">
        <f t="shared" ca="1" si="5"/>
        <v>43783</v>
      </c>
      <c r="KF6" s="14">
        <f t="shared" ca="1" si="5"/>
        <v>43785</v>
      </c>
      <c r="KG6" s="14">
        <f t="shared" ca="1" si="5"/>
        <v>43787</v>
      </c>
      <c r="KH6" s="14">
        <f t="shared" ca="1" si="5"/>
        <v>43789</v>
      </c>
      <c r="KI6" s="14">
        <f t="shared" ca="1" si="5"/>
        <v>43791</v>
      </c>
      <c r="KJ6" s="14">
        <f t="shared" ca="1" si="5"/>
        <v>43793</v>
      </c>
      <c r="KK6" s="14">
        <f t="shared" ca="1" si="5"/>
        <v>43795</v>
      </c>
      <c r="KL6" s="14">
        <f t="shared" ca="1" si="5"/>
        <v>43797</v>
      </c>
      <c r="KM6" s="14">
        <f t="shared" ca="1" si="5"/>
        <v>43799</v>
      </c>
      <c r="KN6" s="14">
        <f t="shared" ca="1" si="5"/>
        <v>43801</v>
      </c>
      <c r="KO6" s="14">
        <f t="shared" ca="1" si="5"/>
        <v>43803</v>
      </c>
      <c r="KP6" s="14">
        <f t="shared" ca="1" si="5"/>
        <v>43805</v>
      </c>
      <c r="KQ6" s="14">
        <f t="shared" ca="1" si="5"/>
        <v>43807</v>
      </c>
      <c r="KR6" s="14">
        <f t="shared" ca="1" si="5"/>
        <v>43809</v>
      </c>
      <c r="KS6" s="14">
        <f t="shared" ca="1" si="5"/>
        <v>43811</v>
      </c>
      <c r="KT6" s="14">
        <f t="shared" ca="1" si="5"/>
        <v>43813</v>
      </c>
      <c r="KU6" s="14">
        <f t="shared" ca="1" si="5"/>
        <v>43815</v>
      </c>
      <c r="KV6" s="14">
        <f t="shared" ca="1" si="5"/>
        <v>43817</v>
      </c>
      <c r="KW6" s="14">
        <f t="shared" ca="1" si="5"/>
        <v>43819</v>
      </c>
      <c r="KX6" s="14">
        <f t="shared" ca="1" si="5"/>
        <v>43821</v>
      </c>
      <c r="KY6" s="14">
        <f t="shared" ca="1" si="5"/>
        <v>43823</v>
      </c>
      <c r="KZ6" s="14">
        <f t="shared" ca="1" si="5"/>
        <v>43825</v>
      </c>
      <c r="LA6" s="14">
        <f t="shared" ca="1" si="5"/>
        <v>43827</v>
      </c>
      <c r="LB6" s="14">
        <f t="shared" ca="1" si="5"/>
        <v>43829</v>
      </c>
      <c r="LC6" s="14">
        <f t="shared" ca="1" si="5"/>
        <v>43831</v>
      </c>
      <c r="LD6" s="14">
        <f t="shared" ca="1" si="5"/>
        <v>43833</v>
      </c>
      <c r="LE6" s="14">
        <f t="shared" ca="1" si="5"/>
        <v>43835</v>
      </c>
      <c r="LF6" s="14">
        <f t="shared" ca="1" si="5"/>
        <v>43837</v>
      </c>
      <c r="LG6" s="14">
        <f t="shared" ca="1" si="5"/>
        <v>43839</v>
      </c>
      <c r="LH6" s="14">
        <f t="shared" ca="1" si="5"/>
        <v>43841</v>
      </c>
      <c r="LI6" s="14">
        <f t="shared" ca="1" si="5"/>
        <v>43843</v>
      </c>
      <c r="LJ6" s="14">
        <f t="shared" ca="1" si="5"/>
        <v>43845</v>
      </c>
      <c r="LK6" s="14">
        <f t="shared" ca="1" si="5"/>
        <v>43847</v>
      </c>
      <c r="LL6" s="14">
        <f t="shared" ca="1" si="5"/>
        <v>43849</v>
      </c>
      <c r="LM6" s="14">
        <f t="shared" ca="1" si="5"/>
        <v>43851</v>
      </c>
      <c r="LN6" s="14">
        <f t="shared" ca="1" si="5"/>
        <v>43853</v>
      </c>
      <c r="LO6" s="14">
        <f t="shared" ca="1" si="5"/>
        <v>43855</v>
      </c>
      <c r="LP6" s="14">
        <f t="shared" ca="1" si="5"/>
        <v>43857</v>
      </c>
      <c r="LQ6" s="14">
        <f t="shared" ca="1" si="5"/>
        <v>43859</v>
      </c>
      <c r="LR6" s="14">
        <f t="shared" ca="1" si="5"/>
        <v>43861</v>
      </c>
      <c r="LS6" s="14">
        <f t="shared" ca="1" si="5"/>
        <v>43863</v>
      </c>
      <c r="LT6" s="14">
        <f t="shared" ca="1" si="5"/>
        <v>43865</v>
      </c>
      <c r="LU6" s="14">
        <f t="shared" ca="1" si="5"/>
        <v>43867</v>
      </c>
      <c r="LV6" s="14">
        <f t="shared" ca="1" si="5"/>
        <v>43869</v>
      </c>
      <c r="LW6" s="14">
        <f t="shared" ref="LW6:NA6" ca="1" si="6">TODAY()+((COLUMN()-$H$4)*$N$3)</f>
        <v>43871</v>
      </c>
      <c r="LX6" s="14">
        <f t="shared" ca="1" si="6"/>
        <v>43873</v>
      </c>
      <c r="LY6" s="14">
        <f t="shared" ca="1" si="6"/>
        <v>43875</v>
      </c>
      <c r="LZ6" s="14">
        <f t="shared" ca="1" si="6"/>
        <v>43877</v>
      </c>
      <c r="MA6" s="14">
        <f t="shared" ca="1" si="6"/>
        <v>43879</v>
      </c>
      <c r="MB6" s="14">
        <f t="shared" ca="1" si="6"/>
        <v>43881</v>
      </c>
      <c r="MC6" s="14">
        <f t="shared" ca="1" si="6"/>
        <v>43883</v>
      </c>
      <c r="MD6" s="14">
        <f t="shared" ca="1" si="6"/>
        <v>43885</v>
      </c>
      <c r="ME6" s="14">
        <f t="shared" ca="1" si="6"/>
        <v>43887</v>
      </c>
      <c r="MF6" s="14">
        <f t="shared" ca="1" si="6"/>
        <v>43889</v>
      </c>
      <c r="MG6" s="14">
        <f t="shared" ca="1" si="6"/>
        <v>43891</v>
      </c>
      <c r="MH6" s="14">
        <f t="shared" ca="1" si="6"/>
        <v>43893</v>
      </c>
      <c r="MI6" s="14">
        <f t="shared" ca="1" si="6"/>
        <v>43895</v>
      </c>
      <c r="MJ6" s="14">
        <f t="shared" ca="1" si="6"/>
        <v>43897</v>
      </c>
      <c r="MK6" s="14">
        <f t="shared" ca="1" si="6"/>
        <v>43899</v>
      </c>
      <c r="ML6" s="14">
        <f t="shared" ca="1" si="6"/>
        <v>43901</v>
      </c>
      <c r="MM6" s="14">
        <f t="shared" ca="1" si="6"/>
        <v>43903</v>
      </c>
      <c r="MN6" s="14">
        <f t="shared" ca="1" si="6"/>
        <v>43905</v>
      </c>
      <c r="MO6" s="14">
        <f t="shared" ca="1" si="6"/>
        <v>43907</v>
      </c>
      <c r="MP6" s="14">
        <f t="shared" ca="1" si="6"/>
        <v>43909</v>
      </c>
      <c r="MQ6" s="14">
        <f t="shared" ca="1" si="6"/>
        <v>43911</v>
      </c>
      <c r="MR6" s="14">
        <f t="shared" ca="1" si="6"/>
        <v>43913</v>
      </c>
      <c r="MS6" s="14">
        <f t="shared" ca="1" si="6"/>
        <v>43915</v>
      </c>
      <c r="MT6" s="14">
        <f t="shared" ca="1" si="6"/>
        <v>43917</v>
      </c>
      <c r="MU6" s="14">
        <f t="shared" ca="1" si="6"/>
        <v>43919</v>
      </c>
      <c r="MV6" s="14">
        <f t="shared" ca="1" si="6"/>
        <v>43921</v>
      </c>
      <c r="MW6" s="14">
        <f t="shared" ca="1" si="6"/>
        <v>43923</v>
      </c>
      <c r="MX6" s="14">
        <f t="shared" ca="1" si="6"/>
        <v>43925</v>
      </c>
      <c r="MY6" s="14">
        <f t="shared" ca="1" si="6"/>
        <v>43927</v>
      </c>
      <c r="MZ6" s="14">
        <f t="shared" ca="1" si="6"/>
        <v>43929</v>
      </c>
      <c r="NA6" s="14">
        <f t="shared" ca="1" si="6"/>
        <v>43931</v>
      </c>
    </row>
    <row r="7" spans="1:367" s="2" customFormat="1" ht="24" customHeight="1" x14ac:dyDescent="0.25">
      <c r="A7" s="104" t="s">
        <v>348</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6" t="s">
        <v>449</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6"/>
      <c r="B23" s="30"/>
      <c r="C23" s="16"/>
      <c r="D23" s="16"/>
      <c r="E23" s="17"/>
      <c r="F23" s="4"/>
      <c r="G23" s="82"/>
    </row>
    <row r="24" spans="1:45" ht="20.100000000000001" customHeight="1" x14ac:dyDescent="0.25">
      <c r="A24" s="106"/>
      <c r="B24" s="30"/>
      <c r="C24" s="16"/>
      <c r="D24" s="16"/>
      <c r="E24" s="17"/>
      <c r="F24" s="4"/>
      <c r="G24" s="82"/>
    </row>
    <row r="25" spans="1:45" ht="20.100000000000001" customHeight="1" x14ac:dyDescent="0.25">
      <c r="A25" s="106"/>
      <c r="B25" s="30"/>
      <c r="C25" s="16"/>
      <c r="D25" s="16"/>
      <c r="E25" s="17"/>
      <c r="F25" s="4"/>
      <c r="G25" s="82"/>
    </row>
    <row r="26" spans="1:45" ht="20.100000000000001" customHeight="1" x14ac:dyDescent="0.25">
      <c r="A26" s="106"/>
      <c r="B26" s="30"/>
      <c r="C26" s="16"/>
      <c r="D26" s="16"/>
      <c r="E26" s="17"/>
      <c r="F26" s="4"/>
      <c r="G26" s="82"/>
    </row>
    <row r="27" spans="1:45" ht="20.100000000000001" customHeight="1" x14ac:dyDescent="0.25">
      <c r="A27" s="106"/>
      <c r="B27" s="107"/>
      <c r="C27" s="108"/>
      <c r="D27" s="108"/>
      <c r="E27" s="108"/>
      <c r="F27" s="141"/>
      <c r="G27" s="82"/>
    </row>
    <row r="28" spans="1:45" ht="20.100000000000001" customHeight="1" x14ac:dyDescent="0.25">
      <c r="A28" s="106"/>
      <c r="B28" s="30"/>
      <c r="C28" s="16"/>
      <c r="D28" s="16"/>
      <c r="E28" s="17"/>
      <c r="F28" s="4"/>
      <c r="G28" s="82"/>
    </row>
    <row r="29" spans="1:45" ht="20.100000000000001" customHeight="1" x14ac:dyDescent="0.25">
      <c r="A29" s="106"/>
      <c r="B29" s="30"/>
      <c r="C29" s="16"/>
      <c r="D29" s="16"/>
      <c r="E29" s="17"/>
      <c r="F29" s="4"/>
      <c r="G29" s="82"/>
    </row>
    <row r="30" spans="1:45" ht="20.100000000000001" customHeight="1" x14ac:dyDescent="0.25">
      <c r="A30" s="106"/>
      <c r="B30" s="30"/>
      <c r="C30" s="16"/>
      <c r="D30" s="16"/>
      <c r="E30" s="17"/>
      <c r="F30" s="4"/>
      <c r="G30" s="82"/>
    </row>
    <row r="31" spans="1:45" ht="20.100000000000001" customHeight="1" x14ac:dyDescent="0.25">
      <c r="A31" s="106"/>
      <c r="B31" s="30"/>
      <c r="C31" s="16"/>
      <c r="D31" s="16"/>
      <c r="E31" s="17"/>
      <c r="F31" s="4"/>
      <c r="G31" s="82"/>
    </row>
    <row r="32" spans="1:45" ht="20.100000000000001" customHeight="1" x14ac:dyDescent="0.25">
      <c r="A32" s="106"/>
      <c r="B32" s="30"/>
      <c r="C32" s="16"/>
      <c r="D32" s="16"/>
      <c r="E32" s="17"/>
      <c r="F32" s="4"/>
      <c r="G32" s="82"/>
    </row>
    <row r="33" spans="1:14" ht="20.100000000000001" customHeight="1" x14ac:dyDescent="0.25">
      <c r="A33" s="106"/>
      <c r="B33" s="30"/>
      <c r="C33" s="16"/>
      <c r="D33" s="16"/>
      <c r="E33" s="17"/>
      <c r="F33" s="4"/>
      <c r="G33" s="82"/>
    </row>
    <row r="34" spans="1:14" ht="38.25" customHeight="1" x14ac:dyDescent="0.25">
      <c r="A34" s="106"/>
      <c r="B34" s="30"/>
      <c r="C34" s="16"/>
      <c r="D34" s="16"/>
      <c r="E34" s="17"/>
      <c r="F34" s="4"/>
      <c r="G34" s="82"/>
    </row>
    <row r="35" spans="1:14" ht="20.100000000000001" customHeight="1" x14ac:dyDescent="0.25">
      <c r="A35" s="106"/>
      <c r="B35" s="30"/>
      <c r="C35" s="16"/>
      <c r="D35" s="16"/>
      <c r="E35" s="17"/>
      <c r="F35" s="4"/>
      <c r="G35" s="82"/>
    </row>
    <row r="36" spans="1:14" ht="20.100000000000001" customHeight="1" x14ac:dyDescent="0.25">
      <c r="A36" s="106"/>
      <c r="B36" s="30"/>
      <c r="C36" s="16"/>
      <c r="D36" s="16"/>
      <c r="E36" s="17"/>
      <c r="F36" s="4"/>
      <c r="G36" s="82"/>
      <c r="N36" s="2" t="s">
        <v>355</v>
      </c>
    </row>
    <row r="37" spans="1:14" ht="48.2" customHeight="1" x14ac:dyDescent="0.25">
      <c r="A37" s="106"/>
      <c r="B37" s="30"/>
      <c r="C37" s="16"/>
      <c r="D37" s="16"/>
      <c r="E37" s="17"/>
      <c r="F37" s="4"/>
      <c r="G37" s="82"/>
    </row>
    <row r="38" spans="1:14" ht="20.100000000000001" customHeight="1" x14ac:dyDescent="0.25">
      <c r="A38" s="106"/>
      <c r="B38" s="30"/>
      <c r="C38" s="16"/>
      <c r="D38" s="16"/>
      <c r="E38" s="17"/>
      <c r="F38" s="4"/>
      <c r="G38" s="82"/>
    </row>
    <row r="39" spans="1:14" ht="20.100000000000001" customHeight="1" x14ac:dyDescent="0.25">
      <c r="A39" s="106"/>
      <c r="B39" s="30"/>
      <c r="C39" s="16"/>
      <c r="D39" s="16"/>
      <c r="E39" s="17"/>
      <c r="F39" s="4"/>
      <c r="G39" s="82"/>
    </row>
    <row r="40" spans="1:14" ht="20.100000000000001" customHeight="1" x14ac:dyDescent="0.25">
      <c r="A40" s="106"/>
      <c r="B40" s="30"/>
      <c r="C40" s="16"/>
      <c r="D40" s="16"/>
      <c r="E40" s="17"/>
      <c r="F40" s="4"/>
      <c r="G40" s="82"/>
    </row>
    <row r="41" spans="1:14" ht="20.100000000000001" customHeight="1" x14ac:dyDescent="0.25">
      <c r="A41" s="106"/>
      <c r="B41" s="107"/>
      <c r="C41" s="108"/>
      <c r="D41" s="108"/>
      <c r="E41" s="108"/>
      <c r="F41" s="4"/>
      <c r="G41" s="82"/>
    </row>
    <row r="42" spans="1:14" ht="20.100000000000001" customHeight="1" x14ac:dyDescent="0.25">
      <c r="A42" s="106"/>
      <c r="B42" s="30"/>
      <c r="C42" s="16"/>
      <c r="D42" s="16"/>
      <c r="E42" s="108"/>
      <c r="F42" s="4"/>
      <c r="G42" s="82"/>
    </row>
    <row r="43" spans="1:14" ht="20.100000000000001" customHeight="1" x14ac:dyDescent="0.25">
      <c r="A43" s="106"/>
      <c r="B43" s="30"/>
      <c r="C43" s="16"/>
      <c r="D43" s="16"/>
      <c r="E43" s="108"/>
      <c r="F43" s="4"/>
      <c r="G43" s="82"/>
    </row>
    <row r="44" spans="1:14" ht="20.100000000000001" customHeight="1" x14ac:dyDescent="0.25">
      <c r="A44" s="106"/>
      <c r="B44" s="30"/>
      <c r="C44" s="16"/>
      <c r="D44" s="16"/>
      <c r="E44" s="108"/>
      <c r="F44" s="4"/>
      <c r="G44" s="82"/>
    </row>
    <row r="45" spans="1:14" ht="20.100000000000001" customHeight="1" x14ac:dyDescent="0.25">
      <c r="A45" s="106"/>
      <c r="B45" s="30"/>
      <c r="C45" s="16"/>
      <c r="D45" s="16"/>
      <c r="E45" s="108"/>
      <c r="F45" s="4"/>
      <c r="G45" s="82"/>
    </row>
    <row r="46" spans="1:14" ht="20.100000000000001" customHeight="1" x14ac:dyDescent="0.25">
      <c r="A46" s="106"/>
      <c r="B46" s="30"/>
      <c r="C46" s="16"/>
      <c r="D46" s="16"/>
      <c r="E46" s="108"/>
      <c r="F46" s="4"/>
      <c r="G46" s="82"/>
    </row>
    <row r="47" spans="1:14" ht="20.100000000000001" customHeight="1" x14ac:dyDescent="0.25">
      <c r="A47" s="106"/>
      <c r="B47" s="30"/>
      <c r="C47" s="16"/>
      <c r="D47" s="16"/>
      <c r="E47" s="108"/>
      <c r="F47" s="4"/>
      <c r="G47" s="82"/>
    </row>
    <row r="48" spans="1:14" ht="20.100000000000001" customHeight="1" x14ac:dyDescent="0.25">
      <c r="A48" s="106"/>
      <c r="B48" s="30"/>
      <c r="C48" s="16"/>
      <c r="D48" s="16"/>
      <c r="E48" s="17"/>
      <c r="F48" s="4"/>
      <c r="G48" s="82"/>
    </row>
    <row r="49" spans="1:7" ht="20.100000000000001" customHeight="1" x14ac:dyDescent="0.25">
      <c r="A49" s="106"/>
      <c r="B49" s="30"/>
      <c r="C49" s="16"/>
      <c r="D49" s="16"/>
      <c r="E49" s="17"/>
      <c r="F49" s="4"/>
      <c r="G49" s="82"/>
    </row>
    <row r="50" spans="1:7" ht="20.100000000000001" customHeight="1" x14ac:dyDescent="0.25">
      <c r="A50" s="106"/>
      <c r="B50" s="30"/>
      <c r="C50" s="16"/>
      <c r="D50" s="16"/>
      <c r="E50" s="17"/>
      <c r="F50" s="4"/>
      <c r="G50" s="82"/>
    </row>
    <row r="51" spans="1:7" ht="20.100000000000001" customHeight="1" x14ac:dyDescent="0.25">
      <c r="A51" s="106"/>
      <c r="B51" s="30"/>
      <c r="C51" s="16"/>
      <c r="D51" s="16"/>
      <c r="E51" s="17"/>
      <c r="F51" s="4"/>
      <c r="G51" s="82"/>
    </row>
    <row r="52" spans="1:7" ht="20.100000000000001" customHeight="1" x14ac:dyDescent="0.25">
      <c r="A52" s="106"/>
      <c r="B52" s="30"/>
      <c r="C52" s="16"/>
      <c r="D52" s="16"/>
      <c r="E52" s="17"/>
      <c r="F52" s="4"/>
      <c r="G52" s="82"/>
    </row>
    <row r="53" spans="1:7" ht="20.100000000000001" customHeight="1" x14ac:dyDescent="0.25">
      <c r="A53" s="106"/>
      <c r="B53" s="30"/>
      <c r="C53" s="16"/>
      <c r="D53" s="16"/>
      <c r="E53" s="17"/>
      <c r="F53" s="4"/>
      <c r="G53" s="82"/>
    </row>
    <row r="54" spans="1:7" ht="20.100000000000001" customHeight="1" x14ac:dyDescent="0.25">
      <c r="A54" s="106"/>
      <c r="B54" s="30"/>
      <c r="C54" s="16"/>
      <c r="D54" s="16"/>
      <c r="E54" s="17"/>
      <c r="F54" s="4"/>
      <c r="G54" s="82"/>
    </row>
    <row r="55" spans="1:7" ht="20.100000000000001" customHeight="1" x14ac:dyDescent="0.25">
      <c r="A55" s="106"/>
      <c r="B55" s="30"/>
      <c r="C55" s="16"/>
      <c r="D55" s="16"/>
      <c r="E55" s="17"/>
      <c r="F55" s="4"/>
      <c r="G55" s="82"/>
    </row>
    <row r="56" spans="1:7" ht="20.100000000000001" customHeight="1" x14ac:dyDescent="0.25">
      <c r="A56" s="106"/>
      <c r="B56" s="30"/>
      <c r="C56" s="16"/>
      <c r="D56" s="16"/>
      <c r="E56" s="17"/>
      <c r="F56" s="4"/>
      <c r="G56" s="82"/>
    </row>
    <row r="57" spans="1:7" ht="20.100000000000001" customHeight="1" x14ac:dyDescent="0.25">
      <c r="A57" s="106"/>
      <c r="B57" s="30"/>
      <c r="C57" s="16"/>
      <c r="D57" s="16"/>
      <c r="E57" s="17"/>
      <c r="F57" s="4"/>
      <c r="G57" s="82"/>
    </row>
    <row r="58" spans="1:7" ht="20.100000000000001" customHeight="1" x14ac:dyDescent="0.25">
      <c r="A58" s="106"/>
      <c r="B58" s="30"/>
      <c r="C58" s="16"/>
      <c r="D58" s="16"/>
      <c r="E58" s="17"/>
      <c r="F58" s="4"/>
      <c r="G58" s="82"/>
    </row>
    <row r="59" spans="1:7" ht="20.100000000000001" customHeight="1" x14ac:dyDescent="0.25">
      <c r="A59" s="106"/>
      <c r="B59" s="30"/>
      <c r="C59" s="16"/>
      <c r="D59" s="16"/>
      <c r="E59" s="17"/>
      <c r="F59" s="4"/>
      <c r="G59" s="82"/>
    </row>
    <row r="60" spans="1:7" ht="20.100000000000001" customHeight="1" x14ac:dyDescent="0.25">
      <c r="A60" s="106"/>
      <c r="B60" s="30"/>
      <c r="C60" s="16"/>
      <c r="D60" s="16"/>
      <c r="E60" s="17"/>
      <c r="F60" s="4"/>
      <c r="G60" s="82"/>
    </row>
    <row r="61" spans="1:7" ht="20.100000000000001" customHeight="1" x14ac:dyDescent="0.25">
      <c r="A61" s="106"/>
      <c r="B61" s="30"/>
      <c r="C61" s="16"/>
      <c r="D61" s="16"/>
      <c r="E61" s="17"/>
      <c r="F61" s="4"/>
      <c r="G61" s="82"/>
    </row>
    <row r="62" spans="1:7" ht="20.100000000000001" customHeight="1" x14ac:dyDescent="0.25">
      <c r="A62" s="106"/>
      <c r="B62" s="30"/>
      <c r="C62" s="16"/>
      <c r="D62" s="16"/>
      <c r="E62" s="17"/>
      <c r="F62" s="4"/>
      <c r="G62" s="82"/>
    </row>
    <row r="63" spans="1:7" ht="20.100000000000001" customHeight="1" x14ac:dyDescent="0.25">
      <c r="A63" s="106"/>
      <c r="B63" s="30"/>
      <c r="C63" s="16"/>
      <c r="D63" s="16"/>
      <c r="E63" s="17"/>
      <c r="F63" s="4"/>
      <c r="G63" s="82"/>
    </row>
    <row r="64" spans="1:7" ht="20.100000000000001" customHeight="1" x14ac:dyDescent="0.25">
      <c r="A64" s="106"/>
      <c r="B64" s="30"/>
      <c r="C64" s="16"/>
      <c r="D64" s="16"/>
      <c r="E64" s="17"/>
      <c r="F64" s="4"/>
      <c r="G64" s="82"/>
    </row>
    <row r="65" spans="1:7" ht="20.100000000000001" customHeight="1" x14ac:dyDescent="0.25">
      <c r="A65" s="106"/>
      <c r="B65" s="30"/>
      <c r="C65" s="16"/>
      <c r="D65" s="16"/>
      <c r="E65" s="17"/>
      <c r="F65" s="4"/>
      <c r="G65" s="82"/>
    </row>
    <row r="66" spans="1:7" ht="20.100000000000001" customHeight="1" x14ac:dyDescent="0.25">
      <c r="A66" s="106"/>
      <c r="B66" s="30"/>
      <c r="C66" s="16"/>
      <c r="D66" s="16"/>
      <c r="E66" s="17"/>
      <c r="F66" s="4"/>
      <c r="G66" s="82"/>
    </row>
    <row r="67" spans="1:7" ht="20.100000000000001" customHeight="1" x14ac:dyDescent="0.25">
      <c r="A67" s="106"/>
      <c r="B67" s="30"/>
      <c r="C67" s="16"/>
      <c r="D67" s="16"/>
      <c r="E67" s="17"/>
      <c r="F67" s="4"/>
      <c r="G67" s="82"/>
    </row>
    <row r="68" spans="1:7" ht="20.100000000000001" customHeight="1" x14ac:dyDescent="0.25">
      <c r="A68" s="106"/>
      <c r="B68" s="30"/>
      <c r="C68" s="16"/>
      <c r="D68" s="16"/>
      <c r="E68" s="17"/>
      <c r="F68" s="4"/>
      <c r="G68" s="82"/>
    </row>
    <row r="69" spans="1:7" ht="20.100000000000001" customHeight="1" x14ac:dyDescent="0.25">
      <c r="A69" s="106"/>
      <c r="B69" s="30"/>
      <c r="C69" s="16"/>
      <c r="D69" s="16"/>
      <c r="E69" s="17"/>
      <c r="F69" s="4"/>
      <c r="G69" s="82"/>
    </row>
    <row r="70" spans="1:7" ht="20.100000000000001" customHeight="1" x14ac:dyDescent="0.25">
      <c r="A70" s="106"/>
      <c r="B70" s="30"/>
      <c r="C70" s="16"/>
      <c r="D70" s="16"/>
      <c r="E70" s="17"/>
      <c r="F70" s="4"/>
      <c r="G70" s="82"/>
    </row>
    <row r="71" spans="1:7" ht="20.100000000000001" customHeight="1" x14ac:dyDescent="0.25">
      <c r="A71" s="106"/>
      <c r="B71" s="30"/>
      <c r="C71" s="16"/>
      <c r="D71" s="16"/>
      <c r="E71" s="17"/>
      <c r="F71" s="4"/>
      <c r="G71" s="82"/>
    </row>
    <row r="72" spans="1:7" ht="20.100000000000001" customHeight="1" x14ac:dyDescent="0.25">
      <c r="A72" s="106"/>
      <c r="B72" s="30"/>
      <c r="C72" s="16"/>
      <c r="D72" s="16"/>
      <c r="E72" s="17"/>
      <c r="F72" s="4"/>
      <c r="G72" s="82"/>
    </row>
    <row r="73" spans="1:7" ht="20.100000000000001" customHeight="1" x14ac:dyDescent="0.25">
      <c r="A73" s="106"/>
      <c r="B73" s="30"/>
      <c r="C73" s="16"/>
      <c r="D73" s="16"/>
      <c r="E73" s="17"/>
      <c r="F73" s="4"/>
      <c r="G73" s="82"/>
    </row>
    <row r="74" spans="1:7" ht="20.100000000000001" customHeight="1" x14ac:dyDescent="0.25">
      <c r="A74" s="106"/>
      <c r="B74" s="30"/>
      <c r="C74" s="16"/>
      <c r="D74" s="16"/>
      <c r="E74" s="17"/>
      <c r="F74" s="4"/>
      <c r="G74" s="82"/>
    </row>
    <row r="75" spans="1:7" ht="20.100000000000001" customHeight="1" x14ac:dyDescent="0.25">
      <c r="A75" s="106"/>
      <c r="B75" s="30"/>
      <c r="C75" s="16"/>
      <c r="D75" s="16"/>
      <c r="E75" s="17"/>
      <c r="F75" s="4"/>
      <c r="G75" s="82"/>
    </row>
    <row r="76" spans="1:7" ht="20.100000000000001" customHeight="1" x14ac:dyDescent="0.25">
      <c r="A76" s="106"/>
      <c r="B76" s="30"/>
      <c r="C76" s="16"/>
      <c r="D76" s="16"/>
      <c r="E76" s="17"/>
      <c r="F76" s="4"/>
      <c r="G76" s="82"/>
    </row>
    <row r="77" spans="1:7" ht="20.100000000000001" customHeight="1" x14ac:dyDescent="0.25">
      <c r="A77" s="106"/>
      <c r="B77" s="30"/>
      <c r="C77" s="16"/>
      <c r="D77" s="16"/>
      <c r="E77" s="17"/>
      <c r="F77" s="4"/>
      <c r="G77" s="82"/>
    </row>
    <row r="78" spans="1:7" ht="20.100000000000001" customHeight="1" x14ac:dyDescent="0.25">
      <c r="A78" s="106"/>
      <c r="B78" s="30"/>
      <c r="C78" s="16"/>
      <c r="D78" s="16"/>
      <c r="E78" s="17"/>
      <c r="F78" s="4"/>
      <c r="G78" s="82"/>
    </row>
    <row r="79" spans="1:7" ht="20.100000000000001" customHeight="1" x14ac:dyDescent="0.25">
      <c r="A79" s="106"/>
      <c r="B79" s="30"/>
      <c r="C79" s="16"/>
      <c r="D79" s="16"/>
      <c r="E79" s="17"/>
      <c r="F79" s="4"/>
      <c r="G79" s="82"/>
    </row>
    <row r="80" spans="1:7" ht="20.100000000000001" customHeight="1" x14ac:dyDescent="0.25">
      <c r="A80" s="106"/>
      <c r="B80" s="30"/>
      <c r="C80" s="16"/>
      <c r="D80" s="16"/>
      <c r="E80" s="17"/>
      <c r="F80" s="4"/>
      <c r="G80" s="82"/>
    </row>
    <row r="81" spans="1:7" ht="20.100000000000001" customHeight="1" x14ac:dyDescent="0.25">
      <c r="A81" s="106"/>
      <c r="B81" s="30"/>
      <c r="C81" s="16"/>
      <c r="D81" s="16"/>
      <c r="E81" s="17"/>
      <c r="F81" s="4"/>
      <c r="G81" s="82"/>
    </row>
    <row r="82" spans="1:7" ht="20.100000000000001" customHeight="1" x14ac:dyDescent="0.25">
      <c r="A82" s="106"/>
      <c r="B82" s="30"/>
      <c r="C82" s="16"/>
      <c r="D82" s="16"/>
      <c r="E82" s="17"/>
      <c r="F82" s="4"/>
      <c r="G82" s="82"/>
    </row>
    <row r="83" spans="1:7" ht="20.100000000000001" customHeight="1" x14ac:dyDescent="0.25">
      <c r="A83" s="106"/>
      <c r="B83" s="30"/>
      <c r="C83" s="16"/>
      <c r="D83" s="16"/>
      <c r="E83" s="17"/>
      <c r="F83" s="4"/>
      <c r="G83" s="82"/>
    </row>
    <row r="84" spans="1:7" ht="20.100000000000001" customHeight="1" x14ac:dyDescent="0.25">
      <c r="A84" s="106"/>
      <c r="B84" s="30"/>
      <c r="C84" s="16"/>
      <c r="D84" s="16"/>
      <c r="E84" s="17"/>
      <c r="F84" s="4"/>
      <c r="G84" s="82"/>
    </row>
    <row r="85" spans="1:7" ht="20.100000000000001" customHeight="1" x14ac:dyDescent="0.25">
      <c r="A85" s="106"/>
      <c r="B85" s="30"/>
      <c r="C85" s="16"/>
      <c r="D85" s="16"/>
      <c r="E85" s="17"/>
      <c r="F85" s="4"/>
      <c r="G85" s="82"/>
    </row>
    <row r="86" spans="1:7" ht="20.100000000000001" customHeight="1" x14ac:dyDescent="0.25">
      <c r="A86" s="106"/>
      <c r="B86" s="30"/>
      <c r="C86" s="16"/>
      <c r="D86" s="16"/>
      <c r="E86" s="17"/>
      <c r="F86" s="4"/>
      <c r="G86" s="82"/>
    </row>
    <row r="87" spans="1:7" ht="20.100000000000001" customHeight="1" x14ac:dyDescent="0.25">
      <c r="A87" s="106"/>
      <c r="B87" s="30"/>
      <c r="C87" s="16"/>
      <c r="D87" s="16"/>
      <c r="E87" s="17"/>
      <c r="F87" s="4"/>
      <c r="G87" s="82"/>
    </row>
    <row r="88" spans="1:7" ht="20.100000000000001" customHeight="1" x14ac:dyDescent="0.25">
      <c r="A88" s="106"/>
      <c r="B88" s="30"/>
      <c r="C88" s="16"/>
      <c r="D88" s="16"/>
      <c r="E88" s="17"/>
      <c r="F88" s="4"/>
      <c r="G88" s="82"/>
    </row>
    <row r="89" spans="1:7" ht="20.100000000000001" customHeight="1" x14ac:dyDescent="0.25">
      <c r="A89" s="106"/>
      <c r="B89" s="30"/>
      <c r="C89" s="16"/>
      <c r="D89" s="16"/>
      <c r="E89" s="17"/>
      <c r="F89" s="4"/>
      <c r="G89" s="82"/>
    </row>
    <row r="90" spans="1:7" ht="20.100000000000001" customHeight="1" x14ac:dyDescent="0.25">
      <c r="A90" s="106"/>
      <c r="B90" s="30"/>
      <c r="C90" s="16"/>
      <c r="D90" s="16"/>
      <c r="E90" s="17"/>
      <c r="F90" s="4"/>
      <c r="G90" s="82"/>
    </row>
    <row r="91" spans="1:7" ht="20.100000000000001" customHeight="1" x14ac:dyDescent="0.25">
      <c r="A91" s="106"/>
      <c r="B91" s="30"/>
      <c r="C91" s="16"/>
      <c r="D91" s="16"/>
      <c r="E91" s="17"/>
      <c r="F91" s="4"/>
      <c r="G91" s="82"/>
    </row>
    <row r="92" spans="1:7" ht="20.100000000000001" customHeight="1" x14ac:dyDescent="0.25">
      <c r="A92" s="106"/>
      <c r="B92" s="30"/>
      <c r="C92" s="16"/>
      <c r="D92" s="16"/>
      <c r="E92" s="17"/>
      <c r="F92" s="4"/>
      <c r="G92" s="82"/>
    </row>
    <row r="93" spans="1:7" ht="20.100000000000001" customHeight="1" x14ac:dyDescent="0.25">
      <c r="A93" s="106"/>
      <c r="B93" s="30"/>
      <c r="C93" s="16"/>
      <c r="D93" s="16"/>
      <c r="E93" s="17"/>
      <c r="F93" s="4"/>
      <c r="G93" s="82"/>
    </row>
    <row r="94" spans="1:7" ht="20.100000000000001" customHeight="1" x14ac:dyDescent="0.25">
      <c r="A94" s="106"/>
      <c r="B94" s="30"/>
      <c r="C94" s="16"/>
      <c r="D94" s="16"/>
      <c r="E94" s="17"/>
      <c r="F94" s="4"/>
      <c r="G94" s="82"/>
    </row>
    <row r="95" spans="1:7" ht="20.100000000000001" customHeight="1" x14ac:dyDescent="0.25">
      <c r="A95" s="106"/>
      <c r="B95" s="30"/>
      <c r="C95" s="16"/>
      <c r="D95" s="16"/>
      <c r="E95" s="17"/>
      <c r="F95" s="4"/>
      <c r="G95" s="82"/>
    </row>
    <row r="96" spans="1:7" ht="20.100000000000001" customHeight="1" x14ac:dyDescent="0.25">
      <c r="A96" s="106"/>
      <c r="B96" s="30"/>
      <c r="C96" s="16"/>
      <c r="D96" s="16"/>
      <c r="E96" s="17"/>
      <c r="F96" s="4"/>
      <c r="G96" s="82"/>
    </row>
    <row r="97" spans="1:7" ht="20.100000000000001" customHeight="1" x14ac:dyDescent="0.25">
      <c r="A97" s="106"/>
      <c r="B97" s="30"/>
      <c r="C97" s="16"/>
      <c r="D97" s="16"/>
      <c r="E97" s="17"/>
      <c r="F97" s="4"/>
      <c r="G97" s="82"/>
    </row>
    <row r="98" spans="1:7" ht="20.100000000000001" customHeight="1" x14ac:dyDescent="0.25">
      <c r="A98" s="106"/>
      <c r="B98" s="30"/>
      <c r="C98" s="16"/>
      <c r="D98" s="16"/>
      <c r="E98" s="17"/>
      <c r="F98" s="4"/>
      <c r="G98" s="82"/>
    </row>
    <row r="99" spans="1:7" ht="20.100000000000001" customHeight="1" x14ac:dyDescent="0.25">
      <c r="A99" s="106"/>
      <c r="B99" s="30"/>
      <c r="C99" s="16"/>
      <c r="D99" s="16"/>
      <c r="E99" s="17"/>
      <c r="F99" s="4"/>
      <c r="G99" s="82"/>
    </row>
    <row r="100" spans="1:7" ht="20.100000000000001" customHeight="1" x14ac:dyDescent="0.25">
      <c r="A100" s="106"/>
      <c r="B100" s="30"/>
      <c r="C100" s="16"/>
      <c r="D100" s="16"/>
      <c r="E100" s="17"/>
      <c r="F100" s="4"/>
      <c r="G100" s="82"/>
    </row>
    <row r="101" spans="1:7" ht="20.100000000000001" customHeight="1" x14ac:dyDescent="0.25">
      <c r="A101" s="106"/>
      <c r="B101" s="30"/>
      <c r="C101" s="16"/>
      <c r="D101" s="16"/>
      <c r="E101" s="17"/>
      <c r="F101" s="4"/>
      <c r="G101" s="82"/>
    </row>
    <row r="102" spans="1:7" ht="20.100000000000001" customHeight="1" x14ac:dyDescent="0.25">
      <c r="A102" s="106"/>
      <c r="B102" s="30"/>
      <c r="C102" s="16"/>
      <c r="D102" s="16"/>
      <c r="E102" s="17"/>
      <c r="F102" s="4"/>
      <c r="G102" s="82"/>
    </row>
    <row r="103" spans="1:7" ht="20.100000000000001" customHeight="1" x14ac:dyDescent="0.25">
      <c r="A103" s="106"/>
      <c r="B103" s="30"/>
      <c r="C103" s="16"/>
      <c r="D103" s="16"/>
      <c r="E103" s="17"/>
      <c r="F103" s="4"/>
      <c r="G103" s="82"/>
    </row>
    <row r="104" spans="1:7" ht="20.100000000000001" customHeight="1" x14ac:dyDescent="0.25">
      <c r="A104" s="106"/>
      <c r="B104" s="30"/>
      <c r="C104" s="16"/>
      <c r="D104" s="16"/>
      <c r="E104" s="17"/>
      <c r="F104" s="4"/>
      <c r="G104" s="82"/>
    </row>
    <row r="105" spans="1:7" ht="20.100000000000001" customHeight="1" x14ac:dyDescent="0.25">
      <c r="A105" s="106"/>
      <c r="B105" s="30"/>
      <c r="C105" s="16"/>
      <c r="D105" s="16"/>
      <c r="E105" s="17"/>
      <c r="F105" s="4"/>
      <c r="G105" s="82"/>
    </row>
    <row r="106" spans="1:7" ht="20.100000000000001" customHeight="1" x14ac:dyDescent="0.25">
      <c r="A106" s="106"/>
      <c r="B106" s="30"/>
      <c r="C106" s="16"/>
      <c r="D106" s="16"/>
      <c r="E106" s="17"/>
      <c r="F106" s="4"/>
      <c r="G106" s="82"/>
    </row>
    <row r="107" spans="1:7" ht="20.100000000000001" customHeight="1" x14ac:dyDescent="0.25">
      <c r="A107" s="106"/>
      <c r="B107" s="30"/>
      <c r="C107" s="16"/>
      <c r="D107" s="16"/>
      <c r="E107" s="17"/>
      <c r="F107" s="4"/>
      <c r="G107" s="82"/>
    </row>
    <row r="108" spans="1:7" ht="20.100000000000001" customHeight="1" x14ac:dyDescent="0.25">
      <c r="A108" s="106"/>
      <c r="B108" s="30"/>
      <c r="C108" s="16"/>
      <c r="D108" s="16"/>
      <c r="E108" s="17"/>
      <c r="F108" s="4"/>
      <c r="G108" s="82"/>
    </row>
    <row r="109" spans="1:7" ht="20.100000000000001" customHeight="1" x14ac:dyDescent="0.25">
      <c r="A109" s="106"/>
      <c r="B109" s="30"/>
      <c r="C109" s="16"/>
      <c r="D109" s="16"/>
      <c r="E109" s="17"/>
      <c r="F109" s="4"/>
      <c r="G109" s="82"/>
    </row>
    <row r="110" spans="1:7" ht="20.100000000000001" customHeight="1" x14ac:dyDescent="0.25">
      <c r="A110" s="106"/>
      <c r="B110" s="30"/>
      <c r="C110" s="16"/>
      <c r="D110" s="16"/>
      <c r="E110" s="17"/>
      <c r="F110" s="4"/>
      <c r="G110" s="82"/>
    </row>
    <row r="111" spans="1:7" ht="20.100000000000001" customHeight="1" x14ac:dyDescent="0.25">
      <c r="A111" s="106"/>
      <c r="B111" s="30"/>
      <c r="C111" s="16"/>
      <c r="D111" s="16"/>
      <c r="E111" s="17"/>
      <c r="F111" s="4"/>
      <c r="G111" s="82"/>
    </row>
    <row r="112" spans="1:7" ht="20.100000000000001" customHeight="1" x14ac:dyDescent="0.25">
      <c r="A112" s="106"/>
      <c r="B112" s="30"/>
      <c r="C112" s="16"/>
      <c r="D112" s="16"/>
      <c r="E112" s="17"/>
      <c r="F112" s="4"/>
      <c r="G112" s="82"/>
    </row>
    <row r="113" spans="1:7" ht="20.100000000000001" customHeight="1" x14ac:dyDescent="0.25">
      <c r="A113" s="106"/>
      <c r="B113" s="30"/>
      <c r="C113" s="16"/>
      <c r="D113" s="16"/>
      <c r="E113" s="17"/>
      <c r="F113" s="4"/>
      <c r="G113" s="82"/>
    </row>
    <row r="114" spans="1:7" ht="20.100000000000001" customHeight="1" x14ac:dyDescent="0.25">
      <c r="A114" s="106"/>
      <c r="B114" s="30"/>
      <c r="C114" s="16"/>
      <c r="D114" s="16"/>
      <c r="E114" s="17"/>
      <c r="F114" s="4"/>
      <c r="G114" s="82"/>
    </row>
    <row r="115" spans="1:7" ht="20.100000000000001" customHeight="1" x14ac:dyDescent="0.25">
      <c r="A115" s="106"/>
      <c r="B115" s="30"/>
      <c r="C115" s="16"/>
      <c r="D115" s="16"/>
      <c r="E115" s="17"/>
      <c r="F115" s="4"/>
      <c r="G115" s="82"/>
    </row>
    <row r="116" spans="1:7" ht="20.100000000000001" customHeight="1" x14ac:dyDescent="0.25">
      <c r="A116" s="106"/>
      <c r="B116" s="30"/>
      <c r="C116" s="16"/>
      <c r="D116" s="16"/>
      <c r="E116" s="17"/>
      <c r="F116" s="4"/>
      <c r="G116" s="82"/>
    </row>
    <row r="117" spans="1:7" ht="20.100000000000001" customHeight="1" x14ac:dyDescent="0.25">
      <c r="A117" s="106"/>
      <c r="B117" s="30"/>
      <c r="C117" s="16"/>
      <c r="D117" s="16"/>
      <c r="E117" s="17"/>
      <c r="F117" s="4"/>
      <c r="G117" s="82"/>
    </row>
    <row r="118" spans="1:7" ht="20.100000000000001" customHeight="1" x14ac:dyDescent="0.25">
      <c r="A118" s="106"/>
      <c r="B118" s="30"/>
      <c r="C118" s="16"/>
      <c r="D118" s="16"/>
      <c r="E118" s="17"/>
      <c r="F118" s="4"/>
      <c r="G118" s="82"/>
    </row>
    <row r="119" spans="1:7" ht="20.100000000000001" customHeight="1" x14ac:dyDescent="0.25">
      <c r="A119" s="106"/>
      <c r="B119" s="30"/>
      <c r="C119" s="16"/>
      <c r="D119" s="16"/>
      <c r="E119" s="17"/>
      <c r="F119" s="4"/>
      <c r="G119" s="82"/>
    </row>
    <row r="120" spans="1:7" ht="20.100000000000001" customHeight="1" x14ac:dyDescent="0.25">
      <c r="A120" s="106"/>
      <c r="B120" s="30"/>
      <c r="C120" s="16"/>
      <c r="D120" s="16"/>
      <c r="E120" s="17"/>
      <c r="F120" s="4"/>
      <c r="G120" s="82"/>
    </row>
    <row r="121" spans="1:7" ht="20.100000000000001" customHeight="1" x14ac:dyDescent="0.25">
      <c r="A121" s="106"/>
      <c r="B121" s="30"/>
      <c r="C121" s="16"/>
      <c r="D121" s="16"/>
      <c r="E121" s="17"/>
      <c r="F121" s="4"/>
      <c r="G121" s="82"/>
    </row>
    <row r="122" spans="1:7" ht="20.100000000000001" customHeight="1" x14ac:dyDescent="0.25">
      <c r="A122" s="106"/>
      <c r="B122" s="30"/>
      <c r="C122" s="16"/>
      <c r="D122" s="16"/>
      <c r="E122" s="17"/>
      <c r="F122" s="4"/>
      <c r="G122" s="82"/>
    </row>
    <row r="123" spans="1:7" ht="20.100000000000001" customHeight="1" x14ac:dyDescent="0.25">
      <c r="A123" s="106"/>
      <c r="B123" s="30"/>
      <c r="C123" s="16"/>
      <c r="D123" s="16"/>
      <c r="E123" s="17"/>
      <c r="F123" s="4"/>
      <c r="G123" s="82"/>
    </row>
    <row r="124" spans="1:7" ht="20.100000000000001" customHeight="1" x14ac:dyDescent="0.25">
      <c r="A124" s="106"/>
      <c r="B124" s="30"/>
      <c r="C124" s="16"/>
      <c r="D124" s="16"/>
      <c r="E124" s="17"/>
      <c r="F124" s="4"/>
      <c r="G124" s="82"/>
    </row>
    <row r="125" spans="1:7" ht="20.100000000000001" customHeight="1" x14ac:dyDescent="0.25">
      <c r="A125" s="106"/>
      <c r="B125" s="30"/>
      <c r="C125" s="16"/>
      <c r="D125" s="16"/>
      <c r="E125" s="17"/>
      <c r="F125" s="4"/>
      <c r="G125" s="82"/>
    </row>
    <row r="126" spans="1:7" ht="20.100000000000001" customHeight="1" x14ac:dyDescent="0.25">
      <c r="A126" s="106"/>
      <c r="B126" s="30"/>
      <c r="C126" s="16"/>
      <c r="D126" s="16"/>
      <c r="E126" s="17"/>
      <c r="F126" s="4"/>
      <c r="G126" s="82"/>
    </row>
    <row r="127" spans="1:7" ht="20.100000000000001" customHeight="1" x14ac:dyDescent="0.25">
      <c r="A127" s="106"/>
      <c r="B127" s="30"/>
      <c r="C127" s="16"/>
      <c r="D127" s="16"/>
      <c r="E127" s="17"/>
      <c r="F127" s="4"/>
      <c r="G127" s="82"/>
    </row>
    <row r="128" spans="1:7" ht="20.100000000000001" customHeight="1" x14ac:dyDescent="0.25">
      <c r="A128" s="106"/>
      <c r="B128" s="30"/>
      <c r="C128" s="16"/>
      <c r="D128" s="16"/>
      <c r="E128" s="17"/>
      <c r="F128" s="4"/>
      <c r="G128" s="82"/>
    </row>
    <row r="129" spans="1:7" ht="20.100000000000001" customHeight="1" x14ac:dyDescent="0.25">
      <c r="A129" s="106"/>
      <c r="B129" s="30"/>
      <c r="C129" s="16"/>
      <c r="D129" s="16"/>
      <c r="E129" s="17"/>
      <c r="F129" s="4"/>
      <c r="G129" s="82"/>
    </row>
    <row r="130" spans="1:7" ht="20.100000000000001" customHeight="1" x14ac:dyDescent="0.25">
      <c r="A130" s="106"/>
      <c r="B130" s="30"/>
      <c r="C130" s="16"/>
      <c r="D130" s="16"/>
      <c r="E130" s="17"/>
      <c r="F130" s="4"/>
      <c r="G130" s="82"/>
    </row>
    <row r="131" spans="1:7" ht="20.100000000000001" customHeight="1" x14ac:dyDescent="0.25">
      <c r="A131" s="106"/>
      <c r="B131" s="30"/>
      <c r="C131" s="16"/>
      <c r="D131" s="16"/>
      <c r="E131" s="17"/>
      <c r="F131" s="4"/>
      <c r="G131" s="82"/>
    </row>
    <row r="132" spans="1:7" ht="20.100000000000001" customHeight="1" x14ac:dyDescent="0.25">
      <c r="A132" s="106"/>
      <c r="B132" s="30"/>
      <c r="C132" s="16"/>
      <c r="D132" s="16"/>
      <c r="E132" s="17"/>
      <c r="F132" s="4"/>
      <c r="G132" s="82"/>
    </row>
    <row r="133" spans="1:7" ht="20.100000000000001" customHeight="1" x14ac:dyDescent="0.25">
      <c r="A133" s="106"/>
      <c r="B133" s="30"/>
      <c r="C133" s="16"/>
      <c r="D133" s="16"/>
      <c r="E133" s="17"/>
      <c r="F133" s="4"/>
      <c r="G133" s="82"/>
    </row>
    <row r="134" spans="1:7" ht="20.100000000000001" customHeight="1" x14ac:dyDescent="0.25">
      <c r="A134" s="106"/>
      <c r="B134" s="30"/>
      <c r="C134" s="16"/>
      <c r="D134" s="16"/>
      <c r="E134" s="17"/>
      <c r="F134" s="4"/>
      <c r="G134" s="82"/>
    </row>
    <row r="135" spans="1:7" ht="20.100000000000001" customHeight="1" x14ac:dyDescent="0.25">
      <c r="A135" s="106"/>
      <c r="B135" s="30"/>
      <c r="C135" s="16"/>
      <c r="D135" s="16"/>
      <c r="E135" s="17"/>
      <c r="F135" s="4"/>
      <c r="G135" s="82"/>
    </row>
    <row r="136" spans="1:7" ht="20.100000000000001" customHeight="1" x14ac:dyDescent="0.25">
      <c r="A136" s="106"/>
      <c r="B136" s="30"/>
      <c r="C136" s="16"/>
      <c r="D136" s="16"/>
      <c r="E136" s="17"/>
      <c r="F136" s="4"/>
      <c r="G136" s="82"/>
    </row>
    <row r="137" spans="1:7" ht="20.100000000000001" customHeight="1" x14ac:dyDescent="0.25">
      <c r="A137" s="106"/>
      <c r="B137" s="30"/>
      <c r="C137" s="16"/>
      <c r="D137" s="16"/>
      <c r="E137" s="17"/>
      <c r="F137" s="4"/>
      <c r="G137" s="82"/>
    </row>
    <row r="138" spans="1:7" ht="20.100000000000001" customHeight="1" x14ac:dyDescent="0.25">
      <c r="A138" s="106"/>
      <c r="B138" s="30"/>
      <c r="C138" s="16"/>
      <c r="D138" s="16"/>
      <c r="E138" s="17"/>
      <c r="F138" s="4"/>
      <c r="G138" s="82"/>
    </row>
    <row r="139" spans="1:7" ht="20.100000000000001" customHeight="1" x14ac:dyDescent="0.25">
      <c r="A139" s="106"/>
      <c r="B139" s="30"/>
      <c r="C139" s="16"/>
      <c r="D139" s="16"/>
      <c r="E139" s="17"/>
      <c r="F139" s="4"/>
      <c r="G139" s="82"/>
    </row>
    <row r="140" spans="1:7" ht="20.100000000000001" customHeight="1" x14ac:dyDescent="0.25">
      <c r="A140" s="106"/>
      <c r="B140" s="30"/>
      <c r="C140" s="16"/>
      <c r="D140" s="16"/>
      <c r="E140" s="17"/>
      <c r="F140" s="4"/>
      <c r="G140" s="82"/>
    </row>
    <row r="141" spans="1:7" ht="20.100000000000001" customHeight="1" x14ac:dyDescent="0.25">
      <c r="A141" s="106"/>
      <c r="B141" s="30"/>
      <c r="C141" s="16"/>
      <c r="D141" s="16"/>
      <c r="E141" s="17"/>
      <c r="F141" s="4"/>
      <c r="G141" s="82"/>
    </row>
    <row r="142" spans="1:7" ht="20.100000000000001" customHeight="1" x14ac:dyDescent="0.25">
      <c r="A142" s="106"/>
      <c r="B142" s="30"/>
      <c r="C142" s="16"/>
      <c r="D142" s="16"/>
      <c r="E142" s="17"/>
      <c r="F142" s="4"/>
      <c r="G142" s="82"/>
    </row>
    <row r="143" spans="1:7" ht="20.100000000000001" customHeight="1" x14ac:dyDescent="0.25">
      <c r="A143" s="106"/>
      <c r="B143" s="30"/>
      <c r="C143" s="16"/>
      <c r="D143" s="16"/>
      <c r="E143" s="17"/>
      <c r="F143" s="4"/>
      <c r="G143" s="82"/>
    </row>
    <row r="144" spans="1:7" ht="20.100000000000001" customHeight="1" x14ac:dyDescent="0.25">
      <c r="A144" s="106"/>
      <c r="B144" s="30"/>
      <c r="C144" s="16"/>
      <c r="D144" s="16"/>
      <c r="E144" s="17"/>
      <c r="F144" s="4"/>
      <c r="G144" s="82"/>
    </row>
    <row r="145" spans="1:7" ht="20.100000000000001" customHeight="1" x14ac:dyDescent="0.25">
      <c r="A145" s="106"/>
      <c r="B145" s="30"/>
      <c r="C145" s="16"/>
      <c r="D145" s="16"/>
      <c r="E145" s="17"/>
      <c r="F145" s="4"/>
      <c r="G145" s="82"/>
    </row>
    <row r="146" spans="1:7" ht="20.100000000000001" customHeight="1" x14ac:dyDescent="0.25">
      <c r="A146" s="106"/>
      <c r="B146" s="30"/>
      <c r="C146" s="16"/>
      <c r="D146" s="16"/>
      <c r="E146" s="17"/>
      <c r="F146" s="4"/>
      <c r="G146" s="82"/>
    </row>
    <row r="147" spans="1:7" ht="20.100000000000001" customHeight="1" x14ac:dyDescent="0.25">
      <c r="A147" s="106"/>
      <c r="B147" s="30"/>
      <c r="C147" s="16"/>
      <c r="D147" s="16"/>
      <c r="E147" s="17"/>
      <c r="F147" s="4"/>
      <c r="G147" s="82"/>
    </row>
    <row r="148" spans="1:7" ht="20.100000000000001" customHeight="1" x14ac:dyDescent="0.25">
      <c r="A148" s="106"/>
      <c r="B148" s="30"/>
      <c r="C148" s="16"/>
      <c r="D148" s="16"/>
      <c r="E148" s="17"/>
      <c r="F148" s="4"/>
      <c r="G148" s="82"/>
    </row>
    <row r="149" spans="1:7" ht="20.100000000000001" customHeight="1" x14ac:dyDescent="0.25">
      <c r="A149" s="106"/>
      <c r="B149" s="30"/>
      <c r="C149" s="16"/>
      <c r="D149" s="16"/>
      <c r="E149" s="17"/>
      <c r="F149" s="4"/>
      <c r="G149" s="82"/>
    </row>
    <row r="150" spans="1:7" ht="20.100000000000001" customHeight="1" x14ac:dyDescent="0.25">
      <c r="A150" s="106"/>
      <c r="B150" s="30"/>
      <c r="C150" s="16"/>
      <c r="D150" s="16"/>
      <c r="E150" s="17"/>
      <c r="F150" s="4"/>
      <c r="G150" s="82"/>
    </row>
    <row r="151" spans="1:7" ht="20.100000000000001" customHeight="1" x14ac:dyDescent="0.25">
      <c r="A151" s="106"/>
      <c r="B151" s="30"/>
      <c r="C151" s="16"/>
      <c r="D151" s="16"/>
      <c r="E151" s="17"/>
      <c r="F151" s="4"/>
      <c r="G151" s="82"/>
    </row>
    <row r="152" spans="1:7" ht="20.100000000000001" customHeight="1" x14ac:dyDescent="0.25">
      <c r="A152" s="106"/>
      <c r="B152" s="30"/>
      <c r="C152" s="16"/>
      <c r="D152" s="16"/>
      <c r="E152" s="17"/>
      <c r="F152" s="4"/>
      <c r="G152" s="82"/>
    </row>
    <row r="153" spans="1:7" ht="20.100000000000001" customHeight="1" x14ac:dyDescent="0.25">
      <c r="A153" s="106"/>
      <c r="B153" s="30"/>
      <c r="C153" s="16"/>
      <c r="D153" s="16"/>
      <c r="E153" s="17"/>
      <c r="F153" s="4"/>
      <c r="G153" s="82"/>
    </row>
    <row r="154" spans="1:7" ht="20.100000000000001" customHeight="1" x14ac:dyDescent="0.25">
      <c r="A154" s="106"/>
      <c r="B154" s="30"/>
      <c r="C154" s="16"/>
      <c r="D154" s="16"/>
      <c r="E154" s="17"/>
      <c r="F154" s="4"/>
      <c r="G154" s="82"/>
    </row>
    <row r="155" spans="1:7" ht="20.100000000000001" customHeight="1" x14ac:dyDescent="0.25">
      <c r="A155" s="106"/>
      <c r="B155" s="30"/>
      <c r="C155" s="16"/>
      <c r="D155" s="16"/>
      <c r="E155" s="17"/>
      <c r="F155" s="4"/>
      <c r="G155" s="82"/>
    </row>
    <row r="156" spans="1:7" ht="20.100000000000001" customHeight="1" x14ac:dyDescent="0.25">
      <c r="A156" s="106"/>
      <c r="B156" s="30"/>
      <c r="C156" s="16"/>
      <c r="D156" s="16"/>
      <c r="E156" s="17"/>
      <c r="F156" s="4"/>
      <c r="G156" s="82"/>
    </row>
    <row r="157" spans="1:7" ht="20.100000000000001" customHeight="1" x14ac:dyDescent="0.25">
      <c r="A157" s="106"/>
      <c r="B157" s="30"/>
      <c r="C157" s="16"/>
      <c r="D157" s="16"/>
      <c r="E157" s="17"/>
      <c r="F157" s="4"/>
      <c r="G157" s="82"/>
    </row>
    <row r="158" spans="1:7" ht="20.100000000000001" customHeight="1" x14ac:dyDescent="0.25">
      <c r="A158" s="106"/>
      <c r="B158" s="30"/>
      <c r="C158" s="16"/>
      <c r="D158" s="16"/>
      <c r="E158" s="17"/>
      <c r="F158" s="4"/>
      <c r="G158" s="82"/>
    </row>
    <row r="159" spans="1:7" ht="20.100000000000001" customHeight="1" x14ac:dyDescent="0.25">
      <c r="A159" s="106"/>
      <c r="B159" s="30"/>
      <c r="C159" s="16"/>
      <c r="D159" s="16"/>
      <c r="E159" s="17"/>
      <c r="F159" s="4"/>
      <c r="G159" s="82"/>
    </row>
    <row r="160" spans="1:7" ht="20.100000000000001" customHeight="1" x14ac:dyDescent="0.25">
      <c r="A160" s="106"/>
      <c r="B160" s="30"/>
      <c r="C160" s="16"/>
      <c r="D160" s="16"/>
      <c r="E160" s="17"/>
      <c r="F160" s="4"/>
      <c r="G160" s="82"/>
    </row>
    <row r="161" spans="1:7" ht="20.100000000000001" customHeight="1" x14ac:dyDescent="0.25">
      <c r="A161" s="106"/>
      <c r="B161" s="30"/>
      <c r="C161" s="16"/>
      <c r="D161" s="16"/>
      <c r="E161" s="17"/>
      <c r="F161" s="4"/>
      <c r="G161" s="82"/>
    </row>
    <row r="162" spans="1:7" ht="20.100000000000001" customHeight="1" x14ac:dyDescent="0.25">
      <c r="A162" s="106"/>
      <c r="B162" s="30"/>
      <c r="C162" s="16"/>
      <c r="D162" s="16"/>
      <c r="E162" s="17"/>
      <c r="F162" s="4"/>
      <c r="G162" s="82"/>
    </row>
    <row r="163" spans="1:7" ht="20.100000000000001" customHeight="1" x14ac:dyDescent="0.25">
      <c r="A163" s="106"/>
      <c r="B163" s="30"/>
      <c r="C163" s="16"/>
      <c r="D163" s="16"/>
      <c r="E163" s="17"/>
      <c r="F163" s="4"/>
      <c r="G163" s="82"/>
    </row>
    <row r="164" spans="1:7" ht="20.100000000000001" customHeight="1" x14ac:dyDescent="0.25">
      <c r="A164" s="106"/>
      <c r="B164" s="30"/>
      <c r="C164" s="16"/>
      <c r="D164" s="16"/>
      <c r="E164" s="17"/>
      <c r="F164" s="4"/>
      <c r="G164" s="82"/>
    </row>
    <row r="165" spans="1:7" ht="20.100000000000001" customHeight="1" x14ac:dyDescent="0.25">
      <c r="A165" s="106"/>
      <c r="B165" s="30"/>
      <c r="C165" s="16"/>
      <c r="D165" s="16"/>
      <c r="E165" s="17"/>
      <c r="F165" s="4"/>
      <c r="G165" s="82"/>
    </row>
    <row r="166" spans="1:7" ht="20.100000000000001" customHeight="1" x14ac:dyDescent="0.25">
      <c r="A166" s="106"/>
      <c r="B166" s="30"/>
      <c r="C166" s="16"/>
      <c r="D166" s="16"/>
      <c r="E166" s="17"/>
      <c r="F166" s="4"/>
      <c r="G166" s="82"/>
    </row>
    <row r="167" spans="1:7" ht="20.100000000000001" customHeight="1" x14ac:dyDescent="0.25">
      <c r="A167" s="106"/>
      <c r="B167" s="30"/>
      <c r="C167" s="16"/>
      <c r="D167" s="16"/>
      <c r="E167" s="17"/>
      <c r="F167" s="4"/>
      <c r="G167" s="82"/>
    </row>
    <row r="168" spans="1:7" ht="20.100000000000001" customHeight="1" x14ac:dyDescent="0.25">
      <c r="A168" s="106"/>
      <c r="B168" s="30"/>
      <c r="C168" s="16"/>
      <c r="D168" s="16"/>
      <c r="E168" s="17"/>
      <c r="F168" s="4"/>
      <c r="G168" s="82"/>
    </row>
    <row r="169" spans="1:7" ht="20.100000000000001" customHeight="1" x14ac:dyDescent="0.25">
      <c r="A169" s="106"/>
      <c r="B169" s="30"/>
      <c r="C169" s="16"/>
      <c r="D169" s="16"/>
      <c r="E169" s="17"/>
      <c r="F169" s="4"/>
      <c r="G169" s="82"/>
    </row>
    <row r="170" spans="1:7" ht="20.100000000000001" customHeight="1" x14ac:dyDescent="0.25">
      <c r="A170" s="106"/>
      <c r="B170" s="30"/>
      <c r="C170" s="16"/>
      <c r="D170" s="16"/>
      <c r="E170" s="17"/>
      <c r="F170" s="4"/>
      <c r="G170" s="82"/>
    </row>
    <row r="171" spans="1:7" ht="20.100000000000001" customHeight="1" x14ac:dyDescent="0.25">
      <c r="A171" s="106"/>
      <c r="B171" s="30"/>
      <c r="C171" s="16"/>
      <c r="D171" s="16"/>
      <c r="E171" s="17"/>
      <c r="F171" s="4"/>
      <c r="G171" s="82"/>
    </row>
    <row r="172" spans="1:7" ht="20.100000000000001" customHeight="1" x14ac:dyDescent="0.25">
      <c r="A172" s="106"/>
      <c r="B172" s="30"/>
      <c r="C172" s="16"/>
      <c r="D172" s="16"/>
      <c r="E172" s="17"/>
      <c r="F172" s="4"/>
      <c r="G172" s="82"/>
    </row>
    <row r="173" spans="1:7" ht="20.100000000000001" customHeight="1" x14ac:dyDescent="0.25">
      <c r="A173" s="106"/>
      <c r="B173" s="30"/>
      <c r="C173" s="16"/>
      <c r="D173" s="16"/>
      <c r="E173" s="17"/>
      <c r="F173" s="4"/>
      <c r="G173" s="82"/>
    </row>
    <row r="174" spans="1:7" ht="20.100000000000001" customHeight="1" x14ac:dyDescent="0.25">
      <c r="A174" s="106"/>
      <c r="B174" s="30"/>
      <c r="C174" s="16"/>
      <c r="D174" s="16"/>
      <c r="E174" s="17"/>
      <c r="F174" s="4"/>
      <c r="G174" s="82"/>
    </row>
    <row r="175" spans="1:7" ht="20.100000000000001" customHeight="1" x14ac:dyDescent="0.25">
      <c r="A175" s="106"/>
      <c r="B175" s="30"/>
      <c r="C175" s="16"/>
      <c r="D175" s="16"/>
      <c r="E175" s="17"/>
      <c r="F175" s="4"/>
      <c r="G175" s="82"/>
    </row>
    <row r="176" spans="1:7" ht="20.100000000000001" customHeight="1" x14ac:dyDescent="0.25">
      <c r="A176" s="106"/>
      <c r="B176" s="30"/>
      <c r="C176" s="16"/>
      <c r="D176" s="16"/>
      <c r="E176" s="17"/>
      <c r="F176" s="4"/>
      <c r="G176" s="82"/>
    </row>
    <row r="177" spans="1:7" ht="20.100000000000001" customHeight="1" x14ac:dyDescent="0.25">
      <c r="A177" s="106"/>
      <c r="B177" s="30"/>
      <c r="C177" s="16"/>
      <c r="D177" s="16"/>
      <c r="E177" s="17"/>
      <c r="F177" s="4"/>
      <c r="G177" s="82"/>
    </row>
    <row r="178" spans="1:7" ht="20.100000000000001" customHeight="1" x14ac:dyDescent="0.25">
      <c r="A178" s="106"/>
      <c r="B178" s="30"/>
      <c r="C178" s="16"/>
      <c r="D178" s="16"/>
      <c r="E178" s="17"/>
      <c r="F178" s="4"/>
      <c r="G178" s="82"/>
    </row>
    <row r="179" spans="1:7" ht="20.100000000000001" customHeight="1" x14ac:dyDescent="0.25">
      <c r="A179" s="106"/>
      <c r="B179" s="30"/>
      <c r="C179" s="16"/>
      <c r="D179" s="16"/>
      <c r="E179" s="17"/>
      <c r="F179" s="4"/>
      <c r="G179" s="82"/>
    </row>
    <row r="180" spans="1:7" ht="20.100000000000001" customHeight="1" x14ac:dyDescent="0.25">
      <c r="A180" s="106"/>
      <c r="B180" s="30"/>
      <c r="C180" s="16"/>
      <c r="D180" s="16"/>
      <c r="E180" s="17"/>
      <c r="F180" s="4"/>
      <c r="G180" s="82"/>
    </row>
    <row r="181" spans="1:7" ht="20.100000000000001" customHeight="1" x14ac:dyDescent="0.25">
      <c r="A181" s="106"/>
      <c r="B181" s="30"/>
      <c r="C181" s="16"/>
      <c r="D181" s="16"/>
      <c r="E181" s="17"/>
      <c r="F181" s="4"/>
      <c r="G181" s="82"/>
    </row>
    <row r="182" spans="1:7" ht="20.100000000000001" customHeight="1" x14ac:dyDescent="0.25">
      <c r="A182" s="106"/>
      <c r="B182" s="30"/>
      <c r="C182" s="16"/>
      <c r="D182" s="16"/>
      <c r="E182" s="17"/>
      <c r="F182" s="4"/>
      <c r="G182" s="82"/>
    </row>
    <row r="183" spans="1:7" ht="20.100000000000001" customHeight="1" x14ac:dyDescent="0.25">
      <c r="A183" s="106"/>
      <c r="B183" s="30"/>
      <c r="C183" s="16"/>
      <c r="D183" s="16"/>
      <c r="E183" s="17"/>
      <c r="F183" s="4"/>
      <c r="G183" s="82"/>
    </row>
    <row r="184" spans="1:7" ht="20.100000000000001" customHeight="1" x14ac:dyDescent="0.25">
      <c r="A184" s="106"/>
      <c r="B184" s="30"/>
      <c r="C184" s="16"/>
      <c r="D184" s="16"/>
      <c r="E184" s="17"/>
      <c r="F184" s="4"/>
      <c r="G184" s="82"/>
    </row>
    <row r="185" spans="1:7" ht="20.100000000000001" customHeight="1" x14ac:dyDescent="0.25">
      <c r="A185" s="106"/>
      <c r="B185" s="30"/>
      <c r="C185" s="16"/>
      <c r="D185" s="16"/>
      <c r="E185" s="17"/>
      <c r="F185" s="4"/>
      <c r="G185" s="82"/>
    </row>
    <row r="186" spans="1:7" ht="20.100000000000001" customHeight="1" x14ac:dyDescent="0.25">
      <c r="A186" s="106"/>
      <c r="B186" s="30"/>
      <c r="C186" s="16"/>
      <c r="D186" s="16"/>
      <c r="E186" s="17"/>
      <c r="F186" s="4"/>
      <c r="G186" s="82"/>
    </row>
    <row r="187" spans="1:7" ht="20.100000000000001" customHeight="1" x14ac:dyDescent="0.25">
      <c r="A187" s="106"/>
      <c r="B187" s="30"/>
      <c r="C187" s="16"/>
      <c r="D187" s="16"/>
      <c r="E187" s="17"/>
      <c r="F187" s="4"/>
      <c r="G187" s="82"/>
    </row>
    <row r="188" spans="1:7" ht="20.100000000000001" customHeight="1" x14ac:dyDescent="0.25">
      <c r="A188" s="106"/>
      <c r="B188" s="30"/>
      <c r="C188" s="16"/>
      <c r="D188" s="16"/>
      <c r="E188" s="17"/>
      <c r="F188" s="4"/>
      <c r="G188" s="82"/>
    </row>
    <row r="189" spans="1:7" ht="20.100000000000001" customHeight="1" x14ac:dyDescent="0.25">
      <c r="A189" s="106"/>
      <c r="B189" s="30"/>
      <c r="C189" s="16"/>
      <c r="D189" s="16"/>
      <c r="E189" s="17"/>
      <c r="F189" s="4"/>
      <c r="G189" s="82"/>
    </row>
    <row r="190" spans="1:7" ht="20.100000000000001" customHeight="1" x14ac:dyDescent="0.25">
      <c r="A190" s="106"/>
      <c r="B190" s="30"/>
      <c r="C190" s="16"/>
      <c r="D190" s="16"/>
      <c r="E190" s="17"/>
      <c r="F190" s="4"/>
      <c r="G190" s="82"/>
    </row>
    <row r="191" spans="1:7" ht="20.100000000000001" customHeight="1" x14ac:dyDescent="0.25">
      <c r="A191" s="106"/>
      <c r="B191" s="30"/>
      <c r="C191" s="16"/>
      <c r="D191" s="16"/>
      <c r="E191" s="17"/>
      <c r="F191" s="4"/>
      <c r="G191" s="82"/>
    </row>
    <row r="192" spans="1:7" ht="20.100000000000001" customHeight="1" x14ac:dyDescent="0.25">
      <c r="A192" s="106"/>
      <c r="B192" s="30"/>
      <c r="C192" s="16"/>
      <c r="D192" s="16"/>
      <c r="E192" s="17"/>
      <c r="F192" s="4"/>
      <c r="G192" s="82"/>
    </row>
    <row r="193" spans="1:7" ht="20.100000000000001" customHeight="1" x14ac:dyDescent="0.25">
      <c r="A193" s="106"/>
      <c r="B193" s="30"/>
      <c r="C193" s="16"/>
      <c r="D193" s="16"/>
      <c r="E193" s="17"/>
      <c r="F193" s="4"/>
      <c r="G193" s="82"/>
    </row>
    <row r="194" spans="1:7" ht="20.100000000000001" customHeight="1" x14ac:dyDescent="0.25">
      <c r="A194" s="106"/>
      <c r="B194" s="30"/>
      <c r="C194" s="16"/>
      <c r="D194" s="16"/>
      <c r="E194" s="17"/>
      <c r="F194" s="4"/>
      <c r="G194" s="82"/>
    </row>
    <row r="195" spans="1:7" ht="20.100000000000001" customHeight="1" x14ac:dyDescent="0.25">
      <c r="A195" s="106"/>
      <c r="B195" s="30"/>
      <c r="C195" s="16"/>
      <c r="D195" s="16"/>
      <c r="E195" s="17"/>
      <c r="F195" s="4"/>
      <c r="G195" s="82"/>
    </row>
    <row r="196" spans="1:7" ht="20.100000000000001" customHeight="1" x14ac:dyDescent="0.25">
      <c r="A196" s="106"/>
      <c r="B196" s="30"/>
      <c r="C196" s="16"/>
      <c r="D196" s="16"/>
      <c r="E196" s="17"/>
      <c r="F196" s="4"/>
      <c r="G196" s="82"/>
    </row>
    <row r="197" spans="1:7" ht="20.100000000000001" customHeight="1" x14ac:dyDescent="0.25">
      <c r="A197" s="106"/>
      <c r="B197" s="30"/>
      <c r="C197" s="16"/>
      <c r="D197" s="16"/>
      <c r="E197" s="17"/>
      <c r="F197" s="4"/>
      <c r="G197" s="82"/>
    </row>
    <row r="198" spans="1:7" ht="20.100000000000001" customHeight="1" x14ac:dyDescent="0.25">
      <c r="A198" s="106"/>
      <c r="B198" s="30"/>
      <c r="C198" s="16"/>
      <c r="D198" s="16"/>
      <c r="E198" s="17"/>
      <c r="F198" s="4"/>
      <c r="G198" s="82"/>
    </row>
    <row r="199" spans="1:7" ht="20.100000000000001" customHeight="1" x14ac:dyDescent="0.25">
      <c r="A199" s="106"/>
      <c r="B199" s="30"/>
      <c r="C199" s="16"/>
      <c r="D199" s="16"/>
      <c r="E199" s="17"/>
      <c r="F199" s="4"/>
      <c r="G199" s="82"/>
    </row>
    <row r="200" spans="1:7" ht="20.100000000000001" customHeight="1" x14ac:dyDescent="0.25">
      <c r="A200" s="106"/>
      <c r="B200" s="30"/>
      <c r="C200" s="16"/>
      <c r="D200" s="16"/>
      <c r="E200" s="17"/>
      <c r="F200" s="4"/>
      <c r="G200" s="82"/>
    </row>
    <row r="201" spans="1:7" ht="20.100000000000001" customHeight="1" x14ac:dyDescent="0.25">
      <c r="A201" s="106"/>
      <c r="B201" s="30"/>
      <c r="C201" s="16"/>
      <c r="D201" s="16"/>
      <c r="E201" s="17"/>
      <c r="F201" s="4"/>
      <c r="G201" s="82"/>
    </row>
    <row r="202" spans="1:7" ht="20.100000000000001" customHeight="1" x14ac:dyDescent="0.25">
      <c r="A202" s="106"/>
      <c r="B202" s="30"/>
      <c r="C202" s="16"/>
      <c r="D202" s="16"/>
      <c r="E202" s="17"/>
      <c r="F202" s="4"/>
      <c r="G202" s="82"/>
    </row>
    <row r="203" spans="1:7" ht="20.100000000000001" customHeight="1" x14ac:dyDescent="0.25">
      <c r="A203" s="106"/>
      <c r="B203" s="30"/>
      <c r="C203" s="16"/>
      <c r="D203" s="16"/>
      <c r="E203" s="17"/>
      <c r="F203" s="4"/>
      <c r="G203" s="82"/>
    </row>
    <row r="204" spans="1:7" ht="20.100000000000001" customHeight="1" x14ac:dyDescent="0.25">
      <c r="A204" s="106"/>
      <c r="B204" s="30"/>
      <c r="C204" s="16"/>
      <c r="D204" s="16"/>
      <c r="E204" s="17"/>
      <c r="F204" s="4"/>
      <c r="G204" s="82"/>
    </row>
    <row r="205" spans="1:7" ht="20.100000000000001" customHeight="1" x14ac:dyDescent="0.25">
      <c r="A205" s="106"/>
      <c r="B205" s="30"/>
      <c r="C205" s="16"/>
      <c r="D205" s="16"/>
      <c r="E205" s="17"/>
      <c r="F205" s="4"/>
      <c r="G205" s="82"/>
    </row>
    <row r="206" spans="1:7" ht="20.100000000000001" customHeight="1" x14ac:dyDescent="0.25">
      <c r="A206" s="106"/>
      <c r="B206" s="30"/>
      <c r="C206" s="16"/>
      <c r="D206" s="16"/>
      <c r="E206" s="17"/>
      <c r="F206" s="4"/>
      <c r="G206" s="82"/>
    </row>
    <row r="207" spans="1:7" ht="20.100000000000001" customHeight="1" x14ac:dyDescent="0.25">
      <c r="A207" s="106"/>
      <c r="B207" s="30"/>
      <c r="C207" s="16"/>
      <c r="D207" s="16"/>
      <c r="E207" s="17"/>
      <c r="F207" s="4"/>
      <c r="G207" s="82"/>
    </row>
    <row r="208" spans="1:7" ht="20.100000000000001" customHeight="1" x14ac:dyDescent="0.25">
      <c r="A208" s="106"/>
      <c r="B208" s="30"/>
      <c r="C208" s="16"/>
      <c r="D208" s="16"/>
      <c r="E208" s="17"/>
      <c r="F208" s="4"/>
      <c r="G208" s="82"/>
    </row>
    <row r="209" spans="1:7" ht="20.100000000000001" customHeight="1" x14ac:dyDescent="0.25">
      <c r="A209" s="106"/>
      <c r="B209" s="30"/>
      <c r="C209" s="16"/>
      <c r="D209" s="16"/>
      <c r="E209" s="17"/>
      <c r="F209" s="4"/>
      <c r="G209" s="82"/>
    </row>
    <row r="210" spans="1:7" ht="20.100000000000001" customHeight="1" x14ac:dyDescent="0.25">
      <c r="A210" s="106"/>
      <c r="B210" s="30"/>
      <c r="C210" s="16"/>
      <c r="D210" s="16"/>
      <c r="E210" s="17"/>
      <c r="F210" s="4"/>
      <c r="G210" s="82"/>
    </row>
    <row r="211" spans="1:7" ht="20.100000000000001" customHeight="1" x14ac:dyDescent="0.25">
      <c r="A211" s="106"/>
      <c r="B211" s="30"/>
      <c r="C211" s="16"/>
      <c r="D211" s="16"/>
      <c r="E211" s="17"/>
      <c r="F211" s="4"/>
      <c r="G211" s="82"/>
    </row>
    <row r="212" spans="1:7" ht="20.100000000000001" customHeight="1" x14ac:dyDescent="0.25">
      <c r="A212" s="106"/>
      <c r="B212" s="30"/>
      <c r="C212" s="16"/>
      <c r="D212" s="16"/>
      <c r="E212" s="17"/>
      <c r="F212" s="4"/>
      <c r="G212" s="82"/>
    </row>
    <row r="213" spans="1:7" ht="20.100000000000001" customHeight="1" x14ac:dyDescent="0.25">
      <c r="A213" s="106"/>
      <c r="B213" s="30"/>
      <c r="C213" s="16"/>
      <c r="D213" s="16"/>
      <c r="E213" s="17"/>
      <c r="F213" s="4"/>
      <c r="G213" s="82"/>
    </row>
    <row r="214" spans="1:7" ht="20.100000000000001" customHeight="1" x14ac:dyDescent="0.25">
      <c r="A214" s="106"/>
      <c r="B214" s="30"/>
      <c r="C214" s="16"/>
      <c r="D214" s="16"/>
      <c r="E214" s="17"/>
      <c r="F214" s="4"/>
      <c r="G214" s="82"/>
    </row>
    <row r="215" spans="1:7" ht="20.100000000000001" customHeight="1" x14ac:dyDescent="0.25">
      <c r="A215" s="106"/>
      <c r="B215" s="30"/>
      <c r="C215" s="16"/>
      <c r="D215" s="16"/>
      <c r="E215" s="17"/>
      <c r="F215" s="4"/>
      <c r="G215" s="82"/>
    </row>
    <row r="216" spans="1:7" ht="20.100000000000001" customHeight="1" x14ac:dyDescent="0.25">
      <c r="A216" s="106"/>
      <c r="B216" s="30"/>
      <c r="C216" s="16"/>
      <c r="D216" s="16"/>
      <c r="E216" s="17"/>
      <c r="F216" s="4"/>
      <c r="G216" s="82"/>
    </row>
    <row r="217" spans="1:7" ht="20.100000000000001" customHeight="1" x14ac:dyDescent="0.25">
      <c r="A217" s="106"/>
      <c r="B217" s="30"/>
      <c r="C217" s="16"/>
      <c r="D217" s="16"/>
      <c r="E217" s="17"/>
      <c r="F217" s="4"/>
      <c r="G217" s="82"/>
    </row>
    <row r="218" spans="1:7" ht="20.100000000000001" customHeight="1" x14ac:dyDescent="0.25">
      <c r="A218" s="106"/>
      <c r="B218" s="30"/>
      <c r="C218" s="16"/>
      <c r="D218" s="16"/>
      <c r="E218" s="17"/>
      <c r="F218" s="4"/>
      <c r="G218" s="82"/>
    </row>
    <row r="219" spans="1:7" ht="20.100000000000001" customHeight="1" x14ac:dyDescent="0.25">
      <c r="A219" s="106"/>
      <c r="B219" s="30"/>
      <c r="C219" s="16"/>
      <c r="D219" s="16"/>
      <c r="E219" s="17"/>
      <c r="F219" s="4"/>
      <c r="G219" s="82"/>
    </row>
    <row r="220" spans="1:7" ht="20.100000000000001" customHeight="1" x14ac:dyDescent="0.25">
      <c r="A220" s="106"/>
      <c r="B220" s="30"/>
      <c r="C220" s="16"/>
      <c r="D220" s="16"/>
      <c r="E220" s="17"/>
      <c r="F220" s="4"/>
      <c r="G220" s="82"/>
    </row>
    <row r="221" spans="1:7" ht="20.100000000000001" customHeight="1" x14ac:dyDescent="0.25">
      <c r="A221" s="106"/>
      <c r="B221" s="30"/>
      <c r="C221" s="16"/>
      <c r="D221" s="16"/>
      <c r="E221" s="17"/>
      <c r="F221" s="4"/>
      <c r="G221" s="82"/>
    </row>
    <row r="222" spans="1:7" ht="20.100000000000001" customHeight="1" x14ac:dyDescent="0.25">
      <c r="A222" s="106"/>
      <c r="B222" s="30"/>
      <c r="C222" s="16"/>
      <c r="D222" s="16"/>
      <c r="E222" s="17"/>
      <c r="F222" s="4"/>
      <c r="G222" s="82"/>
    </row>
    <row r="223" spans="1:7" ht="20.100000000000001" customHeight="1" x14ac:dyDescent="0.25">
      <c r="A223" s="106"/>
      <c r="B223" s="30"/>
      <c r="C223" s="16"/>
      <c r="D223" s="16"/>
      <c r="E223" s="17"/>
      <c r="F223" s="4"/>
      <c r="G223" s="82"/>
    </row>
    <row r="224" spans="1:7" ht="20.100000000000001" customHeight="1" x14ac:dyDescent="0.25">
      <c r="A224" s="106"/>
      <c r="B224" s="30"/>
      <c r="C224" s="16"/>
      <c r="D224" s="16"/>
      <c r="E224" s="17"/>
      <c r="F224" s="4"/>
      <c r="G224" s="82"/>
    </row>
    <row r="225" spans="1:7" ht="20.100000000000001" customHeight="1" x14ac:dyDescent="0.25">
      <c r="A225" s="106"/>
      <c r="B225" s="30"/>
      <c r="C225" s="16"/>
      <c r="D225" s="16"/>
      <c r="E225" s="17"/>
      <c r="F225" s="4"/>
      <c r="G225" s="82"/>
    </row>
    <row r="226" spans="1:7" ht="20.100000000000001" customHeight="1" x14ac:dyDescent="0.25">
      <c r="A226" s="106"/>
      <c r="B226" s="30"/>
      <c r="C226" s="16"/>
      <c r="D226" s="16"/>
      <c r="E226" s="17"/>
      <c r="F226" s="4"/>
      <c r="G226" s="82"/>
    </row>
    <row r="227" spans="1:7" ht="20.100000000000001" customHeight="1" x14ac:dyDescent="0.25">
      <c r="A227" s="106"/>
      <c r="B227" s="30"/>
      <c r="C227" s="16"/>
      <c r="D227" s="16"/>
      <c r="E227" s="17"/>
      <c r="F227" s="4"/>
      <c r="G227" s="82"/>
    </row>
    <row r="228" spans="1:7" ht="20.100000000000001" customHeight="1" x14ac:dyDescent="0.25">
      <c r="A228" s="106"/>
      <c r="B228" s="30"/>
      <c r="C228" s="16"/>
      <c r="D228" s="16"/>
      <c r="E228" s="17"/>
      <c r="F228" s="4"/>
      <c r="G228" s="82"/>
    </row>
    <row r="229" spans="1:7" ht="20.100000000000001" customHeight="1" x14ac:dyDescent="0.25">
      <c r="A229" s="106"/>
      <c r="B229" s="30"/>
      <c r="C229" s="16"/>
      <c r="D229" s="16"/>
      <c r="E229" s="17"/>
      <c r="F229" s="4"/>
      <c r="G229" s="82"/>
    </row>
    <row r="230" spans="1:7" ht="20.100000000000001" customHeight="1" x14ac:dyDescent="0.25">
      <c r="A230" s="106"/>
      <c r="B230" s="30"/>
      <c r="C230" s="16"/>
      <c r="D230" s="16"/>
      <c r="E230" s="17"/>
      <c r="F230" s="4"/>
      <c r="G230" s="82"/>
    </row>
    <row r="231" spans="1:7" ht="20.100000000000001" customHeight="1" x14ac:dyDescent="0.25">
      <c r="A231" s="106"/>
      <c r="B231" s="30"/>
      <c r="C231" s="16"/>
      <c r="D231" s="16"/>
      <c r="E231" s="17"/>
      <c r="F231" s="4"/>
      <c r="G231" s="82"/>
    </row>
    <row r="232" spans="1:7" ht="20.100000000000001" customHeight="1" x14ac:dyDescent="0.25">
      <c r="A232" s="106"/>
      <c r="B232" s="30"/>
      <c r="C232" s="16"/>
      <c r="D232" s="16"/>
      <c r="E232" s="17"/>
      <c r="F232" s="4"/>
      <c r="G232" s="82"/>
    </row>
    <row r="233" spans="1:7" ht="20.100000000000001" customHeight="1" x14ac:dyDescent="0.25">
      <c r="A233" s="106"/>
      <c r="B233" s="30"/>
      <c r="C233" s="16"/>
      <c r="D233" s="16"/>
      <c r="E233" s="17"/>
      <c r="F233" s="4"/>
      <c r="G233" s="82"/>
    </row>
    <row r="234" spans="1:7" ht="20.100000000000001" customHeight="1" x14ac:dyDescent="0.25">
      <c r="A234" s="106"/>
      <c r="B234" s="30"/>
      <c r="C234" s="16"/>
      <c r="D234" s="16"/>
      <c r="E234" s="17"/>
      <c r="F234" s="4"/>
      <c r="G234" s="82"/>
    </row>
    <row r="235" spans="1:7" ht="20.100000000000001" customHeight="1" x14ac:dyDescent="0.25">
      <c r="A235" s="106"/>
      <c r="B235" s="30"/>
      <c r="C235" s="16"/>
      <c r="D235" s="16"/>
      <c r="E235" s="17"/>
      <c r="F235" s="4"/>
      <c r="G235" s="82"/>
    </row>
    <row r="236" spans="1:7" ht="20.100000000000001" customHeight="1" x14ac:dyDescent="0.25">
      <c r="A236" s="106"/>
      <c r="B236" s="30"/>
      <c r="C236" s="16"/>
      <c r="D236" s="16"/>
      <c r="E236" s="17"/>
      <c r="F236" s="4"/>
      <c r="G236" s="82"/>
    </row>
    <row r="237" spans="1:7" ht="20.100000000000001" customHeight="1" x14ac:dyDescent="0.25">
      <c r="A237" s="106"/>
      <c r="B237" s="30"/>
      <c r="C237" s="16"/>
      <c r="D237" s="16"/>
      <c r="E237" s="17"/>
      <c r="F237" s="4"/>
      <c r="G237" s="82"/>
    </row>
    <row r="238" spans="1:7" ht="20.100000000000001" customHeight="1" x14ac:dyDescent="0.25">
      <c r="A238" s="106"/>
      <c r="B238" s="30"/>
      <c r="C238" s="16"/>
      <c r="D238" s="16"/>
      <c r="E238" s="17"/>
      <c r="F238" s="4"/>
      <c r="G238" s="82"/>
    </row>
    <row r="239" spans="1:7" ht="20.100000000000001" customHeight="1" x14ac:dyDescent="0.25">
      <c r="A239" s="106"/>
      <c r="B239" s="30"/>
      <c r="C239" s="16"/>
      <c r="D239" s="16"/>
      <c r="E239" s="17"/>
      <c r="F239" s="4"/>
      <c r="G239" s="82"/>
    </row>
    <row r="240" spans="1:7" ht="20.100000000000001" customHeight="1" x14ac:dyDescent="0.25">
      <c r="A240" s="106"/>
      <c r="B240" s="30"/>
      <c r="C240" s="16"/>
      <c r="D240" s="16"/>
      <c r="E240" s="17"/>
      <c r="F240" s="4"/>
      <c r="G240" s="82"/>
    </row>
    <row r="241" spans="1:7" ht="20.100000000000001" customHeight="1" x14ac:dyDescent="0.25">
      <c r="A241" s="106"/>
      <c r="B241" s="30"/>
      <c r="C241" s="16"/>
      <c r="D241" s="16"/>
      <c r="E241" s="17"/>
      <c r="F241" s="4"/>
      <c r="G241" s="82"/>
    </row>
    <row r="242" spans="1:7" ht="20.100000000000001" customHeight="1" x14ac:dyDescent="0.25">
      <c r="A242" s="106"/>
      <c r="B242" s="30"/>
      <c r="C242" s="16"/>
      <c r="D242" s="16"/>
      <c r="E242" s="17"/>
      <c r="F242" s="4"/>
      <c r="G242" s="82"/>
    </row>
    <row r="243" spans="1:7" ht="20.100000000000001" customHeight="1" x14ac:dyDescent="0.25">
      <c r="A243" s="106"/>
      <c r="B243" s="30"/>
      <c r="C243" s="16"/>
      <c r="D243" s="16"/>
      <c r="E243" s="17"/>
      <c r="F243" s="4"/>
      <c r="G243" s="82"/>
    </row>
    <row r="244" spans="1:7" ht="20.100000000000001" customHeight="1" x14ac:dyDescent="0.25">
      <c r="A244" s="106"/>
      <c r="B244" s="30"/>
      <c r="C244" s="16"/>
      <c r="D244" s="16"/>
      <c r="E244" s="17"/>
      <c r="F244" s="4"/>
      <c r="G244" s="82"/>
    </row>
    <row r="245" spans="1:7" ht="20.100000000000001" customHeight="1" x14ac:dyDescent="0.25">
      <c r="A245" s="106"/>
      <c r="B245" s="30"/>
      <c r="C245" s="16"/>
      <c r="D245" s="16"/>
      <c r="E245" s="17"/>
      <c r="F245" s="4"/>
      <c r="G245" s="82"/>
    </row>
    <row r="246" spans="1:7" ht="20.100000000000001" customHeight="1" x14ac:dyDescent="0.25">
      <c r="A246" s="106"/>
      <c r="B246" s="30"/>
      <c r="C246" s="16"/>
      <c r="D246" s="16"/>
      <c r="E246" s="17"/>
      <c r="F246" s="4"/>
      <c r="G246" s="82"/>
    </row>
    <row r="247" spans="1:7" ht="20.100000000000001" customHeight="1" x14ac:dyDescent="0.25">
      <c r="A247" s="106"/>
      <c r="B247" s="30"/>
      <c r="C247" s="16"/>
      <c r="D247" s="16"/>
      <c r="E247" s="17"/>
      <c r="F247" s="4"/>
      <c r="G247" s="82"/>
    </row>
    <row r="248" spans="1:7" ht="20.100000000000001" customHeight="1" x14ac:dyDescent="0.25">
      <c r="A248" s="106"/>
      <c r="B248" s="30"/>
      <c r="C248" s="16"/>
      <c r="D248" s="16"/>
      <c r="E248" s="17"/>
      <c r="F248" s="4"/>
      <c r="G248" s="82"/>
    </row>
    <row r="249" spans="1:7" ht="20.100000000000001" customHeight="1" x14ac:dyDescent="0.25">
      <c r="A249" s="106"/>
      <c r="B249" s="30"/>
      <c r="C249" s="16"/>
      <c r="D249" s="16"/>
      <c r="E249" s="17"/>
      <c r="F249" s="4"/>
      <c r="G249" s="82"/>
    </row>
    <row r="250" spans="1:7" ht="20.100000000000001" customHeight="1" x14ac:dyDescent="0.25">
      <c r="A250" s="106"/>
      <c r="B250" s="30"/>
      <c r="C250" s="16"/>
      <c r="D250" s="16"/>
      <c r="E250" s="17"/>
      <c r="F250" s="4"/>
      <c r="G250" s="82"/>
    </row>
    <row r="251" spans="1:7" ht="20.100000000000001" customHeight="1" x14ac:dyDescent="0.25">
      <c r="A251" s="106"/>
      <c r="B251" s="30"/>
      <c r="C251" s="16"/>
      <c r="D251" s="16"/>
      <c r="E251" s="17"/>
      <c r="F251" s="4"/>
      <c r="G251" s="82"/>
    </row>
    <row r="252" spans="1:7" ht="20.100000000000001" customHeight="1" x14ac:dyDescent="0.25">
      <c r="A252" s="106"/>
      <c r="B252" s="30"/>
      <c r="C252" s="16"/>
      <c r="D252" s="16"/>
      <c r="E252" s="17"/>
      <c r="F252" s="4"/>
      <c r="G252" s="82"/>
    </row>
    <row r="253" spans="1:7" ht="20.100000000000001" customHeight="1" x14ac:dyDescent="0.25">
      <c r="A253" s="106"/>
      <c r="B253" s="30"/>
      <c r="C253" s="16"/>
      <c r="D253" s="16"/>
      <c r="E253" s="17"/>
      <c r="F253" s="4"/>
      <c r="G253" s="82"/>
    </row>
    <row r="254" spans="1:7" ht="20.100000000000001" customHeight="1" x14ac:dyDescent="0.25">
      <c r="A254" s="106"/>
      <c r="B254" s="30"/>
      <c r="C254" s="16"/>
      <c r="D254" s="16"/>
      <c r="E254" s="17"/>
      <c r="F254" s="4"/>
      <c r="G254" s="82"/>
    </row>
    <row r="255" spans="1:7" ht="20.100000000000001" customHeight="1" x14ac:dyDescent="0.25">
      <c r="A255" s="106"/>
      <c r="B255" s="30"/>
      <c r="C255" s="16"/>
      <c r="D255" s="16"/>
      <c r="E255" s="17"/>
      <c r="F255" s="4"/>
      <c r="G255" s="82"/>
    </row>
    <row r="256" spans="1:7" ht="20.100000000000001" customHeight="1" x14ac:dyDescent="0.25">
      <c r="A256" s="106"/>
      <c r="B256" s="30"/>
      <c r="C256" s="16"/>
      <c r="D256" s="16"/>
      <c r="E256" s="17"/>
      <c r="F256" s="4"/>
      <c r="G256" s="82"/>
    </row>
    <row r="257" spans="1:7" ht="20.100000000000001" customHeight="1" x14ac:dyDescent="0.25">
      <c r="A257" s="106"/>
      <c r="B257" s="30"/>
      <c r="C257" s="16"/>
      <c r="D257" s="16"/>
      <c r="E257" s="17"/>
      <c r="F257" s="4"/>
      <c r="G257" s="82"/>
    </row>
    <row r="258" spans="1:7" ht="20.100000000000001" customHeight="1" x14ac:dyDescent="0.25">
      <c r="A258" s="106"/>
      <c r="B258" s="30"/>
      <c r="C258" s="16"/>
      <c r="D258" s="16"/>
      <c r="E258" s="17"/>
      <c r="F258" s="4"/>
      <c r="G258" s="82"/>
    </row>
    <row r="259" spans="1:7" ht="20.100000000000001" customHeight="1" x14ac:dyDescent="0.25">
      <c r="A259" s="106"/>
      <c r="B259" s="30"/>
      <c r="C259" s="16"/>
      <c r="D259" s="16"/>
      <c r="E259" s="17"/>
      <c r="F259" s="4"/>
      <c r="G259" s="82"/>
    </row>
    <row r="260" spans="1:7" ht="20.100000000000001" customHeight="1" x14ac:dyDescent="0.25">
      <c r="A260" s="106"/>
      <c r="B260" s="30"/>
      <c r="C260" s="16"/>
      <c r="D260" s="16"/>
      <c r="E260" s="17"/>
      <c r="F260" s="4"/>
      <c r="G260" s="82"/>
    </row>
    <row r="261" spans="1:7" ht="20.100000000000001" customHeight="1" x14ac:dyDescent="0.25">
      <c r="A261" s="106"/>
      <c r="B261" s="30"/>
      <c r="C261" s="16"/>
      <c r="D261" s="16"/>
      <c r="E261" s="17"/>
      <c r="F261" s="4"/>
      <c r="G261" s="82"/>
    </row>
    <row r="262" spans="1:7" ht="20.100000000000001" customHeight="1" x14ac:dyDescent="0.25">
      <c r="A262" s="106"/>
      <c r="B262" s="30"/>
      <c r="C262" s="16"/>
      <c r="D262" s="16"/>
      <c r="E262" s="17"/>
      <c r="F262" s="4"/>
      <c r="G262" s="82"/>
    </row>
    <row r="263" spans="1:7" ht="20.100000000000001" customHeight="1" x14ac:dyDescent="0.25">
      <c r="A263" s="106"/>
      <c r="B263" s="30"/>
      <c r="C263" s="16"/>
      <c r="D263" s="16"/>
      <c r="E263" s="17"/>
      <c r="F263" s="4"/>
      <c r="G263" s="82"/>
    </row>
    <row r="264" spans="1:7" ht="20.100000000000001" customHeight="1" x14ac:dyDescent="0.25">
      <c r="A264" s="106"/>
      <c r="B264" s="30"/>
      <c r="C264" s="16"/>
      <c r="D264" s="16"/>
      <c r="E264" s="17"/>
      <c r="F264" s="4"/>
      <c r="G264" s="82"/>
    </row>
    <row r="265" spans="1:7" ht="20.100000000000001" customHeight="1" x14ac:dyDescent="0.25">
      <c r="A265" s="106"/>
      <c r="B265" s="30"/>
      <c r="C265" s="16"/>
      <c r="D265" s="16"/>
      <c r="E265" s="17"/>
      <c r="F265" s="4"/>
      <c r="G265" s="82"/>
    </row>
    <row r="266" spans="1:7" ht="20.100000000000001" customHeight="1" x14ac:dyDescent="0.25">
      <c r="A266" s="106"/>
      <c r="B266" s="30"/>
      <c r="C266" s="16"/>
      <c r="D266" s="16"/>
      <c r="E266" s="17"/>
      <c r="F266" s="4"/>
      <c r="G266" s="82"/>
    </row>
    <row r="267" spans="1:7" ht="20.100000000000001" customHeight="1" x14ac:dyDescent="0.25">
      <c r="A267" s="106"/>
      <c r="B267" s="30"/>
      <c r="C267" s="16"/>
      <c r="D267" s="16"/>
      <c r="E267" s="17"/>
      <c r="F267" s="4"/>
      <c r="G267" s="82"/>
    </row>
    <row r="268" spans="1:7" ht="20.100000000000001" customHeight="1" x14ac:dyDescent="0.25">
      <c r="A268" s="106"/>
      <c r="B268" s="30"/>
      <c r="C268" s="16"/>
      <c r="D268" s="16"/>
      <c r="E268" s="17"/>
      <c r="F268" s="4"/>
      <c r="G268" s="82"/>
    </row>
    <row r="269" spans="1:7" ht="20.100000000000001" customHeight="1" x14ac:dyDescent="0.25">
      <c r="A269" s="106"/>
      <c r="B269" s="30"/>
      <c r="C269" s="16"/>
      <c r="D269" s="16"/>
      <c r="E269" s="17"/>
      <c r="F269" s="4"/>
      <c r="G269" s="82"/>
    </row>
    <row r="270" spans="1:7" ht="20.100000000000001" customHeight="1" x14ac:dyDescent="0.25">
      <c r="A270" s="106"/>
      <c r="B270" s="30"/>
      <c r="C270" s="16"/>
      <c r="D270" s="16"/>
      <c r="E270" s="17"/>
      <c r="F270" s="4"/>
      <c r="G270" s="82"/>
    </row>
    <row r="271" spans="1:7" ht="20.100000000000001" customHeight="1" x14ac:dyDescent="0.25">
      <c r="A271" s="106"/>
      <c r="B271" s="30"/>
      <c r="C271" s="16"/>
      <c r="D271" s="16"/>
      <c r="E271" s="17"/>
      <c r="F271" s="4"/>
      <c r="G271" s="82"/>
    </row>
    <row r="272" spans="1:7" ht="20.100000000000001" customHeight="1" x14ac:dyDescent="0.25">
      <c r="A272" s="106"/>
      <c r="B272" s="30"/>
      <c r="C272" s="16"/>
      <c r="D272" s="16"/>
      <c r="E272" s="17"/>
      <c r="F272" s="4"/>
      <c r="G272" s="82"/>
    </row>
    <row r="273" spans="1:7" ht="20.100000000000001" customHeight="1" x14ac:dyDescent="0.25">
      <c r="A273" s="106"/>
      <c r="B273" s="30"/>
      <c r="C273" s="16"/>
      <c r="D273" s="16"/>
      <c r="E273" s="17"/>
      <c r="F273" s="4"/>
      <c r="G273" s="82"/>
    </row>
    <row r="274" spans="1:7" ht="20.100000000000001" customHeight="1" x14ac:dyDescent="0.25">
      <c r="A274" s="106"/>
      <c r="B274" s="30"/>
      <c r="C274" s="16"/>
      <c r="D274" s="16"/>
      <c r="E274" s="17"/>
      <c r="F274" s="4"/>
      <c r="G274" s="82"/>
    </row>
    <row r="275" spans="1:7" ht="20.100000000000001" customHeight="1" x14ac:dyDescent="0.25">
      <c r="A275" s="106"/>
      <c r="B275" s="30"/>
      <c r="C275" s="16"/>
      <c r="D275" s="16"/>
      <c r="E275" s="17"/>
      <c r="F275" s="4"/>
      <c r="G275" s="82"/>
    </row>
    <row r="276" spans="1:7" ht="20.100000000000001" customHeight="1" x14ac:dyDescent="0.25">
      <c r="A276" s="106"/>
      <c r="B276" s="30"/>
      <c r="C276" s="16"/>
      <c r="D276" s="16"/>
      <c r="E276" s="17"/>
      <c r="F276" s="4"/>
      <c r="G276" s="82"/>
    </row>
    <row r="277" spans="1:7" ht="20.100000000000001" customHeight="1" x14ac:dyDescent="0.25">
      <c r="A277" s="106"/>
      <c r="B277" s="30"/>
      <c r="C277" s="16"/>
      <c r="D277" s="16"/>
      <c r="E277" s="17"/>
      <c r="F277" s="4"/>
      <c r="G277" s="82"/>
    </row>
    <row r="278" spans="1:7" ht="20.100000000000001" customHeight="1" x14ac:dyDescent="0.25">
      <c r="A278" s="106"/>
      <c r="B278" s="30"/>
      <c r="C278" s="16"/>
      <c r="D278" s="16"/>
      <c r="E278" s="17"/>
      <c r="F278" s="4"/>
      <c r="G278" s="82"/>
    </row>
    <row r="279" spans="1:7" ht="20.100000000000001" customHeight="1" x14ac:dyDescent="0.25">
      <c r="A279" s="106"/>
      <c r="B279" s="30"/>
      <c r="C279" s="16"/>
      <c r="D279" s="16"/>
      <c r="E279" s="17"/>
      <c r="F279" s="4"/>
      <c r="G279" s="82"/>
    </row>
    <row r="280" spans="1:7" ht="20.100000000000001" customHeight="1" x14ac:dyDescent="0.25">
      <c r="A280" s="106"/>
      <c r="B280" s="30"/>
      <c r="C280" s="16"/>
      <c r="D280" s="16"/>
      <c r="E280" s="17"/>
      <c r="F280" s="4"/>
      <c r="G280" s="82"/>
    </row>
    <row r="281" spans="1:7" ht="20.100000000000001" customHeight="1" x14ac:dyDescent="0.25">
      <c r="A281" s="106"/>
      <c r="B281" s="30"/>
      <c r="C281" s="16"/>
      <c r="D281" s="16"/>
      <c r="E281" s="17"/>
      <c r="F281" s="4"/>
      <c r="G281" s="82"/>
    </row>
    <row r="282" spans="1:7" ht="20.100000000000001" customHeight="1" x14ac:dyDescent="0.25">
      <c r="A282" s="106"/>
      <c r="B282" s="30"/>
      <c r="C282" s="16"/>
      <c r="D282" s="16"/>
      <c r="E282" s="17"/>
      <c r="F282" s="4"/>
      <c r="G282" s="82"/>
    </row>
    <row r="283" spans="1:7" ht="20.100000000000001" customHeight="1" x14ac:dyDescent="0.25">
      <c r="A283" s="106"/>
      <c r="B283" s="30"/>
      <c r="C283" s="16"/>
      <c r="D283" s="16"/>
      <c r="E283" s="17"/>
      <c r="F283" s="4"/>
      <c r="G283" s="82"/>
    </row>
    <row r="284" spans="1:7" ht="20.100000000000001" customHeight="1" x14ac:dyDescent="0.25">
      <c r="A284" s="106"/>
      <c r="B284" s="30"/>
      <c r="C284" s="16"/>
      <c r="D284" s="16"/>
      <c r="E284" s="17"/>
      <c r="F284" s="4"/>
      <c r="G284" s="82"/>
    </row>
    <row r="285" spans="1:7" ht="20.100000000000001" customHeight="1" x14ac:dyDescent="0.25">
      <c r="A285" s="106"/>
      <c r="B285" s="30"/>
      <c r="C285" s="16"/>
      <c r="D285" s="16"/>
      <c r="E285" s="17"/>
      <c r="F285" s="4"/>
      <c r="G285" s="82"/>
    </row>
    <row r="286" spans="1:7" ht="20.100000000000001" customHeight="1" x14ac:dyDescent="0.25">
      <c r="A286" s="106"/>
      <c r="B286" s="30"/>
      <c r="C286" s="16"/>
      <c r="D286" s="16"/>
      <c r="E286" s="17"/>
      <c r="F286" s="4"/>
      <c r="G286" s="82"/>
    </row>
    <row r="287" spans="1:7" ht="20.100000000000001" customHeight="1" x14ac:dyDescent="0.25">
      <c r="A287" s="106"/>
      <c r="B287" s="30"/>
      <c r="C287" s="16"/>
      <c r="D287" s="16"/>
      <c r="E287" s="17"/>
      <c r="F287" s="4"/>
      <c r="G287" s="82"/>
    </row>
    <row r="288" spans="1:7" ht="20.100000000000001" customHeight="1" x14ac:dyDescent="0.25">
      <c r="A288" s="106"/>
      <c r="B288" s="30"/>
      <c r="C288" s="16"/>
      <c r="D288" s="16"/>
      <c r="E288" s="17"/>
      <c r="F288" s="4"/>
      <c r="G288" s="82"/>
    </row>
    <row r="289" spans="1:7" ht="20.100000000000001" customHeight="1" x14ac:dyDescent="0.25">
      <c r="A289" s="106"/>
      <c r="B289" s="30"/>
      <c r="C289" s="16"/>
      <c r="D289" s="16"/>
      <c r="E289" s="17"/>
      <c r="F289" s="4"/>
      <c r="G289" s="82"/>
    </row>
    <row r="290" spans="1:7" ht="20.100000000000001" customHeight="1" x14ac:dyDescent="0.25">
      <c r="A290" s="106"/>
      <c r="B290" s="30"/>
      <c r="C290" s="16"/>
      <c r="D290" s="16"/>
      <c r="E290" s="17"/>
      <c r="F290" s="4"/>
      <c r="G290" s="82"/>
    </row>
    <row r="291" spans="1:7" ht="20.100000000000001" customHeight="1" x14ac:dyDescent="0.25">
      <c r="A291" s="106"/>
      <c r="B291" s="30"/>
      <c r="C291" s="16"/>
      <c r="D291" s="16"/>
      <c r="E291" s="17"/>
      <c r="F291" s="4"/>
      <c r="G291" s="82"/>
    </row>
    <row r="292" spans="1:7" ht="20.100000000000001" customHeight="1" x14ac:dyDescent="0.25">
      <c r="A292" s="106"/>
      <c r="B292" s="30"/>
      <c r="C292" s="16"/>
      <c r="D292" s="16"/>
      <c r="E292" s="17"/>
      <c r="F292" s="4"/>
      <c r="G292" s="82"/>
    </row>
    <row r="293" spans="1:7" ht="20.100000000000001" customHeight="1" x14ac:dyDescent="0.25">
      <c r="A293" s="106"/>
      <c r="B293" s="30"/>
      <c r="C293" s="16"/>
      <c r="D293" s="16"/>
      <c r="E293" s="17"/>
      <c r="F293" s="4"/>
      <c r="G293" s="82"/>
    </row>
    <row r="294" spans="1:7" ht="20.100000000000001" customHeight="1" x14ac:dyDescent="0.25">
      <c r="A294" s="106"/>
      <c r="B294" s="30"/>
      <c r="C294" s="16"/>
      <c r="D294" s="16"/>
      <c r="E294" s="17"/>
      <c r="F294" s="4"/>
      <c r="G294" s="82"/>
    </row>
    <row r="295" spans="1:7" ht="20.100000000000001" customHeight="1" x14ac:dyDescent="0.25">
      <c r="A295" s="106"/>
      <c r="B295" s="30"/>
      <c r="C295" s="16"/>
      <c r="D295" s="16"/>
      <c r="E295" s="17"/>
      <c r="F295" s="4"/>
      <c r="G295" s="82"/>
    </row>
    <row r="296" spans="1:7" ht="20.100000000000001" customHeight="1" x14ac:dyDescent="0.25">
      <c r="A296" s="106"/>
      <c r="B296" s="30"/>
      <c r="C296" s="16"/>
      <c r="D296" s="16"/>
      <c r="E296" s="17"/>
      <c r="F296" s="4"/>
      <c r="G296" s="82"/>
    </row>
    <row r="297" spans="1:7" ht="20.100000000000001" customHeight="1" x14ac:dyDescent="0.25">
      <c r="A297" s="106"/>
      <c r="B297" s="30"/>
      <c r="C297" s="16"/>
      <c r="D297" s="16"/>
      <c r="E297" s="17"/>
      <c r="F297" s="4"/>
      <c r="G297" s="82"/>
    </row>
    <row r="298" spans="1:7" ht="20.100000000000001" customHeight="1" x14ac:dyDescent="0.25">
      <c r="A298" s="106"/>
      <c r="B298" s="30"/>
      <c r="C298" s="16"/>
      <c r="D298" s="16"/>
      <c r="E298" s="17"/>
      <c r="F298" s="4"/>
      <c r="G298" s="82"/>
    </row>
    <row r="299" spans="1:7" ht="20.100000000000001" customHeight="1" x14ac:dyDescent="0.25">
      <c r="A299" s="106"/>
      <c r="B299" s="30"/>
      <c r="C299" s="16"/>
      <c r="D299" s="16"/>
      <c r="E299" s="17"/>
      <c r="F299" s="4"/>
      <c r="G299" s="82"/>
    </row>
    <row r="300" spans="1:7" ht="20.100000000000001" customHeight="1" x14ac:dyDescent="0.25">
      <c r="A300" s="106"/>
      <c r="B300" s="30"/>
      <c r="C300" s="16"/>
      <c r="D300" s="16"/>
      <c r="E300" s="17"/>
      <c r="F300" s="4"/>
      <c r="G300" s="82"/>
    </row>
    <row r="301" spans="1:7" ht="20.100000000000001" customHeight="1" x14ac:dyDescent="0.25">
      <c r="A301" s="106"/>
      <c r="B301" s="30"/>
      <c r="C301" s="16"/>
      <c r="D301" s="16"/>
      <c r="E301" s="17"/>
      <c r="F301" s="4"/>
      <c r="G301" s="82"/>
    </row>
    <row r="302" spans="1:7" ht="20.100000000000001" customHeight="1" x14ac:dyDescent="0.25">
      <c r="A302" s="106"/>
      <c r="B302" s="30"/>
      <c r="C302" s="16"/>
      <c r="D302" s="16"/>
      <c r="E302" s="17"/>
      <c r="F302" s="4"/>
      <c r="G302" s="82"/>
    </row>
    <row r="303" spans="1:7" ht="20.100000000000001" customHeight="1" x14ac:dyDescent="0.25">
      <c r="A303" s="106"/>
      <c r="B303" s="30"/>
      <c r="C303" s="16"/>
      <c r="D303" s="16"/>
      <c r="E303" s="17"/>
      <c r="F303" s="4"/>
      <c r="G303" s="82"/>
    </row>
    <row r="304" spans="1:7" ht="20.100000000000001" customHeight="1" x14ac:dyDescent="0.25">
      <c r="A304" s="106"/>
      <c r="B304" s="30"/>
      <c r="C304" s="16"/>
      <c r="D304" s="16"/>
      <c r="E304" s="17"/>
      <c r="F304" s="4"/>
      <c r="G304" s="82"/>
    </row>
    <row r="305" spans="1:7" ht="20.100000000000001" customHeight="1" x14ac:dyDescent="0.25">
      <c r="A305" s="106"/>
      <c r="B305" s="30"/>
      <c r="C305" s="16"/>
      <c r="D305" s="16"/>
      <c r="E305" s="17"/>
      <c r="F305" s="4"/>
      <c r="G305" s="82"/>
    </row>
    <row r="306" spans="1:7" ht="20.100000000000001" customHeight="1" x14ac:dyDescent="0.25">
      <c r="A306" s="106"/>
      <c r="B306" s="30"/>
      <c r="C306" s="16"/>
      <c r="D306" s="16"/>
      <c r="E306" s="17"/>
      <c r="F306" s="4"/>
      <c r="G306" s="82"/>
    </row>
    <row r="307" spans="1:7" ht="20.100000000000001" customHeight="1" x14ac:dyDescent="0.25">
      <c r="A307" s="106"/>
      <c r="B307" s="30"/>
      <c r="C307" s="16"/>
      <c r="D307" s="16"/>
      <c r="E307" s="17"/>
      <c r="F307" s="4"/>
      <c r="G307" s="82"/>
    </row>
    <row r="308" spans="1:7" ht="20.100000000000001" customHeight="1" x14ac:dyDescent="0.25">
      <c r="A308" s="106"/>
      <c r="B308" s="30"/>
      <c r="C308" s="16"/>
      <c r="D308" s="16"/>
      <c r="E308" s="17"/>
      <c r="F308" s="4"/>
      <c r="G308" s="82"/>
    </row>
    <row r="309" spans="1:7" ht="20.100000000000001" customHeight="1" x14ac:dyDescent="0.25">
      <c r="A309" s="106"/>
      <c r="B309" s="30"/>
      <c r="C309" s="16"/>
      <c r="D309" s="16"/>
      <c r="E309" s="17"/>
      <c r="F309" s="4"/>
      <c r="G309" s="82"/>
    </row>
    <row r="310" spans="1:7" ht="20.100000000000001" customHeight="1" x14ac:dyDescent="0.25">
      <c r="A310" s="106"/>
      <c r="B310" s="30"/>
      <c r="C310" s="16"/>
      <c r="D310" s="16"/>
      <c r="E310" s="17"/>
      <c r="F310" s="4"/>
      <c r="G310" s="82"/>
    </row>
    <row r="311" spans="1:7" ht="20.100000000000001" customHeight="1" x14ac:dyDescent="0.25">
      <c r="A311" s="106"/>
      <c r="B311" s="30"/>
      <c r="C311" s="16"/>
      <c r="D311" s="16"/>
      <c r="E311" s="17"/>
      <c r="F311" s="4"/>
      <c r="G311" s="82"/>
    </row>
    <row r="312" spans="1:7" ht="20.100000000000001" customHeight="1" x14ac:dyDescent="0.25">
      <c r="A312" s="106"/>
      <c r="B312" s="30"/>
      <c r="C312" s="16"/>
      <c r="D312" s="16"/>
      <c r="E312" s="17"/>
      <c r="F312" s="4"/>
      <c r="G312" s="82"/>
    </row>
    <row r="313" spans="1:7" ht="20.100000000000001" customHeight="1" x14ac:dyDescent="0.25">
      <c r="A313" s="106"/>
      <c r="B313" s="30"/>
      <c r="C313" s="16"/>
      <c r="D313" s="16"/>
      <c r="E313" s="17"/>
      <c r="F313" s="4"/>
      <c r="G313" s="82"/>
    </row>
    <row r="314" spans="1:7" ht="20.100000000000001" customHeight="1" x14ac:dyDescent="0.25">
      <c r="A314" s="106"/>
      <c r="B314" s="30"/>
      <c r="C314" s="16"/>
      <c r="D314" s="16"/>
      <c r="E314" s="17"/>
      <c r="F314" s="4"/>
      <c r="G314" s="82"/>
    </row>
    <row r="315" spans="1:7" ht="20.100000000000001" customHeight="1" x14ac:dyDescent="0.25">
      <c r="A315" s="106"/>
      <c r="B315" s="30"/>
      <c r="C315" s="16"/>
      <c r="D315" s="16"/>
      <c r="E315" s="17"/>
      <c r="F315" s="4"/>
      <c r="G315" s="82"/>
    </row>
    <row r="316" spans="1:7" ht="20.100000000000001" customHeight="1" x14ac:dyDescent="0.25">
      <c r="A316" s="106"/>
      <c r="B316" s="30"/>
      <c r="C316" s="16"/>
      <c r="D316" s="16"/>
      <c r="E316" s="17"/>
      <c r="F316" s="4"/>
      <c r="G316" s="82"/>
    </row>
    <row r="317" spans="1:7" ht="20.100000000000001" customHeight="1" x14ac:dyDescent="0.25">
      <c r="A317" s="106"/>
      <c r="B317" s="30"/>
      <c r="C317" s="16"/>
      <c r="D317" s="16"/>
      <c r="E317" s="17"/>
      <c r="F317" s="4"/>
      <c r="G317" s="82"/>
    </row>
    <row r="318" spans="1:7" ht="20.100000000000001" customHeight="1" x14ac:dyDescent="0.25">
      <c r="A318" s="106"/>
      <c r="B318" s="30"/>
      <c r="C318" s="16"/>
      <c r="D318" s="16"/>
      <c r="E318" s="17"/>
      <c r="F318" s="4"/>
      <c r="G318" s="82"/>
    </row>
    <row r="319" spans="1:7" ht="20.100000000000001" customHeight="1" x14ac:dyDescent="0.25">
      <c r="A319" s="106"/>
      <c r="B319" s="30"/>
      <c r="C319" s="16"/>
      <c r="D319" s="16"/>
      <c r="E319" s="17"/>
      <c r="F319" s="4"/>
      <c r="G319" s="82"/>
    </row>
    <row r="320" spans="1:7" ht="20.100000000000001" customHeight="1" x14ac:dyDescent="0.25">
      <c r="A320" s="106"/>
      <c r="B320" s="30"/>
      <c r="C320" s="16"/>
      <c r="D320" s="16"/>
      <c r="E320" s="17"/>
      <c r="F320" s="4"/>
      <c r="G320" s="82"/>
    </row>
    <row r="321" spans="1:7" ht="20.100000000000001" customHeight="1" x14ac:dyDescent="0.25">
      <c r="A321" s="106"/>
      <c r="B321" s="30"/>
      <c r="C321" s="16"/>
      <c r="D321" s="16"/>
      <c r="E321" s="17"/>
      <c r="F321" s="4"/>
      <c r="G321" s="82"/>
    </row>
    <row r="322" spans="1:7" ht="20.100000000000001" customHeight="1" x14ac:dyDescent="0.25">
      <c r="A322" s="106"/>
      <c r="B322" s="30"/>
      <c r="C322" s="16"/>
      <c r="D322" s="16"/>
      <c r="E322" s="17"/>
      <c r="F322" s="4"/>
      <c r="G322" s="82"/>
    </row>
    <row r="323" spans="1:7" ht="20.100000000000001" customHeight="1" x14ac:dyDescent="0.25">
      <c r="A323" s="106"/>
      <c r="B323" s="30"/>
      <c r="C323" s="16"/>
      <c r="D323" s="16"/>
      <c r="E323" s="17"/>
      <c r="F323" s="4"/>
      <c r="G323" s="82"/>
    </row>
    <row r="324" spans="1:7" ht="20.100000000000001" customHeight="1" x14ac:dyDescent="0.25">
      <c r="A324" s="106"/>
      <c r="B324" s="30"/>
      <c r="C324" s="16"/>
      <c r="D324" s="16"/>
      <c r="E324" s="17"/>
      <c r="F324" s="4"/>
      <c r="G324" s="82"/>
    </row>
    <row r="325" spans="1:7" ht="20.100000000000001" customHeight="1" x14ac:dyDescent="0.25">
      <c r="A325" s="106"/>
      <c r="B325" s="30"/>
      <c r="C325" s="16"/>
      <c r="D325" s="16"/>
      <c r="E325" s="17"/>
      <c r="F325" s="4"/>
      <c r="G325" s="82"/>
    </row>
    <row r="326" spans="1:7" ht="20.100000000000001" customHeight="1" x14ac:dyDescent="0.25">
      <c r="A326" s="106"/>
      <c r="B326" s="30"/>
      <c r="C326" s="16"/>
      <c r="D326" s="16"/>
      <c r="E326" s="17"/>
      <c r="F326" s="4"/>
      <c r="G326" s="82"/>
    </row>
    <row r="327" spans="1:7" ht="20.100000000000001" customHeight="1" x14ac:dyDescent="0.25">
      <c r="A327" s="106"/>
      <c r="B327" s="30"/>
      <c r="C327" s="16"/>
      <c r="D327" s="16"/>
      <c r="E327" s="17"/>
      <c r="F327" s="4"/>
      <c r="G327" s="82"/>
    </row>
    <row r="328" spans="1:7" ht="20.100000000000001" customHeight="1" x14ac:dyDescent="0.25">
      <c r="A328" s="106"/>
      <c r="B328" s="30"/>
      <c r="C328" s="16"/>
      <c r="D328" s="16"/>
      <c r="E328" s="17"/>
      <c r="F328" s="4"/>
      <c r="G328" s="82"/>
    </row>
    <row r="329" spans="1:7" ht="20.100000000000001" customHeight="1" x14ac:dyDescent="0.25">
      <c r="A329" s="106"/>
      <c r="B329" s="30"/>
      <c r="C329" s="16"/>
      <c r="D329" s="16"/>
      <c r="E329" s="17"/>
      <c r="F329" s="4"/>
      <c r="G329" s="82"/>
    </row>
    <row r="330" spans="1:7" ht="20.100000000000001" customHeight="1" x14ac:dyDescent="0.25">
      <c r="A330" s="106"/>
      <c r="B330" s="30"/>
      <c r="C330" s="16"/>
      <c r="D330" s="16"/>
      <c r="E330" s="17"/>
      <c r="F330" s="4"/>
      <c r="G330" s="82"/>
    </row>
    <row r="331" spans="1:7" ht="20.100000000000001" customHeight="1" x14ac:dyDescent="0.25">
      <c r="A331" s="106"/>
      <c r="B331" s="30"/>
      <c r="C331" s="16"/>
      <c r="D331" s="16"/>
      <c r="E331" s="17"/>
      <c r="F331" s="4"/>
      <c r="G331" s="82"/>
    </row>
    <row r="332" spans="1:7" ht="20.100000000000001" customHeight="1" x14ac:dyDescent="0.25">
      <c r="A332" s="106"/>
      <c r="B332" s="30"/>
      <c r="C332" s="16"/>
      <c r="D332" s="16"/>
      <c r="E332" s="17"/>
      <c r="F332" s="4"/>
      <c r="G332" s="82"/>
    </row>
    <row r="333" spans="1:7" ht="20.100000000000001" customHeight="1" x14ac:dyDescent="0.25">
      <c r="A333" s="106"/>
      <c r="B333" s="30"/>
      <c r="C333" s="16"/>
      <c r="D333" s="16"/>
      <c r="E333" s="17"/>
      <c r="F333" s="4"/>
      <c r="G333" s="82"/>
    </row>
    <row r="334" spans="1:7" ht="20.100000000000001" customHeight="1" x14ac:dyDescent="0.25">
      <c r="A334" s="106"/>
      <c r="B334" s="30"/>
      <c r="C334" s="16"/>
      <c r="D334" s="16"/>
      <c r="E334" s="17"/>
      <c r="F334" s="4"/>
      <c r="G334" s="82"/>
    </row>
    <row r="335" spans="1:7" ht="20.100000000000001" customHeight="1" x14ac:dyDescent="0.25">
      <c r="A335" s="106"/>
      <c r="B335" s="30"/>
      <c r="C335" s="16"/>
      <c r="D335" s="16"/>
      <c r="E335" s="17"/>
      <c r="F335" s="4"/>
      <c r="G335" s="82"/>
    </row>
    <row r="336" spans="1:7" ht="20.100000000000001" customHeight="1" x14ac:dyDescent="0.25">
      <c r="A336" s="106"/>
      <c r="B336" s="30"/>
      <c r="C336" s="16"/>
      <c r="D336" s="16"/>
      <c r="E336" s="17"/>
      <c r="F336" s="4"/>
      <c r="G336" s="82"/>
    </row>
    <row r="337" spans="1:7" ht="20.100000000000001" customHeight="1" x14ac:dyDescent="0.25">
      <c r="A337" s="106"/>
      <c r="G337" s="82"/>
    </row>
    <row r="338" spans="1:7" ht="20.100000000000001" customHeight="1" x14ac:dyDescent="0.25">
      <c r="A338" s="106"/>
      <c r="G338" s="82"/>
    </row>
    <row r="339" spans="1:7" ht="20.100000000000001" customHeight="1" x14ac:dyDescent="0.25">
      <c r="A339" s="106"/>
      <c r="G339" s="82"/>
    </row>
    <row r="340" spans="1:7" ht="20.100000000000001" customHeight="1" x14ac:dyDescent="0.25">
      <c r="A340" s="106"/>
      <c r="G340" s="82"/>
    </row>
    <row r="341" spans="1:7" ht="20.100000000000001" customHeight="1" x14ac:dyDescent="0.25">
      <c r="A341" s="106"/>
      <c r="G341" s="82"/>
    </row>
    <row r="342" spans="1:7" ht="20.100000000000001" customHeight="1" x14ac:dyDescent="0.25">
      <c r="A342" s="106"/>
      <c r="G342" s="82"/>
    </row>
    <row r="343" spans="1:7" ht="20.100000000000001" customHeight="1" x14ac:dyDescent="0.25">
      <c r="A343" s="106"/>
      <c r="G343" s="82"/>
    </row>
    <row r="344" spans="1:7" ht="20.100000000000001" customHeight="1" x14ac:dyDescent="0.25">
      <c r="A344" s="106"/>
      <c r="G344" s="82"/>
    </row>
    <row r="345" spans="1:7" ht="20.100000000000001" customHeight="1" x14ac:dyDescent="0.25">
      <c r="A345" s="106"/>
      <c r="G345" s="82"/>
    </row>
    <row r="346" spans="1:7" ht="20.100000000000001" customHeight="1" x14ac:dyDescent="0.25">
      <c r="A346" s="106"/>
      <c r="G346" s="82"/>
    </row>
    <row r="347" spans="1:7" ht="20.100000000000001" customHeight="1" x14ac:dyDescent="0.25">
      <c r="A347" s="106"/>
      <c r="G347" s="82"/>
    </row>
    <row r="348" spans="1:7" ht="20.100000000000001" customHeight="1" x14ac:dyDescent="0.25">
      <c r="A348" s="106"/>
      <c r="G348" s="82"/>
    </row>
    <row r="349" spans="1:7" ht="20.100000000000001" customHeight="1" x14ac:dyDescent="0.25">
      <c r="A349" s="106"/>
      <c r="G349" s="82"/>
    </row>
    <row r="350" spans="1:7" ht="20.100000000000001" customHeight="1" x14ac:dyDescent="0.25">
      <c r="A350" s="106"/>
      <c r="G350" s="82"/>
    </row>
    <row r="351" spans="1:7" ht="20.100000000000001" customHeight="1" x14ac:dyDescent="0.25">
      <c r="A351" s="106"/>
      <c r="G351" s="82"/>
    </row>
    <row r="352" spans="1:7" ht="20.100000000000001" customHeight="1" x14ac:dyDescent="0.25">
      <c r="A352" s="106"/>
      <c r="G352" s="82"/>
    </row>
    <row r="353" spans="1:7" ht="20.100000000000001" customHeight="1" x14ac:dyDescent="0.25">
      <c r="A353" s="106"/>
      <c r="G353" s="82"/>
    </row>
    <row r="354" spans="1:7" ht="20.100000000000001" customHeight="1" x14ac:dyDescent="0.25">
      <c r="A354" s="106"/>
      <c r="G354" s="82"/>
    </row>
    <row r="355" spans="1:7" ht="20.100000000000001" customHeight="1" x14ac:dyDescent="0.25">
      <c r="A355" s="106"/>
      <c r="G355" s="82"/>
    </row>
    <row r="356" spans="1:7" ht="20.100000000000001" customHeight="1" x14ac:dyDescent="0.25">
      <c r="A356" s="106"/>
      <c r="G356" s="82"/>
    </row>
    <row r="357" spans="1:7" ht="20.100000000000001" customHeight="1" x14ac:dyDescent="0.25">
      <c r="A357" s="106"/>
      <c r="G357" s="82"/>
    </row>
    <row r="358" spans="1:7" ht="20.100000000000001" customHeight="1" x14ac:dyDescent="0.25">
      <c r="A358" s="106"/>
      <c r="G358" s="82"/>
    </row>
    <row r="359" spans="1:7" ht="20.100000000000001" customHeight="1" x14ac:dyDescent="0.25">
      <c r="A359" s="106"/>
      <c r="G359" s="82"/>
    </row>
    <row r="360" spans="1:7" ht="20.100000000000001" customHeight="1" x14ac:dyDescent="0.25">
      <c r="A360" s="106"/>
      <c r="G360" s="82"/>
    </row>
    <row r="361" spans="1:7" ht="20.100000000000001" customHeight="1" x14ac:dyDescent="0.25">
      <c r="A361" s="106"/>
      <c r="G361" s="82"/>
    </row>
    <row r="362" spans="1:7" ht="20.100000000000001" customHeight="1" x14ac:dyDescent="0.25">
      <c r="A362" s="106"/>
      <c r="G362" s="82"/>
    </row>
    <row r="363" spans="1:7" ht="20.100000000000001" customHeight="1" x14ac:dyDescent="0.25">
      <c r="A363" s="106"/>
      <c r="G363" s="82"/>
    </row>
    <row r="364" spans="1:7" ht="20.100000000000001" customHeight="1" x14ac:dyDescent="0.25">
      <c r="A364" s="106"/>
      <c r="G364" s="82"/>
    </row>
    <row r="365" spans="1:7" ht="20.100000000000001" customHeight="1" x14ac:dyDescent="0.25">
      <c r="A365" s="106"/>
      <c r="G365" s="82"/>
    </row>
    <row r="366" spans="1:7" ht="20.100000000000001" customHeight="1" x14ac:dyDescent="0.25">
      <c r="A366" s="106"/>
      <c r="G366" s="82"/>
    </row>
    <row r="367" spans="1:7" ht="20.100000000000001" customHeight="1" x14ac:dyDescent="0.25">
      <c r="A367" s="106"/>
      <c r="G367" s="82"/>
    </row>
    <row r="368" spans="1:7" ht="20.100000000000001" customHeight="1" x14ac:dyDescent="0.25">
      <c r="A368" s="106"/>
      <c r="G368" s="82"/>
    </row>
    <row r="369" spans="1:7" ht="20.100000000000001" customHeight="1" x14ac:dyDescent="0.25">
      <c r="A369" s="106"/>
      <c r="G369" s="82"/>
    </row>
    <row r="370" spans="1:7" ht="20.100000000000001" customHeight="1" x14ac:dyDescent="0.25">
      <c r="A370" s="106"/>
      <c r="G370" s="82"/>
    </row>
    <row r="371" spans="1:7" ht="20.100000000000001" customHeight="1" x14ac:dyDescent="0.25">
      <c r="A371" s="106"/>
      <c r="G371" s="82"/>
    </row>
    <row r="372" spans="1:7" ht="20.100000000000001" customHeight="1" x14ac:dyDescent="0.25">
      <c r="A372" s="106"/>
      <c r="G372" s="82"/>
    </row>
    <row r="373" spans="1:7" ht="20.100000000000001" customHeight="1" x14ac:dyDescent="0.25">
      <c r="A373" s="106"/>
      <c r="G373" s="82"/>
    </row>
    <row r="374" spans="1:7" ht="20.100000000000001" customHeight="1" x14ac:dyDescent="0.25">
      <c r="A374" s="106"/>
      <c r="G374" s="82"/>
    </row>
    <row r="375" spans="1:7" ht="20.100000000000001" customHeight="1" x14ac:dyDescent="0.25">
      <c r="A375" s="106"/>
      <c r="G375" s="82"/>
    </row>
    <row r="376" spans="1:7" ht="20.100000000000001" customHeight="1" x14ac:dyDescent="0.25">
      <c r="A376" s="106"/>
      <c r="G376" s="82"/>
    </row>
    <row r="377" spans="1:7" ht="20.100000000000001" customHeight="1" x14ac:dyDescent="0.25">
      <c r="A377" s="106"/>
      <c r="G377" s="82"/>
    </row>
    <row r="378" spans="1:7" ht="20.100000000000001" customHeight="1" x14ac:dyDescent="0.25">
      <c r="A378" s="106"/>
      <c r="G378" s="82"/>
    </row>
    <row r="379" spans="1:7" ht="20.100000000000001" customHeight="1" x14ac:dyDescent="0.25">
      <c r="A379" s="106"/>
      <c r="G379" s="82"/>
    </row>
    <row r="380" spans="1:7" ht="20.100000000000001" customHeight="1" x14ac:dyDescent="0.25">
      <c r="A380" s="106"/>
      <c r="G380" s="82"/>
    </row>
    <row r="381" spans="1:7" ht="20.100000000000001" customHeight="1" x14ac:dyDescent="0.25">
      <c r="A381" s="106"/>
      <c r="G381" s="82"/>
    </row>
    <row r="382" spans="1:7" ht="20.100000000000001" customHeight="1" x14ac:dyDescent="0.25">
      <c r="A382" s="106"/>
      <c r="G382" s="82"/>
    </row>
    <row r="383" spans="1:7" ht="20.100000000000001" customHeight="1" x14ac:dyDescent="0.25">
      <c r="A383" s="106"/>
      <c r="G383" s="82"/>
    </row>
    <row r="384" spans="1:7" ht="20.100000000000001" customHeight="1" x14ac:dyDescent="0.25">
      <c r="A384" s="106"/>
      <c r="G384" s="82"/>
    </row>
    <row r="385" spans="1:7" ht="20.100000000000001" customHeight="1" x14ac:dyDescent="0.25">
      <c r="A385" s="106"/>
      <c r="G385" s="82"/>
    </row>
    <row r="386" spans="1:7" ht="20.100000000000001" customHeight="1" x14ac:dyDescent="0.25">
      <c r="A386" s="106"/>
      <c r="G386" s="82"/>
    </row>
    <row r="387" spans="1:7" ht="20.100000000000001" customHeight="1" x14ac:dyDescent="0.25">
      <c r="A387" s="106"/>
      <c r="G387" s="82"/>
    </row>
    <row r="388" spans="1:7" ht="20.100000000000001" customHeight="1" x14ac:dyDescent="0.25">
      <c r="A388" s="106"/>
      <c r="G388" s="82"/>
    </row>
    <row r="389" spans="1:7" ht="20.100000000000001" customHeight="1" x14ac:dyDescent="0.25">
      <c r="A389" s="106"/>
      <c r="G389" s="82"/>
    </row>
    <row r="390" spans="1:7" ht="20.100000000000001" customHeight="1" x14ac:dyDescent="0.25">
      <c r="A390" s="106"/>
      <c r="G390" s="82"/>
    </row>
    <row r="391" spans="1:7" ht="20.100000000000001" customHeight="1" x14ac:dyDescent="0.25">
      <c r="A391" s="106"/>
      <c r="G391" s="82"/>
    </row>
    <row r="392" spans="1:7" ht="20.100000000000001" customHeight="1" x14ac:dyDescent="0.25">
      <c r="A392" s="106"/>
      <c r="G392" s="82"/>
    </row>
    <row r="393" spans="1:7" ht="20.100000000000001" customHeight="1" x14ac:dyDescent="0.25">
      <c r="A393" s="106"/>
      <c r="G393" s="82"/>
    </row>
    <row r="394" spans="1:7" ht="20.100000000000001" customHeight="1" x14ac:dyDescent="0.25">
      <c r="A394" s="106"/>
      <c r="G394" s="82"/>
    </row>
    <row r="395" spans="1:7" ht="20.100000000000001" customHeight="1" x14ac:dyDescent="0.25">
      <c r="A395" s="106"/>
      <c r="G395" s="82"/>
    </row>
    <row r="396" spans="1:7" ht="20.100000000000001" customHeight="1" x14ac:dyDescent="0.25">
      <c r="A396" s="106"/>
      <c r="G396" s="82"/>
    </row>
    <row r="397" spans="1:7" ht="20.100000000000001" customHeight="1" x14ac:dyDescent="0.25">
      <c r="A397" s="106"/>
      <c r="G397" s="82"/>
    </row>
    <row r="398" spans="1:7" ht="20.100000000000001" customHeight="1" x14ac:dyDescent="0.25">
      <c r="A398" s="106"/>
      <c r="G398" s="82"/>
    </row>
    <row r="399" spans="1:7" ht="20.100000000000001" customHeight="1" x14ac:dyDescent="0.25">
      <c r="A399" s="106"/>
      <c r="G399" s="82"/>
    </row>
    <row r="400" spans="1:7" ht="20.100000000000001" customHeight="1" x14ac:dyDescent="0.25">
      <c r="A400" s="106"/>
      <c r="G400" s="82"/>
    </row>
    <row r="401" spans="1:7" ht="20.100000000000001" customHeight="1" x14ac:dyDescent="0.25">
      <c r="A401" s="106"/>
      <c r="G401" s="82"/>
    </row>
    <row r="402" spans="1:7" ht="20.100000000000001" customHeight="1" x14ac:dyDescent="0.25">
      <c r="A402" s="106"/>
      <c r="G402" s="82"/>
    </row>
    <row r="403" spans="1:7" ht="20.100000000000001" customHeight="1" x14ac:dyDescent="0.25">
      <c r="A403" s="106"/>
      <c r="G403" s="82"/>
    </row>
    <row r="404" spans="1:7" ht="20.100000000000001" customHeight="1" x14ac:dyDescent="0.25">
      <c r="A404" s="106"/>
      <c r="G404" s="82"/>
    </row>
    <row r="405" spans="1:7" ht="20.100000000000001" customHeight="1" x14ac:dyDescent="0.25">
      <c r="A405" s="106"/>
      <c r="G405" s="82"/>
    </row>
    <row r="406" spans="1:7" ht="20.100000000000001" customHeight="1" x14ac:dyDescent="0.25">
      <c r="A406" s="106"/>
      <c r="G406" s="82"/>
    </row>
    <row r="407" spans="1:7" ht="20.100000000000001" customHeight="1" x14ac:dyDescent="0.25">
      <c r="A407" s="106"/>
      <c r="G407" s="82"/>
    </row>
    <row r="408" spans="1:7" ht="20.100000000000001" customHeight="1" x14ac:dyDescent="0.25">
      <c r="A408" s="106"/>
      <c r="G408" s="82"/>
    </row>
    <row r="409" spans="1:7" ht="20.100000000000001" customHeight="1" x14ac:dyDescent="0.25">
      <c r="A409" s="106"/>
      <c r="G409" s="82"/>
    </row>
    <row r="410" spans="1:7" ht="20.100000000000001" customHeight="1" x14ac:dyDescent="0.25">
      <c r="A410" s="106"/>
      <c r="G410" s="82"/>
    </row>
    <row r="411" spans="1:7" ht="20.100000000000001" customHeight="1" x14ac:dyDescent="0.25">
      <c r="A411" s="106"/>
      <c r="G411" s="82"/>
    </row>
    <row r="412" spans="1:7" ht="20.100000000000001" customHeight="1" x14ac:dyDescent="0.25">
      <c r="A412" s="106"/>
      <c r="G412" s="82"/>
    </row>
    <row r="413" spans="1:7" ht="20.100000000000001" customHeight="1" x14ac:dyDescent="0.25">
      <c r="A413" s="106"/>
      <c r="G413" s="82"/>
    </row>
    <row r="414" spans="1:7" ht="20.100000000000001" customHeight="1" x14ac:dyDescent="0.25">
      <c r="A414" s="106"/>
      <c r="G414" s="82"/>
    </row>
    <row r="415" spans="1:7" ht="20.100000000000001" customHeight="1" x14ac:dyDescent="0.25">
      <c r="A415" s="106"/>
      <c r="G415" s="82"/>
    </row>
    <row r="416" spans="1:7" ht="20.100000000000001" customHeight="1" x14ac:dyDescent="0.25">
      <c r="A416" s="106"/>
      <c r="G416" s="82"/>
    </row>
    <row r="417" spans="1:7" ht="20.100000000000001" customHeight="1" x14ac:dyDescent="0.25">
      <c r="A417" s="106"/>
      <c r="G417" s="82"/>
    </row>
    <row r="418" spans="1:7" ht="20.100000000000001" customHeight="1" x14ac:dyDescent="0.25">
      <c r="A418" s="106"/>
      <c r="G418" s="82"/>
    </row>
    <row r="419" spans="1:7" ht="20.100000000000001" customHeight="1" x14ac:dyDescent="0.25">
      <c r="A419" s="106"/>
      <c r="G419" s="82"/>
    </row>
    <row r="420" spans="1:7" ht="20.100000000000001" customHeight="1" x14ac:dyDescent="0.25">
      <c r="A420" s="106"/>
      <c r="G420" s="82"/>
    </row>
    <row r="421" spans="1:7" ht="20.100000000000001" customHeight="1" x14ac:dyDescent="0.25">
      <c r="A421" s="106"/>
      <c r="G421" s="82"/>
    </row>
    <row r="422" spans="1:7" ht="20.100000000000001" customHeight="1" x14ac:dyDescent="0.25">
      <c r="A422" s="106"/>
      <c r="G422" s="82"/>
    </row>
    <row r="423" spans="1:7" ht="20.100000000000001" customHeight="1" x14ac:dyDescent="0.25">
      <c r="A423" s="106"/>
      <c r="G423" s="82"/>
    </row>
    <row r="424" spans="1:7" ht="20.100000000000001" customHeight="1" x14ac:dyDescent="0.25">
      <c r="A424" s="106"/>
      <c r="G424" s="82"/>
    </row>
    <row r="425" spans="1:7" ht="20.100000000000001" customHeight="1" x14ac:dyDescent="0.25">
      <c r="A425" s="106"/>
      <c r="G425" s="82"/>
    </row>
    <row r="426" spans="1:7" ht="20.100000000000001" customHeight="1" x14ac:dyDescent="0.25">
      <c r="A426" s="106"/>
      <c r="G426" s="82"/>
    </row>
    <row r="427" spans="1:7" ht="20.100000000000001" customHeight="1" x14ac:dyDescent="0.25">
      <c r="A427" s="106"/>
      <c r="G427" s="82"/>
    </row>
    <row r="428" spans="1:7" ht="20.100000000000001" customHeight="1" x14ac:dyDescent="0.25">
      <c r="A428" s="106"/>
      <c r="G428" s="82"/>
    </row>
    <row r="429" spans="1:7" ht="20.100000000000001" customHeight="1" x14ac:dyDescent="0.25">
      <c r="A429" s="106"/>
      <c r="G429" s="82"/>
    </row>
    <row r="430" spans="1:7" ht="20.100000000000001" customHeight="1" x14ac:dyDescent="0.25">
      <c r="A430" s="106"/>
      <c r="G430" s="82"/>
    </row>
    <row r="431" spans="1:7" ht="20.100000000000001" customHeight="1" x14ac:dyDescent="0.25">
      <c r="A431" s="106"/>
      <c r="G431" s="82"/>
    </row>
    <row r="432" spans="1:7" ht="20.100000000000001" customHeight="1" x14ac:dyDescent="0.25">
      <c r="A432" s="106"/>
      <c r="G432" s="82"/>
    </row>
    <row r="433" spans="1:7" ht="20.100000000000001" customHeight="1" x14ac:dyDescent="0.25">
      <c r="A433" s="106"/>
      <c r="G433" s="82"/>
    </row>
    <row r="434" spans="1:7" ht="20.100000000000001" customHeight="1" x14ac:dyDescent="0.25">
      <c r="A434" s="106"/>
      <c r="G434" s="82"/>
    </row>
    <row r="435" spans="1:7" ht="20.100000000000001" customHeight="1" x14ac:dyDescent="0.25">
      <c r="A435" s="106"/>
      <c r="G435" s="82"/>
    </row>
    <row r="436" spans="1:7" ht="20.100000000000001" customHeight="1" x14ac:dyDescent="0.25">
      <c r="A436" s="106"/>
      <c r="G436" s="82"/>
    </row>
    <row r="437" spans="1:7" ht="20.100000000000001" customHeight="1" x14ac:dyDescent="0.25">
      <c r="A437" s="106"/>
      <c r="G437" s="82"/>
    </row>
    <row r="438" spans="1:7" ht="20.100000000000001" customHeight="1" x14ac:dyDescent="0.25">
      <c r="A438" s="106"/>
      <c r="G438" s="82"/>
    </row>
    <row r="439" spans="1:7" ht="20.100000000000001" customHeight="1" x14ac:dyDescent="0.25">
      <c r="A439" s="106"/>
      <c r="G439" s="82"/>
    </row>
    <row r="440" spans="1:7" ht="20.100000000000001" customHeight="1" x14ac:dyDescent="0.25">
      <c r="A440" s="106"/>
      <c r="G440" s="82"/>
    </row>
    <row r="441" spans="1:7" ht="20.100000000000001" customHeight="1" x14ac:dyDescent="0.25">
      <c r="A441" s="106"/>
      <c r="G441" s="82"/>
    </row>
    <row r="442" spans="1:7" ht="20.100000000000001" customHeight="1" x14ac:dyDescent="0.25">
      <c r="A442" s="106"/>
      <c r="G442" s="82"/>
    </row>
    <row r="443" spans="1:7" ht="20.100000000000001" customHeight="1" x14ac:dyDescent="0.25">
      <c r="A443" s="106"/>
      <c r="G443" s="82"/>
    </row>
    <row r="444" spans="1:7" ht="20.100000000000001" customHeight="1" x14ac:dyDescent="0.25">
      <c r="A444" s="106"/>
      <c r="G444" s="82"/>
    </row>
    <row r="445" spans="1:7" ht="20.100000000000001" customHeight="1" x14ac:dyDescent="0.25">
      <c r="A445" s="106"/>
      <c r="G445" s="82"/>
    </row>
    <row r="446" spans="1:7" ht="20.100000000000001" customHeight="1" x14ac:dyDescent="0.25">
      <c r="A446" s="106"/>
      <c r="G446" s="82"/>
    </row>
    <row r="447" spans="1:7" ht="20.100000000000001" customHeight="1" x14ac:dyDescent="0.25">
      <c r="A447" s="106"/>
      <c r="G447" s="82"/>
    </row>
    <row r="448" spans="1:7" ht="20.100000000000001" customHeight="1" x14ac:dyDescent="0.25">
      <c r="A448" s="106"/>
      <c r="G448" s="82"/>
    </row>
    <row r="449" spans="1:7" ht="20.100000000000001" customHeight="1" x14ac:dyDescent="0.25">
      <c r="A449" s="106"/>
      <c r="G449" s="82"/>
    </row>
    <row r="450" spans="1:7" ht="20.100000000000001" customHeight="1" x14ac:dyDescent="0.25">
      <c r="A450" s="106"/>
      <c r="G450" s="82"/>
    </row>
    <row r="451" spans="1:7" ht="20.100000000000001" customHeight="1" x14ac:dyDescent="0.25">
      <c r="A451" s="106"/>
      <c r="G451" s="82"/>
    </row>
    <row r="452" spans="1:7" ht="20.100000000000001" customHeight="1" x14ac:dyDescent="0.25">
      <c r="A452" s="106"/>
      <c r="G452" s="82"/>
    </row>
    <row r="453" spans="1:7" ht="20.100000000000001" customHeight="1" x14ac:dyDescent="0.25">
      <c r="A453" s="106"/>
      <c r="G453" s="82"/>
    </row>
    <row r="454" spans="1:7" ht="20.100000000000001" customHeight="1" x14ac:dyDescent="0.25">
      <c r="A454" s="106"/>
      <c r="G454" s="82"/>
    </row>
    <row r="455" spans="1:7" ht="20.100000000000001" customHeight="1" x14ac:dyDescent="0.25">
      <c r="A455" s="106"/>
      <c r="G455" s="82"/>
    </row>
    <row r="456" spans="1:7" ht="20.100000000000001" customHeight="1" x14ac:dyDescent="0.25">
      <c r="A456" s="106"/>
      <c r="G456" s="82"/>
    </row>
    <row r="457" spans="1:7" ht="20.100000000000001" customHeight="1" x14ac:dyDescent="0.25">
      <c r="A457" s="106"/>
      <c r="G457" s="82"/>
    </row>
    <row r="458" spans="1:7" ht="20.100000000000001" customHeight="1" x14ac:dyDescent="0.25">
      <c r="A458" s="106"/>
      <c r="G458" s="82"/>
    </row>
    <row r="459" spans="1:7" ht="20.100000000000001" customHeight="1" x14ac:dyDescent="0.25">
      <c r="A459" s="106"/>
      <c r="G459" s="82"/>
    </row>
    <row r="460" spans="1:7" ht="20.100000000000001" customHeight="1" x14ac:dyDescent="0.25">
      <c r="A460" s="106"/>
      <c r="G460" s="82"/>
    </row>
    <row r="461" spans="1:7" ht="20.100000000000001" customHeight="1" x14ac:dyDescent="0.25">
      <c r="A461" s="106"/>
      <c r="G461" s="82"/>
    </row>
    <row r="462" spans="1:7" ht="20.100000000000001" customHeight="1" x14ac:dyDescent="0.25">
      <c r="A462" s="106"/>
      <c r="G462" s="82"/>
    </row>
    <row r="463" spans="1:7" ht="20.100000000000001" customHeight="1" x14ac:dyDescent="0.25">
      <c r="A463" s="106"/>
      <c r="G463" s="82"/>
    </row>
    <row r="464" spans="1:7" ht="20.100000000000001" customHeight="1" x14ac:dyDescent="0.25">
      <c r="A464" s="106"/>
      <c r="G464" s="82"/>
    </row>
    <row r="465" spans="1:7" ht="20.100000000000001" customHeight="1" x14ac:dyDescent="0.25">
      <c r="A465" s="106"/>
      <c r="G465" s="82"/>
    </row>
    <row r="466" spans="1:7" ht="20.100000000000001" customHeight="1" x14ac:dyDescent="0.25">
      <c r="A466" s="106"/>
      <c r="G466" s="82"/>
    </row>
    <row r="467" spans="1:7" ht="20.100000000000001" customHeight="1" x14ac:dyDescent="0.25">
      <c r="A467" s="106"/>
      <c r="G467" s="82"/>
    </row>
    <row r="468" spans="1:7" ht="20.100000000000001" customHeight="1" x14ac:dyDescent="0.25">
      <c r="A468" s="106"/>
      <c r="G468" s="82"/>
    </row>
    <row r="469" spans="1:7" ht="20.100000000000001" customHeight="1" x14ac:dyDescent="0.25">
      <c r="A469" s="106"/>
      <c r="G469" s="82"/>
    </row>
    <row r="470" spans="1:7" ht="20.100000000000001" customHeight="1" x14ac:dyDescent="0.25">
      <c r="A470" s="106"/>
      <c r="G470" s="82"/>
    </row>
    <row r="471" spans="1:7" ht="20.100000000000001" customHeight="1" x14ac:dyDescent="0.25">
      <c r="A471" s="106"/>
      <c r="G471" s="82"/>
    </row>
    <row r="472" spans="1:7" ht="20.100000000000001" customHeight="1" x14ac:dyDescent="0.25">
      <c r="A472" s="106"/>
      <c r="G472" s="82"/>
    </row>
    <row r="473" spans="1:7" ht="20.100000000000001" customHeight="1" x14ac:dyDescent="0.25">
      <c r="A473" s="106"/>
      <c r="G473" s="82"/>
    </row>
    <row r="474" spans="1:7" ht="20.100000000000001" customHeight="1" x14ac:dyDescent="0.25">
      <c r="A474" s="106"/>
      <c r="G474" s="82"/>
    </row>
    <row r="475" spans="1:7" ht="20.100000000000001" customHeight="1" x14ac:dyDescent="0.25">
      <c r="A475" s="106"/>
      <c r="G475" s="82"/>
    </row>
    <row r="476" spans="1:7" ht="20.100000000000001" customHeight="1" x14ac:dyDescent="0.25">
      <c r="A476" s="106"/>
      <c r="G476" s="82"/>
    </row>
    <row r="477" spans="1:7" ht="20.100000000000001" customHeight="1" x14ac:dyDescent="0.25">
      <c r="A477" s="106"/>
      <c r="G477" s="82"/>
    </row>
    <row r="478" spans="1:7" ht="20.100000000000001" customHeight="1" x14ac:dyDescent="0.25">
      <c r="A478" s="106"/>
      <c r="G478" s="82"/>
    </row>
    <row r="479" spans="1:7" ht="20.100000000000001" customHeight="1" x14ac:dyDescent="0.25">
      <c r="A479" s="106"/>
      <c r="G479" s="82"/>
    </row>
    <row r="480" spans="1:7" ht="20.100000000000001" customHeight="1" x14ac:dyDescent="0.25">
      <c r="A480" s="106"/>
      <c r="G480" s="82"/>
    </row>
    <row r="481" spans="1:7" ht="20.100000000000001" customHeight="1" x14ac:dyDescent="0.25">
      <c r="A481" s="106"/>
      <c r="G481" s="82"/>
    </row>
    <row r="482" spans="1:7" ht="20.100000000000001" customHeight="1" x14ac:dyDescent="0.25">
      <c r="A482" s="106"/>
      <c r="G482" s="82"/>
    </row>
    <row r="483" spans="1:7" ht="20.100000000000001" customHeight="1" x14ac:dyDescent="0.25">
      <c r="A483" s="106"/>
      <c r="G483" s="82"/>
    </row>
    <row r="484" spans="1:7" ht="20.100000000000001" customHeight="1" x14ac:dyDescent="0.25">
      <c r="A484" s="106"/>
      <c r="G484" s="82"/>
    </row>
    <row r="485" spans="1:7" ht="20.100000000000001" customHeight="1" x14ac:dyDescent="0.25">
      <c r="A485" s="106"/>
      <c r="G485" s="82"/>
    </row>
    <row r="486" spans="1:7" ht="20.100000000000001" customHeight="1" x14ac:dyDescent="0.25">
      <c r="A486" s="106"/>
      <c r="G486" s="82"/>
    </row>
    <row r="487" spans="1:7" ht="20.100000000000001" customHeight="1" x14ac:dyDescent="0.25">
      <c r="A487" s="106"/>
      <c r="G487" s="82"/>
    </row>
    <row r="488" spans="1:7" ht="20.100000000000001" customHeight="1" x14ac:dyDescent="0.25">
      <c r="A488" s="106"/>
      <c r="G488" s="82"/>
    </row>
    <row r="489" spans="1:7" ht="20.100000000000001" customHeight="1" x14ac:dyDescent="0.25">
      <c r="A489" s="106"/>
      <c r="G489" s="82"/>
    </row>
    <row r="490" spans="1:7" ht="20.100000000000001" customHeight="1" x14ac:dyDescent="0.25">
      <c r="A490" s="106"/>
      <c r="G490" s="82"/>
    </row>
    <row r="491" spans="1:7" ht="20.100000000000001" customHeight="1" x14ac:dyDescent="0.25">
      <c r="A491" s="106"/>
      <c r="G491" s="82"/>
    </row>
    <row r="492" spans="1:7" ht="20.100000000000001" customHeight="1" x14ac:dyDescent="0.25">
      <c r="A492" s="106"/>
      <c r="G492" s="82"/>
    </row>
    <row r="493" spans="1:7" ht="20.100000000000001" customHeight="1" x14ac:dyDescent="0.25">
      <c r="A493" s="106"/>
      <c r="G493" s="82"/>
    </row>
    <row r="494" spans="1:7" ht="20.100000000000001" customHeight="1" x14ac:dyDescent="0.25">
      <c r="A494" s="106"/>
      <c r="G494" s="82"/>
    </row>
    <row r="495" spans="1:7" ht="20.100000000000001" customHeight="1" x14ac:dyDescent="0.25">
      <c r="A495" s="106"/>
      <c r="G495" s="82"/>
    </row>
    <row r="496" spans="1:7" ht="20.100000000000001" customHeight="1" x14ac:dyDescent="0.25">
      <c r="A496" s="106"/>
      <c r="G496" s="82"/>
    </row>
    <row r="497" spans="1:7" ht="20.100000000000001" customHeight="1" x14ac:dyDescent="0.25">
      <c r="A497" s="106"/>
      <c r="G497" s="82"/>
    </row>
    <row r="498" spans="1:7" ht="20.100000000000001" customHeight="1" x14ac:dyDescent="0.25">
      <c r="A498" s="106"/>
      <c r="G498" s="82"/>
    </row>
    <row r="499" spans="1:7" ht="20.100000000000001" customHeight="1" x14ac:dyDescent="0.25">
      <c r="A499" s="106"/>
      <c r="G499" s="82"/>
    </row>
    <row r="500" spans="1:7" ht="20.100000000000001" customHeight="1" x14ac:dyDescent="0.25">
      <c r="A500" s="106"/>
      <c r="G500" s="82"/>
    </row>
    <row r="501" spans="1:7" ht="20.100000000000001" customHeight="1" x14ac:dyDescent="0.25">
      <c r="A501" s="106"/>
      <c r="G501" s="82"/>
    </row>
    <row r="502" spans="1:7" ht="20.100000000000001" customHeight="1" x14ac:dyDescent="0.25">
      <c r="A502" s="106"/>
      <c r="G502" s="82"/>
    </row>
    <row r="503" spans="1:7" ht="20.100000000000001" customHeight="1" x14ac:dyDescent="0.25">
      <c r="A503" s="106"/>
      <c r="G503" s="82"/>
    </row>
    <row r="504" spans="1:7" ht="20.100000000000001" customHeight="1" x14ac:dyDescent="0.25">
      <c r="A504" s="106"/>
      <c r="G504" s="82"/>
    </row>
    <row r="505" spans="1:7" ht="20.100000000000001" customHeight="1" x14ac:dyDescent="0.25">
      <c r="A505" s="106"/>
      <c r="G505" s="82"/>
    </row>
    <row r="506" spans="1:7" ht="20.100000000000001" customHeight="1" x14ac:dyDescent="0.25">
      <c r="A506" s="106"/>
      <c r="G506" s="82"/>
    </row>
    <row r="507" spans="1:7" ht="20.100000000000001" customHeight="1" x14ac:dyDescent="0.25">
      <c r="A507" s="106"/>
      <c r="G507" s="82"/>
    </row>
    <row r="508" spans="1:7" ht="20.100000000000001" customHeight="1" x14ac:dyDescent="0.25">
      <c r="A508" s="106"/>
      <c r="G508" s="82"/>
    </row>
    <row r="509" spans="1:7" ht="20.100000000000001" customHeight="1" x14ac:dyDescent="0.25">
      <c r="A509" s="106"/>
      <c r="G509" s="82"/>
    </row>
    <row r="510" spans="1:7" ht="20.100000000000001" customHeight="1" x14ac:dyDescent="0.25">
      <c r="A510" s="106"/>
      <c r="G510" s="82"/>
    </row>
    <row r="511" spans="1:7" ht="20.100000000000001" customHeight="1" x14ac:dyDescent="0.25">
      <c r="A511" s="106"/>
      <c r="G511" s="82"/>
    </row>
    <row r="512" spans="1:7" ht="20.100000000000001" customHeight="1" x14ac:dyDescent="0.25">
      <c r="A512" s="106"/>
      <c r="G512" s="82"/>
    </row>
    <row r="513" spans="1:7" ht="20.100000000000001" customHeight="1" x14ac:dyDescent="0.25">
      <c r="A513" s="106"/>
      <c r="G513" s="82"/>
    </row>
    <row r="514" spans="1:7" ht="20.100000000000001" customHeight="1" x14ac:dyDescent="0.25">
      <c r="A514" s="106"/>
      <c r="G514" s="82"/>
    </row>
    <row r="515" spans="1:7" ht="20.100000000000001" customHeight="1" x14ac:dyDescent="0.25">
      <c r="A515" s="106"/>
      <c r="G515" s="82"/>
    </row>
    <row r="516" spans="1:7" ht="20.100000000000001" customHeight="1" x14ac:dyDescent="0.25">
      <c r="A516" s="106"/>
      <c r="G516" s="82"/>
    </row>
    <row r="517" spans="1:7" ht="20.100000000000001" customHeight="1" x14ac:dyDescent="0.25">
      <c r="A517" s="106"/>
      <c r="G517" s="82"/>
    </row>
    <row r="518" spans="1:7" ht="20.100000000000001" customHeight="1" x14ac:dyDescent="0.25">
      <c r="A518" s="106"/>
      <c r="G518" s="82"/>
    </row>
    <row r="519" spans="1:7" ht="20.100000000000001" customHeight="1" x14ac:dyDescent="0.25">
      <c r="A519" s="106"/>
      <c r="G519" s="82"/>
    </row>
    <row r="520" spans="1:7" ht="20.100000000000001" customHeight="1" x14ac:dyDescent="0.25">
      <c r="A520" s="106"/>
      <c r="G520" s="82"/>
    </row>
    <row r="521" spans="1:7" ht="20.100000000000001" customHeight="1" x14ac:dyDescent="0.25">
      <c r="A521" s="106"/>
      <c r="G521" s="82"/>
    </row>
    <row r="522" spans="1:7" ht="20.100000000000001" customHeight="1" x14ac:dyDescent="0.25">
      <c r="A522" s="106"/>
      <c r="G522" s="82"/>
    </row>
    <row r="523" spans="1:7" ht="20.100000000000001" customHeight="1" x14ac:dyDescent="0.25">
      <c r="A523" s="106"/>
      <c r="G523" s="82"/>
    </row>
    <row r="524" spans="1:7" ht="20.100000000000001" customHeight="1" x14ac:dyDescent="0.25">
      <c r="A524" s="106"/>
      <c r="G524" s="82"/>
    </row>
    <row r="525" spans="1:7" ht="20.100000000000001" customHeight="1" x14ac:dyDescent="0.25">
      <c r="A525" s="106"/>
      <c r="G525" s="82"/>
    </row>
    <row r="526" spans="1:7" ht="20.100000000000001" customHeight="1" x14ac:dyDescent="0.25">
      <c r="A526" s="106"/>
      <c r="G526" s="82"/>
    </row>
    <row r="527" spans="1:7" ht="20.100000000000001" customHeight="1" x14ac:dyDescent="0.25">
      <c r="A527" s="106"/>
      <c r="G527" s="82"/>
    </row>
    <row r="528" spans="1:7" ht="20.100000000000001" customHeight="1" x14ac:dyDescent="0.25">
      <c r="A528" s="106"/>
      <c r="G528" s="82"/>
    </row>
    <row r="529" spans="1:7" ht="20.100000000000001" customHeight="1" x14ac:dyDescent="0.25">
      <c r="A529" s="106"/>
      <c r="G529" s="82"/>
    </row>
    <row r="530" spans="1:7" ht="20.100000000000001" customHeight="1" x14ac:dyDescent="0.25">
      <c r="A530" s="106"/>
      <c r="G530" s="82"/>
    </row>
    <row r="531" spans="1:7" ht="20.100000000000001" customHeight="1" x14ac:dyDescent="0.25">
      <c r="A531" s="106"/>
      <c r="G531" s="82"/>
    </row>
    <row r="532" spans="1:7" ht="20.100000000000001" customHeight="1" x14ac:dyDescent="0.25">
      <c r="A532" s="106"/>
      <c r="G532" s="82"/>
    </row>
    <row r="533" spans="1:7" ht="20.100000000000001" customHeight="1" x14ac:dyDescent="0.25">
      <c r="A533" s="106"/>
      <c r="G533" s="82"/>
    </row>
    <row r="534" spans="1:7" ht="20.100000000000001" customHeight="1" x14ac:dyDescent="0.25">
      <c r="A534" s="106"/>
      <c r="G534" s="82"/>
    </row>
    <row r="535" spans="1:7" ht="20.100000000000001" customHeight="1" x14ac:dyDescent="0.25">
      <c r="A535" s="106"/>
      <c r="G535" s="82"/>
    </row>
    <row r="536" spans="1:7" ht="20.100000000000001" customHeight="1" x14ac:dyDescent="0.25">
      <c r="A536" s="106"/>
      <c r="G536" s="82"/>
    </row>
    <row r="537" spans="1:7" ht="20.100000000000001" customHeight="1" x14ac:dyDescent="0.25">
      <c r="A537" s="106"/>
      <c r="G537" s="82"/>
    </row>
    <row r="538" spans="1:7" ht="20.100000000000001" customHeight="1" x14ac:dyDescent="0.25">
      <c r="A538" s="106"/>
      <c r="G538" s="82"/>
    </row>
    <row r="539" spans="1:7" ht="20.100000000000001" customHeight="1" x14ac:dyDescent="0.25">
      <c r="A539" s="106"/>
      <c r="G539" s="82"/>
    </row>
    <row r="540" spans="1:7" ht="20.100000000000001" customHeight="1" x14ac:dyDescent="0.25">
      <c r="A540" s="106"/>
      <c r="G540" s="82"/>
    </row>
    <row r="541" spans="1:7" ht="20.100000000000001" customHeight="1" x14ac:dyDescent="0.25">
      <c r="A541" s="106"/>
      <c r="G541" s="82"/>
    </row>
    <row r="542" spans="1:7" ht="20.100000000000001" customHeight="1" x14ac:dyDescent="0.25">
      <c r="A542" s="106"/>
      <c r="G542" s="82"/>
    </row>
    <row r="543" spans="1:7" ht="20.100000000000001" customHeight="1" x14ac:dyDescent="0.25">
      <c r="A543" s="106"/>
      <c r="G543" s="82"/>
    </row>
    <row r="544" spans="1:7" ht="20.100000000000001" customHeight="1" x14ac:dyDescent="0.25">
      <c r="A544" s="106"/>
      <c r="G544" s="82"/>
    </row>
    <row r="545" spans="1:7" ht="20.100000000000001" customHeight="1" x14ac:dyDescent="0.25">
      <c r="A545" s="106"/>
      <c r="G545" s="82"/>
    </row>
    <row r="546" spans="1:7" ht="20.100000000000001" customHeight="1" x14ac:dyDescent="0.25">
      <c r="A546" s="106"/>
      <c r="G546" s="82"/>
    </row>
    <row r="547" spans="1:7" ht="20.100000000000001" customHeight="1" x14ac:dyDescent="0.25">
      <c r="A547" s="106"/>
      <c r="G547" s="82"/>
    </row>
    <row r="548" spans="1:7" ht="20.100000000000001" customHeight="1" x14ac:dyDescent="0.25">
      <c r="A548" s="106"/>
      <c r="G548" s="82"/>
    </row>
    <row r="549" spans="1:7" ht="20.100000000000001" customHeight="1" x14ac:dyDescent="0.25">
      <c r="A549" s="106"/>
      <c r="G549" s="82"/>
    </row>
    <row r="550" spans="1:7" ht="20.100000000000001" customHeight="1" x14ac:dyDescent="0.25">
      <c r="A550" s="106"/>
      <c r="G550" s="82"/>
    </row>
    <row r="551" spans="1:7" ht="20.100000000000001" customHeight="1" x14ac:dyDescent="0.25">
      <c r="A551" s="106"/>
      <c r="G551" s="82"/>
    </row>
    <row r="552" spans="1:7" ht="20.100000000000001" customHeight="1" x14ac:dyDescent="0.25">
      <c r="A552" s="106"/>
      <c r="G552" s="82"/>
    </row>
    <row r="553" spans="1:7" ht="20.100000000000001" customHeight="1" x14ac:dyDescent="0.25">
      <c r="A553" s="106"/>
      <c r="G553" s="82"/>
    </row>
    <row r="554" spans="1:7" ht="20.100000000000001" customHeight="1" x14ac:dyDescent="0.25">
      <c r="A554" s="106"/>
      <c r="G554" s="82"/>
    </row>
    <row r="555" spans="1:7" ht="20.100000000000001" customHeight="1" x14ac:dyDescent="0.25">
      <c r="A555" s="106"/>
      <c r="G555" s="82"/>
    </row>
    <row r="556" spans="1:7" ht="20.100000000000001" customHeight="1" x14ac:dyDescent="0.25">
      <c r="A556" s="106"/>
      <c r="G556" s="82"/>
    </row>
    <row r="557" spans="1:7" ht="20.100000000000001" customHeight="1" x14ac:dyDescent="0.25">
      <c r="A557" s="106"/>
      <c r="G557" s="82"/>
    </row>
    <row r="558" spans="1:7" ht="20.100000000000001" customHeight="1" x14ac:dyDescent="0.25">
      <c r="A558" s="106"/>
      <c r="G558" s="82"/>
    </row>
    <row r="559" spans="1:7" ht="20.100000000000001" customHeight="1" x14ac:dyDescent="0.25">
      <c r="A559" s="106"/>
      <c r="G559" s="82"/>
    </row>
    <row r="560" spans="1:7" ht="20.100000000000001" customHeight="1" x14ac:dyDescent="0.25">
      <c r="A560" s="106"/>
      <c r="G560" s="82"/>
    </row>
    <row r="561" spans="1:7" ht="20.100000000000001" customHeight="1" x14ac:dyDescent="0.25">
      <c r="A561" s="106"/>
      <c r="G561" s="82"/>
    </row>
    <row r="562" spans="1:7" ht="20.100000000000001" customHeight="1" x14ac:dyDescent="0.25">
      <c r="A562" s="106"/>
      <c r="G562" s="82"/>
    </row>
    <row r="563" spans="1:7" ht="20.100000000000001" customHeight="1" x14ac:dyDescent="0.25">
      <c r="A563" s="106"/>
      <c r="G563" s="82"/>
    </row>
    <row r="564" spans="1:7" ht="20.100000000000001" customHeight="1" x14ac:dyDescent="0.25">
      <c r="A564" s="106"/>
      <c r="G564" s="82"/>
    </row>
    <row r="565" spans="1:7" ht="20.100000000000001" customHeight="1" x14ac:dyDescent="0.25">
      <c r="A565" s="106"/>
      <c r="G565" s="82"/>
    </row>
    <row r="566" spans="1:7" ht="20.100000000000001" customHeight="1" x14ac:dyDescent="0.25">
      <c r="A566" s="106"/>
      <c r="G566" s="82"/>
    </row>
    <row r="567" spans="1:7" ht="20.100000000000001" customHeight="1" x14ac:dyDescent="0.25">
      <c r="A567" s="106"/>
      <c r="G567" s="82"/>
    </row>
    <row r="568" spans="1:7" ht="20.100000000000001" customHeight="1" x14ac:dyDescent="0.25">
      <c r="A568" s="106"/>
      <c r="G568" s="82"/>
    </row>
    <row r="569" spans="1:7" ht="20.100000000000001" customHeight="1" x14ac:dyDescent="0.25">
      <c r="A569" s="106"/>
      <c r="G569" s="82"/>
    </row>
    <row r="570" spans="1:7" ht="20.100000000000001" customHeight="1" x14ac:dyDescent="0.25">
      <c r="A570" s="106"/>
      <c r="G570" s="82"/>
    </row>
    <row r="571" spans="1:7" ht="20.100000000000001" customHeight="1" x14ac:dyDescent="0.25">
      <c r="A571" s="106"/>
      <c r="G571" s="82"/>
    </row>
    <row r="572" spans="1:7" ht="20.100000000000001" customHeight="1" x14ac:dyDescent="0.25">
      <c r="A572" s="106"/>
      <c r="G572" s="82"/>
    </row>
    <row r="573" spans="1:7" ht="20.100000000000001" customHeight="1" x14ac:dyDescent="0.25">
      <c r="A573" s="106"/>
      <c r="G573" s="82"/>
    </row>
    <row r="574" spans="1:7" ht="20.100000000000001" customHeight="1" x14ac:dyDescent="0.25">
      <c r="A574" s="106"/>
      <c r="G574" s="82"/>
    </row>
    <row r="575" spans="1:7" ht="20.100000000000001" customHeight="1" x14ac:dyDescent="0.25">
      <c r="A575" s="106"/>
      <c r="G575" s="82"/>
    </row>
    <row r="576" spans="1:7" ht="20.100000000000001" customHeight="1" x14ac:dyDescent="0.25">
      <c r="A576" s="106"/>
      <c r="G576" s="82"/>
    </row>
    <row r="577" spans="1:7" ht="20.100000000000001" customHeight="1" x14ac:dyDescent="0.25">
      <c r="A577" s="106"/>
      <c r="G577" s="82"/>
    </row>
    <row r="578" spans="1:7" ht="20.100000000000001" customHeight="1" x14ac:dyDescent="0.25">
      <c r="A578" s="106"/>
      <c r="G578" s="82"/>
    </row>
    <row r="579" spans="1:7" ht="20.100000000000001" customHeight="1" x14ac:dyDescent="0.25">
      <c r="A579" s="106"/>
      <c r="G579" s="82"/>
    </row>
    <row r="580" spans="1:7" ht="20.100000000000001" customHeight="1" x14ac:dyDescent="0.25">
      <c r="A580" s="106"/>
      <c r="G580" s="82"/>
    </row>
    <row r="581" spans="1:7" ht="20.100000000000001" customHeight="1" x14ac:dyDescent="0.25">
      <c r="A581" s="106"/>
      <c r="G581" s="82"/>
    </row>
    <row r="582" spans="1:7" ht="20.100000000000001" customHeight="1" x14ac:dyDescent="0.25">
      <c r="A582" s="106"/>
      <c r="G582" s="82"/>
    </row>
    <row r="583" spans="1:7" ht="20.100000000000001" customHeight="1" x14ac:dyDescent="0.25">
      <c r="A583" s="106"/>
      <c r="G583" s="82"/>
    </row>
    <row r="584" spans="1:7" ht="20.100000000000001" customHeight="1" x14ac:dyDescent="0.25">
      <c r="A584" s="106"/>
      <c r="G584" s="82"/>
    </row>
    <row r="585" spans="1:7" ht="20.100000000000001" customHeight="1" x14ac:dyDescent="0.25">
      <c r="A585" s="106"/>
      <c r="G585" s="82"/>
    </row>
    <row r="586" spans="1:7" ht="20.100000000000001" customHeight="1" x14ac:dyDescent="0.25">
      <c r="A586" s="106"/>
      <c r="G586" s="82"/>
    </row>
    <row r="587" spans="1:7" ht="20.100000000000001" customHeight="1" x14ac:dyDescent="0.25">
      <c r="A587" s="106"/>
      <c r="G587" s="82"/>
    </row>
    <row r="588" spans="1:7" ht="20.100000000000001" customHeight="1" x14ac:dyDescent="0.25">
      <c r="A588" s="106"/>
      <c r="G588" s="82"/>
    </row>
    <row r="589" spans="1:7" ht="20.100000000000001" customHeight="1" x14ac:dyDescent="0.25">
      <c r="A589" s="106"/>
      <c r="G589" s="82"/>
    </row>
    <row r="590" spans="1:7" ht="20.100000000000001" customHeight="1" x14ac:dyDescent="0.25">
      <c r="A590" s="106"/>
      <c r="G590" s="82"/>
    </row>
    <row r="591" spans="1:7" ht="20.100000000000001" customHeight="1" x14ac:dyDescent="0.25">
      <c r="A591" s="106"/>
      <c r="G591" s="82"/>
    </row>
    <row r="592" spans="1:7" ht="20.100000000000001" customHeight="1" x14ac:dyDescent="0.25">
      <c r="A592" s="106"/>
      <c r="G592" s="82"/>
    </row>
    <row r="593" spans="1:7" ht="20.100000000000001" customHeight="1" x14ac:dyDescent="0.25">
      <c r="A593" s="106"/>
      <c r="G593" s="82"/>
    </row>
    <row r="594" spans="1:7" ht="20.100000000000001" customHeight="1" x14ac:dyDescent="0.25">
      <c r="A594" s="106"/>
      <c r="G594" s="82"/>
    </row>
    <row r="595" spans="1:7" ht="20.100000000000001" customHeight="1" x14ac:dyDescent="0.25">
      <c r="A595" s="106"/>
      <c r="G595" s="82"/>
    </row>
    <row r="596" spans="1:7" ht="20.100000000000001" customHeight="1" x14ac:dyDescent="0.25">
      <c r="A596" s="106"/>
      <c r="G596" s="82"/>
    </row>
    <row r="597" spans="1:7" ht="20.100000000000001" customHeight="1" x14ac:dyDescent="0.25">
      <c r="A597" s="106"/>
      <c r="G597" s="82"/>
    </row>
    <row r="598" spans="1:7" ht="20.100000000000001" customHeight="1" x14ac:dyDescent="0.25">
      <c r="A598" s="106"/>
      <c r="G598" s="82"/>
    </row>
    <row r="599" spans="1:7" ht="20.100000000000001" customHeight="1" x14ac:dyDescent="0.25">
      <c r="A599" s="106"/>
      <c r="G599" s="82"/>
    </row>
    <row r="600" spans="1:7" ht="20.100000000000001" customHeight="1" x14ac:dyDescent="0.25">
      <c r="A600" s="106"/>
      <c r="G600" s="82"/>
    </row>
    <row r="601" spans="1:7" ht="20.100000000000001" customHeight="1" x14ac:dyDescent="0.25">
      <c r="A601" s="106"/>
      <c r="G601" s="82"/>
    </row>
    <row r="602" spans="1:7" ht="20.100000000000001" customHeight="1" x14ac:dyDescent="0.25">
      <c r="A602" s="106"/>
      <c r="G602" s="82"/>
    </row>
    <row r="603" spans="1:7" ht="20.100000000000001" customHeight="1" x14ac:dyDescent="0.25">
      <c r="A603" s="106"/>
      <c r="G603" s="82"/>
    </row>
    <row r="604" spans="1:7" ht="20.100000000000001" customHeight="1" x14ac:dyDescent="0.25">
      <c r="A604" s="106"/>
      <c r="G604" s="82"/>
    </row>
    <row r="605" spans="1:7" ht="20.100000000000001" customHeight="1" x14ac:dyDescent="0.25">
      <c r="A605" s="106"/>
      <c r="G605" s="82"/>
    </row>
    <row r="606" spans="1:7" ht="20.100000000000001" customHeight="1" x14ac:dyDescent="0.25">
      <c r="A606" s="106"/>
      <c r="G606" s="82"/>
    </row>
    <row r="607" spans="1:7" ht="20.100000000000001" customHeight="1" x14ac:dyDescent="0.25">
      <c r="A607" s="106"/>
      <c r="G607" s="82"/>
    </row>
    <row r="608" spans="1:7" ht="20.100000000000001" customHeight="1" x14ac:dyDescent="0.25">
      <c r="A608" s="106"/>
      <c r="G608" s="82"/>
    </row>
    <row r="609" spans="1:7" ht="20.100000000000001" customHeight="1" x14ac:dyDescent="0.25">
      <c r="A609" s="106"/>
      <c r="G609" s="82"/>
    </row>
    <row r="610" spans="1:7" ht="20.100000000000001" customHeight="1" x14ac:dyDescent="0.25">
      <c r="A610" s="106"/>
      <c r="G610" s="82"/>
    </row>
    <row r="611" spans="1:7" ht="20.100000000000001" customHeight="1" x14ac:dyDescent="0.25">
      <c r="A611" s="106"/>
      <c r="G611" s="82"/>
    </row>
    <row r="612" spans="1:7" ht="20.100000000000001" customHeight="1" x14ac:dyDescent="0.25">
      <c r="A612" s="106"/>
      <c r="G612" s="82"/>
    </row>
    <row r="613" spans="1:7" ht="20.100000000000001" customHeight="1" x14ac:dyDescent="0.25">
      <c r="A613" s="106"/>
      <c r="G613" s="82"/>
    </row>
    <row r="614" spans="1:7" ht="20.100000000000001" customHeight="1" x14ac:dyDescent="0.25">
      <c r="A614" s="106"/>
      <c r="G614" s="82"/>
    </row>
    <row r="615" spans="1:7" ht="20.100000000000001" customHeight="1" x14ac:dyDescent="0.25">
      <c r="A615" s="106"/>
      <c r="G615" s="82"/>
    </row>
    <row r="616" spans="1:7" ht="20.100000000000001" customHeight="1" x14ac:dyDescent="0.25">
      <c r="A616" s="106"/>
      <c r="G616" s="82"/>
    </row>
    <row r="617" spans="1:7" ht="20.100000000000001" customHeight="1" x14ac:dyDescent="0.25">
      <c r="A617" s="106"/>
      <c r="G617" s="82"/>
    </row>
    <row r="618" spans="1:7" ht="20.100000000000001" customHeight="1" x14ac:dyDescent="0.25">
      <c r="A618" s="106"/>
      <c r="G618" s="82"/>
    </row>
    <row r="619" spans="1:7" ht="20.100000000000001" customHeight="1" x14ac:dyDescent="0.25">
      <c r="A619" s="106"/>
      <c r="G619" s="82"/>
    </row>
    <row r="620" spans="1:7" ht="20.100000000000001" customHeight="1" x14ac:dyDescent="0.25">
      <c r="A620" s="106"/>
      <c r="G620" s="82"/>
    </row>
    <row r="621" spans="1:7" ht="20.100000000000001" customHeight="1" x14ac:dyDescent="0.25">
      <c r="A621" s="106"/>
      <c r="G621" s="82"/>
    </row>
    <row r="622" spans="1:7" ht="20.100000000000001" customHeight="1" x14ac:dyDescent="0.25">
      <c r="A622" s="106"/>
      <c r="G622" s="82"/>
    </row>
    <row r="623" spans="1:7" ht="20.100000000000001" customHeight="1" x14ac:dyDescent="0.25">
      <c r="A623" s="106"/>
      <c r="G623" s="82"/>
    </row>
    <row r="624" spans="1:7" ht="20.100000000000001" customHeight="1" x14ac:dyDescent="0.25">
      <c r="A624" s="106"/>
      <c r="G624" s="82"/>
    </row>
    <row r="625" spans="1:7" ht="20.100000000000001" customHeight="1" x14ac:dyDescent="0.25">
      <c r="A625" s="106"/>
      <c r="G625" s="82"/>
    </row>
    <row r="626" spans="1:7" ht="20.100000000000001" customHeight="1" x14ac:dyDescent="0.25">
      <c r="A626" s="106"/>
      <c r="G626" s="82"/>
    </row>
    <row r="627" spans="1:7" ht="20.100000000000001" customHeight="1" x14ac:dyDescent="0.25">
      <c r="A627" s="106"/>
      <c r="G627" s="82"/>
    </row>
    <row r="628" spans="1:7" ht="20.100000000000001" customHeight="1" x14ac:dyDescent="0.25">
      <c r="A628" s="106"/>
      <c r="G628" s="82"/>
    </row>
    <row r="629" spans="1:7" ht="20.100000000000001" customHeight="1" x14ac:dyDescent="0.25">
      <c r="A629" s="106"/>
      <c r="G629" s="82"/>
    </row>
    <row r="630" spans="1:7" ht="20.100000000000001" customHeight="1" x14ac:dyDescent="0.25">
      <c r="A630" s="106"/>
      <c r="G630" s="82"/>
    </row>
    <row r="631" spans="1:7" ht="20.100000000000001" customHeight="1" x14ac:dyDescent="0.25">
      <c r="A631" s="106"/>
      <c r="G631" s="82"/>
    </row>
    <row r="632" spans="1:7" ht="20.100000000000001" customHeight="1" x14ac:dyDescent="0.25">
      <c r="A632" s="106"/>
      <c r="G632" s="82"/>
    </row>
    <row r="633" spans="1:7" ht="20.100000000000001" customHeight="1" x14ac:dyDescent="0.25">
      <c r="A633" s="106"/>
      <c r="G633" s="82"/>
    </row>
    <row r="634" spans="1:7" ht="20.100000000000001" customHeight="1" x14ac:dyDescent="0.25">
      <c r="A634" s="106"/>
      <c r="G634" s="82"/>
    </row>
    <row r="635" spans="1:7" ht="20.100000000000001" customHeight="1" x14ac:dyDescent="0.25">
      <c r="A635" s="106"/>
      <c r="G635" s="82"/>
    </row>
    <row r="636" spans="1:7" ht="20.100000000000001" customHeight="1" x14ac:dyDescent="0.25">
      <c r="A636" s="106"/>
      <c r="G636" s="82"/>
    </row>
    <row r="637" spans="1:7" ht="20.100000000000001" customHeight="1" x14ac:dyDescent="0.25">
      <c r="A637" s="106"/>
      <c r="G637" s="82"/>
    </row>
    <row r="638" spans="1:7" ht="20.100000000000001" customHeight="1" x14ac:dyDescent="0.25">
      <c r="A638" s="106"/>
      <c r="G638" s="82"/>
    </row>
    <row r="639" spans="1:7" ht="20.100000000000001" customHeight="1" x14ac:dyDescent="0.25">
      <c r="A639" s="106"/>
      <c r="G639" s="82"/>
    </row>
    <row r="640" spans="1:7" ht="20.100000000000001" customHeight="1" x14ac:dyDescent="0.25">
      <c r="A640" s="106"/>
      <c r="G640" s="82"/>
    </row>
    <row r="641" spans="1:7" ht="20.100000000000001" customHeight="1" x14ac:dyDescent="0.25">
      <c r="A641" s="106"/>
      <c r="G641" s="82"/>
    </row>
    <row r="642" spans="1:7" ht="20.100000000000001" customHeight="1" x14ac:dyDescent="0.25">
      <c r="A642" s="106"/>
      <c r="G642" s="82"/>
    </row>
    <row r="643" spans="1:7" ht="20.100000000000001" customHeight="1" x14ac:dyDescent="0.25">
      <c r="A643" s="106"/>
      <c r="G643" s="82"/>
    </row>
    <row r="644" spans="1:7" ht="20.100000000000001" customHeight="1" x14ac:dyDescent="0.25">
      <c r="A644" s="106"/>
      <c r="G644" s="82"/>
    </row>
    <row r="645" spans="1:7" ht="20.100000000000001" customHeight="1" x14ac:dyDescent="0.25">
      <c r="A645" s="106"/>
      <c r="G645" s="82"/>
    </row>
    <row r="646" spans="1:7" ht="20.100000000000001" customHeight="1" x14ac:dyDescent="0.25">
      <c r="A646" s="106"/>
      <c r="G646" s="82"/>
    </row>
    <row r="647" spans="1:7" ht="20.100000000000001" customHeight="1" x14ac:dyDescent="0.25">
      <c r="A647" s="106"/>
      <c r="G647" s="82"/>
    </row>
    <row r="648" spans="1:7" ht="20.100000000000001" customHeight="1" x14ac:dyDescent="0.25">
      <c r="A648" s="106"/>
      <c r="G648" s="82"/>
    </row>
    <row r="649" spans="1:7" ht="20.100000000000001" customHeight="1" x14ac:dyDescent="0.25">
      <c r="A649" s="106"/>
      <c r="G649" s="82"/>
    </row>
    <row r="650" spans="1:7" ht="20.100000000000001" customHeight="1" x14ac:dyDescent="0.25">
      <c r="A650" s="106"/>
      <c r="G650" s="82"/>
    </row>
    <row r="651" spans="1:7" ht="20.100000000000001" customHeight="1" x14ac:dyDescent="0.25">
      <c r="A651" s="106"/>
      <c r="G651" s="82"/>
    </row>
    <row r="652" spans="1:7" ht="20.100000000000001" customHeight="1" x14ac:dyDescent="0.25">
      <c r="A652" s="106"/>
      <c r="G652" s="82"/>
    </row>
    <row r="653" spans="1:7" ht="20.100000000000001" customHeight="1" x14ac:dyDescent="0.25">
      <c r="A653" s="106"/>
      <c r="G653" s="82"/>
    </row>
    <row r="654" spans="1:7" ht="20.100000000000001" customHeight="1" x14ac:dyDescent="0.25">
      <c r="A654" s="106"/>
      <c r="G654" s="82"/>
    </row>
    <row r="655" spans="1:7" ht="20.100000000000001" customHeight="1" x14ac:dyDescent="0.25">
      <c r="A655" s="106"/>
      <c r="G655" s="82"/>
    </row>
    <row r="656" spans="1:7" ht="20.100000000000001" customHeight="1" x14ac:dyDescent="0.25">
      <c r="A656" s="106"/>
      <c r="G656" s="82"/>
    </row>
    <row r="657" spans="1:7" ht="20.100000000000001" customHeight="1" x14ac:dyDescent="0.25">
      <c r="A657" s="106"/>
      <c r="G657" s="82"/>
    </row>
    <row r="658" spans="1:7" ht="20.100000000000001" customHeight="1" x14ac:dyDescent="0.25">
      <c r="A658" s="106"/>
      <c r="G658" s="82"/>
    </row>
    <row r="659" spans="1:7" ht="20.100000000000001" customHeight="1" x14ac:dyDescent="0.25">
      <c r="A659" s="106"/>
      <c r="G659" s="82"/>
    </row>
    <row r="660" spans="1:7" ht="20.100000000000001" customHeight="1" x14ac:dyDescent="0.25">
      <c r="A660" s="106"/>
      <c r="G660" s="82"/>
    </row>
    <row r="661" spans="1:7" ht="20.100000000000001" customHeight="1" x14ac:dyDescent="0.25">
      <c r="A661" s="106"/>
      <c r="G661" s="82"/>
    </row>
    <row r="662" spans="1:7" ht="20.100000000000001" customHeight="1" x14ac:dyDescent="0.25">
      <c r="A662" s="106"/>
      <c r="G662" s="82"/>
    </row>
    <row r="663" spans="1:7" ht="20.100000000000001" customHeight="1" x14ac:dyDescent="0.25">
      <c r="A663" s="106"/>
      <c r="G663" s="82"/>
    </row>
    <row r="664" spans="1:7" ht="20.100000000000001" customHeight="1" x14ac:dyDescent="0.25">
      <c r="A664" s="106"/>
      <c r="G664" s="82"/>
    </row>
    <row r="665" spans="1:7" ht="20.100000000000001" customHeight="1" x14ac:dyDescent="0.25">
      <c r="A665" s="106"/>
      <c r="G665" s="82"/>
    </row>
    <row r="666" spans="1:7" ht="20.100000000000001" customHeight="1" x14ac:dyDescent="0.25">
      <c r="A666" s="106"/>
      <c r="G666" s="82"/>
    </row>
    <row r="667" spans="1:7" ht="20.100000000000001" customHeight="1" x14ac:dyDescent="0.25">
      <c r="A667" s="106"/>
      <c r="G667" s="82"/>
    </row>
    <row r="668" spans="1:7" ht="20.100000000000001" customHeight="1" x14ac:dyDescent="0.25">
      <c r="A668" s="106"/>
      <c r="G668" s="82"/>
    </row>
    <row r="669" spans="1:7" ht="20.100000000000001" customHeight="1" x14ac:dyDescent="0.25">
      <c r="A669" s="106"/>
      <c r="G669" s="82"/>
    </row>
    <row r="670" spans="1:7" ht="20.100000000000001" customHeight="1" x14ac:dyDescent="0.25">
      <c r="A670" s="106"/>
      <c r="G670" s="82"/>
    </row>
    <row r="671" spans="1:7" ht="20.100000000000001" customHeight="1" x14ac:dyDescent="0.25">
      <c r="A671" s="106"/>
      <c r="G671" s="82"/>
    </row>
    <row r="672" spans="1:7" ht="20.100000000000001" customHeight="1" x14ac:dyDescent="0.25">
      <c r="A672" s="106"/>
      <c r="G672" s="82"/>
    </row>
    <row r="673" spans="1:7" ht="20.100000000000001" customHeight="1" x14ac:dyDescent="0.25">
      <c r="A673" s="106"/>
      <c r="G673" s="82"/>
    </row>
    <row r="674" spans="1:7" ht="20.100000000000001" customHeight="1" x14ac:dyDescent="0.25">
      <c r="A674" s="106"/>
      <c r="G674" s="82"/>
    </row>
    <row r="675" spans="1:7" ht="20.100000000000001" customHeight="1" x14ac:dyDescent="0.25">
      <c r="A675" s="106"/>
      <c r="G675" s="82"/>
    </row>
    <row r="676" spans="1:7" ht="20.100000000000001" customHeight="1" x14ac:dyDescent="0.25">
      <c r="A676" s="106"/>
      <c r="G676" s="82"/>
    </row>
    <row r="677" spans="1:7" ht="20.100000000000001" customHeight="1" x14ac:dyDescent="0.25">
      <c r="A677" s="106"/>
      <c r="G677" s="82"/>
    </row>
    <row r="678" spans="1:7" ht="20.100000000000001" customHeight="1" x14ac:dyDescent="0.25">
      <c r="A678" s="106"/>
      <c r="G678" s="82"/>
    </row>
    <row r="679" spans="1:7" ht="20.100000000000001" customHeight="1" x14ac:dyDescent="0.25">
      <c r="A679" s="106"/>
      <c r="G679" s="82"/>
    </row>
    <row r="680" spans="1:7" ht="20.100000000000001" customHeight="1" x14ac:dyDescent="0.25">
      <c r="A680" s="106"/>
      <c r="G680" s="82"/>
    </row>
    <row r="681" spans="1:7" ht="20.100000000000001" customHeight="1" x14ac:dyDescent="0.25">
      <c r="A681" s="106"/>
      <c r="G681" s="82"/>
    </row>
    <row r="682" spans="1:7" ht="20.100000000000001" customHeight="1" x14ac:dyDescent="0.25">
      <c r="A682" s="106"/>
      <c r="G682" s="82"/>
    </row>
    <row r="683" spans="1:7" ht="20.100000000000001" customHeight="1" x14ac:dyDescent="0.25">
      <c r="A683" s="106"/>
      <c r="G683" s="82"/>
    </row>
    <row r="684" spans="1:7" ht="20.100000000000001" customHeight="1" x14ac:dyDescent="0.25">
      <c r="A684" s="106"/>
      <c r="G684" s="82"/>
    </row>
    <row r="685" spans="1:7" ht="20.100000000000001" customHeight="1" x14ac:dyDescent="0.25">
      <c r="A685" s="106"/>
      <c r="G685" s="82"/>
    </row>
    <row r="686" spans="1:7" ht="20.100000000000001" customHeight="1" x14ac:dyDescent="0.25">
      <c r="A686" s="106"/>
      <c r="G686" s="82"/>
    </row>
    <row r="687" spans="1:7" ht="20.100000000000001" customHeight="1" x14ac:dyDescent="0.25">
      <c r="A687" s="106"/>
      <c r="G687" s="82"/>
    </row>
    <row r="688" spans="1:7" ht="20.100000000000001" customHeight="1" x14ac:dyDescent="0.25">
      <c r="A688" s="106"/>
      <c r="G688" s="82"/>
    </row>
    <row r="689" spans="1:7" ht="20.100000000000001" customHeight="1" x14ac:dyDescent="0.25">
      <c r="A689" s="106"/>
      <c r="G689" s="82"/>
    </row>
    <row r="690" spans="1:7" ht="20.100000000000001" customHeight="1" x14ac:dyDescent="0.25">
      <c r="A690" s="106"/>
      <c r="G690" s="82"/>
    </row>
    <row r="691" spans="1:7" ht="20.100000000000001" customHeight="1" x14ac:dyDescent="0.25">
      <c r="A691" s="106"/>
      <c r="G691" s="82"/>
    </row>
    <row r="692" spans="1:7" ht="20.100000000000001" customHeight="1" x14ac:dyDescent="0.25">
      <c r="A692" s="106"/>
      <c r="G692" s="82"/>
    </row>
    <row r="693" spans="1:7" ht="20.100000000000001" customHeight="1" x14ac:dyDescent="0.25">
      <c r="A693" s="106"/>
      <c r="G693" s="82"/>
    </row>
    <row r="694" spans="1:7" ht="20.100000000000001" customHeight="1" x14ac:dyDescent="0.25">
      <c r="A694" s="106"/>
      <c r="G694" s="82"/>
    </row>
    <row r="695" spans="1:7" ht="20.100000000000001" customHeight="1" x14ac:dyDescent="0.25">
      <c r="A695" s="106"/>
      <c r="G695" s="82"/>
    </row>
    <row r="696" spans="1:7" ht="20.100000000000001" customHeight="1" x14ac:dyDescent="0.25">
      <c r="A696" s="106"/>
      <c r="G696" s="82"/>
    </row>
    <row r="697" spans="1:7" ht="20.100000000000001" customHeight="1" x14ac:dyDescent="0.25">
      <c r="A697" s="106"/>
      <c r="G697" s="82"/>
    </row>
    <row r="698" spans="1:7" ht="20.100000000000001" customHeight="1" x14ac:dyDescent="0.25">
      <c r="A698" s="106"/>
      <c r="G698" s="82"/>
    </row>
    <row r="699" spans="1:7" ht="20.100000000000001" customHeight="1" x14ac:dyDescent="0.25">
      <c r="A699" s="106"/>
      <c r="G699" s="82"/>
    </row>
    <row r="700" spans="1:7" ht="20.100000000000001" customHeight="1" x14ac:dyDescent="0.25">
      <c r="A700" s="106"/>
      <c r="G700" s="82"/>
    </row>
    <row r="701" spans="1:7" ht="20.100000000000001" customHeight="1" x14ac:dyDescent="0.25">
      <c r="A701" s="106"/>
      <c r="G701" s="82"/>
    </row>
    <row r="702" spans="1:7" ht="20.100000000000001" customHeight="1" x14ac:dyDescent="0.25">
      <c r="A702" s="106"/>
      <c r="G702" s="82"/>
    </row>
    <row r="703" spans="1:7" ht="20.100000000000001" customHeight="1" x14ac:dyDescent="0.25">
      <c r="A703" s="106"/>
      <c r="G703" s="82"/>
    </row>
    <row r="704" spans="1:7" ht="20.100000000000001" customHeight="1" x14ac:dyDescent="0.25">
      <c r="A704" s="106"/>
      <c r="G704" s="82"/>
    </row>
    <row r="705" spans="1:7" ht="20.100000000000001" customHeight="1" x14ac:dyDescent="0.25">
      <c r="A705" s="106"/>
      <c r="G705" s="82"/>
    </row>
    <row r="706" spans="1:7" ht="20.100000000000001" customHeight="1" x14ac:dyDescent="0.25">
      <c r="A706" s="106"/>
      <c r="G706" s="82"/>
    </row>
    <row r="707" spans="1:7" ht="20.100000000000001" customHeight="1" x14ac:dyDescent="0.25">
      <c r="A707" s="106"/>
      <c r="G707" s="82"/>
    </row>
    <row r="708" spans="1:7" ht="20.100000000000001" customHeight="1" x14ac:dyDescent="0.25">
      <c r="A708" s="106"/>
      <c r="G708" s="82"/>
    </row>
    <row r="709" spans="1:7" ht="20.100000000000001" customHeight="1" x14ac:dyDescent="0.25">
      <c r="A709" s="106"/>
      <c r="G709" s="82"/>
    </row>
    <row r="710" spans="1:7" ht="20.100000000000001" customHeight="1" x14ac:dyDescent="0.25">
      <c r="A710" s="106"/>
      <c r="G710" s="82"/>
    </row>
    <row r="711" spans="1:7" ht="20.100000000000001" customHeight="1" x14ac:dyDescent="0.25">
      <c r="A711" s="106"/>
      <c r="G711" s="82"/>
    </row>
    <row r="712" spans="1:7" ht="20.100000000000001" customHeight="1" x14ac:dyDescent="0.25">
      <c r="A712" s="106"/>
      <c r="G712" s="82"/>
    </row>
    <row r="713" spans="1:7" ht="20.100000000000001" customHeight="1" x14ac:dyDescent="0.25">
      <c r="A713" s="106"/>
      <c r="G713" s="82"/>
    </row>
    <row r="714" spans="1:7" ht="20.100000000000001" customHeight="1" x14ac:dyDescent="0.25">
      <c r="A714" s="106"/>
      <c r="G714" s="82"/>
    </row>
    <row r="715" spans="1:7" ht="20.100000000000001" customHeight="1" x14ac:dyDescent="0.25">
      <c r="A715" s="106"/>
      <c r="G715" s="82"/>
    </row>
    <row r="716" spans="1:7" ht="20.100000000000001" customHeight="1" x14ac:dyDescent="0.25">
      <c r="A716" s="106"/>
      <c r="G716" s="82"/>
    </row>
    <row r="717" spans="1:7" ht="20.100000000000001" customHeight="1" x14ac:dyDescent="0.25">
      <c r="A717" s="106"/>
      <c r="G717" s="82"/>
    </row>
    <row r="718" spans="1:7" ht="20.100000000000001" customHeight="1" x14ac:dyDescent="0.25">
      <c r="A718" s="106"/>
      <c r="G718" s="82"/>
    </row>
    <row r="719" spans="1:7" ht="20.100000000000001" customHeight="1" x14ac:dyDescent="0.25">
      <c r="A719" s="106"/>
      <c r="G719" s="82"/>
    </row>
    <row r="720" spans="1:7" ht="20.100000000000001" customHeight="1" x14ac:dyDescent="0.25">
      <c r="A720" s="106"/>
      <c r="G720" s="82"/>
    </row>
    <row r="721" spans="1:7" ht="20.100000000000001" customHeight="1" x14ac:dyDescent="0.25">
      <c r="A721" s="106"/>
      <c r="G721" s="82"/>
    </row>
    <row r="722" spans="1:7" ht="20.100000000000001" customHeight="1" x14ac:dyDescent="0.25">
      <c r="A722" s="106"/>
      <c r="G722" s="82"/>
    </row>
    <row r="723" spans="1:7" ht="20.100000000000001" customHeight="1" x14ac:dyDescent="0.25">
      <c r="A723" s="106"/>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2018-05-13T02:07:25Z</dcterms:modified>
</cp:coreProperties>
</file>