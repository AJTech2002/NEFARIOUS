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6660" windowWidth="38400" windowHeight="21045" tabRatio="540"/>
  </bookViews>
  <sheets>
    <sheet name="Life Planne" sheetId="18" r:id="rId1"/>
    <sheet name="Journal" sheetId="3" r:id="rId2"/>
    <sheet name="Life Map" sheetId="11" r:id="rId3"/>
    <sheet name="Revision Planning" sheetId="15" r:id="rId4"/>
    <sheet name="Current Tasks" sheetId="9" r:id="rId5"/>
    <sheet name="Life Planner" sheetId="6" r:id="rId6"/>
    <sheet name="GAANT" sheetId="1" r:id="rId7"/>
    <sheet name="Sheet1" sheetId="20"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1" i="18" l="1"/>
  <c r="Q31" i="18" l="1"/>
  <c r="P31" i="18" l="1"/>
  <c r="B59" i="18" l="1"/>
  <c r="J3" i="18"/>
  <c r="K3" i="18"/>
  <c r="L3" i="18"/>
  <c r="M3" i="18"/>
  <c r="N3" i="18"/>
  <c r="O3" i="18"/>
  <c r="P3" i="18"/>
  <c r="Q3" i="18"/>
  <c r="R3" i="18"/>
  <c r="S3" i="18"/>
  <c r="T3" i="18"/>
  <c r="U3" i="18"/>
  <c r="V3" i="18"/>
  <c r="W3" i="18"/>
  <c r="X3" i="18"/>
  <c r="Y3" i="18"/>
  <c r="Z3" i="18"/>
  <c r="AA3" i="18"/>
  <c r="AB3" i="18"/>
  <c r="AC3" i="18"/>
  <c r="AD3" i="18"/>
  <c r="AE3" i="18"/>
  <c r="AF3" i="18"/>
  <c r="AG3" i="18"/>
  <c r="AH3" i="18"/>
  <c r="AI3" i="18"/>
  <c r="AJ3" i="18"/>
  <c r="AK3" i="18"/>
  <c r="AL3" i="18"/>
  <c r="AM3" i="18"/>
  <c r="AN3" i="18"/>
  <c r="AO3" i="18"/>
  <c r="AP3" i="18"/>
  <c r="AQ3" i="18"/>
  <c r="AR3" i="18"/>
  <c r="AS3" i="18"/>
  <c r="AT3" i="18"/>
  <c r="AU3" i="18"/>
  <c r="AV3" i="18"/>
  <c r="AW3" i="18"/>
  <c r="AX3" i="18"/>
  <c r="AY3" i="18"/>
  <c r="AZ3" i="18"/>
  <c r="BA3" i="18"/>
  <c r="BB3" i="18"/>
  <c r="BC3" i="18"/>
  <c r="BD3" i="18"/>
  <c r="BE3" i="18"/>
  <c r="BF3" i="18"/>
  <c r="BG3" i="18"/>
  <c r="BH3" i="18"/>
  <c r="BI3" i="18"/>
  <c r="BJ3" i="18"/>
  <c r="BK3" i="18"/>
  <c r="BL3" i="18"/>
  <c r="BM3" i="18"/>
  <c r="BN3" i="18"/>
  <c r="BO3" i="18"/>
  <c r="BP3" i="18"/>
  <c r="BQ3" i="18"/>
  <c r="BR3" i="18"/>
  <c r="BS3" i="18"/>
  <c r="BT3" i="18"/>
  <c r="BU3" i="18"/>
  <c r="BV3" i="18"/>
  <c r="BW3" i="18"/>
  <c r="BX3" i="18"/>
  <c r="BY3" i="18"/>
  <c r="BZ3" i="18"/>
  <c r="CA3" i="18"/>
  <c r="CB3" i="18"/>
  <c r="CC3" i="18"/>
  <c r="CD3" i="18"/>
  <c r="CE3" i="18"/>
  <c r="CF3" i="18"/>
  <c r="CG3" i="18"/>
  <c r="CH3" i="18"/>
  <c r="CI3" i="18"/>
  <c r="CJ3" i="18"/>
  <c r="CK3" i="18"/>
  <c r="CL3" i="18"/>
  <c r="CM3" i="18"/>
  <c r="CN3" i="18"/>
  <c r="CO3" i="18"/>
  <c r="CP3" i="18"/>
  <c r="CQ3" i="18"/>
  <c r="CR3" i="18"/>
  <c r="CS3" i="18"/>
  <c r="CT3" i="18"/>
  <c r="CU3" i="18"/>
  <c r="CV3" i="18"/>
  <c r="CW3" i="18"/>
  <c r="CX3" i="18"/>
  <c r="CY3" i="18"/>
  <c r="CZ3" i="18"/>
  <c r="DA3" i="18"/>
  <c r="DB3" i="18"/>
  <c r="DC3" i="18"/>
  <c r="DD3" i="18"/>
  <c r="DE3" i="18"/>
  <c r="DF3" i="18"/>
  <c r="DG3" i="18"/>
  <c r="DH3" i="18"/>
  <c r="DI3" i="18"/>
  <c r="DJ3" i="18"/>
  <c r="DK3" i="18"/>
  <c r="DL3" i="18"/>
  <c r="DM3" i="18"/>
  <c r="DN3" i="18"/>
  <c r="DO3" i="18"/>
  <c r="DP3" i="18"/>
  <c r="DQ3" i="18"/>
  <c r="DR3" i="18"/>
  <c r="DS3" i="18"/>
  <c r="DT3" i="18"/>
  <c r="DU3" i="18"/>
  <c r="DV3" i="18"/>
  <c r="DW3" i="18"/>
  <c r="DX3" i="18"/>
  <c r="DY3" i="18"/>
  <c r="DZ3" i="18"/>
  <c r="EA3" i="18"/>
  <c r="EB3" i="18"/>
  <c r="EC3" i="18"/>
  <c r="ED3" i="18"/>
  <c r="EE3" i="18"/>
  <c r="EF3" i="18"/>
  <c r="EG3" i="18"/>
  <c r="EH3" i="18"/>
  <c r="EI3" i="18"/>
  <c r="EJ3" i="18"/>
  <c r="EK3" i="18"/>
  <c r="EL3" i="18"/>
  <c r="EM3" i="18"/>
  <c r="EN3" i="18"/>
  <c r="EO3" i="18"/>
  <c r="EP3" i="18"/>
  <c r="EQ3" i="18"/>
  <c r="ER3" i="18"/>
  <c r="ES3" i="18"/>
  <c r="ET3" i="18"/>
  <c r="EU3" i="18"/>
  <c r="EV3" i="18"/>
  <c r="EW3" i="18"/>
  <c r="EX3" i="18"/>
  <c r="EY3" i="18"/>
  <c r="EZ3" i="18"/>
  <c r="FA3" i="18"/>
  <c r="FB3" i="18"/>
  <c r="FC3" i="18"/>
  <c r="FD3" i="18"/>
  <c r="FE3" i="18"/>
  <c r="FF3" i="18"/>
  <c r="FG3" i="18"/>
  <c r="FH3" i="18"/>
  <c r="FI3" i="18"/>
  <c r="FJ3" i="18"/>
  <c r="FK3" i="18"/>
  <c r="FL3" i="18"/>
  <c r="FM3" i="18"/>
  <c r="J31" i="18"/>
  <c r="K31" i="18"/>
  <c r="L31" i="18"/>
  <c r="N31" i="18"/>
  <c r="O31" i="18"/>
  <c r="R31" i="18"/>
  <c r="S31" i="18"/>
  <c r="T31" i="18"/>
  <c r="U31" i="18"/>
  <c r="V31" i="18"/>
  <c r="W31" i="18"/>
  <c r="X31" i="18"/>
  <c r="Y31" i="18"/>
  <c r="Z31" i="18"/>
  <c r="AA31" i="18"/>
  <c r="AB31" i="18"/>
  <c r="AC31" i="18"/>
  <c r="AD31" i="18"/>
  <c r="AE31" i="18"/>
  <c r="AF31" i="18"/>
  <c r="AG31" i="18"/>
  <c r="AH31" i="18"/>
  <c r="AI31" i="18"/>
  <c r="AJ31" i="18"/>
  <c r="AK31" i="18"/>
  <c r="AL31" i="18"/>
  <c r="AM31" i="18"/>
  <c r="AN31" i="18"/>
  <c r="AO31" i="18"/>
  <c r="AP31" i="18"/>
  <c r="AQ31" i="18"/>
  <c r="AR31" i="18"/>
  <c r="AS31" i="18"/>
  <c r="AT31" i="18"/>
  <c r="AU31" i="18"/>
  <c r="AV31" i="18"/>
  <c r="AW31" i="18"/>
  <c r="AX31" i="18"/>
  <c r="AY31" i="18"/>
  <c r="AZ31" i="18"/>
  <c r="BA31" i="18"/>
  <c r="BB31" i="18"/>
  <c r="BC31" i="18"/>
  <c r="BD31" i="18"/>
  <c r="BE31" i="18"/>
  <c r="BF31" i="18"/>
  <c r="BG31" i="18"/>
  <c r="BH31" i="18"/>
  <c r="BI31" i="18"/>
  <c r="BJ31" i="18"/>
  <c r="BK31" i="18"/>
  <c r="BL31" i="18"/>
  <c r="BM31" i="18"/>
  <c r="BN31" i="18"/>
  <c r="BO31" i="18"/>
  <c r="BP31" i="18"/>
  <c r="BQ31" i="18"/>
  <c r="BR31" i="18"/>
  <c r="BS31" i="18"/>
  <c r="BT31" i="18"/>
  <c r="BU31" i="18"/>
  <c r="BV31" i="18"/>
  <c r="BW31" i="18"/>
  <c r="BX31" i="18"/>
  <c r="BY31" i="18"/>
  <c r="BZ31" i="18"/>
  <c r="CA31" i="18"/>
  <c r="CB31" i="18"/>
  <c r="CC31" i="18"/>
  <c r="CD31" i="18"/>
  <c r="CE31" i="18"/>
  <c r="CF31" i="18"/>
  <c r="CG31" i="18"/>
  <c r="CH31" i="18"/>
  <c r="CI31" i="18"/>
  <c r="CJ31" i="18"/>
  <c r="CK31" i="18"/>
  <c r="CL31" i="18"/>
  <c r="CM31" i="18"/>
  <c r="CN31" i="18"/>
  <c r="CO31" i="18"/>
  <c r="CP31" i="18"/>
  <c r="CQ31" i="18"/>
  <c r="CR31" i="18"/>
  <c r="CS31" i="18"/>
  <c r="CT31" i="18"/>
  <c r="CU31" i="18"/>
  <c r="CV31" i="18"/>
  <c r="CW31" i="18"/>
  <c r="CX31" i="18"/>
  <c r="CY31" i="18"/>
  <c r="CZ31" i="18"/>
  <c r="DA31" i="18"/>
  <c r="DB31" i="18"/>
  <c r="DC31" i="18"/>
  <c r="DD31" i="18"/>
  <c r="DE31" i="18"/>
  <c r="DF31" i="18"/>
  <c r="DG31" i="18"/>
  <c r="DH31" i="18"/>
  <c r="DI31" i="18"/>
  <c r="DJ31" i="18"/>
  <c r="DK31" i="18"/>
  <c r="DL31" i="18"/>
  <c r="DM31" i="18"/>
  <c r="DN31" i="18"/>
  <c r="DO31" i="18"/>
  <c r="DP31" i="18"/>
  <c r="DQ31" i="18"/>
  <c r="DR31" i="18"/>
  <c r="DS31" i="18"/>
  <c r="DT31" i="18"/>
  <c r="DU31" i="18"/>
  <c r="DV31" i="18"/>
  <c r="DW31" i="18"/>
  <c r="DX31" i="18"/>
  <c r="DY31" i="18"/>
  <c r="DZ31" i="18"/>
  <c r="EA31" i="18"/>
  <c r="EB31" i="18"/>
  <c r="EC31" i="18"/>
  <c r="ED31" i="18"/>
  <c r="EE31" i="18"/>
  <c r="EF31" i="18"/>
  <c r="EG31" i="18"/>
  <c r="EH31" i="18"/>
  <c r="EI31" i="18"/>
  <c r="EJ31" i="18"/>
  <c r="EK31" i="18"/>
  <c r="EL31" i="18"/>
  <c r="EM31" i="18"/>
  <c r="EN31" i="18"/>
  <c r="EO31" i="18"/>
  <c r="EP31" i="18"/>
  <c r="EQ31" i="18"/>
  <c r="ER31" i="18"/>
  <c r="ES31" i="18"/>
  <c r="ET31" i="18"/>
  <c r="EU31" i="18"/>
  <c r="EV31" i="18"/>
  <c r="EW31" i="18"/>
  <c r="EX31" i="18"/>
  <c r="EY31" i="18"/>
  <c r="EZ31" i="18"/>
  <c r="FA31" i="18"/>
  <c r="FB31" i="18"/>
  <c r="FC31" i="18"/>
  <c r="FD31" i="18"/>
  <c r="FE31" i="18"/>
  <c r="FF31" i="18"/>
  <c r="FG31" i="18"/>
  <c r="FH31" i="18"/>
  <c r="FI31" i="18"/>
  <c r="FJ31" i="18"/>
  <c r="FK31" i="18"/>
  <c r="FL31" i="18"/>
  <c r="FM31" i="18"/>
  <c r="H31" i="18"/>
  <c r="A7" i="6"/>
  <c r="A8" i="6"/>
  <c r="A9" i="6"/>
  <c r="A10" i="6"/>
  <c r="A11" i="6"/>
  <c r="A12" i="6"/>
  <c r="A13" i="6"/>
  <c r="A14" i="6"/>
  <c r="A15" i="6"/>
  <c r="A16" i="6"/>
  <c r="A17" i="6"/>
  <c r="A18" i="6"/>
  <c r="A19" i="6"/>
  <c r="A20" i="6"/>
  <c r="A21" i="6"/>
  <c r="A22" i="6"/>
  <c r="A23" i="6"/>
  <c r="A24" i="6"/>
  <c r="A25" i="6"/>
  <c r="A26" i="6"/>
  <c r="A27" i="6"/>
  <c r="A28" i="6"/>
  <c r="A29" i="6"/>
  <c r="A30" i="6"/>
  <c r="C32" i="6"/>
  <c r="D32" i="6"/>
  <c r="E32" i="6"/>
  <c r="C59" i="6"/>
  <c r="D59" i="6"/>
  <c r="E59" i="6"/>
  <c r="B34" i="6"/>
  <c r="F59" i="6"/>
  <c r="G59" i="6"/>
  <c r="H59" i="6"/>
  <c r="I59" i="6"/>
  <c r="J59" i="6"/>
  <c r="K59" i="6"/>
  <c r="L59" i="6"/>
  <c r="M59" i="6"/>
  <c r="N59" i="6"/>
  <c r="O59" i="6"/>
  <c r="P59" i="6"/>
  <c r="Q59" i="6"/>
  <c r="R59" i="6"/>
  <c r="S59" i="6"/>
  <c r="T59" i="6"/>
  <c r="U59" i="6"/>
  <c r="V59" i="6"/>
  <c r="W59" i="6"/>
  <c r="X59" i="6"/>
  <c r="Y59" i="6"/>
  <c r="Z59" i="6"/>
  <c r="AA59" i="6"/>
  <c r="AB59" i="6"/>
  <c r="AC59" i="6"/>
  <c r="AD59" i="6"/>
  <c r="AE59" i="6"/>
  <c r="AF59" i="6"/>
  <c r="AG59" i="6"/>
  <c r="AH59" i="6"/>
  <c r="AI59" i="6"/>
  <c r="AJ59" i="6"/>
  <c r="AK59" i="6"/>
  <c r="AL59" i="6"/>
  <c r="AM59" i="6"/>
  <c r="AN59" i="6"/>
  <c r="AO59" i="6"/>
  <c r="AP59" i="6"/>
  <c r="AQ59" i="6"/>
  <c r="AR59" i="6"/>
  <c r="AS59" i="6"/>
  <c r="AT59" i="6"/>
  <c r="AU59" i="6"/>
  <c r="AV59" i="6"/>
  <c r="AW59" i="6"/>
  <c r="AX59" i="6"/>
  <c r="AY59" i="6"/>
  <c r="AZ59" i="6"/>
  <c r="BA59" i="6"/>
  <c r="BB59" i="6"/>
  <c r="BC59" i="6"/>
  <c r="BD59" i="6"/>
  <c r="BE59" i="6"/>
  <c r="BF59" i="6"/>
  <c r="BG59" i="6"/>
  <c r="BH59" i="6"/>
  <c r="BI59" i="6"/>
  <c r="BJ59" i="6"/>
  <c r="BK59" i="6"/>
  <c r="BL59" i="6"/>
  <c r="BM59" i="6"/>
  <c r="BN59" i="6"/>
  <c r="BO59" i="6"/>
  <c r="BP59" i="6"/>
  <c r="BQ59" i="6"/>
  <c r="BR59" i="6"/>
  <c r="BS59" i="6"/>
  <c r="BT59" i="6"/>
  <c r="BU59" i="6"/>
  <c r="BV59" i="6"/>
  <c r="BW59" i="6"/>
  <c r="BX59" i="6"/>
  <c r="BY59" i="6"/>
  <c r="BZ59" i="6"/>
  <c r="CA59" i="6"/>
  <c r="CB59" i="6"/>
  <c r="CC59" i="6"/>
  <c r="CD59" i="6"/>
  <c r="CE59" i="6"/>
  <c r="CF59" i="6"/>
  <c r="CG59" i="6"/>
  <c r="CH59" i="6"/>
  <c r="CI59" i="6"/>
  <c r="CJ59" i="6"/>
  <c r="CK59" i="6"/>
  <c r="CL59" i="6"/>
  <c r="CM59" i="6"/>
  <c r="CN59" i="6"/>
  <c r="CO59" i="6"/>
  <c r="CP59" i="6"/>
  <c r="CQ59" i="6"/>
  <c r="CR59" i="6"/>
  <c r="CS59" i="6"/>
  <c r="CT59" i="6"/>
  <c r="CU59" i="6"/>
  <c r="CV59" i="6"/>
  <c r="CW59" i="6"/>
  <c r="CX59" i="6"/>
  <c r="CY59" i="6"/>
  <c r="CZ59" i="6"/>
  <c r="DA59" i="6"/>
  <c r="DB59" i="6"/>
  <c r="DC59" i="6"/>
  <c r="DD59" i="6"/>
  <c r="DE59" i="6"/>
  <c r="DF59" i="6"/>
  <c r="DG59" i="6"/>
  <c r="DH59" i="6"/>
  <c r="DI59" i="6"/>
  <c r="DJ59" i="6"/>
  <c r="DK59" i="6"/>
  <c r="DL59" i="6"/>
  <c r="DM59" i="6"/>
  <c r="DN59" i="6"/>
  <c r="DO59" i="6"/>
  <c r="DP59" i="6"/>
  <c r="DQ59" i="6"/>
  <c r="DR59" i="6"/>
  <c r="DS59" i="6"/>
  <c r="DT59" i="6"/>
  <c r="DU59" i="6"/>
  <c r="DV59" i="6"/>
  <c r="DW59" i="6"/>
  <c r="DX59" i="6"/>
  <c r="DY59" i="6"/>
  <c r="DZ59" i="6"/>
  <c r="EA59" i="6"/>
  <c r="EB59" i="6"/>
  <c r="EC59" i="6"/>
  <c r="ED59" i="6"/>
  <c r="EE59" i="6"/>
  <c r="EF59" i="6"/>
  <c r="EG59" i="6"/>
  <c r="EH59" i="6"/>
  <c r="EI59" i="6"/>
  <c r="EJ59" i="6"/>
  <c r="EK59" i="6"/>
  <c r="EL59" i="6"/>
  <c r="EM59" i="6"/>
  <c r="EN59" i="6"/>
  <c r="EO59" i="6"/>
  <c r="EP59" i="6"/>
  <c r="EQ59" i="6"/>
  <c r="ER59" i="6"/>
  <c r="ES59" i="6"/>
  <c r="ET59" i="6"/>
  <c r="EU59" i="6"/>
  <c r="EV59" i="6"/>
  <c r="EW59" i="6"/>
  <c r="EX59" i="6"/>
  <c r="EY59" i="6"/>
  <c r="EZ59" i="6"/>
  <c r="FA59" i="6"/>
  <c r="FB59" i="6"/>
  <c r="FC59" i="6"/>
  <c r="FD59" i="6"/>
  <c r="FE59" i="6"/>
  <c r="FF59" i="6"/>
  <c r="FG59" i="6"/>
  <c r="FH59" i="6"/>
  <c r="FI59" i="6"/>
  <c r="FJ59" i="6"/>
  <c r="FK59" i="6"/>
  <c r="FL59" i="6"/>
  <c r="FM59" i="6"/>
  <c r="FN59" i="6"/>
  <c r="FO59" i="6"/>
  <c r="FP59" i="6"/>
  <c r="FQ59" i="6"/>
  <c r="FR59" i="6"/>
  <c r="FS59" i="6"/>
  <c r="FT59" i="6"/>
  <c r="FU59" i="6"/>
  <c r="F3" i="18" l="1"/>
  <c r="G3" i="18"/>
  <c r="I3" i="18"/>
  <c r="H3" i="18"/>
  <c r="C3" i="18"/>
  <c r="D3" i="18"/>
  <c r="E3" i="18"/>
  <c r="I31" i="18"/>
  <c r="G31" i="18"/>
  <c r="F31" i="18"/>
  <c r="E31" i="18"/>
  <c r="D31" i="18"/>
  <c r="C31" i="18"/>
  <c r="A30" i="18"/>
  <c r="A29" i="18"/>
  <c r="A28" i="18"/>
  <c r="A27" i="18"/>
  <c r="A26" i="18"/>
  <c r="A25" i="18"/>
  <c r="A24" i="18"/>
  <c r="A23" i="18"/>
  <c r="A22" i="18"/>
  <c r="A21" i="18"/>
  <c r="A20" i="18"/>
  <c r="A19" i="18"/>
  <c r="A18" i="18"/>
  <c r="A17" i="18"/>
  <c r="A16" i="18"/>
  <c r="A15" i="18"/>
  <c r="A14" i="18"/>
  <c r="A13" i="18"/>
  <c r="A12" i="18"/>
  <c r="A11" i="18"/>
  <c r="A10" i="18"/>
  <c r="A9" i="18"/>
  <c r="A8" i="18"/>
  <c r="A7" i="18"/>
  <c r="A5" i="18"/>
  <c r="A2" i="18"/>
  <c r="A3" i="18" s="1"/>
  <c r="A1" i="18"/>
  <c r="L24" i="15" l="1"/>
  <c r="E24" i="15" l="1"/>
  <c r="H24" i="15"/>
  <c r="J24" i="15"/>
  <c r="A5" i="6" l="1"/>
  <c r="S32" i="6" l="1"/>
  <c r="T32" i="6"/>
  <c r="U32" i="6"/>
  <c r="V32" i="6"/>
  <c r="W32" i="6"/>
  <c r="X32" i="6"/>
  <c r="Y32" i="6"/>
  <c r="Z32" i="6"/>
  <c r="AA32" i="6"/>
  <c r="AB32" i="6"/>
  <c r="AC32" i="6"/>
  <c r="AD32" i="6"/>
  <c r="AE32" i="6"/>
  <c r="AF32" i="6"/>
  <c r="AG32" i="6"/>
  <c r="AH32" i="6"/>
  <c r="AI32" i="6"/>
  <c r="AJ32" i="6"/>
  <c r="AK32" i="6"/>
  <c r="AL32" i="6"/>
  <c r="AM32" i="6"/>
  <c r="AN32" i="6"/>
  <c r="AO32" i="6"/>
  <c r="AP32" i="6"/>
  <c r="AQ32" i="6"/>
  <c r="AR32" i="6"/>
  <c r="AS32"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F32" i="6" l="1"/>
  <c r="G32" i="6"/>
  <c r="H32" i="6"/>
  <c r="I32" i="6"/>
  <c r="J32" i="6"/>
  <c r="K32" i="6"/>
  <c r="L32" i="6"/>
  <c r="M32" i="6"/>
  <c r="N32" i="6"/>
  <c r="O32" i="6"/>
  <c r="P32" i="6"/>
  <c r="Q32" i="6"/>
  <c r="R32"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1" i="6"/>
  <c r="C6" i="3"/>
  <c r="E6" i="3"/>
  <c r="EN6" i="1" l="1"/>
  <c r="GP6" i="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<sst xmlns="http://schemas.openxmlformats.org/spreadsheetml/2006/main" count="1130" uniqueCount="818">
  <si>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</si>
  <si>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</si>
  <si>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</si>
  <si>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</si>
  <si>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</si>
  <si>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</si>
  <si>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</si>
  <si>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</si>
  <si>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</si>
  <si>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</si>
  <si>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</si>
  <si>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</si>
  <si>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</si>
  <si>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</si>
  <si>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</si>
  <si>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</si>
  <si>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</si>
  <si>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</si>
  <si>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</si>
  <si>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</si>
  <si>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</si>
  <si>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</si>
  <si>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</si>
  <si>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</si>
  <si>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</si>
  <si>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</si>
  <si>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</si>
  <si>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</si>
  <si>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</si>
  <si>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</si>
  <si>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</si>
  <si>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</si>
  <si>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</si>
  <si>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</si>
  <si>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</si>
  <si>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</si>
  <si>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</si>
  <si>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</si>
  <si>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</si>
  <si>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</si>
  <si>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</si>
  <si>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</si>
  <si>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</si>
  <si>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</si>
  <si>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</si>
  <si>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</si>
  <si>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</si>
  <si>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</si>
  <si>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</si>
  <si>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</si>
  <si>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</si>
  <si>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</si>
  <si>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</si>
  <si>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</si>
  <si>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</si>
  <si>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</si>
  <si>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</si>
  <si>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</si>
  <si>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</si>
  <si>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</si>
  <si>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</si>
  <si>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</si>
  <si>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</si>
  <si>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</si>
  <si>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</si>
  <si>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</si>
  <si>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</si>
  <si>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</si>
  <si>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</si>
  <si>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</si>
  <si>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</si>
  <si>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</si>
  <si>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</si>
  <si>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</si>
  <si>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</si>
  <si>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</si>
  <si>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</si>
  <si>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</si>
  <si>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</si>
  <si>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</si>
  <si>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</si>
  <si>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</si>
  <si>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</si>
  <si>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</si>
  <si>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</si>
  <si>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</si>
  <si>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</si>
  <si>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</si>
  <si>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</si>
  <si>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</si>
  <si>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</si>
  <si>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</si>
  <si>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</si>
  <si>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</si>
  <si>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</si>
  <si>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</si>
  <si>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</si>
  <si>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</si>
  <si>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</si>
  <si>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</si>
  <si>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</si>
  <si>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</si>
  <si>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</si>
  <si>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</si>
  <si>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</si>
  <si>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</si>
  <si>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</si>
  <si>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</si>
  <si>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</si>
  <si>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</si>
  <si>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</si>
  <si>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</si>
  <si>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</si>
  <si>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</si>
  <si>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</si>
  <si>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</si>
  <si>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</si>
  <si>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</si>
  <si>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</si>
  <si>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</si>
  <si>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</si>
  <si>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</si>
  <si>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</si>
  <si>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</si>
  <si>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</si>
  <si>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</si>
  <si>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</si>
  <si>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</si>
  <si>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</si>
  <si>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</si>
  <si>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</si>
  <si>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</si>
  <si>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</si>
  <si>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</si>
  <si>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</si>
  <si>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</si>
  <si>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</si>
  <si>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</si>
  <si>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</si>
  <si>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</si>
  <si>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</si>
  <si>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</si>
  <si>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</si>
  <si>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</si>
  <si>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</si>
  <si>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</si>
  <si>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</si>
  <si>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</si>
  <si>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</si>
  <si>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</si>
  <si>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</si>
  <si>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</si>
  <si>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</si>
  <si>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</si>
  <si>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</si>
  <si>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</si>
  <si>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</si>
  <si>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</si>
  <si>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</si>
  <si>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</si>
  <si>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</si>
  <si>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</si>
  <si>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</si>
  <si>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</si>
  <si>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</si>
  <si>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</si>
  <si>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</si>
  <si>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</si>
  <si>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</si>
  <si>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</si>
  <si>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</si>
  <si>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</si>
  <si>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</si>
  <si>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</si>
  <si>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</si>
  <si>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</si>
  <si>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</si>
  <si>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</si>
  <si>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</si>
  <si>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</si>
  <si>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</si>
  <si>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</si>
  <si>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</si>
  <si>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</si>
  <si>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</si>
  <si>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</si>
  <si>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</si>
  <si>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</si>
  <si>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</si>
  <si>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</si>
  <si>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</si>
  <si>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</si>
  <si>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</si>
  <si>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</si>
  <si>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</si>
  <si>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</si>
  <si>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</si>
  <si>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</si>
  <si>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</si>
  <si>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</si>
  <si>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</si>
  <si>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</si>
  <si>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</si>
  <si>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</si>
  <si>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</si>
  <si>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</si>
  <si>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</si>
  <si>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</si>
  <si>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</si>
  <si>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</si>
  <si>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</si>
  <si>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</si>
  <si>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</si>
  <si>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</si>
  <si>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</si>
  <si>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</si>
  <si>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</si>
  <si>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</si>
  <si>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</si>
  <si>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</si>
  <si>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</si>
  <si>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</si>
  <si>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</si>
  <si>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</si>
  <si>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</si>
  <si>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</si>
  <si>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</si>
  <si>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</si>
  <si>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</si>
  <si>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</si>
  <si>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</si>
  <si>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</si>
  <si>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</si>
  <si>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</si>
  <si>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</si>
  <si>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</si>
  <si>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</si>
  <si>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</si>
  <si>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</si>
  <si>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</si>
  <si>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</si>
  <si>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</si>
  <si>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</si>
  <si>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</si>
  <si>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</si>
  <si>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</si>
  <si>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</si>
  <si>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</si>
  <si>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</si>
  <si>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</si>
  <si>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</si>
  <si>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</si>
  <si>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</si>
  <si>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</si>
  <si>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</si>
  <si>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</si>
  <si>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</si>
  <si>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</si>
  <si>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</si>
  <si>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</si>
  <si>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</si>
  <si>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</si>
  <si>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</si>
  <si>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</si>
  <si>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</si>
  <si>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</si>
  <si>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</si>
  <si>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</si>
  <si>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</si>
  <si>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</si>
  <si>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</si>
  <si>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</si>
  <si>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</si>
  <si>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</si>
  <si>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</si>
  <si>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</si>
  <si>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</si>
  <si>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</si>
  <si>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</si>
  <si>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</si>
  <si>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</si>
  <si>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</si>
  <si>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</si>
  <si>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</si>
  <si>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</si>
  <si>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</si>
  <si>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</si>
  <si>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</si>
  <si>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</si>
  <si>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</si>
  <si>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</si>
  <si>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</si>
  <si>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</si>
  <si>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</si>
  <si>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</si>
  <si>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</si>
  <si>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</si>
  <si>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</si>
  <si>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</si>
  <si>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</si>
  <si>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</si>
  <si>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</si>
  <si>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</si>
  <si>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</si>
  <si>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</si>
  <si>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</si>
  <si>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</si>
  <si>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</si>
  <si>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</si>
  <si>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</si>
  <si>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</si>
  <si>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</si>
  <si>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</si>
  <si>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</si>
  <si>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</si>
  <si>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</si>
  <si>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</si>
  <si>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</si>
  <si>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</si>
  <si>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</si>
  <si>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</si>
  <si>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</si>
  <si>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</si>
  <si>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</si>
  <si>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</si>
  <si>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</si>
  <si>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</si>
  <si>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</si>
  <si>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</si>
  <si>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</si>
  <si>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</si>
  <si>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</si>
  <si>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</si>
  <si>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</si>
  <si>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</si>
  <si>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</si>
  <si>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</si>
  <si>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</si>
  <si>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</si>
  <si>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</si>
  <si>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</si>
  <si>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</si>
  <si>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</si>
  <si>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</si>
  <si>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</si>
  <si>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</si>
  <si>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</si>
  <si>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</si>
  <si>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</si>
  <si>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</si>
  <si>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</si>
  <si>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</si>
  <si>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</si>
  <si>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</si>
  <si>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</si>
  <si>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</si>
  <si>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</si>
  <si>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</si>
  <si>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</si>
  <si>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</si>
  <si>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</si>
  <si>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</si>
  <si>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</si>
  <si>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</si>
  <si>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</si>
  <si>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</si>
  <si>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</si>
  <si>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</si>
  <si>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</si>
  <si>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</si>
  <si>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</si>
  <si>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</si>
  <si>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</si>
  <si>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</si>
  <si>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</si>
  <si>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</si>
  <si>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</si>
  <si>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</si>
  <si>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</si>
  <si>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</si>
  <si>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</si>
  <si>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</si>
  <si>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</si>
  <si>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</si>
  <si>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</si>
  <si>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</si>
  <si>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</si>
  <si>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</si>
  <si>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</si>
  <si>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</si>
  <si>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</si>
  <si>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</si>
  <si>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</si>
  <si>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</si>
  <si>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</si>
  <si>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</si>
  <si>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</si>
  <si>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</si>
  <si>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</si>
  <si>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</si>
  <si>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</si>
  <si>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</si>
  <si>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</si>
  <si>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</si>
  <si>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</si>
  <si>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</si>
  <si>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</si>
  <si>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</si>
  <si>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</si>
  <si>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</si>
  <si>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</si>
  <si>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</si>
  <si>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</si>
  <si>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</si>
  <si>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</si>
  <si>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</si>
  <si>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</si>
  <si>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</si>
  <si>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</si>
  <si>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</si>
  <si>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</si>
  <si>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</si>
  <si>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</si>
  <si>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</si>
  <si>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</si>
  <si>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</si>
  <si>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</si>
  <si>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</si>
  <si>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</si>
  <si>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</si>
  <si>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</si>
  <si>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</si>
  <si>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</si>
  <si>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</si>
  <si>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</si>
  <si>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</si>
  <si>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</si>
  <si>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</si>
  <si>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</si>
  <si>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</si>
  <si>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</si>
  <si>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</si>
  <si>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</si>
  <si>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</si>
  <si>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</si>
  <si>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</si>
  <si>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</si>
  <si>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</si>
  <si>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</si>
  <si>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</si>
  <si>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</si>
  <si>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</si>
  <si>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</si>
  <si>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</si>
  <si>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</si>
  <si>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</si>
  <si>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</si>
  <si>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</si>
  <si>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</si>
  <si>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</si>
  <si>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</si>
  <si>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</si>
  <si>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Important/Goals</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</si>
  <si>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</si>
  <si>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</si>
  <si>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</si>
  <si>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</si>
  <si>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</si>
  <si>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Let me clarify. I have the basic idea of the animation and IK blending working. Now I just need to be able to seamlessly blend between that, and for that I believe the best option is to use the motion curves to blend in and out of IK. Or I can even use my own animation curves. But I need to make sure that fooot IK is only being affected when it is needed and it is blending in and out seamlessly. I also need to be able to preserve the old animation without killing it too much, so I should blend in and out of IK it's self as well. Which can be done with the double blend effector tool. So if I get the right mix of everything and reposition the feet and ankle I should get the desireable results that I am looking for and I can teach it to people. But until then don't celebrate too early am iright.</t>
  </si>
  <si>
    <t>Ultimately, an influencer with a strong social media following, is someone who the fans and followers go to for inspiration and knowledge in a certain subject area. They motivate and provide expertise.</t>
  </si>
  <si>
    <r>
      <t xml:space="preserve">I've had enough of being passive. I'm almost like js. Working hard but never being recognised. I have accounts in instagram and twitter. I need to start actively posting and hashtagging. I have to find a marketting plan that suits me in order to build a following on YouTube, Instagram, Twitter and from there I can publish the game and an app. Think now, if you don't have a following by the time you upload your game, then how will all this hard work pay off. </t>
    </r>
    <r>
      <rPr>
        <b/>
        <sz val="9"/>
        <color theme="1"/>
        <rFont val="Calibri"/>
        <family val="2"/>
        <scheme val="minor"/>
      </rPr>
      <t>you need to focus on marketting yourself</t>
    </r>
    <r>
      <rPr>
        <sz val="9"/>
        <color theme="1"/>
        <rFont val="Calibri"/>
        <family val="2"/>
        <scheme val="minor"/>
      </rPr>
      <t xml:space="preserve"> in everyway possible. More tutorials, and start with a hook on YouTube, really engage audience. Think about how to do that on </t>
    </r>
    <r>
      <rPr>
        <u/>
        <sz val="9"/>
        <color theme="1"/>
        <rFont val="Calibri"/>
        <family val="2"/>
        <scheme val="minor"/>
      </rPr>
      <t>tutorials</t>
    </r>
    <r>
      <rPr>
        <sz val="9"/>
        <color theme="1"/>
        <rFont val="Calibri"/>
        <family val="2"/>
        <scheme val="minor"/>
      </rPr>
      <t xml:space="preserve">, the weekend after test week. I will upload a video once or twice a week. I will upload 2 developmetn logs over the weekend, with 3 tutorials and really boost the quality with my mic and many offscreen transitions teaching how things work. I will promote my Instagram and Twitter. </t>
    </r>
  </si>
  <si>
    <t>Once you get the system to work on the other character it will be very nice, see you just have to make sure that the basic system works and then after that it's all up to you. The problem though is that the elbow is taking away too much of it's power, so what you will have to do is tug it in the right direction by putting the elbow effector first and then using the rest of the chain to complete it.</t>
  </si>
  <si>
    <t>%</t>
  </si>
  <si>
    <t>Final Revision</t>
  </si>
  <si>
    <t>Days Until Exam</t>
  </si>
  <si>
    <t>Hard work was done</t>
  </si>
  <si>
    <t>Literrally 100 rays will be cast down and a terrain will be created around the player and a point there will be selected in order to be the place to land the feet.</t>
  </si>
  <si>
    <t>Build a tool to create the proper animatino curves. Do an animation analyser that takes the time of the current animation and displays it, you can create keyframes at the time.</t>
  </si>
  <si>
    <t>Working</t>
  </si>
  <si>
    <t>BUT WOW THIS http://www.gdcvault.com/play/1023316/Fitting-the-World-A-Biomechanical</t>
  </si>
  <si>
    <t>I have been obsessing over IK this much, but in reality it doesn’t really play a big part in real animation. So in blender create slope animation and an extreme version and a non extreme version. These can be interpolated between to get the feet closer to what it should be, then you can predit foot motion using previous and vel and calculate a new hip position to get the feet even closer, then you will predict individual foot position and then you can interpolate between this and the IK just as you are about to reach it and slowly blend into the rotation of the ground... You can do this and cut down a lot of IK cost and even stop using the elbow joint. This is so much easier for foot IK. Even for ledge climbing, you will only need slight changes in hand rotation, hand position, extension etc... You can do that later. This will be a big achievement to start with anyway. GL</t>
  </si>
  <si>
    <t>I am very unclear today and very agitated, the best thing I can do is go to sleep today and wake u pearly tomorrow and do some english revision, I am also going to exercise to make myself even more ready. I am going to go there and ace that shit</t>
  </si>
  <si>
    <t>This day has not been as productive as it could be so I will make the rest of the day the best of my day… Boom…
WOWW. The unity job system is out??! Okay, let's get the party started, you can run your IK code in your job system no?</t>
  </si>
  <si>
    <t>FULL BODY IK SYSTEM COMING WITH NEW UNITY WHATTTT. NEW JOB SYSTEM AVAILABLE WHATTTT. SHADE RGRAPH AVAILABLE WHAATT…. AHAHAHAHAHAHAHAHHA YESS UNITY I LOVE YOUUUUUUU</t>
  </si>
  <si>
    <t>Next term I wiill get books for all my subjects, and put my head down and take notes for all subjects and really focus. I can do this and I will do this. I will dedicate those study hours porperly and actually do work instead of procrastinate imao</t>
  </si>
  <si>
    <t>Focus, you can do this. You are smart. You are powerful. You will reach 1000 subscribers by the end of the next two months and you will consistently get high grades in this school. It is all I will aim for and I will do extremely well in life as well. Thank god. I will grind my ass off when Friday comes. Thursday enjoy... Then BOOM GO INTO ACTION. 4 video by the end of the two weeks with a finsihed foot Ik system... I have to update my agile planner imao</t>
  </si>
  <si>
    <t>To my credit I did work really hard but it didn't work out this time, but this did teach me something very valuable. Just because you work hard at the last momemnt doesn’t mean this world should respect you. You have to work hard from the very first day to the very last day until you are certain that you have reached the peak of every subject and it is possible. You just need to be able to balance your programming and the school work. Evryday after school I need you to work 3 hours on school work. But tht eproblem is that you don't really work on it, you kinda do it which isn't good enough. I need you to be practicing problems especially inside maths, I need you to work you a** off. Even if you are in standard level mathematics which is okay I will fight the hell back into the ihgh level mathematics. I can do it. I will do it. There is no other way. Same in programming, sit for programming take it as a job and f**king do it</t>
  </si>
  <si>
    <t xml:space="preserve">Why haven't I looked at machine learning on my channel yett…..??? </t>
  </si>
  <si>
    <t>Wow! I can't believe this. I got the elbow effector down down and it workrkrksksksksksksssss!!!!!!!! Okay so the elbow effector works, I got it to work, even if it is a sligh work around, it works, which is the main thing which is hpippyy! Okay now the contact system. Now talking about YouTube you do have the Nueral Network Idea which is quite mad imao, it's amazing idea and will guarantee a lot of views because it's all the hype rn and if you can createa  successfull series out of it then you are just a lad. Okay so self driving cars using the nueral networks, okay okay. We will have to learn all the calculus and since it will be very hard for me I will have an easier time explaining it to my viewers. In the meantime while I am learning that I will release the A* Pathfinding Videos to the Stealth Series to teach people about how to do pathfinding really easily in their games.... Using my own node based system yeah.... Then I will create an editor script to place these nodes so that they auto connect, boom clap clap... Yeah</t>
  </si>
  <si>
    <t>Yet again I feel lost, this game is way too big. I want to keep the idea and the story but it's way too big for me. I have to accept that, the sheer number of assets it would take to create this is enormouse and you have to be smart about this yea, so what you can do is downscale the game. For example journey very simple but one of the best games evr made, so not why re-imagine something like that. The art in the duelist art is beautiful, if you could re-create something like that but with an unique twist, for example you're not actually the player or something. I can create beautiful environments. Let's brainstorm some ideas with the art style of duelist.</t>
  </si>
  <si>
    <r>
      <t xml:space="preserve">Okay I think I can do this, but the problem I am having right now is planning, I actually do not have a clear sense of </t>
    </r>
    <r>
      <rPr>
        <b/>
        <sz val="9"/>
        <color theme="1"/>
        <rFont val="Calibri"/>
        <family val="2"/>
        <scheme val="minor"/>
      </rPr>
      <t>direction</t>
    </r>
    <r>
      <rPr>
        <sz val="9"/>
        <color theme="1"/>
        <rFont val="Calibri"/>
        <family val="2"/>
        <scheme val="minor"/>
      </rPr>
      <t xml:space="preserve"> it's a bit confusing. But I have cleared up the issue, I will go with imaginative worlds like the Duelist has portrayed but I will go for an over the shoulder approach for most of the game to hide. No i am not sure actrually. I think I need to calm down and think of a way I can portray a message throught this idea and how I can actually accomplish this. But until then I will continue to bs and build up Dev Logs</t>
    </r>
  </si>
  <si>
    <t>I know what I am lacking tho…. I am lacking a plan, the idea or the game it's self it not impossible. The lack of planning makes it impossible. I will spend the next 2 days getting a good plan. Don't be lazy on this…. +++ https://www.youtube.com/watch?v=wQmx3vjZSAY.. So my design skills need to improve obviously but you know how the chars have to look. But you need an overall statement of how you will finish the game and the actual story of the game. You carrying a bomb is not interesting..................................... It needs to have drama, action etc...</t>
  </si>
  <si>
    <t>if you w s g p - hollopr.c</t>
  </si>
  <si>
    <r>
      <t xml:space="preserve">The only person that believes in you is </t>
    </r>
    <r>
      <rPr>
        <b/>
        <sz val="9"/>
        <color theme="1"/>
        <rFont val="Calibri"/>
        <family val="2"/>
        <scheme val="minor"/>
      </rPr>
      <t>you</t>
    </r>
    <r>
      <rPr>
        <sz val="9"/>
        <color theme="1"/>
        <rFont val="Calibri"/>
        <family val="2"/>
        <scheme val="minor"/>
      </rPr>
      <t>. No one else does</t>
    </r>
  </si>
  <si>
    <t>So I finsiehd a rough outline of what the game should look like dnow I j</t>
  </si>
  <si>
    <t xml:space="preserve">I really need to re-calibrate. Why the fuck am I being so lazy huh, These two weeks are important and I have to utilise the time. I cannot waste it, 3AM from now, 3-4 I WILL DO MY WORK OR PLAN OUT THE REST OF THE DAY OR LISTEN TO MOTIVATION DOESN’T MATTER GET UP GET READY FOR THE GRIND. AT 5AM PRECISE I WILL BE EXERCISING. DONE THEN GO. SHOWER BOOM INSTANT 
You have a goal for the next two days, figure out the NNET problem, release DEV LOG 2 and I think the new thumbnail and tags really killed it or was it reddit again hahaha </t>
  </si>
  <si>
    <r>
      <t xml:space="preserve">Some Development notes to Self : 
Tools you will need : 
- Substance Editor (This will be amazing for all your objects and really be good)
- Amplify for Unity is the most talked about feature and will really help me (Pirate first then buy)
- Remember to finish all mechanics before jumping into design
- You need to watch lots of tutorials on how to level design and using the lighitng in Unity w/ volumetric lighting
______________________
I need to promote my twitter more and I need to get my facebook verified as well hahaha I need to get more socially involeved like Sykoo who is amazing, he has grown so much with social media marketing. That is how you do it. Grow your twitter following and then create amazing content. I need to learn neural nets because this video will do </t>
    </r>
    <r>
      <rPr>
        <b/>
        <sz val="9"/>
        <color theme="1"/>
        <rFont val="Calibri"/>
        <family val="2"/>
        <scheme val="minor"/>
      </rPr>
      <t>amazing</t>
    </r>
    <r>
      <rPr>
        <sz val="9"/>
        <color theme="1"/>
        <rFont val="Calibri"/>
        <family val="2"/>
        <scheme val="minor"/>
      </rPr>
      <t xml:space="preserve">
</t>
    </r>
  </si>
  <si>
    <t>That video that I watched just changes the way I look at thumbnails, I have a totally new intake on them, the way Sykoo manages his thumbnails is also beautiful. I am going to finish this development log script and pump it out. Then I will dedicate the rest of the day to 
- Learning how I will build the nueral net seris that I have promised
- Learning how to build the ledge climbing system
This system could help you -- https://www.youtube.com/watch?v=y4dLaZ5eK44
Teaches you in depth: https://www.youtube.com/watch?v=262XJe2I2D0
I don't want to release a video on backprop until I understand it fully so I will ask miss brookes but until then I will release a vid using genetic algs which is the bestttt &lt;#</t>
  </si>
  <si>
    <t>I need to look at more of how to actually do genetic algorithms, look at my problem and creata test case based on that. So in other words (PLAN)</t>
  </si>
  <si>
    <t>WHERE THE FUCK THE DISCIPLINE AT EH?
Come back to genetic algorithms in 2 days I need to work on the development log and then my own game. But this YouTube video is important but bro… Genetic algoirthms should be a brease for yoru. It's just this NNET part.RESTARTS AGAINSSS</t>
  </si>
  <si>
    <t>This nueral network video is very important for me, so if I can implement the NEAT algorithm into the car model then I have a way to do this. So let's get started and release that video……</t>
  </si>
  <si>
    <t>Okay so this is my goal and If I accomplish this I am okay, tomorrow I will publish the development log video, the day after that I will reelease an introduction to self driving car with neural entworks, I will explain that I will make a video on other machine learning topics including backpropogation with UNity and NEAT a very famous algorithm with unity but this is just an introduciton.. Explain with good visuals made in photoshop or somehinh... After that I will finish the A* Video for my stealth series, then I will be able to work on my ledfge climbing system......................................... YAS</t>
  </si>
  <si>
    <r>
      <t xml:space="preserve">Listen to motivation what the fuck, I need to get up and not waste this precious time. Sleep at nine wake at 3. Done no excuses or extending that damn period got it??
Okay so this is how it's gonna go. Priority list right -&gt; Okay so first prioirity is to finish recording the A* video for the Stealth Series and Edit that along side the Development Log video (Which you shoiukld re-record) and then publish both those videos and do some quick marketing on that. Once you finish those videos, you have the entire time left to work on the ledge climbing system, and an emininent video is going to come out on that so once you finish that system make sure to tutorialise it. Mean whiel you will improve your genetic algorithm to do slicing etc..but you will only work on that once you have finished the A* and Development Log. No touching machine elarning until those are done. You have to wake up at around 3 am from now so to do that and not waste </t>
    </r>
    <r>
      <rPr>
        <b/>
        <sz val="9"/>
        <color theme="1"/>
        <rFont val="Calibri"/>
        <family val="2"/>
        <scheme val="minor"/>
      </rPr>
      <t>7 hours</t>
    </r>
    <r>
      <rPr>
        <sz val="9"/>
        <color theme="1"/>
        <rFont val="Calibri"/>
        <family val="2"/>
        <scheme val="minor"/>
      </rPr>
      <t xml:space="preserve"> you must sleep at 9</t>
    </r>
  </si>
  <si>
    <t xml:space="preserve">I want the dev logs to have a differentiation factor and I believe what that can be is animations, like really good aniamtions that go along with the script during the time when there is no actual footage to show. So I would like to learn howt to do ze animation in order for me to become a boss. Thank god. This keyboard feels legendary wtfffffff nice i love it imao.... So I belive If i dont release this video today it will carry on tomorrow and we will have to postpone the A* video slighlty in order for us to get our shit together because i still need to actually finish developing the A* alogirhtm, I am just confident I know how to do it. But there is a lot of animational capabilities for the A* video so that will be good. Everything else is going pretty fine so yeaeaaaa thats good ;) </t>
  </si>
  <si>
    <t xml:space="preserve">Holy shit the blog is getting a lot of traction so I need to make sure I am updating on the blog, on twitter, on youtube :)) I can do thiss :) Let's go </t>
  </si>
  <si>
    <t xml:space="preserve">The next two days that I have planned are extremely goal oriented and will get me closer to my end of the 2 week goal, which is releasing the two videos. So I will release the Dev Log and begin work on that once I exercise today ………… Remember who to tell Bday tooo
F HER IM DONE. I'm moving on. If someone treats you that shit you don't need to put up with them. You know that channel that does game development tips?? Yeah do animations like them when you  dont have any footage to show + show some stockky looking footage... :) </t>
  </si>
  <si>
    <t>Yo we could do sick animations like blood and stuff and scrunch up paper for that sound effect like a person getting torn in half..?? (NAH JUST SIMPLE ANIMATIONS FAM) KEEP IT SIMPLE… But We can make the dialogue really funny and moving around…. We can do funny camera zooms etc...</t>
  </si>
  <si>
    <t>Fucking retard sleep at 9 whats your problem this is what you get if you don’t boom</t>
  </si>
  <si>
    <t>https://www.youtube.com/watch?v=tEIUWZ8jXYY</t>
  </si>
  <si>
    <t xml:space="preserve">This song made me realise that you need to be a beast. You need to work hard there is not asujhccess withouti work ethic. You need to exefcise like a mad man. Okayt fuck what they say, we are goingt o make a living with YouTube making games and get filthy rrich scew this. It's over I am going to goddddddd level. </t>
  </si>
  <si>
    <t>If I want to go to america I have to blow her away with a beautiful website. Welcome to the good likfe</t>
  </si>
  <si>
    <t>My next move is to build the world optimiser in NeFARIOUS and release an epic A* tutorial video teaching people how to make pathfinding of their dreams. I WILL DO THIS. This will be good… Don't do it for the views do it for the game like it was about originally</t>
  </si>
  <si>
    <t xml:space="preserve">Honestly the game is a waste without the open world optimisation so can you begin that today and if you can create a tutorial on that as well and it will more importantly help your game. FUCK THE A* for now. It's not working and it's okay fuck it fuck it
Tomorrrows world optimisation : 
Open World Building
    Custom World Streaming
        Using the Scene Manager 
        Custom LOD techniques
    Foilage Optimisation
        GPU Instancing
        For each scene build a txt file of pre-positioned foilage 
            Load them in dynamically by reading
    Job System
        Dynamically Loading Scenes into game
    World Builder
        Editor Window that manages ^^^^
        Works in conjunction with CRP 
            CRP tells the World Builder how to contruct the world
        OC 
    This needs to be further broken down when the time comes to do this Sprint
</t>
  </si>
  <si>
    <t>By the end of the holidays I must have finished the A* video series which is going to be amazing, I will also have finished the website which is important. I need it to be very stylish. I also need to have made some decent progress on the world builder in order to be able to talk about something inside the development logs, I can dedicate the entire video on that next time. Next time on the development logs I want to talk about more on how I did certain things and not just what I did. I also will shut the F up about subs yeah. I will use this week wisely.</t>
  </si>
  <si>
    <t>Okay so my new goal list for the end of this week - Have a working A* grid managing pathfinder that you can show off to the world and make an intense tutorial about it but with many visuals like sebastian lague explaining the heuristics and how we will make everything work.
Then I will be working on the world manager and I really need a planning sheet right now, I feel lost. AGILE PLANNER DOESNT WORK ahahaha I realise now..</t>
  </si>
  <si>
    <t>Trello will work with all the extensions hahahaha, from now on I will have to use PlanAway (free) to put events on there. With the chrome extensions I can use trello now and I will think about buying it once I make some $$ -- - so what am I going to do todayyyyy --- wlll I will finisht he A* algorithm for me, then I will begin story baord and my world optimisation system but think about it -- if you finisih world optimisation themn you dont have to wory at all. You hae finished.</t>
  </si>
  <si>
    <t>I need to seriously start looking into this ACT stuff because I will go to unviersity of California of masachusets so for that I will prepare. This term I will be focused and cull out the distractions.</t>
  </si>
  <si>
    <r>
      <t xml:space="preserve">I really have to learn to come to reality yes? I will begin the ledge climber system today and honestly take it sprint by sprint. I don't want to go over board killing myself because I don't know how to do stuff. The A* System I am going to create it for </t>
    </r>
    <r>
      <rPr>
        <b/>
        <sz val="9"/>
        <color theme="1"/>
        <rFont val="Calibri"/>
        <family val="2"/>
        <scheme val="minor"/>
      </rPr>
      <t>me</t>
    </r>
    <r>
      <rPr>
        <sz val="9"/>
        <color theme="1"/>
        <rFont val="Calibri"/>
        <family val="2"/>
        <scheme val="minor"/>
      </rPr>
      <t xml:space="preserve"> and then I will release it to YouTube based on what I feel. That's how I will grow, not by releasing what they want but by releasing what I want. Also for the development logs from now I will extend it's lenght by much more by explaining how I manage my systems in stead of just saying what I did. I also need to finish this website for school which is pre important so I will get that done as well. But other than that I can relax for an hour before I have to begin the grind.</t>
    </r>
  </si>
  <si>
    <t>Just think about it ajay once you finish all the systems that you have on your Trello then you have developed all the mechanics required for you to just begin designing the game and puttign everything together. Imaging how amazing that would be… Especially the NPC stuff then you would have all the control. The pathfinding algorithms you just have all the tools required and then you put it all together with the models, then you will just have to do a bit of animational scripting but your entire focus can be on that.</t>
  </si>
  <si>
    <t>I nedd to get my shit together. Discipline is the key no? Why are you losing motivation what's going onn. What is my game. I am questioning the idea of the game? Should I not make a simpler game like an easy runaway hit game..? Feel like this game is too complicated and over my head type yknow -- okay so what type of game would you like to make then?? I can make this open world game in the background but in the foreground I should create a game that I would like to play like a stealth based game but the obstacle I always have is that level based games never make it...</t>
  </si>
  <si>
    <t>I don't want to focus mechanic by mechanic. I want to get an idea and rapid prototype it into a vertical slice and allow my friends to play a very beta version of it and put it into it…</t>
  </si>
  <si>
    <t>There's also the idea of an open battle royal where AI are dropped in and realistic combat with stealth put in but it's a bit weird… So I need to figure out what I ened for a vertical slice and I will begin building it…
Alright happy birthday but this vertical slice will really help you visualise the game and how you can create it, I will begin witht he player development and making sure that it is up to scratch. I will not get too caught up with IK, I don't even want it to be a part of the vertical slice. I will completely manage that whence I finish the vertical slice....
Imagine how motivational it would be to have my player finished with a ledge climbing system,  and combat system with animations attached!!! Lets do it, but before that i need a design for my player</t>
  </si>
  <si>
    <t>I need a very intense story line and a way to fill up the game into a beautiful and compelx story and you must use stealth systems like in hitman with smoke grenades and flashes like in hitman with a combat system like Absolver w/ weapons such as arrows and aiming systems. Beautiful dialogue systems.... We need to figure out what a vertical slice level looks like with all of these aspects into one small little mission that people can play and give you some motivaiton -- Absolver is a great game but it doesnt have a story but my game will, and that's the story. I don't want it to be a large open world okay I need it to have many intricately smaller missions that lead into bigger ones etcc. Alll with an epic story tied to the top but before I can get there I need to finish the vertical slice in order to give me a sense of waht the game isssss</t>
  </si>
  <si>
    <t>Okay this is amazing. Clarity seeking time okay…. So lets talk about YouTube for a second okay -- This is YouTube clarity.. I will not be releasing a pathfinding tutorial on my channel infact the next tutorial I post willa ctually be about the next thing I develop for my gamewhich currently is the player which I will import and add a ledge climbing system too.</t>
  </si>
  <si>
    <t>So I will be creating the vertical slice which will be a realistic castle place where my palyer (fully modelled and animated) will be able to ledge climb around, fight enemies with a realistic combat system where he will be able to learn new attacks and shit and use stealth tactics to kill enemies and stuff. It will look v beautiful with volumetric fog and shit. I am currently working on the player model which i will beautifully texture, animate, rig and IK and properly attach animations to it with referencing IK poses that will display where the foot is about to land and cool stuff like that so with that I can use some cool IK to pull the foot down and stuff. But I will be making some awesome stuff.</t>
  </si>
  <si>
    <r>
      <t xml:space="preserve">In terms of the game, The game will no longer be just a forest… It will be a large open world with many many places to interact with and missions that </t>
    </r>
    <r>
      <rPr>
        <b/>
        <sz val="9"/>
        <color theme="1"/>
        <rFont val="Calibri"/>
        <family val="2"/>
        <scheme val="minor"/>
      </rPr>
      <t>will have something to do with the game story</t>
    </r>
    <r>
      <rPr>
        <sz val="9"/>
        <color theme="1"/>
        <rFont val="Calibri"/>
        <family val="2"/>
        <scheme val="minor"/>
      </rPr>
      <t xml:space="preserve"> in order to enter that dimernsion you will have to get this and this and to get this and this you will have to do this and this at this place liek that I want it liek that. The dialogue sysem will beautiful with beautiful weather systems and JUST EVERYTHING WILL BE BEAUTIFUL I LOVE THIS GAME&gt; I TIW ILL BE THE BEST. I need a deeeeeeeeeep asf story tho and I still need to know for sure If I am going to implemetn tthe side character or not or if he will over complicate things. I need to know </t>
    </r>
    <r>
      <rPr>
        <b/>
        <sz val="9"/>
        <color theme="1"/>
        <rFont val="Calibri"/>
        <family val="2"/>
        <scheme val="minor"/>
      </rPr>
      <t>how much freedom</t>
    </r>
    <r>
      <rPr>
        <sz val="9"/>
        <color theme="1"/>
        <rFont val="Calibri"/>
        <family val="2"/>
        <scheme val="minor"/>
      </rPr>
      <t xml:space="preserve"> the character should have or if it should just be like ABSOLVER where it is open world but it has set paths that you can take you cant just do whatever the f you want, which 100% reasonable you can make quite large worlds with that type of mechanic and it would be much easier to control, but then it would feel slrightly restricting, but we can play with it and see both ptions are available. Let's just focus on the player now, ledge climbing, stealth mechanics, strafing , ttack and I wanta  beaitful player mdoel which will just be amazinnnn</t>
    </r>
  </si>
  <si>
    <t>Discipline
Knowledge - Coding Knowledge 
- ACT Knowledge
Curiosity
Strength
Integrity (the quality of being honest and having strong moral principles.)
BE THE HERO OF YOUR OWN LIFE YOU GOT THIS</t>
  </si>
  <si>
    <t>So for now I will be working on the player making the model perfect getting the animations on him and actually progerssing and not making useless mechanis that I wont be able to see the result off. I need the player to be ablet o move around and implement the mechanics on to him so I will work on that and share my model creation next time. I will add lots of cool clothes, items and textures to him . I need to learn about how to texture that model then I also want to learn how to light scenes properly in Unty</t>
  </si>
  <si>
    <t>Wow okay what do I need to change abouttt meeee???? AS IN WHAT ABOUT MY MIND AND VALUES DO I NEED TO GROW?? Theres only 2 things to work on ACT, WEBSITE &amp; OFCOUSE PLAYER (SO 3 SORRY I CANT COUNT)</t>
  </si>
  <si>
    <t>You need to make the ledge controller</t>
  </si>
  <si>
    <r>
      <t xml:space="preserve">Okay so this bank roberry game, will allow people to be in a a small radius of this building where the bank is, I will allow for intricate building of the banks by other users where they can publish the levels and create new objects, like guns etc… They will be able tos hare all the content through a medium like a store etc... The more </t>
    </r>
    <r>
      <rPr>
        <b/>
        <sz val="9"/>
        <color theme="1"/>
        <rFont val="Calibri"/>
        <family val="2"/>
        <scheme val="minor"/>
      </rPr>
      <t>approved by community</t>
    </r>
    <r>
      <rPr>
        <sz val="9"/>
        <color theme="1"/>
        <rFont val="Calibri"/>
        <family val="2"/>
        <scheme val="minor"/>
      </rPr>
      <t xml:space="preserve"> banks you rob the higher your aresenal gets and you can rob more banks with more efficiency, steal more money have a quicker time and get your name on the leaderboards. It will be an interactive community... The main cores of this game include hitman like features like dragging bodies, disguising etc.. But I want my own take with the ability to really parkour with wall climbing etcc, the smoke bombs, flashes, lasers everything open. Everything in the environment is interactable including security cams which you may have to hack, no bullshit like hacking with your phone, you will need to go down and dirty. You can go in guns blazing, or you can keep your stealth up and social engineer your way in or even really stealth it out. But in order to give a sense of challenge you will have to pay for the items you want to take into the next mission and if you loose it, then you loose that money as well.... </t>
    </r>
  </si>
  <si>
    <t xml:space="preserve">I will write the game design document right now and I won't sleep for the rest of the day I just got a new idea and I am bound to finish it fuck sleeping yea </t>
  </si>
  <si>
    <t>Design</t>
  </si>
  <si>
    <t>Mechanics</t>
  </si>
  <si>
    <t>Detailed</t>
  </si>
  <si>
    <t>Other</t>
  </si>
  <si>
    <t>Other #2</t>
  </si>
  <si>
    <t>Description</t>
  </si>
  <si>
    <t>Player Design &amp; NPC Base Design</t>
  </si>
  <si>
    <t>Detailed Models &amp; Clothing Systems for interchanging clothing between NPC * Character</t>
  </si>
  <si>
    <t>Player Blend Animations</t>
  </si>
  <si>
    <t>Every single animation ( Make blend list and animation tree ) -&gt; Pivot, Walk, Run, Strafe, Jump, Fall</t>
  </si>
  <si>
    <t>NPC Systems</t>
  </si>
  <si>
    <t>Dialgoue Systems</t>
  </si>
  <si>
    <t>Parkouring Systems</t>
  </si>
  <si>
    <t>Heist Planning System</t>
  </si>
  <si>
    <t>Blueprints</t>
  </si>
  <si>
    <t>Distraction System</t>
  </si>
  <si>
    <t>Cloth Disguising System</t>
  </si>
  <si>
    <t>Ragdoll Body Draggin Systems</t>
  </si>
  <si>
    <t>Object Interaction Systems</t>
  </si>
  <si>
    <t>Weaponary Systems</t>
  </si>
  <si>
    <t>I need to : 
- Plan different menu levels
- Plan the stages up to the scene
- Where do you spawn
- How do you complete the objectives
- Are there employees, if so what role will they play ?
- How are the different ways you can fail
- It's an indoor based game is a ledge climber needed?
- What systems are most improtant
- How will you create each system and how long will it take
- You need to tactically sit down and plan the first level
- Plan all the differnt ways the level can be completetd 
- All the tools required to finish this level &amp; what mechanics
- All scenarious &amp; dialogues
- How you will create this mini level all the way from the menu to customisation to in-game spawning to finishing
- What does the UI look inside the game what information will it indicate?
- The weapons are effective for the first levels after that the harder levels require a lot of stealth because the NPC's don't give a shit who you are they will gun you down easily.
- Different ways to open the bank (Forcing an employee? Stealing the key? C4ing? Hacking? Getting clues?)
- How is this game extendable? Can you customise your player?
- Watch GTA Heist and figure out how they do things and where they lackkk</t>
  </si>
  <si>
    <t>Lets do this. This is a real game. People can interact more with this game…. It's something that you can get out there within 5 months and why the hell would you turn that down…
My mind is against me… Just remember that</t>
  </si>
  <si>
    <t>Theres a lot to plan for this game, like what each interaction is and different ways the player could approch each map, I have decided that employee NPC and Ledge Climbing will be included inside the game so that’s a thing. But there is so much to plan like I don't even know where to start, I believe we should make a comprehensive list of all the features &amp; things like --- NPC, then ITEM BUILDING etc... and then rank them by some order and begin that game and go mindlessly through the dust and finish the game. I need to finish a vertical slice of the stealth game so that my friends can play through as well. I need and will do this</t>
  </si>
  <si>
    <t>Yay let's get through this day with some beautiful music and 2 hours of sleep. This is life and I will make sure to plan out the game today so that I can begin the game by Monday… :) I know that you are a bit mad that you haven't been able to continue the previous game but all the efforts that you put into it are not wasted they can still be worked on using the mechanics of this game that I am building. But i have deep down always wanted to create a bank robbery game so why the hell not do it huh?</t>
  </si>
  <si>
    <t>Welcome, today I need to learn to wake up earlier ~ I can wake up to the alarm it's just you keep falling asleep, you need to push yourself and if you want go and exercise as soon as you wake up and it may wake you up and you won't have to exercise for th</t>
  </si>
  <si>
    <t>We hit the gym at 7 am so that I can ride my bike there and do a bunch of bench presses and try and increase that max total of weight that you can lift. I will begin the NPC System.. Well the NPC system is going good, but the problem is the player controlelr I iwl have to take a day to re-write the entire system. I have the basics but I have screwed up majorly somewhere along the line.. Im so stupid I will continue to build up my game but why not I be a udemy course instructor as well!! I will teach people how to build stuff in Unity</t>
  </si>
  <si>
    <t xml:space="preserve">Now that I got my high I don't need to play that game anymore I need to work. O I will work on the website and make it as beautiful as I want installing new fonts etc.. Then I will make </t>
  </si>
  <si>
    <t>Im starting to piss mylife away again. Tomorrow I wiill have the perefect day. Full work.The NPC's are very important towards this game but you have to make the editor for the NPC it is the most crucial part of the entire process I need a good editor that can communicate and make decisions. The graph get's</t>
  </si>
  <si>
    <t>Things to manage</t>
  </si>
  <si>
    <t>Other Importants</t>
  </si>
  <si>
    <t>Planning for the ACT Exams</t>
  </si>
  <si>
    <t>Revising Regularly</t>
  </si>
  <si>
    <t>Publishing Blog Posts</t>
  </si>
  <si>
    <t>Releasing Development Logs (Planned)</t>
  </si>
  <si>
    <t xml:space="preserve">Goal is 100 hours and the reward is to relax an entire day </t>
  </si>
  <si>
    <r>
      <rPr>
        <b/>
        <sz val="11"/>
        <color rgb="FF00F66F"/>
        <rFont val="Calibri"/>
        <family val="2"/>
        <scheme val="minor"/>
      </rPr>
      <t>Homework</t>
    </r>
    <r>
      <rPr>
        <b/>
        <sz val="11"/>
        <color theme="1"/>
        <rFont val="Calibri"/>
        <family val="2"/>
        <scheme val="minor"/>
      </rPr>
      <t xml:space="preserve">, </t>
    </r>
    <r>
      <rPr>
        <b/>
        <sz val="11"/>
        <color rgb="FF92D050"/>
        <rFont val="Calibri"/>
        <family val="2"/>
        <scheme val="minor"/>
      </rPr>
      <t>Nefarious</t>
    </r>
    <r>
      <rPr>
        <b/>
        <sz val="11"/>
        <color theme="1"/>
        <rFont val="Calibri"/>
        <family val="2"/>
        <scheme val="minor"/>
      </rPr>
      <t xml:space="preserve">, </t>
    </r>
    <r>
      <rPr>
        <b/>
        <sz val="11"/>
        <color rgb="FF00B0F0"/>
        <rFont val="Calibri"/>
        <family val="2"/>
        <scheme val="minor"/>
      </rPr>
      <t>App Development</t>
    </r>
    <r>
      <rPr>
        <b/>
        <sz val="11"/>
        <color theme="1"/>
        <rFont val="Calibri"/>
        <family val="2"/>
        <scheme val="minor"/>
      </rPr>
      <t xml:space="preserve">, </t>
    </r>
    <r>
      <rPr>
        <b/>
        <sz val="11"/>
        <color rgb="FFFF2929"/>
        <rFont val="Calibri"/>
        <family val="2"/>
        <scheme val="minor"/>
      </rPr>
      <t>YouTube (NEAT</t>
    </r>
    <r>
      <rPr>
        <b/>
        <sz val="11"/>
        <color theme="1"/>
        <rFont val="Calibri"/>
        <family val="2"/>
        <scheme val="minor"/>
      </rPr>
      <t xml:space="preserve">), </t>
    </r>
    <r>
      <rPr>
        <b/>
        <sz val="11"/>
        <color theme="8" tint="-0.249977111117893"/>
        <rFont val="Calibri"/>
        <family val="2"/>
        <scheme val="minor"/>
      </rPr>
      <t>Udemy Course &amp; Growing Social Media</t>
    </r>
  </si>
  <si>
    <t>Max attention span is 1.5 hours - 2.0 hours</t>
  </si>
  <si>
    <t>Working on the Licence</t>
  </si>
  <si>
    <t>I don't know how I feel anymore</t>
  </si>
  <si>
    <t>Alright I might be going through depression but Idc anymore okay. Alright so what I need to do is pretty clear - fuck making apps okay, that's going off track. You are going to make sure that you are focusing on game development  --- but you can branch of this into many different categories right --- BUILD UP YOUR WEBSITE (MAKE IT BIG) + WORK ON YOUTUBE CHANNEL + WORK ON A PREMIUM UDEMY COURSE.. Make the branch now</t>
  </si>
  <si>
    <t>Install Code Blocks
Finish the website for ComSci</t>
  </si>
  <si>
    <t>Revise the past tense for Spanish &amp; learn how it works -- but I believe I should wait…</t>
  </si>
  <si>
    <t>I need to go much much higher level thinking, what skills do you have --- Game Development but what can you learn  C++ , Unreal and many other things. What can I do with skills--- I can build the next best game development teaching site… I will finish the bank roberry game which I can make very realistic -- then I will be able to release it on steam &amp; have the website to be my development &amp; teaching log. I will publish on YouTube and grow there.... But where am I going to go from there, that's still only avg what is my purpose. ------------------------------------------------------------------------------------------------------------------------------------------------------------------------------------------------------------------------------------------------------------------------------------------------------------------------------------------------------------------------------------------------------------------------------------------------------------------------------------------------------------------------------------------------------------------------------------------------------------------------------------------------------------------------------------------------------------------------------------------------------------------------------------------------------------------------------------------------------------------------------------------------------- what -------------- is -------------- my -------------- purpose</t>
  </si>
  <si>
    <t xml:space="preserve">You can't look up tto the top of the staircase right now, you just have to take the next step and hope it goes well like I said I have it all planned out -- succed in game dev release this game get it on steam, use money from that &amp; website &amp; YouTube to invest in houses -- work on that for 5 years and really build up a fortune. Invest that back into building some new technolgy hit a billion and retire. :) </t>
  </si>
  <si>
    <t xml:space="preserve">Finish the NPC Editor then you can build the NPC's then you will be able to conitnu eon your work… Then after that you will just have to program the AI using the editor then that will mean that most of the game is done. Then you work on the player controller </t>
  </si>
  <si>
    <t>EPIC FOR MOTIVATION : https://www.youtube.com/watch?v=iZVjofdBw14</t>
  </si>
  <si>
    <t>Patience is important. Are you going to run from your game every time, huh? Are you going to keep running??????????????? I am going to finish this game no matter what. I have the game idea, I have everything why the fuck should I give up now. Listen to this -- https://www.youtube.com/watch?v=lsdqxeb9oMI... From now have a plan for the week and say how it contributes to the end result. Have a clear idea of what the game is.</t>
  </si>
  <si>
    <t>I have been putting off the simple things that make my life better. From now I am going to imply discipline and gratitude into my life..</t>
  </si>
  <si>
    <t>MAP</t>
  </si>
  <si>
    <t>PRE-DEV</t>
  </si>
  <si>
    <t xml:space="preserve">Building the Map </t>
  </si>
  <si>
    <t>Story Boarding</t>
  </si>
  <si>
    <t xml:space="preserve">I need to focus on a couple of different things :
- YouTube Channel
- Website
- Nefarious
- IB 
- Licence
The more effort the more you will get out of life for example I didn’t feel like doing the licence maybe actually try and use the five second rule. Like now i need to get the clothes 5 4 3 </t>
  </si>
  <si>
    <t xml:space="preserve">The goal is to quickly finish the ledge climber system and then you can work on the NPC System then you can work on the level design and story boarding then we can really have the base systems down pat and begin the real development. Once you finish the first two steps you will release the next development then after that is the next steps....
Look aight finishing nefarious shouldnt be just some priority okay your parents believe in you that you will finish this darm game so finish it. Like the famous quote said don't look at the top of the stair case. Just look at hen next step and see how to solve that...
Effort is the cure all.. I am not currently puting in enough effort but that can change like that... so I will work work work
The 5 second rule does work and like that lady said once you start what they find is that it is really hard to stop and 2 hours gone like that. I managed to find the relative Vector to all the objects in the scene now I just need to find out if it is facing forward relative to the player or to the right then I will be albe to shimmy across any ledge no problem. Job well done, today went pretty good so I am quite happy with that. I love my selffffffff :)))  </t>
  </si>
  <si>
    <r>
      <t xml:space="preserve">You need to build up your channel by adding new exciting content that peop[le will be interested in watching…
You need to re-build your website so that it can support tutorials and development logs beautifully.
Nefarious
- Every week you need to work on a pre-development feature and a development feature
For example this week you should work on the </t>
    </r>
    <r>
      <rPr>
        <b/>
        <sz val="9"/>
        <color theme="1"/>
        <rFont val="Calibri"/>
        <family val="2"/>
        <scheme val="minor"/>
      </rPr>
      <t xml:space="preserve">Map Development </t>
    </r>
    <r>
      <rPr>
        <sz val="9"/>
        <color theme="1"/>
        <rFont val="Calibri"/>
        <family val="2"/>
        <scheme val="minor"/>
      </rPr>
      <t xml:space="preserve"> and the </t>
    </r>
    <r>
      <rPr>
        <b/>
        <sz val="9"/>
        <color theme="1"/>
        <rFont val="Calibri"/>
        <family val="2"/>
        <scheme val="minor"/>
      </rPr>
      <t>Ledge Climber System</t>
    </r>
    <r>
      <rPr>
        <sz val="9"/>
        <color theme="1"/>
        <rFont val="Calibri"/>
        <family val="2"/>
        <scheme val="minor"/>
      </rPr>
      <t xml:space="preserve">
or </t>
    </r>
    <r>
      <rPr>
        <b/>
        <sz val="9"/>
        <color theme="1"/>
        <rFont val="Calibri"/>
        <family val="2"/>
        <scheme val="minor"/>
      </rPr>
      <t>NPC System</t>
    </r>
    <r>
      <rPr>
        <sz val="9"/>
        <color theme="1"/>
        <rFont val="Calibri"/>
        <family val="2"/>
        <scheme val="minor"/>
      </rPr>
      <t xml:space="preserve">
In terms of the licence I will need to work on the licence
IB I need to focus on homework and assignments boom
___________________________
One of your goals is 1000 subscribers to WORK and STRIVE towards it ... Like those motivational videos said. Consistency and persistance in the ideas that you form will lead to eventual success. Not immediately. But surely. You got this ajay I love you.</t>
    </r>
  </si>
  <si>
    <t>Woah I'm not really talkin to myself anymore am I? Well I am focusign a lot in school and I am realising that I can keep up with the content if I try and well I am smart. I know this. Well talking about Nefarious. Your sub base is increasing so expect more views I am extremely happy at this rate I will hit atleast 500 subs by the end of aug... which is pre cool. But I will release a video on the ledge climbing and everything else I have done (research on map development etc..) and the play for th ledge climber system i will explain how I am going to do it. But in terms of actually doing I will be creating the editor to select verticies which I am slightly maybe maybe putting off. But yea</t>
  </si>
  <si>
    <t>Finish the ledge climber
Create Dev log
Create blog post
Create Udemy Course
Continue Next part of Game</t>
  </si>
  <si>
    <t>NEFARIOUS : 
- I will begin the ledge climbing editor
- I will begin the video on what I did so far and explain the systems
Licence 
- I will read through the document once more and next week I will do the exam
James Game
- I will create a step by step plan and visualise the game
- I will setup the GIT repo
- Will create the project and work with Edwin to create the models
IB
- I will study for physics through one note and become well veresed with concepts
- I will go forward in math and make sure I understand all concepts and learn logs
- Write the speech for Spanish fully and paractice (don't delay)
Life
I will wake up at 3 at least 4 times this week</t>
  </si>
  <si>
    <t>You need to work for your comfort and relaxation… Take one relax day for every 4 days of hard amitious work</t>
  </si>
  <si>
    <t>So purpose, very compelx topic -- You cant just find it. For now focus on your game, your work and try make meaning from that and grow from there. Be that kid who made the million dollar game and using that money find your purpose. What do you love to do . But grind it out first. Mark Cuban' spurpose wasn't to make Broadcast.com that didn't help anyone didn't make him great but he imporved with the money that he got. That's how you do this</t>
  </si>
  <si>
    <t>Okay I need to get a move on with all my work, this game is my escape but you're treating it as if it some second thing to you because of how long term it is. From now on I will pick one task and set  FIRM DEADLINE…</t>
  </si>
  <si>
    <t>Also work on Jame's game it will be fun -- you are not putting 100% yet. I sleep today at 9:30 I wake at 2: 40 and I wil lbegin the editing, I will leave to school tomorrow for the 8:24 train? So work till 6:30</t>
  </si>
  <si>
    <t>Okay sick so we need to finish the ledge climber by dead line but there is a problem with the relativity of points, I need to fix that once that is done I have all the points, then I need to manage connection creation between points and direction management. So once connections are done I need to map input from a point to detect which point to go next to - normalise direction and find distance between Vector3 input etc... Next just move / rotate the player along those lines, and the last thing would be managing dismounts and then writing a quick post on it then you're done. You can move on.</t>
  </si>
  <si>
    <t>In terms of the video the script is much better and the editing can be sick asf this time. I got this don’t worry</t>
  </si>
  <si>
    <t>Cool. Next step is to record the entire audio which I can do sometime in the day after tomorrow. I fixed the relativity issue - well techinically I found a better workaround imao. Well - now the issue is player detection, I need to find a way to properly detect this type of stuff and the best thign i think is to check for collisions on player forobjects with ledge comps and then check if it --- or try auto segmenting and use the current function to check for the closest latch on point and attach there, then you are in. Hard part is drop down points --- we will see tomorrow imao</t>
  </si>
  <si>
    <t>I am happy with my progress today but I need to buckle down and do the spanish imao. I need to fix it, create the presentation, make it a bit more intereting, print, make notes and revise para by para.</t>
  </si>
  <si>
    <t>Alright so I have two problems now, one is easy to fix (the ledge loop check must be done within the ledge not the COBJECT because, remember every object can have multiple ledges - this same logic needs to be aplied where finding best point, you need to find the best poitns for each ledge and then compare between ledges and see which points suit the best then find the 10 mediocre points... Once you finish this small issue - then you can go onto creating and visualisting connections- then work on snapping the player to ledges - then you can work on mapping input to a movement along a connection and move the player along the connection - then you can manage mounting and dismounting - which are going to be two big things - mounting especially needs to be managed with the 10 points --- dismounting will also be snapped ---- then make the distance of the mediocore points based on arm span -- Then you will be able to move on because you have a ledge climber that you can traverse over - I should finish before my dead line --- I also need to work on jame's game and the licence and the development log which I will finish the script for tonight -- with that awesome hack with the mic now I can get prof qual - Plus I love BTS</t>
  </si>
  <si>
    <t>In terms of IB , this Friday, sat and Sunday I need to dedicate time to doing the spanish so I can be confident during the day - &gt; I also need to spend time doing some numerical physics questions, some maths index questions so I can strengthen that area (using the calculator for graphs as well) and for comp sci i need to do all the challenge sets with flow charts so I can impress the teacher.</t>
  </si>
  <si>
    <t>Wow I just realised how important morning rituals and night rituals are. Meditation -- clarity --- pain and hardwork</t>
  </si>
  <si>
    <t xml:space="preserve">Ledge connections have to be based on previous ledge points defined inside the ledge class --- </t>
  </si>
  <si>
    <t>To this it is a complex task - I will have to : 
- Do the normal face select but then check if the object already has a ledge in which the vertext of that index is taken up and if it is a ledge button will be created there and you will be able to connect it with other objects. 
Then you need to check if two seleced objects are on the same ledge and if they aren't they will be connected, if they are on different ledges then all the other points will be connected to it : approx time : 1 hour 30 mins</t>
  </si>
  <si>
    <t>quit wazsting time</t>
  </si>
  <si>
    <t>shit weekend fuck this I cant record in the boxp</t>
  </si>
  <si>
    <t xml:space="preserve">I NEED TO CALM DOWN </t>
  </si>
  <si>
    <t>RELX</t>
  </si>
  <si>
    <t xml:space="preserve">The game is not about uilding money - it's about creating a meaninful story through design, story telling etc… </t>
  </si>
  <si>
    <t xml:space="preserve">Total Hours </t>
  </si>
  <si>
    <t xml:space="preserve">Computer Science Notes : 
- For challenge set two I have to create a psuedocode for one challenge and a flowchart for one and code it, for the other challenge sets pick three challenge sets - one psuedo code, one flow chart &amp; one coded alone… but all of them need to have code -- </t>
  </si>
  <si>
    <t>Don't worry too much about the highnes of quality it will be masked by the content so do not worry - just get the video out there and we can focus on the audio throughout the period of releasing the next videoooo</t>
  </si>
  <si>
    <t>How to get high quality attachment</t>
  </si>
  <si>
    <r>
      <t xml:space="preserve">Okay so I need to talk about commitment - to be a good leader you must gain the trust of others and to do that you must keep your commitments 000 one such commitment is Jame's game and you </t>
    </r>
    <r>
      <rPr>
        <b/>
        <sz val="9"/>
        <color theme="1"/>
        <rFont val="Calibri"/>
        <family val="2"/>
        <scheme val="minor"/>
      </rPr>
      <t>will keep that. I make a promise to myself that I will make him happy.... despite what I feel</t>
    </r>
  </si>
  <si>
    <t>So the idea of the game is that you are installing a program but unfortuantely it has a virus attached to it, so you have to filter out the virus by placing blocks while trying to still install the good program -- you can use many techniques and it will be very puzzle oriented ---- -:))</t>
  </si>
  <si>
    <t xml:space="preserve">SPANISH - PAST REMEMBER THE CONJUIGATIONS ____ + NEW VOCAB </t>
  </si>
  <si>
    <t>AUDIO RECORDING</t>
  </si>
  <si>
    <t>One who cannot master himself, can never master others.</t>
  </si>
  <si>
    <t>I really feel like you aer taking your time with the game and I am not happy with this type of effort. I need a higher level of planning to know how the vertical slice is gonna look - stop worrying too much on mechanics and lets get to it</t>
  </si>
  <si>
    <t>CHSET 4 and 5</t>
  </si>
  <si>
    <t>Best procrastination technique is to use the POMODORO technique which you set a timer for 15 minutes and within that timer you ARE NOT ALLOWED TO DO ANYTHING and  you must just get started. After 15 minutes you may choose to reward youserlf for 10 minutes (which you set a timer as well) or you may choose to continue working for another 15 minutes in which you set a timer as well. By setting timers you allow yourself to not get caught up in distractions and remind yourself how improtant these things are. Self discipline does not come easy and you must force yourself to learn it. For example you should be asleep by now but clearly you are not going to wake up and you're going to be late to school tomorrow but you don't care which is not a very good thing.....</t>
  </si>
  <si>
    <t>Alright POMODORO technique actually works wtffffff. I finished the connection ssytem</t>
  </si>
  <si>
    <t>POMODORO ^^</t>
  </si>
  <si>
    <t>I was thinking for the proceduralising of movement 
- Evertthing can be done with aniamtions curves - One curve for the height over time on a jump and another one for the jump height as distance goes (linear) or something like that and we can do an entire realistic animation system inside the editor and then match it up with really quick changes of poses in our character and posing can use the IK... But as we promised we shall not even get into that.. I will spend some 1 -2 months for animation and fitting everything later hahah. Well for the story, you are sent out with many inter mission and I need to sit down and create the final story board. But before that I need to make that recording and will do that tomorrow -- but no sleep today night. Relax n shit, you 'ave 4 hours. 1 movie + try and move the character along it.</t>
  </si>
  <si>
    <t>QUESTION 13</t>
  </si>
  <si>
    <t>QUESTION 13 PHYSICS + WORK (5 SECOND RULE + POMODORO)</t>
  </si>
  <si>
    <t>CHILL + BEGIN</t>
  </si>
  <si>
    <t>I actually am eager to finish the basic mechanics so I can get onto more fun topics .. SO let me really quickly finish connection traversing then I am done ledge climbing officially</t>
  </si>
  <si>
    <t>LDGE</t>
  </si>
  <si>
    <t>That's it.. The basic ledge climber system is technically complete tf
Needed :
- Relative Camera Control
- Better Corner Turning
- Better direction control on connections
- Allowance from properties</t>
  </si>
  <si>
    <t>REL</t>
  </si>
  <si>
    <t>LEARN NEXT MATH</t>
  </si>
  <si>
    <t>LEARN NEXT SPANISH</t>
  </si>
  <si>
    <t>LEARN ENGLISH PPT</t>
  </si>
  <si>
    <t>WHERE 2 FROM HERE</t>
  </si>
  <si>
    <t xml:space="preserve">Okay so I ve come to a small revelation 
- Use AddForce for Rigidbodies
- You can modify trans.up
- Quadtrees are very important and you should learn how to implement that
But mainly… 
- Your ledge detection is good but it needs premises in which to check collision
- Do smart ray casting to check for the next point
</t>
  </si>
  <si>
    <t>My next task is to allow myself to create a new raycasting method to allow me to traverse corners and then the last thing would be able to manage dismounts and add an editor properity for that and I would be happy my friend…. You are so close to finishing this system, I am so proud of you and I know you can accomplsih the Inverse Kinematics system as well...</t>
  </si>
  <si>
    <t>SLEEP AND WKAE UP WITH PASSIOn</t>
  </si>
  <si>
    <t>BRK</t>
  </si>
  <si>
    <t>MP1</t>
  </si>
  <si>
    <t>[HOMEWRK] QUESTION 13 PHYSICS + WORK (5 SECOND RULE + POMODORO)</t>
  </si>
  <si>
    <t>The benefit to my system over the other systems is that it is optimised in that you don’t have to do a million raycasts and you have much more control and you can do it with any messshhh!!! That’s why it's so cool -- the only optimisation is that these obejcts have to be deloaded because of the information it continas--- Use quadtree to remove it?/
Show absolver graphics</t>
  </si>
  <si>
    <t>ABSOLVER</t>
  </si>
  <si>
    <t>[HOMEWORK] CHALLENGE SET 14-&gt;15 (PS + FLO)</t>
  </si>
  <si>
    <t>WK</t>
  </si>
  <si>
    <t>RAY LEDGE</t>
  </si>
  <si>
    <t>For dismounting off a ledge, just detect the type of connection between the ledge and dismount point and detect it like usual, but now instead of moving right to it, set the 'pointToBe' to be + transform.width / 5 + transform.height /5 to set it ontop of the ledge and once it has reached -- detacht();
But ofcouse when you have animation this would be innapropriate, I would use root motion in this example... We just have to see though
Another important thing to do is clean up this code and make it nice and beautiful..</t>
  </si>
  <si>
    <t>EAT AND SUITS</t>
  </si>
  <si>
    <t>AUDIO PLEASE</t>
  </si>
  <si>
    <t>GYM</t>
  </si>
  <si>
    <t>WHATEVER WORK NEEDS TO BE DONE</t>
  </si>
  <si>
    <t>AUDIO + EDITING</t>
  </si>
  <si>
    <t>EDITING</t>
  </si>
  <si>
    <t>CHSET 4 and 6</t>
  </si>
  <si>
    <t>Let's get into the discipline that you used to have, if the alarms wont wake you up then you will have to set multiple alarms on many devices, or charge up the speaker and connect your phone to it… That seems to be the best options. Also make a recording.... Which will motivate you, or record a motivational speech from mp4 to mp3 and connect it to the alarm. That will help</t>
  </si>
  <si>
    <t>SUIT</t>
  </si>
  <si>
    <t>DISMOUNTING ON LEDGES</t>
  </si>
  <si>
    <t>NO BREAKS TODAY NOT ALLOWED</t>
  </si>
  <si>
    <t>EAT</t>
  </si>
  <si>
    <t>PHYS</t>
  </si>
  <si>
    <t>RECORDING</t>
  </si>
  <si>
    <t>PLAN WHAT IS NEXT, SETTING DEAD LINES AND PLANNING…</t>
  </si>
  <si>
    <t>MP2</t>
  </si>
  <si>
    <t>LEDGE DISMOUNTING</t>
  </si>
  <si>
    <t>PLANNING NEXT AND DEADLINING</t>
  </si>
  <si>
    <t>POSITIVE REINFORCEMENT</t>
  </si>
  <si>
    <t>MP3</t>
  </si>
  <si>
    <t>&lt;&lt; VISION FOR THE NEXT AND HOW IT WILL HELP</t>
  </si>
  <si>
    <t>You have something to honour, this is your channel and your game… These are things you have pledged to.. Now that channel that you played around with grew from 80 subscribers to 100, to 200, to 300, to 400 and has reached half a thousand and this is a massive accomplishment and 100k is simple from here... Make it 1000 and for that you will have to grind and micromanage for the good content. But you can and will do it..</t>
  </si>
  <si>
    <t>MP3 - PAGE (122)</t>
  </si>
  <si>
    <t xml:space="preserve">BREAK </t>
  </si>
  <si>
    <t>SCRIPT WRITE</t>
  </si>
  <si>
    <t>Good job you disciplined yourself and actually got the script and dismounting complete -- I knew you could do it : 
2 more things you must do 
- First clear up the the script, ugliest script I have seen in a while
- Drop connections (just ray down and see if connection is there and see if it is maanged)
- Getting the attach points working for jump points
[PLEASE CLEAR UP THAT SCRIPT IMAO]</t>
  </si>
  <si>
    <t>SPANISH</t>
  </si>
  <si>
    <t>AUDIO CR</t>
  </si>
  <si>
    <t>COMSCI - Challenge set 6--</t>
  </si>
  <si>
    <t>BUSINESS DO THE TEXTBOOK</t>
  </si>
  <si>
    <t>physics read resistivity</t>
  </si>
  <si>
    <t>Like they say, you're not avoiding sleep -- you're just delaying it. That's what happened yesterday. AS soon as I got home - I collapsed and Im not surprised imao. I just twant to take a brief moment to thank you the laptop for working so hard and I would like to thank my parents for being so supportive and I wouldnt be here without them, literrallly....</t>
  </si>
  <si>
    <t>IMATH WORK</t>
  </si>
  <si>
    <t>COMPSCI COMPETITION RESEARCH</t>
  </si>
  <si>
    <t xml:space="preserve">So what is going to </t>
  </si>
  <si>
    <t>So what is going to happen now that the ledge climber is completed? What system will move me furthest and help me most in terms of seeing the end vision of the game - 
Current options : 
- Recording the part 3 (In progress) --&lt;&lt; Needed
- Begin the world optimisation and create it in a procedural manner, if I do this - it will set the game in bounds of reality and will allow me to actually see the end vision of the game and this is extremely important...
^^ ___
- For this you will firstly have to map out a few possible ideas of how you can optimse
- You can plan out the different types of optimisation and what objects they will help
- You can begin developing a time line of how long it will take 
- You must write the blog post on the ledge climber system
^^__
- Begin some NPC systems for example the NPC editor system where you can build a node editor and add nodes to it, especially by adding the regional A* pathfinding to it. But this will be more helpful if I add it onto the World Manager and the editor that it comes with it....</t>
  </si>
  <si>
    <t>See different differntly</t>
  </si>
  <si>
    <t>UNWIND</t>
  </si>
  <si>
    <t>relx</t>
  </si>
  <si>
    <t>QUAD TREE</t>
  </si>
  <si>
    <t>RECORD</t>
  </si>
  <si>
    <t>GET READY</t>
  </si>
  <si>
    <t>CARD GAME BY SISIR</t>
  </si>
  <si>
    <t>expand conceptual</t>
  </si>
  <si>
    <t>CHAPTER 4 REVIEW</t>
  </si>
  <si>
    <t>INQUIRY QUESTIONS</t>
  </si>
  <si>
    <t>Licence is very important to work on this week, you need to get it</t>
  </si>
  <si>
    <t>Licence</t>
  </si>
  <si>
    <t>RAL</t>
  </si>
  <si>
    <t>MATH, ENG, BUSIN, PHYS, SPANISH</t>
  </si>
  <si>
    <t>LOGARITHMS</t>
  </si>
  <si>
    <t>PHYSICS ELECTRON SHEET + CIRCUIT SHEET (ELECTRON MAINLY YOU DON’T KNOW EM)</t>
  </si>
  <si>
    <t>imath</t>
  </si>
  <si>
    <t>PRACTICE NOW &amp; REAP REWARDS LATER</t>
  </si>
  <si>
    <t>HAIR DRESSERS</t>
  </si>
  <si>
    <t>MATH SEQUENCE</t>
  </si>
  <si>
    <t xml:space="preserve">I need to stop being so half hearted at everything. The entrepreneur knows one thing, he will make it - not immediately but eventually and definetly. Each action has a reaction --- you inching yourself towards the end of this game has a reaction, you sleeping at 9 and waking at 3 has a reaction -- you doing amazing in school has a reaction -- exercising and maintaining has a reaction.. One note about exercise (I need to do more cardio, damn right ik. Muscle building n that, but nah fam - you must do more cardio (running is perfect) Just doo HIIT here and there, don't be too hard on ya self but you got this. </t>
  </si>
  <si>
    <t>FOCUS EACH DAY ON ONE SUBJECT</t>
  </si>
  <si>
    <t>ENGLISH</t>
  </si>
  <si>
    <t>The key is to rest proper, sleep early, wake early … Use time efficiently. Plan and study</t>
  </si>
  <si>
    <t>1 WEEK TO GO</t>
  </si>
  <si>
    <t>SAVIOUR WEEKENDS</t>
  </si>
  <si>
    <t>GOT</t>
  </si>
  <si>
    <t xml:space="preserve">SLEEP NO MORE --- </t>
  </si>
  <si>
    <t>https://www.google.com.au/search?q=unity+open+world+streaming&amp;oq=open+world+streaming+&amp;aqs=chrome.1.69i57j0l5.5624j0j4&amp;sourceid=chrome&amp;ie=UTF-8</t>
  </si>
  <si>
    <t>https://www.youtube.com/watch?v=0H1FVOphmIo</t>
  </si>
  <si>
    <t>Life don’t always go to plan but try your best today listen to upbeat music and stay alive -- 
definitely go for the open world optimisation now- but this is a mammoth undertaking but I believe in myself and I know I can do it -- I think quadtrees can be very helpful by easily finding out where the player is, as well as knowing which segments can be more easily removed, and when inside a larger segment, you can remove the segments that are not visibile, visibility can be checked by angle FOV. You can even use segments to check their neighbours... 
Or you can look at how firewatch did their optimisation
OOOH I KNOW 
Each quad in the quadtree can have an associated scene, Everything can be build up of sub scenes, and sub scenes and as you go into scenes, they have quad trees, which load scenes... This is okay for open world scene management, and then for smaller objects you can un-load and de-load as you get further away. Seperate quad-tree for foilage, buildings etc.. Buildings will have lots of LODS - then further away land marks will either be covered in fog or in very low poly shadowy model (or be converted to a billboard) ::: Streaming is the best way to do this..GPU mesh instancing is also a very interesting concept I want to get ins on.
^^ YOU DICUSSED A LOT OF METHODS
Another thing is, for thigns like GRASS, don't even bother creating new objects: Take 1 of 2 methods : 
Turn it into a shader (AMAZING TUTORIAL HERE) : https://www.youtube.com/watch?v=v3Dq_oVHsNs
or bake all the objects of tag 'GRASS'in each quad, into ONE MESH!
https://docs.unity3d.com/ScriptReference/Mesh.CombineMeshes.html
WOWWW</t>
  </si>
  <si>
    <t>You must sleep. At 9</t>
  </si>
  <si>
    <t>GOT + CHALLENGE SETS</t>
  </si>
  <si>
    <t>EAT + Spanish really remember conjuigations</t>
  </si>
  <si>
    <t>MAKE UP FOR LOST HRS -&gt;</t>
  </si>
  <si>
    <t>I really need to finish that recording, do you know why?? The quicker you finish it the better chances you have of reaching 1000 and the goal for you by the end of the year is to hit that mark and you need to remember who you are and gtfu and do it. You already watched 4 episodes today, you're not allowed for more.</t>
  </si>
  <si>
    <t>s</t>
  </si>
  <si>
    <t>Holy shit I just had a massive hit of inspiration - the game will be amazing - I will make it in a world like GOT - I need to work on it fiercly though --- But I can and I must do it. The story will be amazing, with some side missions all leading up to the one true mission - but I need to make a story board. How did unturned do optimisation? - Can we make the world multiplayer :(()))</t>
  </si>
  <si>
    <t>ASK --- MATH QUESTION</t>
  </si>
  <si>
    <t>OPTIMISTATION BEGIn</t>
  </si>
  <si>
    <t>Woah what is happening journal, I need to talk about where I am lacking in strength - by the way I did the competition and I did good, just like I expected :))))) --- Okay so what happened -&gt; Business (I am good with this but that one lesson that I missed, I need to learn what public relations and shit is okayy...) Physics (I am okay with circuits and resistance etc... I need to go back and re-vitalise myself with my notes and so some of those problems and re-remember how to use the formulas)-- Math (oof, do the diagnostic test again, remember how to properly extract x and try doing some word-&gt;equation problem.. Tryh and catch up on math by the end of the weekend and go a bit further so it isn't so difficult in class... but don't just say do. Remember that exam block is in 2 weeks and YOU MUST BE PREPERARED! Spanish is just annoyed as ever, you need to learn a lot -&gt; All the conjuigations, prepositions, reading questions, SER and ESTAR, and properly filling in sentence with esta,estamos etc... All of these are annoying but MUST LEARN THINGS. Don't do it as memory, but more of a learning thing - have purpose, mehico. COMPSCI - I need to do the flowcharts, challenge sets etc... Go back and add more to your research if you have time, but you have to but so much effort into this, if you really want to go to the trip; Make that your goal, do it for k i m , hmm what other subjects, english oh boy.. You're in for a nasty surprise -- watch romeo and juliet again (ik you can't read) , once you do that - analyse and so a mini essay at home. But not necccc rn. But other than that I covered everything</t>
  </si>
  <si>
    <t>NEXT PLAN FOR GAME</t>
  </si>
  <si>
    <t>Okay so I don’t think that optimisation is the best path to take right now, I have some good notes on it but I should be focusing on something else rightg now. Okay go find out what it is -- also what is my game - can we begin story boarding :)</t>
  </si>
  <si>
    <t xml:space="preserve">At one point in the game, I want it so that the war actually happens -- then I can control the army and play strategy eh - I believ right now the best part of the game to work on is NPC's as they will breathe life into th egame </t>
  </si>
  <si>
    <t>Remember how to say irregular words in different tenses (Sepecially ir etc)</t>
  </si>
  <si>
    <t>BUSINESS</t>
  </si>
  <si>
    <t>..\..\..\..\School\Subjects\BAM\Test Hints and Revision Terms to know (1).docx</t>
  </si>
  <si>
    <t>BREAK</t>
  </si>
  <si>
    <t>MATHS</t>
  </si>
  <si>
    <t xml:space="preserve">ELEXTROSTATICS (3 QUESTIONS) + CIRCUIT QUESTIONS + CRASH COURSE </t>
  </si>
  <si>
    <t>Even Elon Musk started off with a game, except mine will be so amazing it will make millions. Fullstop</t>
  </si>
  <si>
    <t>First I must create a good planner douc</t>
  </si>
  <si>
    <t>Math</t>
  </si>
  <si>
    <t>START WITH THE BEGINNING IN THE ONENOTE</t>
  </si>
  <si>
    <t>COMPOUND INTEREST FORUMLA(MAKE FORMULA BOOKLET)</t>
  </si>
  <si>
    <t>GO FURTHER AHEAD</t>
  </si>
  <si>
    <t>DO the discussion questions for physics</t>
  </si>
  <si>
    <t>MATHEMATICS</t>
  </si>
  <si>
    <t>COMPUTER SCIENCE</t>
  </si>
  <si>
    <t>BUSINESS MANAGEMENT</t>
  </si>
  <si>
    <t>PHSYICS</t>
  </si>
  <si>
    <t>REVISIT NOTES FROM TERM 1 AND ALL THE TERMS THAT WERE SAID IN THAT REVISION SHEET (DAYMAP)</t>
  </si>
  <si>
    <t>Do the homework with the themes, and expansion</t>
  </si>
  <si>
    <t>Do the assesment task on Daymap, look at ti and actually write the thing after brainstorming</t>
  </si>
  <si>
    <t>WRITING ENGLISH</t>
  </si>
  <si>
    <t>Agile planner is available for t he NPC machine - The NPC system will be very advanced and will set the basis for the movement and interactino with the NPC's including dialogue, movement, combat and a   bit of stealth</t>
  </si>
  <si>
    <t>SLEEP</t>
  </si>
  <si>
    <t>30 MIN RUN (MUST) + SHOWER</t>
  </si>
  <si>
    <t>RECORD VOICE</t>
  </si>
  <si>
    <t>REVIEW SET 1B (49)</t>
  </si>
  <si>
    <t>REVIEW SET (SEQUENCES)</t>
  </si>
  <si>
    <t>Review Set Index Laws</t>
  </si>
  <si>
    <t>Review Set Logs</t>
  </si>
  <si>
    <t>Statistacs</t>
  </si>
  <si>
    <t xml:space="preserve">PLAN OUT THE NPC AND THE GOALS FOR IT (MAKE A SHEET) - ONE OF THE BIGGEST SYSTEMS IN THE GAME … </t>
  </si>
  <si>
    <t>The games NPC is one of the biggest and most important systems, it will be detremental to have bad NPCS in the game --- it has to be very advanced and people have to have agenda, skills etc… It needs to be able to read real time input - The combat system has to be good but I will not be creating good combat right now. I have 2 objectives - optimised A* pathfinding, dialogue system - connecting both to the NPC editor which will be entity based (Optimised using the ECS and having customised profiles etc) Having sensory data for everything, creating the auditory system</t>
  </si>
  <si>
    <t>But the most important thing is to complete the recording</t>
  </si>
  <si>
    <t>31 MIN RUN (MUST) + SHOWER</t>
  </si>
  <si>
    <t>EXERCISE</t>
  </si>
  <si>
    <t>EXERCISE + PHYS</t>
  </si>
  <si>
    <t>EXERCISE +_ ENG</t>
  </si>
  <si>
    <t>PHYSICS (BREAK)</t>
  </si>
  <si>
    <t xml:space="preserve">BUSINESS </t>
  </si>
  <si>
    <t>MATHS (BREAK)</t>
  </si>
  <si>
    <t>Logarithm Graphing</t>
  </si>
  <si>
    <t>CS9 + FLOW CHARTS + PSUEDOCODE (SEND TO JOH)</t>
  </si>
  <si>
    <t>Memorize date for spanish</t>
  </si>
  <si>
    <t>New Vocabulary &amp; PRONOUNDS</t>
  </si>
  <si>
    <t xml:space="preserve"> Use the Year 10 Formatos Document + DIARAIA + CORREO ELECTRONICA </t>
  </si>
  <si>
    <t xml:space="preserve">Getting started is your problem, but once you start with the right song you will be alright </t>
  </si>
  <si>
    <t>https://www.youtube.com/watch?v=7KTHL9M_Cv4</t>
  </si>
  <si>
    <t>t</t>
  </si>
  <si>
    <t>Practice Writing Paragraphs + PREPOSITIONS</t>
  </si>
  <si>
    <t>Conjuigacions + Hices + Spanish really remember conjuigations -- DONE</t>
  </si>
  <si>
    <t>MATHS &amp; COMPSCI</t>
  </si>
  <si>
    <t>SLEEP AND RELAX</t>
  </si>
  <si>
    <t>Programming conventions + Learn about Truth Tables (Multiplicative etc) Learn about string workings</t>
  </si>
  <si>
    <t>Generally going through powerpoint and the challenge sets+ CS9, CS10 etc… + Flowchart conventions + Psuedo Code Conventions + http://ib.compscihub.net/wp-content/uploads/2015/04/IB-Pseudocode-rules-more.pdf</t>
  </si>
  <si>
    <t>CS9,CS10,CS11 (Flowchart, Psuedo-code (Last 2)) + PSUEDOCODE IN IB LEARN</t>
  </si>
  <si>
    <t>PRACT REPORT RIGHT UP</t>
  </si>
  <si>
    <t>PUBLIC RELATIONS ETC… + LEE'S GARDENING LARGE PARA (HAND WRITE PLS)</t>
  </si>
  <si>
    <t>CHAPET 17 + 17A + 17B.1</t>
  </si>
  <si>
    <t>COMSCI CS9,10,11</t>
  </si>
  <si>
    <t>DATA ANALYSIS + https://qasmt.eq.daymap.net/DayMap/Student/plans/class.aspx?eid=237063#
+ DATA ANALYSIS + MAKE SURE YOU DO CURRENT + GRADIENT ()))) LEARN WHY LINEARISATION WORKS</t>
  </si>
  <si>
    <t>LEARN PHSYCICS + LEARN PHSYCICS + DATA ANALYSIS RULES AND LINEARISATION PRACT</t>
  </si>
  <si>
    <t>MATH</t>
  </si>
  <si>
    <t>What if you could take something special away from Game of Thrones, the depth, the different factions and families and their own bonds and individual histories. The power plays and the realness of the war. Depth is what will be the deciding factor in all of this, the story will have to be amazing. And the enironment doesnt just have to be one big stretch of land it can be seperated by seas. You will have to work to get the shaders etc.. to work, but you got this. Once you get the optimisation system out of the way you can go kinda coo coo with htis</t>
  </si>
  <si>
    <t>HOMEWORK -&gt; Math --
Physics -&gt; Write up + Data Question
Business -&gt; Finish the case study
(Fresh up on concepts)
Espanol</t>
  </si>
  <si>
    <t>Espanol -&gt; Do stuff
COMSCI -&gt; CS9,10,11,12</t>
  </si>
  <si>
    <t>RELAXIVO</t>
  </si>
  <si>
    <t>YOUTUBE FINISH</t>
  </si>
  <si>
    <t>HAVE A FUN RUN</t>
  </si>
  <si>
    <t>REVIEW SET (SEQUENCES) + STATISTACS</t>
  </si>
  <si>
    <t>BEGIN ANIMATIONS</t>
  </si>
  <si>
    <t>COMSCI CS9,10,12</t>
  </si>
  <si>
    <t>CONTINUE MATHS REVISION (I ALSO NEED TO DO THE STATISTACS AND IMATH)</t>
  </si>
  <si>
    <t>PHYSICS</t>
  </si>
  <si>
    <t>SPANISH + REVISION SHEET GIVIEN IN EMAIl</t>
  </si>
  <si>
    <t>YOOO I LEARNT SO MUCH (NOT SCHOOL RELATED) - Well I finially t t c and that went pretty well - I also learnt about the System.Reflection class - And the System.Attributes - YOU CAN MAEK CUSTOM ATTRIBUTES, ATTACH VALUES TO ATTRIBUES and then FIND THEM AND GET THEIR ORIGINAL VALUEA DN ATTACHED INFORMATION . NOW WE CAN TAG INFORMATION ON MONO BEHAVIOURS ALLOWING THE NPC TO BE ABLE TO PICK UP ON THAT FIELD AND THN WE CAN ADJUST AND CHANGE IT LOLLL</t>
  </si>
  <si>
    <t>ENGLISH // RELAX</t>
  </si>
  <si>
    <t>PHYSICS + DATA ANALYSIS</t>
  </si>
  <si>
    <t>PHYSICS  + PRAC REPORT</t>
  </si>
  <si>
    <t>PHYSICS + NOTE DOWN SUMMARY ANSWERS + POINT CHARGE QUESTIONS</t>
  </si>
  <si>
    <t>file:///C:/Users/progr/AppData/Local/Microsoft/Windows/INetCache/Content.Outlook/W7LV2AI8/Worksheet%20-%20Electrostatics%20revision%20(002).pdf</t>
  </si>
  <si>
    <t>eteeeennnnbeeeeeeeeeeppp.</t>
  </si>
  <si>
    <t>EDIT BEGIn</t>
  </si>
  <si>
    <t>Look I get it, money isn't a driving factor but I know udemy will allow you to do your passion and also make money from it. You can start a very nice Unity for Advanced Users - Course, teaching about all the advanced concepts that are overlooked by normal tutors.l</t>
  </si>
  <si>
    <t xml:space="preserve">Life is like a business you have to see how you can profit from it and earn as much as you can now, all you're friends are already doing it -
Okay so Udemy is an option
YouTube is also an option
- Let's come up with a unique website business idea for game developement 
Offer to do free marketting for people that will not pay you - but can tip you based on how well the game is recieved. </t>
  </si>
  <si>
    <t>LIFE PLAN</t>
  </si>
  <si>
    <t>MATH SEQUENCE + STATISTACS</t>
  </si>
  <si>
    <t>SLEEP? SLEEP IS FOR THOSE PEOPLE WHO ARE BROKE&gt;
So I need to record and finish that tonight but you will look dead tomorrow. That's fine I will shave it off</t>
  </si>
  <si>
    <t xml:space="preserve">YOUTUBE </t>
  </si>
  <si>
    <t>AKIRA WEBSITE</t>
  </si>
  <si>
    <t>UDEMY PLAN</t>
  </si>
  <si>
    <t>MY WEBSITE PLAN (GAME HUB)</t>
  </si>
  <si>
    <r>
      <t xml:space="preserve">CAR LICENCE </t>
    </r>
    <r>
      <rPr>
        <b/>
        <sz val="11"/>
        <color rgb="FF9C0006"/>
        <rFont val="Calibri"/>
        <family val="2"/>
        <scheme val="minor"/>
      </rPr>
      <t>(IMPORTANT THA TYOU TAKE THIS SERIOUSLY LIKE 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</si>
</sst>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9"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499984740745262"/>
      <name val="Calibri"/>
      <family val="2"/>
      <scheme val="minor"/>
    </font>
    <font>
      <u/>
      <sz val="9"/>
      <color theme="1"/>
      <name val="Calibri"/>
      <family val="2"/>
      <scheme val="minor"/>
    </font>
    <font>
      <sz val="11"/>
      <color theme="1"/>
      <name val="Calibri"/>
      <family val="2"/>
      <scheme val="minor"/>
    </font>
    <font>
      <sz val="9"/>
      <color rgb="FF9C6500"/>
      <name val="Calibri"/>
      <family val="2"/>
      <scheme val="minor"/>
    </font>
    <font>
      <i/>
      <sz val="11"/>
      <color theme="1" tint="4.9989318521683403E-2"/>
      <name val="Calibri"/>
      <family val="2"/>
      <scheme val="minor"/>
    </font>
    <font>
      <b/>
      <sz val="16"/>
      <color theme="1"/>
      <name val="Calibri"/>
      <family val="2"/>
      <scheme val="minor"/>
    </font>
    <font>
      <b/>
      <sz val="11"/>
      <color rgb="FF92D050"/>
      <name val="Calibri"/>
      <family val="2"/>
      <scheme val="minor"/>
    </font>
    <font>
      <b/>
      <sz val="11"/>
      <color rgb="FF00B0F0"/>
      <name val="Calibri"/>
      <family val="2"/>
      <scheme val="minor"/>
    </font>
    <font>
      <b/>
      <sz val="11"/>
      <color theme="8" tint="-0.249977111117893"/>
      <name val="Calibri"/>
      <family val="2"/>
      <scheme val="minor"/>
    </font>
    <font>
      <b/>
      <sz val="11"/>
      <color rgb="FF00F66F"/>
      <name val="Calibri"/>
      <family val="2"/>
      <scheme val="minor"/>
    </font>
    <font>
      <b/>
      <sz val="11"/>
      <color rgb="FFFF2929"/>
      <name val="Calibri"/>
      <family val="2"/>
      <scheme val="minor"/>
    </font>
    <font>
      <b/>
      <i/>
      <sz val="9"/>
      <color theme="1"/>
      <name val="Calibri"/>
      <family val="2"/>
      <scheme val="minor"/>
    </font>
    <font>
      <b/>
      <sz val="20"/>
      <color theme="1"/>
      <name val="Calibri"/>
      <family val="2"/>
      <scheme val="minor"/>
    </font>
    <font>
      <b/>
      <sz val="12"/>
      <color theme="1"/>
      <name val="Calibri"/>
      <family val="2"/>
      <scheme val="minor"/>
    </font>
    <font>
      <i/>
      <sz val="11"/>
      <color theme="1"/>
      <name val="Calibri"/>
      <family val="2"/>
      <scheme val="minor"/>
    </font>
    <font>
      <sz val="11"/>
      <color theme="0"/>
      <name val="Calibri"/>
      <family val="2"/>
      <scheme val="minor"/>
    </font>
  </fonts>
  <fills count="30">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7030A0"/>
        <bgColor indexed="64"/>
      </patternFill>
    </fill>
    <fill>
      <patternFill patternType="solid">
        <fgColor theme="4"/>
        <bgColor indexed="64"/>
      </patternFill>
    </fill>
    <fill>
      <patternFill patternType="solid">
        <fgColor rgb="FFFF5050"/>
        <bgColor indexed="64"/>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0" tint="-0.499984740745262"/>
        <bgColor indexed="64"/>
      </patternFill>
    </fill>
    <fill>
      <patternFill patternType="solid">
        <fgColor rgb="FF7E36B4"/>
        <bgColor indexed="64"/>
      </patternFill>
    </fill>
    <fill>
      <patternFill patternType="solid">
        <fgColor theme="7"/>
      </patternFill>
    </fill>
    <fill>
      <patternFill patternType="solid">
        <fgColor theme="8"/>
      </patternFill>
    </fill>
  </fills>
  <borders count="25">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slantDashDot">
        <color auto="1"/>
      </left>
      <right/>
      <top style="double">
        <color auto="1"/>
      </top>
      <bottom/>
      <diagonal/>
    </border>
    <border>
      <left style="slantDashDot">
        <color auto="1"/>
      </left>
      <right/>
      <top/>
      <bottom/>
      <diagonal/>
    </border>
    <border>
      <left/>
      <right/>
      <top/>
      <bottom style="thick">
        <color auto="1"/>
      </bottom>
      <diagonal/>
    </border>
    <border>
      <left style="slantDashDot">
        <color auto="1"/>
      </left>
      <right/>
      <top/>
      <bottom style="thick">
        <color auto="1"/>
      </bottom>
      <diagonal/>
    </border>
  </borders>
  <cellStyleXfs count="11">
    <xf numFmtId="0" fontId="0" fillId="0" borderId="0">
      <alignment horizontal="center" vertical="center" wrapText="1"/>
    </xf>
    <xf numFmtId="0" fontId="1" fillId="2" borderId="0" applyNumberFormat="0" applyBorder="0" applyAlignment="0" applyProtection="0"/>
    <xf numFmtId="0" fontId="11" fillId="0" borderId="0" applyNumberFormat="0" applyFill="0" applyBorder="0" applyAlignment="0" applyProtection="0"/>
    <xf numFmtId="0" fontId="15" fillId="10" borderId="14" applyNumberFormat="0" applyFont="0" applyAlignment="0" applyProtection="0"/>
    <xf numFmtId="0" fontId="24" fillId="11" borderId="0" applyNumberFormat="0" applyBorder="0" applyAlignment="0" applyProtection="0"/>
    <xf numFmtId="0" fontId="25" fillId="12" borderId="0" applyNumberFormat="0" applyBorder="0" applyAlignment="0" applyProtection="0"/>
    <xf numFmtId="0" fontId="29" fillId="13" borderId="19" applyNumberFormat="0" applyAlignment="0" applyProtection="0"/>
    <xf numFmtId="0" fontId="33" fillId="14" borderId="20" applyNumberFormat="0" applyBorder="0" applyAlignment="0" applyProtection="0"/>
    <xf numFmtId="0" fontId="15" fillId="0" borderId="18">
      <alignment horizontal="center" vertical="center" wrapText="1"/>
    </xf>
    <xf numFmtId="0" fontId="48" fillId="28" borderId="0" applyNumberFormat="0" applyBorder="0" applyAlignment="0" applyProtection="0"/>
    <xf numFmtId="0" fontId="48" fillId="29" borderId="0" applyNumberFormat="0" applyBorder="0" applyAlignment="0" applyProtection="0"/>
  </cellStyleXfs>
  <cellXfs count="256">
    <xf numFmtId="0" fontId="0" fillId="0" borderId="0" xfId="0">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alignment horizontal="center" vertical="center" wrapText="1"/>
    </xf>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0"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0" borderId="14" xfId="3" applyFont="1" applyAlignment="1">
      <alignment horizontal="center" vertical="center" wrapText="1"/>
    </xf>
    <xf numFmtId="0" fontId="19" fillId="10"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1" borderId="0" xfId="4" applyFont="1" applyAlignment="1">
      <alignment horizontal="center" vertical="center"/>
    </xf>
    <xf numFmtId="0" fontId="27" fillId="12"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9"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9"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0" fontId="11" fillId="0" borderId="16" xfId="2" applyBorder="1" applyAlignment="1">
      <alignment horizontal="center" vertical="center" wrapText="1"/>
    </xf>
    <xf numFmtId="49" fontId="24" fillId="11" borderId="12" xfId="4" applyNumberFormat="1" applyBorder="1" applyAlignment="1">
      <alignment horizontal="center" vertical="center" wrapText="1"/>
    </xf>
    <xf numFmtId="49" fontId="24" fillId="11" borderId="11" xfId="4" applyNumberFormat="1" applyBorder="1" applyAlignment="1">
      <alignment horizontal="center" vertical="center" wrapText="1"/>
    </xf>
    <xf numFmtId="2" fontId="24" fillId="11"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0" fillId="2" borderId="0" xfId="1" applyFont="1" applyAlignment="1">
      <alignment horizontal="center" vertical="center" wrapText="1"/>
    </xf>
    <xf numFmtId="165" fontId="30" fillId="2" borderId="3" xfId="1" applyNumberFormat="1" applyFont="1" applyBorder="1" applyAlignment="1">
      <alignment horizontal="center" vertical="center" wrapText="1"/>
    </xf>
    <xf numFmtId="49" fontId="30" fillId="2" borderId="12" xfId="1" applyNumberFormat="1" applyFont="1" applyBorder="1" applyAlignment="1">
      <alignment horizontal="center" vertical="center" wrapText="1"/>
    </xf>
    <xf numFmtId="49" fontId="30" fillId="2" borderId="11" xfId="1" applyNumberFormat="1" applyFont="1" applyBorder="1" applyAlignment="1">
      <alignment horizontal="center" vertical="center" wrapText="1"/>
    </xf>
    <xf numFmtId="2" fontId="30" fillId="2" borderId="11" xfId="1" applyNumberFormat="1" applyFont="1" applyBorder="1" applyAlignment="1">
      <alignment horizontal="center" vertical="center" wrapText="1"/>
    </xf>
    <xf numFmtId="0" fontId="30" fillId="2" borderId="11" xfId="1" applyFont="1" applyBorder="1" applyAlignment="1">
      <alignment horizontal="center" vertical="center" wrapText="1"/>
    </xf>
    <xf numFmtId="0" fontId="30" fillId="2" borderId="13" xfId="1" applyFont="1" applyBorder="1" applyAlignment="1">
      <alignment horizontal="center" vertical="center" wrapText="1"/>
    </xf>
    <xf numFmtId="49" fontId="31" fillId="2" borderId="11" xfId="1" applyNumberFormat="1" applyFont="1" applyBorder="1" applyAlignment="1">
      <alignment horizontal="center" vertical="center" wrapText="1"/>
    </xf>
    <xf numFmtId="49" fontId="32"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0" fontId="0" fillId="3" borderId="0" xfId="0"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10" fontId="0" fillId="7" borderId="0" xfId="0" applyNumberFormat="1" applyFill="1" applyAlignment="1">
      <alignment horizontal="center" vertical="center" wrapText="1"/>
    </xf>
    <xf numFmtId="0" fontId="0" fillId="8" borderId="0" xfId="0" applyFill="1" applyAlignment="1">
      <alignment horizontal="center" vertical="center" wrapText="1"/>
    </xf>
    <xf numFmtId="10" fontId="0" fillId="8" borderId="0" xfId="0" applyNumberFormat="1" applyFill="1" applyAlignment="1">
      <alignment horizontal="center" vertical="center" wrapText="1"/>
    </xf>
    <xf numFmtId="0" fontId="0" fillId="10" borderId="14" xfId="3" applyFont="1" applyAlignment="1">
      <alignment horizontal="center" vertical="center" wrapText="1"/>
    </xf>
    <xf numFmtId="10" fontId="0" fillId="10" borderId="14" xfId="3" applyNumberFormat="1" applyFont="1" applyAlignment="1">
      <alignment horizontal="center" vertical="center" wrapText="1"/>
    </xf>
    <xf numFmtId="0" fontId="29" fillId="13" borderId="19" xfId="6" applyAlignment="1">
      <alignment horizontal="center" vertical="center" wrapText="1"/>
    </xf>
    <xf numFmtId="10" fontId="29" fillId="13" borderId="19" xfId="6" applyNumberFormat="1" applyAlignment="1">
      <alignment horizontal="center" vertical="center" wrapText="1"/>
    </xf>
    <xf numFmtId="2" fontId="29" fillId="13" borderId="19" xfId="6" applyNumberFormat="1" applyAlignment="1">
      <alignment horizontal="center" vertical="center" wrapText="1"/>
    </xf>
    <xf numFmtId="16" fontId="25" fillId="12" borderId="0" xfId="5" applyNumberFormat="1" applyAlignment="1">
      <alignment horizontal="center" vertical="center" wrapText="1"/>
    </xf>
    <xf numFmtId="2" fontId="0" fillId="15" borderId="0" xfId="0" applyNumberFormat="1" applyFont="1" applyFill="1" applyAlignment="1">
      <alignment horizontal="center" vertical="center" wrapText="1" shrinkToFit="1"/>
    </xf>
    <xf numFmtId="2" fontId="35" fillId="8" borderId="0" xfId="0" applyNumberFormat="1" applyFont="1" applyFill="1" applyAlignment="1">
      <alignment horizontal="center" vertical="center" wrapText="1"/>
    </xf>
    <xf numFmtId="10" fontId="0" fillId="0" borderId="0" xfId="0" applyNumberFormat="1" applyFill="1" applyAlignment="1">
      <alignment horizontal="center" vertical="center" wrapText="1"/>
    </xf>
    <xf numFmtId="0" fontId="0" fillId="7" borderId="0" xfId="0" applyFill="1">
      <alignment horizontal="center" vertical="center" wrapText="1"/>
    </xf>
    <xf numFmtId="166" fontId="0" fillId="7" borderId="0" xfId="0" applyNumberFormat="1" applyFont="1" applyFill="1" applyAlignment="1">
      <alignment horizontal="center" vertical="center" wrapText="1"/>
    </xf>
    <xf numFmtId="165" fontId="37" fillId="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shrinkToFit="1"/>
    </xf>
    <xf numFmtId="0" fontId="0" fillId="9" borderId="21" xfId="0" applyFill="1" applyBorder="1" applyAlignment="1">
      <alignment horizontal="center"/>
    </xf>
    <xf numFmtId="0" fontId="8" fillId="9" borderId="22" xfId="0" applyFont="1" applyFill="1" applyBorder="1" applyAlignment="1">
      <alignment horizontal="left" indent="5"/>
    </xf>
    <xf numFmtId="168" fontId="8" fillId="9" borderId="22" xfId="0" applyNumberFormat="1" applyFont="1" applyFill="1" applyBorder="1" applyAlignment="1">
      <alignment horizontal="left" indent="5"/>
    </xf>
    <xf numFmtId="0" fontId="0" fillId="9" borderId="22" xfId="0" applyFill="1" applyBorder="1">
      <alignment horizontal="center" vertical="center" wrapText="1"/>
    </xf>
    <xf numFmtId="0" fontId="0" fillId="0" borderId="0" xfId="0" applyFill="1">
      <alignment horizontal="center" vertical="center" wrapText="1"/>
    </xf>
    <xf numFmtId="2" fontId="0" fillId="8" borderId="23" xfId="0" applyNumberFormat="1" applyFont="1" applyFill="1" applyBorder="1" applyAlignment="1">
      <alignment horizontal="center" vertical="center" wrapText="1"/>
    </xf>
    <xf numFmtId="0" fontId="0" fillId="8" borderId="23" xfId="0" applyFont="1" applyFill="1" applyBorder="1" applyAlignment="1">
      <alignment horizontal="center" vertical="center" wrapText="1"/>
    </xf>
    <xf numFmtId="2" fontId="38" fillId="9" borderId="22" xfId="0" applyNumberFormat="1" applyFont="1" applyFill="1" applyBorder="1" applyAlignment="1">
      <alignment horizontal="center" vertical="center"/>
    </xf>
    <xf numFmtId="0" fontId="0" fillId="9" borderId="24" xfId="0" applyFill="1" applyBorder="1" applyAlignment="1">
      <alignment horizontal="center" vertical="center" wrapText="1" shrinkToFit="1"/>
    </xf>
    <xf numFmtId="166" fontId="36" fillId="9" borderId="18" xfId="5" applyNumberFormat="1" applyFont="1" applyFill="1" applyBorder="1" applyAlignment="1">
      <alignment horizontal="center" wrapText="1"/>
    </xf>
    <xf numFmtId="166" fontId="9" fillId="9" borderId="18" xfId="0" applyNumberFormat="1" applyFont="1" applyFill="1" applyBorder="1" applyAlignment="1">
      <alignment horizontal="center" wrapText="1"/>
    </xf>
    <xf numFmtId="2" fontId="0" fillId="17" borderId="0" xfId="0" applyNumberFormat="1" applyFont="1" applyFill="1" applyAlignment="1">
      <alignment horizontal="center" vertical="center" wrapText="1" shrinkToFit="1"/>
    </xf>
    <xf numFmtId="49" fontId="8" fillId="18" borderId="12" xfId="0" applyNumberFormat="1" applyFont="1" applyFill="1" applyBorder="1" applyAlignment="1">
      <alignment horizontal="center" vertical="center" wrapText="1"/>
    </xf>
    <xf numFmtId="49" fontId="8" fillId="18" borderId="11" xfId="0" applyNumberFormat="1" applyFont="1" applyFill="1" applyBorder="1" applyAlignment="1">
      <alignment horizontal="center" vertical="center" wrapText="1"/>
    </xf>
    <xf numFmtId="2" fontId="8" fillId="18" borderId="11" xfId="0" applyNumberFormat="1" applyFont="1" applyFill="1" applyBorder="1" applyAlignment="1">
      <alignment horizontal="center" vertical="center" wrapText="1"/>
    </xf>
    <xf numFmtId="0" fontId="0" fillId="19" borderId="0" xfId="0" applyFont="1" applyFill="1" applyAlignment="1">
      <alignment horizontal="center" vertical="center" wrapText="1"/>
    </xf>
    <xf numFmtId="0" fontId="0" fillId="20" borderId="0" xfId="0" applyFont="1" applyFill="1" applyAlignment="1">
      <alignment horizontal="center" vertical="center" wrapText="1"/>
    </xf>
    <xf numFmtId="14" fontId="15" fillId="19" borderId="18" xfId="8" applyNumberFormat="1" applyFill="1">
      <alignment horizontal="center" vertical="center" wrapText="1"/>
    </xf>
    <xf numFmtId="2" fontId="0" fillId="0" borderId="0" xfId="0" quotePrefix="1" applyNumberFormat="1" applyFont="1" applyFill="1" applyAlignment="1">
      <alignment horizontal="center" vertical="center" wrapText="1" shrinkToFit="1"/>
    </xf>
    <xf numFmtId="2" fontId="1" fillId="2" borderId="0" xfId="1" applyNumberFormat="1" applyAlignment="1">
      <alignment horizontal="center" vertical="center" wrapText="1" shrinkToFit="1"/>
    </xf>
    <xf numFmtId="2" fontId="44" fillId="3" borderId="11" xfId="0" applyNumberFormat="1" applyFont="1" applyFill="1" applyBorder="1" applyAlignment="1">
      <alignment horizontal="center" vertical="center" wrapText="1"/>
    </xf>
    <xf numFmtId="2" fontId="0" fillId="21" borderId="0" xfId="0" applyNumberFormat="1" applyFont="1" applyFill="1" applyAlignment="1">
      <alignment horizontal="center" vertical="center" wrapText="1" shrinkToFit="1"/>
    </xf>
    <xf numFmtId="2" fontId="0" fillId="20" borderId="0" xfId="0" applyNumberFormat="1" applyFont="1" applyFill="1" applyAlignment="1">
      <alignment horizontal="center" vertical="center" wrapText="1" shrinkToFit="1"/>
    </xf>
    <xf numFmtId="2" fontId="0" fillId="22"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2" fontId="0" fillId="24" borderId="0" xfId="0" applyNumberFormat="1" applyFont="1" applyFill="1" applyAlignment="1">
      <alignment horizontal="center" vertical="center" wrapText="1" shrinkToFit="1"/>
    </xf>
    <xf numFmtId="2" fontId="0" fillId="0" borderId="0" xfId="0" applyNumberFormat="1" applyFill="1">
      <alignment horizontal="center" vertical="center" wrapText="1"/>
    </xf>
    <xf numFmtId="0" fontId="0" fillId="0" borderId="0" xfId="0" applyFill="1" applyAlignment="1">
      <alignment horizontal="center" vertical="center"/>
    </xf>
    <xf numFmtId="0" fontId="0" fillId="0" borderId="0" xfId="0" applyFill="1" applyAlignment="1">
      <alignment horizontal="center"/>
    </xf>
    <xf numFmtId="0" fontId="45" fillId="9" borderId="0" xfId="0" applyFont="1" applyFill="1" applyAlignment="1">
      <alignment horizontal="center"/>
    </xf>
    <xf numFmtId="2" fontId="2" fillId="15" borderId="0" xfId="0" applyNumberFormat="1" applyFont="1" applyFill="1" applyAlignment="1">
      <alignment horizontal="center" vertical="center" wrapText="1" shrinkToFit="1"/>
    </xf>
    <xf numFmtId="2" fontId="2" fillId="25" borderId="0" xfId="0" applyNumberFormat="1" applyFont="1" applyFill="1" applyAlignment="1">
      <alignment horizontal="center" vertical="center" wrapText="1" shrinkToFit="1"/>
    </xf>
    <xf numFmtId="2" fontId="9" fillId="3" borderId="11" xfId="0" applyNumberFormat="1" applyFont="1" applyFill="1" applyBorder="1" applyAlignment="1">
      <alignment horizontal="center" vertical="center" wrapText="1"/>
    </xf>
    <xf numFmtId="18" fontId="0" fillId="3" borderId="2" xfId="0" applyNumberFormat="1" applyFont="1" applyFill="1" applyBorder="1" applyAlignment="1">
      <alignment horizontal="center" vertical="center" wrapText="1" shrinkToFit="1"/>
    </xf>
    <xf numFmtId="18" fontId="0" fillId="3" borderId="7" xfId="0" applyNumberFormat="1" applyFont="1" applyFill="1" applyBorder="1" applyAlignment="1">
      <alignment horizontal="center" vertical="center" wrapText="1" shrinkToFit="1"/>
    </xf>
    <xf numFmtId="165" fontId="28" fillId="3" borderId="2" xfId="0" applyNumberFormat="1" applyFont="1" applyFill="1" applyBorder="1" applyAlignment="1">
      <alignment horizontal="center" vertical="center" wrapText="1"/>
    </xf>
    <xf numFmtId="2" fontId="16" fillId="6" borderId="0" xfId="0" applyNumberFormat="1" applyFont="1" applyFill="1" applyAlignment="1">
      <alignment horizontal="center" vertical="center" wrapText="1" shrinkToFit="1"/>
    </xf>
    <xf numFmtId="166" fontId="46" fillId="9" borderId="18" xfId="0" applyNumberFormat="1" applyFont="1" applyFill="1" applyBorder="1" applyAlignment="1">
      <alignment horizontal="center" wrapText="1"/>
    </xf>
    <xf numFmtId="2" fontId="0" fillId="26" borderId="0" xfId="0" applyNumberFormat="1" applyFont="1" applyFill="1" applyAlignment="1">
      <alignment horizontal="center" vertical="center" wrapText="1" shrinkToFit="1"/>
    </xf>
    <xf numFmtId="2" fontId="0" fillId="27" borderId="0" xfId="0" applyNumberFormat="1" applyFont="1" applyFill="1" applyAlignment="1">
      <alignment horizontal="center" vertical="center" wrapText="1" shrinkToFit="1"/>
    </xf>
    <xf numFmtId="2" fontId="47" fillId="15" borderId="0" xfId="0" applyNumberFormat="1" applyFont="1" applyFill="1" applyAlignment="1">
      <alignment horizontal="center" vertical="center" wrapText="1" shrinkToFit="1"/>
    </xf>
    <xf numFmtId="2" fontId="33" fillId="14" borderId="0" xfId="7" applyNumberFormat="1" applyBorder="1" applyAlignment="1">
      <alignment horizontal="center" vertical="center" wrapText="1" shrinkToFit="1"/>
    </xf>
    <xf numFmtId="2" fontId="33" fillId="14" borderId="0" xfId="7" applyNumberFormat="1" applyBorder="1" applyAlignment="1">
      <alignment horizontal="center" vertical="center" wrapText="1"/>
    </xf>
    <xf numFmtId="2" fontId="1" fillId="2" borderId="0" xfId="1" quotePrefix="1" applyNumberFormat="1" applyAlignment="1">
      <alignment horizontal="center" vertical="center" wrapText="1" shrinkToFit="1"/>
    </xf>
    <xf numFmtId="2" fontId="0" fillId="16" borderId="0" xfId="0" quotePrefix="1" applyNumberFormat="1" applyFont="1" applyFill="1" applyAlignment="1">
      <alignment horizontal="center" vertical="center" wrapText="1" shrinkToFit="1"/>
    </xf>
    <xf numFmtId="165" fontId="24" fillId="11" borderId="3" xfId="4" applyNumberFormat="1" applyBorder="1" applyAlignment="1">
      <alignment horizontal="center" vertical="center" wrapText="1"/>
    </xf>
    <xf numFmtId="0" fontId="24" fillId="11" borderId="11" xfId="4" applyBorder="1" applyAlignment="1">
      <alignment horizontal="center" vertical="center" wrapText="1"/>
    </xf>
    <xf numFmtId="2" fontId="11" fillId="14" borderId="0" xfId="2" applyNumberFormat="1" applyFill="1" applyBorder="1" applyAlignment="1">
      <alignment horizontal="center" vertical="center" wrapText="1" shrinkToFit="1"/>
    </xf>
    <xf numFmtId="2" fontId="24" fillId="11" borderId="0" xfId="4" applyNumberFormat="1" applyAlignment="1">
      <alignment horizontal="center" vertical="center" wrapText="1" shrinkToFit="1"/>
    </xf>
    <xf numFmtId="2" fontId="48" fillId="21" borderId="0" xfId="7" applyNumberFormat="1" applyFont="1" applyFill="1" applyBorder="1" applyAlignment="1">
      <alignment horizontal="center" vertical="center" wrapText="1" shrinkToFit="1"/>
    </xf>
    <xf numFmtId="2" fontId="24" fillId="11" borderId="0" xfId="4" applyNumberFormat="1" applyBorder="1" applyAlignment="1">
      <alignment horizontal="center" vertical="center" wrapText="1" shrinkToFit="1"/>
    </xf>
    <xf numFmtId="2" fontId="24" fillId="11" borderId="0" xfId="4" quotePrefix="1" applyNumberFormat="1" applyAlignment="1">
      <alignment horizontal="center" vertical="center" wrapText="1" shrinkToFit="1"/>
    </xf>
    <xf numFmtId="2" fontId="33" fillId="15" borderId="0" xfId="7" applyNumberFormat="1" applyFill="1" applyBorder="1" applyAlignment="1">
      <alignment horizontal="center" vertical="center" wrapText="1" shrinkToFit="1"/>
    </xf>
    <xf numFmtId="49" fontId="25" fillId="12" borderId="12" xfId="5" applyNumberFormat="1" applyBorder="1" applyAlignment="1">
      <alignment horizontal="center" vertical="center" wrapText="1"/>
    </xf>
    <xf numFmtId="49" fontId="25" fillId="12" borderId="11" xfId="5" applyNumberFormat="1" applyBorder="1" applyAlignment="1">
      <alignment horizontal="center" vertical="center" wrapText="1"/>
    </xf>
    <xf numFmtId="2" fontId="25" fillId="12" borderId="11" xfId="5" applyNumberFormat="1" applyBorder="1" applyAlignment="1">
      <alignment horizontal="center" vertical="center" wrapText="1"/>
    </xf>
    <xf numFmtId="0" fontId="25" fillId="12" borderId="11" xfId="5" applyBorder="1" applyAlignment="1">
      <alignment horizontal="center" vertical="center" wrapText="1"/>
    </xf>
    <xf numFmtId="2" fontId="48" fillId="28" borderId="0" xfId="9" applyNumberFormat="1" applyBorder="1" applyAlignment="1">
      <alignment horizontal="center" vertical="center" wrapText="1" shrinkToFit="1"/>
    </xf>
    <xf numFmtId="2" fontId="48" fillId="29" borderId="0" xfId="10" applyNumberFormat="1" applyBorder="1" applyAlignment="1">
      <alignment horizontal="center" vertical="center" wrapText="1" shrinkToFit="1"/>
    </xf>
    <xf numFmtId="2" fontId="25" fillId="12" borderId="0" xfId="5" applyNumberFormat="1" applyAlignment="1">
      <alignment horizontal="center" vertical="center" wrapText="1" shrinkToFit="1"/>
    </xf>
    <xf numFmtId="2" fontId="48" fillId="27" borderId="0" xfId="7" applyNumberFormat="1" applyFont="1" applyFill="1" applyBorder="1" applyAlignment="1">
      <alignment horizontal="center" vertical="center" wrapText="1"/>
    </xf>
    <xf numFmtId="2" fontId="15" fillId="0" borderId="0" xfId="7" applyNumberFormat="1" applyFont="1" applyFill="1" applyBorder="1" applyAlignment="1">
      <alignment horizontal="center" vertical="center" wrapText="1" shrinkToFit="1"/>
    </xf>
    <xf numFmtId="2" fontId="0" fillId="0" borderId="0" xfId="10" applyNumberFormat="1" applyFont="1" applyFill="1" applyBorder="1" applyAlignment="1">
      <alignment horizontal="center" vertical="center" wrapText="1" shrinkToFit="1"/>
    </xf>
    <xf numFmtId="2" fontId="0" fillId="0" borderId="0" xfId="7" applyNumberFormat="1" applyFont="1" applyFill="1" applyBorder="1" applyAlignment="1">
      <alignment horizontal="center" vertical="center" wrapText="1" shrinkToFit="1"/>
    </xf>
    <xf numFmtId="2" fontId="0" fillId="0" borderId="0" xfId="4" applyNumberFormat="1" applyFont="1" applyFill="1" applyBorder="1" applyAlignment="1">
      <alignment horizontal="center" vertical="center" wrapText="1" shrinkToFit="1"/>
    </xf>
    <xf numFmtId="2" fontId="0" fillId="0" borderId="0" xfId="9" applyNumberFormat="1" applyFont="1" applyFill="1" applyBorder="1" applyAlignment="1">
      <alignment horizontal="center" vertical="center" wrapText="1" shrinkToFit="1"/>
    </xf>
    <xf numFmtId="2" fontId="0" fillId="20" borderId="0" xfId="9" applyNumberFormat="1" applyFont="1" applyFill="1" applyBorder="1" applyAlignment="1">
      <alignment horizontal="center" vertical="center" wrapText="1" shrinkToFit="1"/>
    </xf>
    <xf numFmtId="2" fontId="0" fillId="20" borderId="0" xfId="4" applyNumberFormat="1" applyFont="1" applyFill="1" applyBorder="1" applyAlignment="1">
      <alignment horizontal="center" vertical="center" wrapText="1" shrinkToFit="1"/>
    </xf>
    <xf numFmtId="2" fontId="24" fillId="15" borderId="0" xfId="4" applyNumberFormat="1" applyFill="1" applyAlignment="1">
      <alignment horizontal="center" vertical="center" wrapText="1" shrinkToFit="1"/>
    </xf>
  </cellXfs>
  <cellStyles count="11">
    <cellStyle name="Accent4" xfId="9" builtinId="41"/>
    <cellStyle name="Accent5" xfId="10" builtinId="45"/>
    <cellStyle name="Bad" xfId="4" builtinId="27"/>
    <cellStyle name="Calculation" xfId="7" builtinId="22" customBuiltin="1"/>
    <cellStyle name="Good" xfId="1" builtinId="26"/>
    <cellStyle name="Half" xfId="8"/>
    <cellStyle name="Hyperlink" xfId="2" builtinId="8"/>
    <cellStyle name="Neutral" xfId="5" builtinId="28"/>
    <cellStyle name="Normal" xfId="0" builtinId="0" customBuiltin="1"/>
    <cellStyle name="Note" xfId="3" builtinId="10"/>
    <cellStyle name="Output" xfId="6" builtinId="21"/>
  </cellStyles>
  <dxfs count="926">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5" tint="0.39994506668294322"/>
        </patternFill>
      </fill>
    </dxf>
    <dxf>
      <font>
        <b/>
        <i val="0"/>
        <color theme="0"/>
      </font>
      <fill>
        <patternFill>
          <bgColor theme="9" tint="0.39994506668294322"/>
        </patternFill>
      </fill>
    </dxf>
    <dxf>
      <font>
        <b/>
        <i val="0"/>
        <color theme="0"/>
      </font>
      <fill>
        <patternFill>
          <bgColor rgb="FFBC8FDD"/>
        </patternFill>
      </fill>
    </dxf>
    <dxf>
      <font>
        <b/>
        <i val="0"/>
        <strike val="0"/>
        <color theme="0"/>
      </font>
      <fill>
        <patternFill>
          <bgColor rgb="FF4D4D4D"/>
        </patternFill>
      </fill>
      <border>
        <top style="dotted">
          <color auto="1"/>
        </top>
        <bottom style="dotted">
          <color auto="1"/>
        </bottom>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7E36B4"/>
      <color rgb="FFFF5050"/>
      <color rgb="FFBC8FDD"/>
      <color rgb="FFBD92DE"/>
      <color rgb="FF61D6FF"/>
      <color rgb="FFFF2929"/>
      <color rgb="FF00F66F"/>
      <color rgb="FFFF3B3B"/>
      <color rgb="FFA1C7F5"/>
      <color rgb="FFEBDD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72"/>
</file>

<file path=xl/ctrlProps/ctrlProp2.xml><?xml version="1.0" encoding="utf-8"?>
<formControlPr xmlns="http://schemas.microsoft.com/office/spreadsheetml/2009/9/main" objectType="Scroll" dx="22" fmlaLink="$N$3" horiz="1" max="20" min="1" page="10" val="3"/>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3" name="Table3" displayName="Table3" ref="C15:G120" totalsRowShown="0" headerRowDxfId="427" dataDxfId="426">
  <autoFilter ref="C15:G120"/>
  <tableColumns count="5">
    <tableColumn id="1" name="Task" dataDxfId="425"/>
    <tableColumn id="2" name="TODO" dataDxfId="424"/>
    <tableColumn id="3" name="Percentage" dataDxfId="423"/>
    <tableColumn id="4" name="Due" dataDxfId="422"/>
    <tableColumn id="5" name="Side Notes" dataDxfId="421"/>
  </tableColumns>
  <tableStyleInfo name="TableStyleLight1" showFirstColumn="0" showLastColumn="0" showRowStripes="1" showColumnStripes="0"/>
</table>
</file>

<file path=xl/tables/table2.xml><?xml version="1.0" encoding="utf-8"?>
<table xmlns="http://schemas.openxmlformats.org/spreadsheetml/2006/main" id="1" name="Table1" displayName="Table1" ref="B4:K11" totalsRowShown="0" headerRowDxfId="420" dataDxfId="419">
  <autoFilter ref="B4:K11"/>
  <sortState ref="B5:K12">
    <sortCondition descending="1" ref="B4:B12"/>
  </sortState>
  <tableColumns count="10">
    <tableColumn id="1" name="PRIORITY" dataDxfId="418"/>
    <tableColumn id="10" name="Finish By" dataDxfId="417"/>
    <tableColumn id="2" name="SUBJECT" dataDxfId="416"/>
    <tableColumn id="9" name="TASKS LEFT" dataDxfId="415"/>
    <tableColumn id="3" name="Tasks" dataDxfId="414" dataCellStyle="Note"/>
    <tableColumn id="4" name="Links" dataDxfId="413"/>
    <tableColumn id="5" name="Percent" dataDxfId="412"/>
    <tableColumn id="6" name="Due Dates" dataDxfId="411"/>
    <tableColumn id="7" name="Revision" dataDxfId="410" dataCellStyle="Normal"/>
    <tableColumn id="8" name="Next Assesment + Assignment" dataDxfId="409"/>
  </tableColumns>
  <tableStyleInfo name="TableStyleLight1" showFirstColumn="0" showLastColumn="0" showRowStripes="1" showColumnStripes="0"/>
</table>
</file>

<file path=xl/tables/table3.xml><?xml version="1.0" encoding="utf-8"?>
<table xmlns="http://schemas.openxmlformats.org/spreadsheetml/2006/main" id="4" name="Table4" displayName="Table4" ref="C4:FU32" totalsRowCount="1" headerRowDxfId="391" dataDxfId="390" totalsRowDxfId="389">
  <autoFilter ref="C4:FU31"/>
  <tableColumns count="175">
    <tableColumn id="179" name="Thursday169" totalsRowFunction="custom" dataDxfId="388" totalsRowDxfId="387">
      <totalsRowFormula>SUM(C8:C31)</totalsRowFormula>
    </tableColumn>
    <tableColumn id="180" name="Friday170" totalsRowFunction="custom" dataDxfId="386" totalsRowDxfId="385">
      <totalsRowFormula>SUM(D8:D31)</totalsRowFormula>
    </tableColumn>
    <tableColumn id="181" name="Saturday171" totalsRowFunction="custom" dataDxfId="384" totalsRowDxfId="383">
      <totalsRowFormula>SUM(E8:E31)</totalsRowFormula>
    </tableColumn>
    <tableColumn id="182" name="Sunday172" totalsRowFunction="custom" dataDxfId="382" totalsRowDxfId="381">
      <totalsRowFormula>SUM(F8:F31)</totalsRowFormula>
    </tableColumn>
    <tableColumn id="183" name="Monday173" totalsRowFunction="custom" dataDxfId="380" totalsRowDxfId="379">
      <totalsRowFormula>SUM(G8:G31)</totalsRowFormula>
    </tableColumn>
    <tableColumn id="184" name="Tuesday174" totalsRowFunction="custom" dataDxfId="378" totalsRowDxfId="377">
      <totalsRowFormula>SUM(H8:H31)</totalsRowFormula>
    </tableColumn>
    <tableColumn id="185" name="Wednesday175" totalsRowFunction="custom" dataDxfId="376" totalsRowDxfId="375">
      <totalsRowFormula>SUM(I8:I31)</totalsRowFormula>
    </tableColumn>
    <tableColumn id="186" name="Thursday176" totalsRowFunction="custom" dataDxfId="374" totalsRowDxfId="373">
      <totalsRowFormula>SUM(J8:J31)</totalsRowFormula>
    </tableColumn>
    <tableColumn id="187" name="Friday177" totalsRowFunction="custom" dataDxfId="372" totalsRowDxfId="371">
      <totalsRowFormula>SUM(K8:K31)</totalsRowFormula>
    </tableColumn>
    <tableColumn id="188" name="Saturday178" totalsRowFunction="custom" dataDxfId="370" totalsRowDxfId="369">
      <totalsRowFormula>SUM(L8:L31)</totalsRowFormula>
    </tableColumn>
    <tableColumn id="189" name="Sunday179" totalsRowFunction="custom" dataDxfId="368" totalsRowDxfId="367">
      <totalsRowFormula>SUM(M8:M31)</totalsRowFormula>
    </tableColumn>
    <tableColumn id="190" name="Monday180" totalsRowFunction="custom" dataDxfId="366" totalsRowDxfId="365">
      <totalsRowFormula>SUM(N8:N31)</totalsRowFormula>
    </tableColumn>
    <tableColumn id="191" name="Tuesday181" totalsRowFunction="custom" dataDxfId="364" totalsRowDxfId="363">
      <totalsRowFormula>SUM(O8:O31)</totalsRowFormula>
    </tableColumn>
    <tableColumn id="192" name="Wednesday182" totalsRowFunction="custom" dataDxfId="362" totalsRowDxfId="361">
      <totalsRowFormula>SUM(P8:P31)</totalsRowFormula>
    </tableColumn>
    <tableColumn id="193" name="Thursday183" totalsRowFunction="custom" dataDxfId="360" totalsRowDxfId="359">
      <totalsRowFormula>SUM(Q8:Q31)</totalsRowFormula>
    </tableColumn>
    <tableColumn id="194" name="Friday184" totalsRowFunction="custom" dataDxfId="358" totalsRowDxfId="357">
      <totalsRowFormula>SUM(R8:R31)</totalsRowFormula>
    </tableColumn>
    <tableColumn id="195" name="Saturday185" totalsRowFunction="custom" dataDxfId="356" totalsRowDxfId="355">
      <totalsRowFormula>SUM(S8:S31)</totalsRowFormula>
    </tableColumn>
    <tableColumn id="196" name="Sunday186" totalsRowFunction="custom" dataDxfId="354" totalsRowDxfId="353">
      <totalsRowFormula>SUM(T8:T31)</totalsRowFormula>
    </tableColumn>
    <tableColumn id="197" name="Monday187" totalsRowFunction="custom" dataDxfId="352" totalsRowDxfId="351">
      <totalsRowFormula>SUM(U8:U31)</totalsRowFormula>
    </tableColumn>
    <tableColumn id="198" name="Tuesday188" totalsRowFunction="custom" dataDxfId="350" totalsRowDxfId="349">
      <totalsRowFormula>SUM(V8:V31)</totalsRowFormula>
    </tableColumn>
    <tableColumn id="199" name="Wednesday189" totalsRowFunction="custom" dataDxfId="348" totalsRowDxfId="347">
      <totalsRowFormula>SUM(W8:W31)</totalsRowFormula>
    </tableColumn>
    <tableColumn id="200" name="Thursday190" totalsRowFunction="custom" dataDxfId="346" totalsRowDxfId="345">
      <totalsRowFormula>SUM(X8:X31)</totalsRowFormula>
    </tableColumn>
    <tableColumn id="201" name="Friday191" totalsRowFunction="custom" dataDxfId="344" totalsRowDxfId="343">
      <totalsRowFormula>SUM(Y8:Y31)</totalsRowFormula>
    </tableColumn>
    <tableColumn id="202" name="Saturday192" totalsRowFunction="custom" dataDxfId="342" totalsRowDxfId="341">
      <totalsRowFormula>SUM(Z8:Z31)</totalsRowFormula>
    </tableColumn>
    <tableColumn id="203" name="Sunday193" totalsRowFunction="custom" dataDxfId="340" totalsRowDxfId="339">
      <totalsRowFormula>SUM(AA8:AA31)</totalsRowFormula>
    </tableColumn>
    <tableColumn id="204" name="Monday194" totalsRowFunction="custom" dataDxfId="338" totalsRowDxfId="337">
      <totalsRowFormula>SUM(AB8:AB31)</totalsRowFormula>
    </tableColumn>
    <tableColumn id="205" name="Tuesday195" totalsRowFunction="custom" dataDxfId="336" totalsRowDxfId="335">
      <totalsRowFormula>SUM(AC8:AC31)</totalsRowFormula>
    </tableColumn>
    <tableColumn id="206" name="Wednesday196" totalsRowFunction="custom" dataDxfId="334" totalsRowDxfId="333">
      <totalsRowFormula>SUM(AD8:AD31)</totalsRowFormula>
    </tableColumn>
    <tableColumn id="207" name="Thursday197" totalsRowFunction="custom" dataDxfId="332" totalsRowDxfId="331">
      <totalsRowFormula>SUM(AE8:AE31)</totalsRowFormula>
    </tableColumn>
    <tableColumn id="208" name="Friday198" totalsRowFunction="custom" dataDxfId="330" totalsRowDxfId="329">
      <totalsRowFormula>SUM(AF8:AF31)</totalsRowFormula>
    </tableColumn>
    <tableColumn id="209" name="Saturday199" totalsRowFunction="custom" dataDxfId="328" totalsRowDxfId="327">
      <totalsRowFormula>SUM(AG8:AG31)</totalsRowFormula>
    </tableColumn>
    <tableColumn id="210" name="Sunday200" totalsRowFunction="custom" dataDxfId="326" totalsRowDxfId="325">
      <totalsRowFormula>SUM(AH8:AH31)</totalsRowFormula>
    </tableColumn>
    <tableColumn id="211" name="Monday201" totalsRowFunction="custom" dataDxfId="324" totalsRowDxfId="323">
      <totalsRowFormula>SUM(AI8:AI31)</totalsRowFormula>
    </tableColumn>
    <tableColumn id="212" name="Tuesday202" totalsRowFunction="custom" dataDxfId="322" totalsRowDxfId="321">
      <totalsRowFormula>SUM(AJ8:AJ31)</totalsRowFormula>
    </tableColumn>
    <tableColumn id="213" name="Wednesday203" totalsRowFunction="custom" dataDxfId="320" totalsRowDxfId="319">
      <totalsRowFormula>SUM(AK8:AK31)</totalsRowFormula>
    </tableColumn>
    <tableColumn id="214" name="Thursday204" totalsRowFunction="custom" dataDxfId="318" totalsRowDxfId="317">
      <totalsRowFormula>SUM(AL8:AL31)</totalsRowFormula>
    </tableColumn>
    <tableColumn id="215" name="Friday205" totalsRowFunction="custom" dataDxfId="316" totalsRowDxfId="315">
      <totalsRowFormula>SUM(AM8:AM31)</totalsRowFormula>
    </tableColumn>
    <tableColumn id="216" name="Saturday206" totalsRowFunction="custom" dataDxfId="314" totalsRowDxfId="313">
      <totalsRowFormula>SUM(AN8:AN31)</totalsRowFormula>
    </tableColumn>
    <tableColumn id="217" name="Sunday207" totalsRowFunction="custom" dataDxfId="312" totalsRowDxfId="311">
      <totalsRowFormula>SUM(AO8:AO31)</totalsRowFormula>
    </tableColumn>
    <tableColumn id="218" name="Monday208" totalsRowFunction="custom" dataDxfId="310" totalsRowDxfId="309">
      <totalsRowFormula>SUM(AP8:AP31)</totalsRowFormula>
    </tableColumn>
    <tableColumn id="219" name="Tuesday209" totalsRowFunction="custom" dataDxfId="308" totalsRowDxfId="307">
      <totalsRowFormula>SUM(AQ8:AQ31)</totalsRowFormula>
    </tableColumn>
    <tableColumn id="220" name="Wednesday210" totalsRowFunction="custom" dataDxfId="306" totalsRowDxfId="305">
      <totalsRowFormula>SUM(AR8:AR31)</totalsRowFormula>
    </tableColumn>
    <tableColumn id="221" name="Thursday211" totalsRowFunction="custom" dataDxfId="304" totalsRowDxfId="303">
      <totalsRowFormula>SUM(AS8:AS31)</totalsRowFormula>
    </tableColumn>
    <tableColumn id="222" name="Friday212" totalsRowFunction="custom" dataDxfId="302" totalsRowDxfId="301">
      <totalsRowFormula>SUM(AT8:AT31)</totalsRowFormula>
    </tableColumn>
    <tableColumn id="223" name="Saturday213" totalsRowFunction="custom" dataDxfId="300" totalsRowDxfId="299">
      <totalsRowFormula>SUM(AU8:AU31)</totalsRowFormula>
    </tableColumn>
    <tableColumn id="224" name="Sunday214" totalsRowFunction="custom" dataDxfId="298" totalsRowDxfId="297">
      <totalsRowFormula>SUM(AV8:AV31)</totalsRowFormula>
    </tableColumn>
    <tableColumn id="225" name="Monday215" totalsRowFunction="custom" dataDxfId="296" totalsRowDxfId="295">
      <totalsRowFormula>SUM(AW8:AW31)</totalsRowFormula>
    </tableColumn>
    <tableColumn id="226" name="Tuesday216" totalsRowFunction="custom" dataDxfId="294" totalsRowDxfId="293">
      <totalsRowFormula>SUM(AX8:AX31)</totalsRowFormula>
    </tableColumn>
    <tableColumn id="227" name="Wednesday217" totalsRowFunction="custom" dataDxfId="292" totalsRowDxfId="291">
      <totalsRowFormula>SUM(AY8:AY31)</totalsRowFormula>
    </tableColumn>
    <tableColumn id="228" name="Thursday218" totalsRowFunction="custom" dataDxfId="290" totalsRowDxfId="289">
      <totalsRowFormula>SUM(AZ8:AZ31)</totalsRowFormula>
    </tableColumn>
    <tableColumn id="229" name="Friday219" totalsRowFunction="custom" dataDxfId="288" totalsRowDxfId="287">
      <totalsRowFormula>SUM(BA8:BA31)</totalsRowFormula>
    </tableColumn>
    <tableColumn id="230" name="Saturday220" totalsRowFunction="custom" dataDxfId="286" totalsRowDxfId="285">
      <totalsRowFormula>SUM(BB8:BB31)</totalsRowFormula>
    </tableColumn>
    <tableColumn id="231" name="Sunday221" totalsRowFunction="custom" dataDxfId="284" totalsRowDxfId="283">
      <totalsRowFormula>SUM(BC8:BC31)</totalsRowFormula>
    </tableColumn>
    <tableColumn id="232" name="Monday222" totalsRowFunction="custom" dataDxfId="282" totalsRowDxfId="281">
      <totalsRowFormula>SUM(BD8:BD31)</totalsRowFormula>
    </tableColumn>
    <tableColumn id="233" name="Tuesday223" totalsRowFunction="custom" dataDxfId="280" totalsRowDxfId="279">
      <totalsRowFormula>SUM(BE8:BE31)</totalsRowFormula>
    </tableColumn>
    <tableColumn id="234" name="Wednesday224" totalsRowFunction="custom" dataDxfId="278" totalsRowDxfId="277">
      <totalsRowFormula>SUM(BF8:BF31)</totalsRowFormula>
    </tableColumn>
    <tableColumn id="235" name="Thursday225" totalsRowFunction="custom" dataDxfId="276" totalsRowDxfId="275">
      <totalsRowFormula>SUM(BG8:BG31)</totalsRowFormula>
    </tableColumn>
    <tableColumn id="236" name="Friday226" totalsRowFunction="custom" dataDxfId="274" totalsRowDxfId="273">
      <totalsRowFormula>SUM(BH8:BH31)</totalsRowFormula>
    </tableColumn>
    <tableColumn id="237" name="Saturday227" totalsRowFunction="custom" dataDxfId="272" totalsRowDxfId="271">
      <totalsRowFormula>SUM(BI8:BI31)</totalsRowFormula>
    </tableColumn>
    <tableColumn id="238" name="Sunday228" totalsRowFunction="custom" dataDxfId="270" totalsRowDxfId="269">
      <totalsRowFormula>SUM(BJ8:BJ31)</totalsRowFormula>
    </tableColumn>
    <tableColumn id="239" name="Monday229" totalsRowFunction="custom" dataDxfId="268" totalsRowDxfId="267">
      <totalsRowFormula>SUM(BK8:BK31)</totalsRowFormula>
    </tableColumn>
    <tableColumn id="240" name="Tuesday230" totalsRowFunction="custom" dataDxfId="266" totalsRowDxfId="265">
      <totalsRowFormula>SUM(BL8:BL31)</totalsRowFormula>
    </tableColumn>
    <tableColumn id="241" name="Wednesday231" totalsRowFunction="custom" dataDxfId="264" totalsRowDxfId="263">
      <totalsRowFormula>SUM(BM8:BM31)</totalsRowFormula>
    </tableColumn>
    <tableColumn id="242" name="Thursday232" totalsRowFunction="custom" dataDxfId="262" totalsRowDxfId="261">
      <totalsRowFormula>SUM(BN8:BN31)</totalsRowFormula>
    </tableColumn>
    <tableColumn id="243" name="Friday233" totalsRowFunction="custom" dataDxfId="260" totalsRowDxfId="259">
      <totalsRowFormula>SUM(BO8:BO31)</totalsRowFormula>
    </tableColumn>
    <tableColumn id="244" name="Saturday234" totalsRowFunction="custom" dataDxfId="258" totalsRowDxfId="257">
      <totalsRowFormula>SUM(BP8:BP31)</totalsRowFormula>
    </tableColumn>
    <tableColumn id="245" name="Sunday235" totalsRowFunction="custom" dataDxfId="256" totalsRowDxfId="255">
      <totalsRowFormula>SUM(BQ8:BQ31)</totalsRowFormula>
    </tableColumn>
    <tableColumn id="246" name="Monday236" totalsRowFunction="custom" dataDxfId="254" totalsRowDxfId="253">
      <totalsRowFormula>SUM(BR8:BR31)</totalsRowFormula>
    </tableColumn>
    <tableColumn id="247" name="Tuesday237" totalsRowFunction="custom" dataDxfId="252" totalsRowDxfId="251">
      <totalsRowFormula>SUM(BS8:BS31)</totalsRowFormula>
    </tableColumn>
    <tableColumn id="248" name="Wednesday238" totalsRowFunction="custom" dataDxfId="250" totalsRowDxfId="249">
      <totalsRowFormula>SUM(BT8:BT31)</totalsRowFormula>
    </tableColumn>
    <tableColumn id="249" name="Thursday239" totalsRowFunction="custom" dataDxfId="248" totalsRowDxfId="247">
      <totalsRowFormula>SUM(BU8:BU31)</totalsRowFormula>
    </tableColumn>
    <tableColumn id="250" name="Friday240" totalsRowFunction="custom" dataDxfId="246" totalsRowDxfId="245">
      <totalsRowFormula>SUM(BV8:BV31)</totalsRowFormula>
    </tableColumn>
    <tableColumn id="251" name="Saturday241" totalsRowFunction="custom" dataDxfId="244" totalsRowDxfId="243">
      <totalsRowFormula>SUM(BW8:BW31)</totalsRowFormula>
    </tableColumn>
    <tableColumn id="252" name="Sunday242" totalsRowFunction="custom" dataDxfId="242" totalsRowDxfId="241">
      <totalsRowFormula>SUM(BX8:BX31)</totalsRowFormula>
    </tableColumn>
    <tableColumn id="253" name="Monday243" dataDxfId="240" totalsRowDxfId="239"/>
    <tableColumn id="254" name="Tuesday244" dataDxfId="238" totalsRowDxfId="237"/>
    <tableColumn id="255" name="Wednesday245" dataDxfId="236" totalsRowDxfId="235"/>
    <tableColumn id="256" name="Thursday246" dataDxfId="234" totalsRowDxfId="233"/>
    <tableColumn id="257" name="Friday247" dataDxfId="232" totalsRowDxfId="231"/>
    <tableColumn id="258" name="Saturday248" dataDxfId="230" totalsRowDxfId="229"/>
    <tableColumn id="259" name="Sunday249" dataDxfId="228" totalsRowDxfId="227"/>
    <tableColumn id="260" name="Monday250" dataDxfId="226" totalsRowDxfId="225"/>
    <tableColumn id="261" name="Tuesday251" dataDxfId="224" totalsRowDxfId="223"/>
    <tableColumn id="262" name="Wednesday252" dataDxfId="222" totalsRowDxfId="221"/>
    <tableColumn id="263" name="Thursday253" dataDxfId="220" totalsRowDxfId="219"/>
    <tableColumn id="264" name="Friday254" dataDxfId="218" totalsRowDxfId="217"/>
    <tableColumn id="265" name="Saturday255" dataDxfId="216" totalsRowDxfId="215"/>
    <tableColumn id="266" name="Sunday256" dataDxfId="214" totalsRowDxfId="213"/>
    <tableColumn id="267" name="Monday257" dataDxfId="212" totalsRowDxfId="211"/>
    <tableColumn id="268" name="Tuesday258" dataDxfId="210" totalsRowDxfId="209"/>
    <tableColumn id="269" name="Wednesday259" dataDxfId="208" totalsRowDxfId="207"/>
    <tableColumn id="270" name="Thursday260" dataDxfId="206" totalsRowDxfId="205"/>
    <tableColumn id="271" name="Friday261" dataDxfId="204" totalsRowDxfId="203"/>
    <tableColumn id="272" name="Saturday262" dataDxfId="202" totalsRowDxfId="201"/>
    <tableColumn id="273" name="Sunday263" dataDxfId="200" totalsRowDxfId="199"/>
    <tableColumn id="274" name="Monday264" dataDxfId="198" totalsRowDxfId="197"/>
    <tableColumn id="275" name="Tuesday265" dataDxfId="196" totalsRowDxfId="195"/>
    <tableColumn id="276" name="Wednesday266" dataDxfId="194" totalsRowDxfId="193"/>
    <tableColumn id="277" name="Thursday267" dataDxfId="192" totalsRowDxfId="191"/>
    <tableColumn id="278" name="Friday268" dataDxfId="190" totalsRowDxfId="189"/>
    <tableColumn id="279" name="Saturday269" dataDxfId="188" totalsRowDxfId="187"/>
    <tableColumn id="280" name="Sunday270" dataDxfId="186" totalsRowDxfId="185"/>
    <tableColumn id="281" name="Monday271" dataDxfId="184" totalsRowDxfId="183"/>
    <tableColumn id="282" name="Tuesday272" dataDxfId="182" totalsRowDxfId="181"/>
    <tableColumn id="283" name="Wednesday273" dataDxfId="180" totalsRowDxfId="179"/>
    <tableColumn id="284" name="Thursday274" dataDxfId="178" totalsRowDxfId="177"/>
    <tableColumn id="285" name="Friday275" dataDxfId="176" totalsRowDxfId="175"/>
    <tableColumn id="286" name="Saturday276" dataDxfId="174" totalsRowDxfId="173"/>
    <tableColumn id="287" name="Sunday277" dataDxfId="172" totalsRowDxfId="171"/>
    <tableColumn id="288" name="Monday278" dataDxfId="170" totalsRowDxfId="169"/>
    <tableColumn id="289" name="Tuesday279" dataDxfId="168" totalsRowDxfId="167"/>
    <tableColumn id="290" name="Wednesday280" dataDxfId="166" totalsRowDxfId="165"/>
    <tableColumn id="291" name="Thursday281" dataDxfId="164" totalsRowDxfId="163"/>
    <tableColumn id="292" name="Friday282" dataDxfId="162" totalsRowDxfId="161"/>
    <tableColumn id="293" name="Saturday283" dataDxfId="160" totalsRowDxfId="159"/>
    <tableColumn id="294" name="Sunday284" dataDxfId="158" totalsRowDxfId="157"/>
    <tableColumn id="295" name="Monday285" dataDxfId="156" totalsRowDxfId="155"/>
    <tableColumn id="296" name="Tuesday286" dataDxfId="154" totalsRowDxfId="153"/>
    <tableColumn id="297" name="Wednesday287" dataDxfId="152" totalsRowDxfId="151"/>
    <tableColumn id="298" name="Thursday288" dataDxfId="150" totalsRowDxfId="149"/>
    <tableColumn id="299" name="Friday289" dataDxfId="148" totalsRowDxfId="147"/>
    <tableColumn id="300" name="Saturday290" dataDxfId="146" totalsRowDxfId="145"/>
    <tableColumn id="301" name="Sunday291" dataDxfId="144" totalsRowDxfId="143"/>
    <tableColumn id="302" name="Monday292" dataDxfId="142" totalsRowDxfId="141"/>
    <tableColumn id="303" name="Tuesday293" dataDxfId="140" totalsRowDxfId="139"/>
    <tableColumn id="304" name="Wednesday294" dataDxfId="138" totalsRowDxfId="137"/>
    <tableColumn id="305" name="Thursday295" dataDxfId="136" totalsRowDxfId="135"/>
    <tableColumn id="306" name="Friday296" dataDxfId="134" totalsRowDxfId="133"/>
    <tableColumn id="307" name="Saturday297" dataDxfId="132" totalsRowDxfId="131"/>
    <tableColumn id="308" name="Sunday298" dataDxfId="130" totalsRowDxfId="129"/>
    <tableColumn id="309" name="Monday299" dataDxfId="128" totalsRowDxfId="127"/>
    <tableColumn id="310" name="Tuesday300" dataDxfId="126" totalsRowDxfId="125"/>
    <tableColumn id="311" name="Wednesday301" dataDxfId="124" totalsRowDxfId="123"/>
    <tableColumn id="312" name="Thursday302" dataDxfId="122" totalsRowDxfId="121"/>
    <tableColumn id="313" name="Friday303" dataDxfId="120" totalsRowDxfId="119"/>
    <tableColumn id="314" name="Saturday304" dataDxfId="118" totalsRowDxfId="117"/>
    <tableColumn id="315" name="Sunday305" dataDxfId="116" totalsRowDxfId="115"/>
    <tableColumn id="316" name="Monday306" dataDxfId="114" totalsRowDxfId="113"/>
    <tableColumn id="317" name="Tuesday307" dataDxfId="112" totalsRowDxfId="111"/>
    <tableColumn id="318" name="Wednesday308" dataDxfId="110" totalsRowDxfId="109"/>
    <tableColumn id="319" name="Thursday309" dataDxfId="108" totalsRowDxfId="107"/>
    <tableColumn id="320" name="Friday310" dataDxfId="106" totalsRowDxfId="105"/>
    <tableColumn id="321" name="Saturday311" dataDxfId="104" totalsRowDxfId="103"/>
    <tableColumn id="322" name="Sunday312" dataDxfId="102" totalsRowDxfId="101"/>
    <tableColumn id="323" name="Monday313" dataDxfId="100" totalsRowDxfId="99"/>
    <tableColumn id="324" name="Tuesday314" dataDxfId="98" totalsRowDxfId="97"/>
    <tableColumn id="325" name="Wednesday315" dataDxfId="96" totalsRowDxfId="95"/>
    <tableColumn id="326" name="Thursday316" dataDxfId="94" totalsRowDxfId="93"/>
    <tableColumn id="327" name="Friday317" dataDxfId="92" totalsRowDxfId="91"/>
    <tableColumn id="328" name="Saturday318" dataDxfId="90" totalsRowDxfId="89"/>
    <tableColumn id="329" name="Sunday319" dataDxfId="88" totalsRowDxfId="87"/>
    <tableColumn id="330" name="Monday320" dataDxfId="86" totalsRowDxfId="85"/>
    <tableColumn id="331" name="Tuesday321" dataDxfId="84" totalsRowDxfId="83"/>
    <tableColumn id="332" name="Wednesday322" dataDxfId="82" totalsRowDxfId="81"/>
    <tableColumn id="333" name="Thursday323" dataDxfId="80" totalsRowDxfId="79"/>
    <tableColumn id="334" name="Friday324" dataDxfId="78" totalsRowDxfId="77"/>
    <tableColumn id="335" name="Saturday325" dataDxfId="76" totalsRowDxfId="75"/>
    <tableColumn id="336" name="Sunday326" dataDxfId="74" totalsRowDxfId="73"/>
    <tableColumn id="337" name="Monday327" dataDxfId="72" totalsRowDxfId="71"/>
    <tableColumn id="338" name="Tuesday328" dataDxfId="70" totalsRowDxfId="69"/>
    <tableColumn id="339" name="Wednesday329" dataDxfId="68" totalsRowDxfId="67"/>
    <tableColumn id="340" name="Thursday330" dataDxfId="66" totalsRowDxfId="65"/>
    <tableColumn id="341" name="Friday331" dataDxfId="64" totalsRowDxfId="63"/>
    <tableColumn id="342" name="Saturday332" dataDxfId="62" totalsRowDxfId="61"/>
    <tableColumn id="343" name="Sunday333" dataDxfId="60" totalsRowDxfId="59"/>
    <tableColumn id="344" name="Monday334" dataDxfId="58" totalsRowDxfId="57"/>
    <tableColumn id="345" name="Tuesday335" dataDxfId="56" totalsRowDxfId="55"/>
    <tableColumn id="346" name="Wednesday336" dataDxfId="54" totalsRowDxfId="53"/>
    <tableColumn id="347" name="Thursday337" dataDxfId="52" totalsRowDxfId="51"/>
    <tableColumn id="348" name="Friday338" dataDxfId="50" totalsRowDxfId="49"/>
    <tableColumn id="349" name="Saturday339" dataDxfId="48" totalsRowDxfId="47"/>
    <tableColumn id="350" name="Sunday340" dataDxfId="46" totalsRowDxfId="45"/>
    <tableColumn id="351" name="Monday341" dataDxfId="44" totalsRowDxfId="43"/>
    <tableColumn id="352" name="Tuesday342" dataDxfId="42" totalsRowDxfId="41"/>
    <tableColumn id="353" name="Wednesday343" dataDxfId="40" totalsRowDxfId="39"/>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School\Subjects\BAM\Test%20Hints%20and%20Revision%20Terms%20to%20know%20(1).docx" TargetMode="External"/><Relationship Id="rId1" Type="http://schemas.openxmlformats.org/officeDocument/2006/relationships/hyperlink" Target="..\..\..\..\School\Subjects\BAM\Test%20Hints%20and%20Revision%20Terms%20to%20know%20(1).docx"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FM344"/>
  <sheetViews>
    <sheetView tabSelected="1" topLeftCell="A19" zoomScale="70" zoomScaleNormal="70" workbookViewId="0">
      <pane xSplit="2" topLeftCell="P1" activePane="topRight" state="frozen"/>
      <selection pane="topRight" activeCell="Q25" sqref="Q25"/>
    </sheetView>
  </sheetViews>
  <sheetFormatPr defaultRowHeight="15" x14ac:dyDescent="0.25"/>
  <cols>
    <col min="1" max="1" width="22" style="66" customWidth="1"/>
    <col min="2" max="2" width="42.85546875" style="69" customWidth="1"/>
    <col min="3" max="3" width="39.42578125" style="73" customWidth="1"/>
    <col min="4" max="4" width="27.28515625" style="73" bestFit="1" customWidth="1"/>
    <col min="5" max="5" width="27.140625" style="73" bestFit="1" customWidth="1"/>
    <col min="6" max="6" width="46.28515625" style="73" bestFit="1" customWidth="1"/>
    <col min="7" max="7" width="28.28515625" style="73" bestFit="1" customWidth="1"/>
    <col min="8" max="8" width="25" style="73" bestFit="1" customWidth="1"/>
    <col min="9" max="9" width="28.140625" style="73" bestFit="1" customWidth="1"/>
    <col min="10" max="10" width="45.42578125" style="183" customWidth="1"/>
    <col min="11" max="14" width="30.7109375" customWidth="1"/>
    <col min="15" max="15" width="33.42578125" bestFit="1" customWidth="1"/>
    <col min="16" max="19" width="30.7109375" customWidth="1"/>
    <col min="20" max="20" width="38.28515625" customWidth="1"/>
    <col min="21" max="169" width="30.7109375" customWidth="1"/>
  </cols>
  <sheetData>
    <row r="1" spans="1:169" x14ac:dyDescent="0.25">
      <c r="A1" s="68">
        <f ca="1">TODAY()</f>
        <v>43345</v>
      </c>
      <c r="B1" s="67"/>
      <c r="C1" s="67"/>
      <c r="D1" s="67"/>
      <c r="E1" s="67"/>
      <c r="F1" s="67" t="s">
        <v>254</v>
      </c>
      <c r="G1" s="184" t="s">
        <v>254</v>
      </c>
      <c r="H1" s="67"/>
      <c r="I1" s="67"/>
      <c r="J1" s="67" t="s">
        <v>254</v>
      </c>
      <c r="K1" s="184" t="s">
        <v>254</v>
      </c>
      <c r="L1" s="67"/>
      <c r="M1" s="67"/>
      <c r="N1" s="67" t="s">
        <v>254</v>
      </c>
      <c r="O1" s="184" t="s">
        <v>254</v>
      </c>
      <c r="P1" s="67"/>
      <c r="Q1" s="67"/>
      <c r="R1" s="67" t="s">
        <v>254</v>
      </c>
      <c r="S1" s="184" t="s">
        <v>254</v>
      </c>
      <c r="T1" s="67"/>
      <c r="U1" s="67"/>
      <c r="V1" s="67" t="s">
        <v>254</v>
      </c>
      <c r="W1" s="184" t="s">
        <v>254</v>
      </c>
      <c r="X1" s="67"/>
      <c r="Y1" s="67"/>
      <c r="Z1" s="67" t="s">
        <v>254</v>
      </c>
      <c r="AA1" s="184" t="s">
        <v>254</v>
      </c>
      <c r="AB1" s="67"/>
      <c r="AC1" s="67"/>
      <c r="AD1" s="67" t="s">
        <v>254</v>
      </c>
      <c r="AE1" s="184" t="s">
        <v>254</v>
      </c>
      <c r="AF1" s="67"/>
      <c r="AG1" s="67"/>
      <c r="AH1" s="67" t="s">
        <v>254</v>
      </c>
      <c r="AI1" s="184" t="s">
        <v>254</v>
      </c>
      <c r="AJ1" s="67"/>
      <c r="AK1" s="67"/>
      <c r="AL1" s="67" t="s">
        <v>254</v>
      </c>
      <c r="AM1" s="184" t="s">
        <v>254</v>
      </c>
      <c r="AN1" s="67"/>
      <c r="AO1" s="67"/>
      <c r="AP1" s="67" t="s">
        <v>254</v>
      </c>
      <c r="AQ1" s="184" t="s">
        <v>254</v>
      </c>
      <c r="AR1" s="67"/>
      <c r="AS1" s="67"/>
      <c r="AT1" s="67" t="s">
        <v>254</v>
      </c>
      <c r="AU1" s="184" t="s">
        <v>254</v>
      </c>
      <c r="AV1" s="67"/>
      <c r="AW1" s="67"/>
      <c r="AX1" s="67" t="s">
        <v>254</v>
      </c>
      <c r="AY1" s="184" t="s">
        <v>254</v>
      </c>
      <c r="AZ1" s="67"/>
      <c r="BA1" s="67"/>
      <c r="BB1" s="67" t="s">
        <v>254</v>
      </c>
      <c r="BC1" s="184" t="s">
        <v>254</v>
      </c>
      <c r="BD1" s="67"/>
      <c r="BE1" s="67"/>
      <c r="BF1" s="67" t="s">
        <v>254</v>
      </c>
      <c r="BG1" s="184" t="s">
        <v>254</v>
      </c>
      <c r="BH1" s="67"/>
      <c r="BI1" s="67"/>
      <c r="BJ1" s="67" t="s">
        <v>254</v>
      </c>
      <c r="BK1" s="184" t="s">
        <v>254</v>
      </c>
      <c r="BL1" s="67"/>
      <c r="BM1" s="67"/>
      <c r="BN1" s="67" t="s">
        <v>254</v>
      </c>
      <c r="BO1" s="184" t="s">
        <v>254</v>
      </c>
      <c r="BP1" s="67"/>
      <c r="BQ1" s="67"/>
      <c r="BR1" s="67" t="s">
        <v>254</v>
      </c>
      <c r="BS1" s="184" t="s">
        <v>254</v>
      </c>
      <c r="BT1" s="67"/>
      <c r="BU1" s="67"/>
      <c r="BV1" s="67" t="s">
        <v>254</v>
      </c>
      <c r="BW1" s="184" t="s">
        <v>254</v>
      </c>
      <c r="BX1" s="67"/>
      <c r="BY1" s="67"/>
      <c r="BZ1" s="67" t="s">
        <v>254</v>
      </c>
      <c r="CA1" s="184" t="s">
        <v>254</v>
      </c>
      <c r="CB1" s="67"/>
      <c r="CC1" s="67"/>
      <c r="CD1" s="67" t="s">
        <v>254</v>
      </c>
      <c r="CE1" s="184" t="s">
        <v>254</v>
      </c>
      <c r="CF1" s="67"/>
      <c r="CG1" s="67"/>
      <c r="CH1" s="67" t="s">
        <v>254</v>
      </c>
      <c r="CI1" s="184" t="s">
        <v>254</v>
      </c>
      <c r="CJ1" s="67"/>
      <c r="CK1" s="67"/>
      <c r="CL1" s="67" t="s">
        <v>254</v>
      </c>
      <c r="CM1" s="184" t="s">
        <v>254</v>
      </c>
      <c r="CN1" s="67"/>
      <c r="CO1" s="67"/>
      <c r="CP1" s="67" t="s">
        <v>254</v>
      </c>
      <c r="CQ1" s="184" t="s">
        <v>254</v>
      </c>
      <c r="CR1" s="67"/>
      <c r="CS1" s="67"/>
      <c r="CT1" s="67" t="s">
        <v>254</v>
      </c>
      <c r="CU1" s="184" t="s">
        <v>254</v>
      </c>
      <c r="CV1" s="67"/>
      <c r="CW1" s="67"/>
      <c r="CX1" s="67" t="s">
        <v>254</v>
      </c>
      <c r="CY1" s="184" t="s">
        <v>254</v>
      </c>
      <c r="CZ1" s="67"/>
      <c r="DA1" s="67"/>
      <c r="DB1" s="67" t="s">
        <v>254</v>
      </c>
      <c r="DC1" s="184" t="s">
        <v>254</v>
      </c>
      <c r="DD1" s="67"/>
      <c r="DE1" s="67"/>
      <c r="DF1" s="67" t="s">
        <v>254</v>
      </c>
      <c r="DG1" s="184" t="s">
        <v>254</v>
      </c>
      <c r="DH1" s="67"/>
      <c r="DI1" s="67"/>
      <c r="DJ1" s="67" t="s">
        <v>254</v>
      </c>
      <c r="DK1" s="184" t="s">
        <v>254</v>
      </c>
      <c r="DL1" s="67"/>
      <c r="DM1" s="67"/>
      <c r="DN1" s="67" t="s">
        <v>254</v>
      </c>
      <c r="DO1" s="184" t="s">
        <v>254</v>
      </c>
      <c r="DP1" s="67"/>
      <c r="DQ1" s="67"/>
      <c r="DR1" s="67" t="s">
        <v>254</v>
      </c>
      <c r="DS1" s="184" t="s">
        <v>254</v>
      </c>
      <c r="DT1" s="67"/>
      <c r="DU1" s="67"/>
      <c r="DV1" s="67" t="s">
        <v>254</v>
      </c>
      <c r="DW1" s="184" t="s">
        <v>254</v>
      </c>
      <c r="DX1" s="67"/>
      <c r="DY1" s="67"/>
      <c r="DZ1" s="67" t="s">
        <v>254</v>
      </c>
      <c r="EA1" s="184" t="s">
        <v>254</v>
      </c>
      <c r="EB1" s="67"/>
      <c r="EC1" s="67"/>
      <c r="ED1" s="67" t="s">
        <v>254</v>
      </c>
      <c r="EE1" s="184" t="s">
        <v>254</v>
      </c>
      <c r="EF1" s="67"/>
      <c r="EG1" s="67"/>
      <c r="EH1" s="67" t="s">
        <v>254</v>
      </c>
      <c r="EI1" s="184" t="s">
        <v>254</v>
      </c>
      <c r="EJ1" s="67"/>
      <c r="EK1" s="67"/>
      <c r="EL1" s="67" t="s">
        <v>254</v>
      </c>
      <c r="EM1" s="184" t="s">
        <v>254</v>
      </c>
      <c r="EN1" s="67"/>
      <c r="EO1" s="67"/>
      <c r="EP1" s="67" t="s">
        <v>254</v>
      </c>
      <c r="EQ1" s="184" t="s">
        <v>254</v>
      </c>
      <c r="ER1" s="67"/>
      <c r="ES1" s="67"/>
      <c r="ET1" s="67" t="s">
        <v>254</v>
      </c>
      <c r="EU1" s="184" t="s">
        <v>254</v>
      </c>
      <c r="EV1" s="67"/>
      <c r="EW1" s="67"/>
      <c r="EX1" s="67" t="s">
        <v>254</v>
      </c>
      <c r="EY1" s="184" t="s">
        <v>254</v>
      </c>
      <c r="EZ1" s="67"/>
      <c r="FA1" s="67"/>
      <c r="FB1" s="67" t="s">
        <v>254</v>
      </c>
      <c r="FC1" s="184" t="s">
        <v>254</v>
      </c>
      <c r="FD1" s="67"/>
      <c r="FE1" s="67"/>
      <c r="FF1" s="67" t="s">
        <v>254</v>
      </c>
      <c r="FG1" s="184" t="s">
        <v>254</v>
      </c>
      <c r="FH1" s="67"/>
      <c r="FI1" s="67"/>
      <c r="FJ1" s="67" t="s">
        <v>254</v>
      </c>
      <c r="FK1" s="184" t="s">
        <v>254</v>
      </c>
      <c r="FL1" s="67"/>
      <c r="FM1" s="67"/>
    </row>
    <row r="2" spans="1:169" ht="15.75" x14ac:dyDescent="0.25">
      <c r="A2" s="95">
        <f ca="1">NOW()</f>
        <v>43345.82303634259</v>
      </c>
      <c r="B2" s="97">
        <v>43157</v>
      </c>
      <c r="C2" s="96">
        <v>0</v>
      </c>
      <c r="D2" s="96">
        <v>1</v>
      </c>
      <c r="E2" s="96">
        <v>2</v>
      </c>
      <c r="F2" s="96">
        <v>3</v>
      </c>
      <c r="G2" s="96">
        <v>4</v>
      </c>
      <c r="H2" s="96">
        <v>5</v>
      </c>
      <c r="I2" s="96">
        <v>6</v>
      </c>
      <c r="J2" s="96">
        <v>7</v>
      </c>
      <c r="K2" s="96">
        <v>8</v>
      </c>
      <c r="L2" s="96">
        <v>9</v>
      </c>
      <c r="M2" s="96">
        <v>10</v>
      </c>
      <c r="N2" s="96">
        <v>11</v>
      </c>
      <c r="O2" s="96">
        <v>12</v>
      </c>
      <c r="P2" s="96">
        <v>13</v>
      </c>
      <c r="Q2" s="96">
        <v>14</v>
      </c>
      <c r="R2" s="96">
        <v>15</v>
      </c>
      <c r="S2" s="96">
        <v>16</v>
      </c>
      <c r="T2" s="96">
        <v>17</v>
      </c>
      <c r="U2" s="96">
        <v>18</v>
      </c>
      <c r="V2" s="96">
        <v>19</v>
      </c>
      <c r="W2" s="96">
        <v>20</v>
      </c>
      <c r="X2" s="96">
        <v>21</v>
      </c>
      <c r="Y2" s="96">
        <v>22</v>
      </c>
      <c r="Z2" s="96">
        <v>23</v>
      </c>
      <c r="AA2" s="96">
        <v>24</v>
      </c>
      <c r="AB2" s="96">
        <v>25</v>
      </c>
      <c r="AC2" s="96">
        <v>26</v>
      </c>
      <c r="AD2" s="96">
        <v>27</v>
      </c>
      <c r="AE2" s="96">
        <v>28</v>
      </c>
      <c r="AF2" s="96">
        <v>29</v>
      </c>
      <c r="AG2" s="96">
        <v>30</v>
      </c>
      <c r="AH2" s="96">
        <v>31</v>
      </c>
      <c r="AI2" s="96">
        <v>32</v>
      </c>
      <c r="AJ2" s="96">
        <v>33</v>
      </c>
      <c r="AK2" s="96">
        <v>34</v>
      </c>
      <c r="AL2" s="96">
        <v>35</v>
      </c>
      <c r="AM2" s="96">
        <v>36</v>
      </c>
      <c r="AN2" s="96">
        <v>37</v>
      </c>
      <c r="AO2" s="96">
        <v>38</v>
      </c>
      <c r="AP2" s="96">
        <v>39</v>
      </c>
      <c r="AQ2" s="96">
        <v>40</v>
      </c>
      <c r="AR2" s="96">
        <v>41</v>
      </c>
      <c r="AS2" s="96">
        <v>42</v>
      </c>
      <c r="AT2" s="96">
        <v>43</v>
      </c>
      <c r="AU2" s="96">
        <v>44</v>
      </c>
      <c r="AV2" s="96">
        <v>45</v>
      </c>
      <c r="AW2" s="96">
        <v>46</v>
      </c>
      <c r="AX2" s="96">
        <v>47</v>
      </c>
      <c r="AY2" s="96">
        <v>48</v>
      </c>
      <c r="AZ2" s="96">
        <v>49</v>
      </c>
      <c r="BA2" s="96">
        <v>50</v>
      </c>
      <c r="BB2" s="96">
        <v>51</v>
      </c>
      <c r="BC2" s="96">
        <v>52</v>
      </c>
      <c r="BD2" s="96">
        <v>53</v>
      </c>
      <c r="BE2" s="96">
        <v>54</v>
      </c>
      <c r="BF2" s="96">
        <v>55</v>
      </c>
      <c r="BG2" s="96">
        <v>56</v>
      </c>
      <c r="BH2" s="96">
        <v>57</v>
      </c>
      <c r="BI2" s="96">
        <v>58</v>
      </c>
      <c r="BJ2" s="96">
        <v>59</v>
      </c>
      <c r="BK2" s="96">
        <v>60</v>
      </c>
      <c r="BL2" s="96">
        <v>61</v>
      </c>
      <c r="BM2" s="96">
        <v>62</v>
      </c>
      <c r="BN2" s="96">
        <v>63</v>
      </c>
      <c r="BO2" s="96">
        <v>64</v>
      </c>
      <c r="BP2" s="96">
        <v>65</v>
      </c>
      <c r="BQ2" s="96">
        <v>66</v>
      </c>
      <c r="BR2" s="96">
        <v>67</v>
      </c>
      <c r="BS2" s="96">
        <v>68</v>
      </c>
      <c r="BT2" s="96">
        <v>69</v>
      </c>
      <c r="BU2" s="96">
        <v>70</v>
      </c>
      <c r="BV2" s="96">
        <v>71</v>
      </c>
      <c r="BW2" s="96">
        <v>72</v>
      </c>
      <c r="BX2" s="96">
        <v>73</v>
      </c>
      <c r="BY2" s="96">
        <v>74</v>
      </c>
      <c r="BZ2" s="96">
        <v>75</v>
      </c>
      <c r="CA2" s="96">
        <v>76</v>
      </c>
      <c r="CB2" s="96">
        <v>77</v>
      </c>
      <c r="CC2" s="96">
        <v>78</v>
      </c>
      <c r="CD2" s="96">
        <v>79</v>
      </c>
      <c r="CE2" s="96">
        <v>80</v>
      </c>
      <c r="CF2" s="96">
        <v>81</v>
      </c>
      <c r="CG2" s="96">
        <v>82</v>
      </c>
      <c r="CH2" s="96">
        <v>83</v>
      </c>
      <c r="CI2" s="96">
        <v>84</v>
      </c>
      <c r="CJ2" s="96">
        <v>85</v>
      </c>
      <c r="CK2" s="96">
        <v>86</v>
      </c>
      <c r="CL2" s="96">
        <v>87</v>
      </c>
      <c r="CM2" s="96">
        <v>88</v>
      </c>
      <c r="CN2" s="96">
        <v>89</v>
      </c>
      <c r="CO2" s="96">
        <v>90</v>
      </c>
      <c r="CP2" s="96">
        <v>91</v>
      </c>
      <c r="CQ2" s="96">
        <v>92</v>
      </c>
      <c r="CR2" s="96">
        <v>93</v>
      </c>
      <c r="CS2" s="96">
        <v>94</v>
      </c>
      <c r="CT2" s="96">
        <v>95</v>
      </c>
      <c r="CU2" s="96">
        <v>96</v>
      </c>
      <c r="CV2" s="96">
        <v>97</v>
      </c>
      <c r="CW2" s="96">
        <v>98</v>
      </c>
      <c r="CX2" s="96">
        <v>99</v>
      </c>
      <c r="CY2" s="96">
        <v>100</v>
      </c>
      <c r="CZ2" s="96">
        <v>101</v>
      </c>
      <c r="DA2" s="96">
        <v>102</v>
      </c>
      <c r="DB2" s="96">
        <v>103</v>
      </c>
      <c r="DC2" s="96">
        <v>104</v>
      </c>
      <c r="DD2" s="96">
        <v>105</v>
      </c>
      <c r="DE2" s="96">
        <v>106</v>
      </c>
      <c r="DF2" s="96">
        <v>107</v>
      </c>
      <c r="DG2" s="96">
        <v>108</v>
      </c>
      <c r="DH2" s="96">
        <v>109</v>
      </c>
      <c r="DI2" s="96">
        <v>110</v>
      </c>
      <c r="DJ2" s="96">
        <v>111</v>
      </c>
      <c r="DK2" s="96">
        <v>112</v>
      </c>
      <c r="DL2" s="96">
        <v>113</v>
      </c>
      <c r="DM2" s="96">
        <v>114</v>
      </c>
      <c r="DN2" s="96">
        <v>115</v>
      </c>
      <c r="DO2" s="96">
        <v>116</v>
      </c>
      <c r="DP2" s="96">
        <v>117</v>
      </c>
      <c r="DQ2" s="96">
        <v>118</v>
      </c>
      <c r="DR2" s="96">
        <v>119</v>
      </c>
      <c r="DS2" s="96">
        <v>120</v>
      </c>
      <c r="DT2" s="96">
        <v>121</v>
      </c>
      <c r="DU2" s="96">
        <v>122</v>
      </c>
      <c r="DV2" s="96">
        <v>123</v>
      </c>
      <c r="DW2" s="96">
        <v>124</v>
      </c>
      <c r="DX2" s="96">
        <v>125</v>
      </c>
      <c r="DY2" s="96">
        <v>126</v>
      </c>
      <c r="DZ2" s="96">
        <v>127</v>
      </c>
      <c r="EA2" s="96">
        <v>128</v>
      </c>
      <c r="EB2" s="96">
        <v>129</v>
      </c>
      <c r="EC2" s="96">
        <v>130</v>
      </c>
      <c r="ED2" s="96">
        <v>131</v>
      </c>
      <c r="EE2" s="96">
        <v>132</v>
      </c>
      <c r="EF2" s="96">
        <v>133</v>
      </c>
      <c r="EG2" s="96">
        <v>134</v>
      </c>
      <c r="EH2" s="96">
        <v>135</v>
      </c>
      <c r="EI2" s="96">
        <v>136</v>
      </c>
      <c r="EJ2" s="96">
        <v>137</v>
      </c>
      <c r="EK2" s="96">
        <v>138</v>
      </c>
      <c r="EL2" s="96">
        <v>139</v>
      </c>
      <c r="EM2" s="96">
        <v>140</v>
      </c>
      <c r="EN2" s="96">
        <v>141</v>
      </c>
      <c r="EO2" s="96">
        <v>142</v>
      </c>
      <c r="EP2" s="96">
        <v>143</v>
      </c>
      <c r="EQ2" s="96">
        <v>144</v>
      </c>
      <c r="ER2" s="96">
        <v>145</v>
      </c>
      <c r="ES2" s="96">
        <v>146</v>
      </c>
      <c r="ET2" s="96">
        <v>147</v>
      </c>
      <c r="EU2" s="96">
        <v>148</v>
      </c>
      <c r="EV2" s="96">
        <v>149</v>
      </c>
      <c r="EW2" s="96">
        <v>150</v>
      </c>
      <c r="EX2" s="96">
        <v>151</v>
      </c>
      <c r="EY2" s="96">
        <v>152</v>
      </c>
      <c r="EZ2" s="96">
        <v>153</v>
      </c>
      <c r="FA2" s="96">
        <v>154</v>
      </c>
      <c r="FB2" s="96">
        <v>155</v>
      </c>
      <c r="FC2" s="96">
        <v>156</v>
      </c>
      <c r="FD2" s="96">
        <v>157</v>
      </c>
      <c r="FE2" s="96">
        <v>158</v>
      </c>
      <c r="FF2" s="96">
        <v>159</v>
      </c>
      <c r="FG2" s="96">
        <v>160</v>
      </c>
      <c r="FH2" s="96">
        <v>161</v>
      </c>
      <c r="FI2" s="96">
        <v>162</v>
      </c>
      <c r="FJ2" s="96">
        <v>163</v>
      </c>
      <c r="FK2" s="96">
        <v>164</v>
      </c>
      <c r="FL2" s="96">
        <v>165</v>
      </c>
      <c r="FM2" s="96">
        <v>166</v>
      </c>
    </row>
    <row r="3" spans="1:169" x14ac:dyDescent="0.25">
      <c r="A3" s="170">
        <f ca="1">HOUR(A2)</f>
        <v>19</v>
      </c>
      <c r="B3" s="124"/>
      <c r="C3" s="185">
        <f t="shared" ref="C3:BN3" si="0">C4</f>
        <v>43331</v>
      </c>
      <c r="D3" s="185">
        <f t="shared" si="0"/>
        <v>43332</v>
      </c>
      <c r="E3" s="185">
        <f t="shared" si="0"/>
        <v>43333</v>
      </c>
      <c r="F3" s="185">
        <f t="shared" si="0"/>
        <v>43334</v>
      </c>
      <c r="G3" s="185">
        <f t="shared" si="0"/>
        <v>43335</v>
      </c>
      <c r="H3" s="185">
        <f t="shared" si="0"/>
        <v>43336</v>
      </c>
      <c r="I3" s="185">
        <f t="shared" si="0"/>
        <v>43337</v>
      </c>
      <c r="J3" s="185">
        <f t="shared" si="0"/>
        <v>43338</v>
      </c>
      <c r="K3" s="185">
        <f t="shared" si="0"/>
        <v>43339</v>
      </c>
      <c r="L3" s="185">
        <f t="shared" si="0"/>
        <v>43340</v>
      </c>
      <c r="M3" s="185">
        <f t="shared" si="0"/>
        <v>43341</v>
      </c>
      <c r="N3" s="185">
        <f t="shared" si="0"/>
        <v>43342</v>
      </c>
      <c r="O3" s="185">
        <f t="shared" si="0"/>
        <v>43343</v>
      </c>
      <c r="P3" s="185">
        <f t="shared" si="0"/>
        <v>43344</v>
      </c>
      <c r="Q3" s="185">
        <f t="shared" si="0"/>
        <v>43345</v>
      </c>
      <c r="R3" s="185">
        <f t="shared" si="0"/>
        <v>43346</v>
      </c>
      <c r="S3" s="185">
        <f t="shared" si="0"/>
        <v>43347</v>
      </c>
      <c r="T3" s="185">
        <f t="shared" si="0"/>
        <v>43348</v>
      </c>
      <c r="U3" s="185">
        <f t="shared" si="0"/>
        <v>43349</v>
      </c>
      <c r="V3" s="185">
        <f t="shared" si="0"/>
        <v>43350</v>
      </c>
      <c r="W3" s="185">
        <f t="shared" si="0"/>
        <v>43351</v>
      </c>
      <c r="X3" s="185">
        <f t="shared" si="0"/>
        <v>43352</v>
      </c>
      <c r="Y3" s="185">
        <f t="shared" si="0"/>
        <v>43353</v>
      </c>
      <c r="Z3" s="185">
        <f t="shared" si="0"/>
        <v>43354</v>
      </c>
      <c r="AA3" s="185">
        <f t="shared" si="0"/>
        <v>43355</v>
      </c>
      <c r="AB3" s="185">
        <f t="shared" si="0"/>
        <v>43356</v>
      </c>
      <c r="AC3" s="185">
        <f t="shared" si="0"/>
        <v>43357</v>
      </c>
      <c r="AD3" s="185">
        <f t="shared" si="0"/>
        <v>43358</v>
      </c>
      <c r="AE3" s="185">
        <f t="shared" si="0"/>
        <v>43359</v>
      </c>
      <c r="AF3" s="185">
        <f t="shared" si="0"/>
        <v>43360</v>
      </c>
      <c r="AG3" s="185">
        <f t="shared" si="0"/>
        <v>43361</v>
      </c>
      <c r="AH3" s="185">
        <f t="shared" si="0"/>
        <v>43362</v>
      </c>
      <c r="AI3" s="185">
        <f t="shared" si="0"/>
        <v>43363</v>
      </c>
      <c r="AJ3" s="185">
        <f t="shared" si="0"/>
        <v>43364</v>
      </c>
      <c r="AK3" s="185">
        <f t="shared" si="0"/>
        <v>43365</v>
      </c>
      <c r="AL3" s="185">
        <f t="shared" si="0"/>
        <v>43366</v>
      </c>
      <c r="AM3" s="185">
        <f t="shared" si="0"/>
        <v>43367</v>
      </c>
      <c r="AN3" s="185">
        <f t="shared" si="0"/>
        <v>43368</v>
      </c>
      <c r="AO3" s="185">
        <f t="shared" si="0"/>
        <v>43369</v>
      </c>
      <c r="AP3" s="185">
        <f t="shared" si="0"/>
        <v>43370</v>
      </c>
      <c r="AQ3" s="185">
        <f t="shared" si="0"/>
        <v>43371</v>
      </c>
      <c r="AR3" s="185">
        <f t="shared" si="0"/>
        <v>43372</v>
      </c>
      <c r="AS3" s="185">
        <f t="shared" si="0"/>
        <v>43373</v>
      </c>
      <c r="AT3" s="185">
        <f t="shared" si="0"/>
        <v>43374</v>
      </c>
      <c r="AU3" s="185">
        <f t="shared" si="0"/>
        <v>43375</v>
      </c>
      <c r="AV3" s="185">
        <f t="shared" si="0"/>
        <v>43376</v>
      </c>
      <c r="AW3" s="185">
        <f t="shared" si="0"/>
        <v>43377</v>
      </c>
      <c r="AX3" s="185">
        <f t="shared" si="0"/>
        <v>43378</v>
      </c>
      <c r="AY3" s="185">
        <f t="shared" si="0"/>
        <v>43379</v>
      </c>
      <c r="AZ3" s="185">
        <f t="shared" si="0"/>
        <v>43380</v>
      </c>
      <c r="BA3" s="185">
        <f t="shared" si="0"/>
        <v>43381</v>
      </c>
      <c r="BB3" s="185">
        <f t="shared" si="0"/>
        <v>43382</v>
      </c>
      <c r="BC3" s="185">
        <f t="shared" si="0"/>
        <v>43383</v>
      </c>
      <c r="BD3" s="185">
        <f t="shared" si="0"/>
        <v>43384</v>
      </c>
      <c r="BE3" s="185">
        <f t="shared" si="0"/>
        <v>43385</v>
      </c>
      <c r="BF3" s="185">
        <f t="shared" si="0"/>
        <v>43386</v>
      </c>
      <c r="BG3" s="185">
        <f t="shared" si="0"/>
        <v>43387</v>
      </c>
      <c r="BH3" s="185">
        <f t="shared" si="0"/>
        <v>43388</v>
      </c>
      <c r="BI3" s="185">
        <f t="shared" si="0"/>
        <v>43389</v>
      </c>
      <c r="BJ3" s="185">
        <f t="shared" si="0"/>
        <v>43390</v>
      </c>
      <c r="BK3" s="185">
        <f t="shared" si="0"/>
        <v>43391</v>
      </c>
      <c r="BL3" s="185">
        <f t="shared" si="0"/>
        <v>43392</v>
      </c>
      <c r="BM3" s="185">
        <f t="shared" si="0"/>
        <v>43393</v>
      </c>
      <c r="BN3" s="185">
        <f t="shared" si="0"/>
        <v>43394</v>
      </c>
      <c r="BO3" s="185">
        <f t="shared" ref="BO3:DZ3" si="1">BO4</f>
        <v>43395</v>
      </c>
      <c r="BP3" s="185">
        <f t="shared" si="1"/>
        <v>43396</v>
      </c>
      <c r="BQ3" s="185">
        <f t="shared" si="1"/>
        <v>43397</v>
      </c>
      <c r="BR3" s="185">
        <f t="shared" si="1"/>
        <v>43398</v>
      </c>
      <c r="BS3" s="185">
        <f t="shared" si="1"/>
        <v>43399</v>
      </c>
      <c r="BT3" s="185">
        <f t="shared" si="1"/>
        <v>43400</v>
      </c>
      <c r="BU3" s="185">
        <f t="shared" si="1"/>
        <v>43401</v>
      </c>
      <c r="BV3" s="185">
        <f t="shared" si="1"/>
        <v>43402</v>
      </c>
      <c r="BW3" s="185">
        <f t="shared" si="1"/>
        <v>43403</v>
      </c>
      <c r="BX3" s="185">
        <f t="shared" si="1"/>
        <v>43404</v>
      </c>
      <c r="BY3" s="185">
        <f t="shared" si="1"/>
        <v>43405</v>
      </c>
      <c r="BZ3" s="185">
        <f t="shared" si="1"/>
        <v>43406</v>
      </c>
      <c r="CA3" s="185">
        <f t="shared" si="1"/>
        <v>43407</v>
      </c>
      <c r="CB3" s="185">
        <f t="shared" si="1"/>
        <v>43408</v>
      </c>
      <c r="CC3" s="185">
        <f t="shared" si="1"/>
        <v>43409</v>
      </c>
      <c r="CD3" s="185">
        <f t="shared" si="1"/>
        <v>43410</v>
      </c>
      <c r="CE3" s="185">
        <f t="shared" si="1"/>
        <v>43411</v>
      </c>
      <c r="CF3" s="185">
        <f t="shared" si="1"/>
        <v>43412</v>
      </c>
      <c r="CG3" s="185">
        <f t="shared" si="1"/>
        <v>43413</v>
      </c>
      <c r="CH3" s="185">
        <f t="shared" si="1"/>
        <v>43414</v>
      </c>
      <c r="CI3" s="185">
        <f t="shared" si="1"/>
        <v>43415</v>
      </c>
      <c r="CJ3" s="185">
        <f t="shared" si="1"/>
        <v>43416</v>
      </c>
      <c r="CK3" s="185">
        <f t="shared" si="1"/>
        <v>43417</v>
      </c>
      <c r="CL3" s="185">
        <f t="shared" si="1"/>
        <v>43418</v>
      </c>
      <c r="CM3" s="185">
        <f t="shared" si="1"/>
        <v>43419</v>
      </c>
      <c r="CN3" s="185">
        <f t="shared" si="1"/>
        <v>43420</v>
      </c>
      <c r="CO3" s="185">
        <f t="shared" si="1"/>
        <v>43421</v>
      </c>
      <c r="CP3" s="185">
        <f t="shared" si="1"/>
        <v>43422</v>
      </c>
      <c r="CQ3" s="185">
        <f t="shared" si="1"/>
        <v>43423</v>
      </c>
      <c r="CR3" s="185">
        <f t="shared" si="1"/>
        <v>43424</v>
      </c>
      <c r="CS3" s="185">
        <f t="shared" si="1"/>
        <v>43425</v>
      </c>
      <c r="CT3" s="185">
        <f t="shared" si="1"/>
        <v>43426</v>
      </c>
      <c r="CU3" s="185">
        <f t="shared" si="1"/>
        <v>43427</v>
      </c>
      <c r="CV3" s="185">
        <f t="shared" si="1"/>
        <v>43428</v>
      </c>
      <c r="CW3" s="185">
        <f t="shared" si="1"/>
        <v>43429</v>
      </c>
      <c r="CX3" s="185">
        <f t="shared" si="1"/>
        <v>43430</v>
      </c>
      <c r="CY3" s="185">
        <f t="shared" si="1"/>
        <v>43431</v>
      </c>
      <c r="CZ3" s="185">
        <f t="shared" si="1"/>
        <v>43432</v>
      </c>
      <c r="DA3" s="185">
        <f t="shared" si="1"/>
        <v>43433</v>
      </c>
      <c r="DB3" s="185">
        <f t="shared" si="1"/>
        <v>43434</v>
      </c>
      <c r="DC3" s="185">
        <f t="shared" si="1"/>
        <v>43435</v>
      </c>
      <c r="DD3" s="185">
        <f t="shared" si="1"/>
        <v>43436</v>
      </c>
      <c r="DE3" s="185">
        <f t="shared" si="1"/>
        <v>43437</v>
      </c>
      <c r="DF3" s="185">
        <f t="shared" si="1"/>
        <v>43438</v>
      </c>
      <c r="DG3" s="185">
        <f t="shared" si="1"/>
        <v>43439</v>
      </c>
      <c r="DH3" s="185">
        <f t="shared" si="1"/>
        <v>43440</v>
      </c>
      <c r="DI3" s="185">
        <f t="shared" si="1"/>
        <v>43441</v>
      </c>
      <c r="DJ3" s="185">
        <f t="shared" si="1"/>
        <v>43442</v>
      </c>
      <c r="DK3" s="185">
        <f t="shared" si="1"/>
        <v>43443</v>
      </c>
      <c r="DL3" s="185">
        <f t="shared" si="1"/>
        <v>43444</v>
      </c>
      <c r="DM3" s="185">
        <f t="shared" si="1"/>
        <v>43445</v>
      </c>
      <c r="DN3" s="185">
        <f t="shared" si="1"/>
        <v>43446</v>
      </c>
      <c r="DO3" s="185">
        <f t="shared" si="1"/>
        <v>43447</v>
      </c>
      <c r="DP3" s="185">
        <f t="shared" si="1"/>
        <v>43448</v>
      </c>
      <c r="DQ3" s="185">
        <f t="shared" si="1"/>
        <v>43449</v>
      </c>
      <c r="DR3" s="185">
        <f t="shared" si="1"/>
        <v>43450</v>
      </c>
      <c r="DS3" s="185">
        <f t="shared" si="1"/>
        <v>43451</v>
      </c>
      <c r="DT3" s="185">
        <f t="shared" si="1"/>
        <v>43452</v>
      </c>
      <c r="DU3" s="185">
        <f t="shared" si="1"/>
        <v>43453</v>
      </c>
      <c r="DV3" s="185">
        <f t="shared" si="1"/>
        <v>43454</v>
      </c>
      <c r="DW3" s="185">
        <f t="shared" si="1"/>
        <v>43455</v>
      </c>
      <c r="DX3" s="185">
        <f t="shared" si="1"/>
        <v>43456</v>
      </c>
      <c r="DY3" s="185">
        <f t="shared" si="1"/>
        <v>43457</v>
      </c>
      <c r="DZ3" s="185">
        <f t="shared" si="1"/>
        <v>43458</v>
      </c>
      <c r="EA3" s="185">
        <f t="shared" ref="EA3:FM3" si="2">EA4</f>
        <v>43459</v>
      </c>
      <c r="EB3" s="185">
        <f t="shared" si="2"/>
        <v>43460</v>
      </c>
      <c r="EC3" s="185">
        <f t="shared" si="2"/>
        <v>43461</v>
      </c>
      <c r="ED3" s="185">
        <f t="shared" si="2"/>
        <v>43462</v>
      </c>
      <c r="EE3" s="185">
        <f t="shared" si="2"/>
        <v>43463</v>
      </c>
      <c r="EF3" s="185">
        <f t="shared" si="2"/>
        <v>43464</v>
      </c>
      <c r="EG3" s="185">
        <f t="shared" si="2"/>
        <v>43465</v>
      </c>
      <c r="EH3" s="185">
        <f t="shared" si="2"/>
        <v>43466</v>
      </c>
      <c r="EI3" s="185">
        <f t="shared" si="2"/>
        <v>43467</v>
      </c>
      <c r="EJ3" s="185">
        <f t="shared" si="2"/>
        <v>43468</v>
      </c>
      <c r="EK3" s="185">
        <f t="shared" si="2"/>
        <v>43469</v>
      </c>
      <c r="EL3" s="185">
        <f t="shared" si="2"/>
        <v>43470</v>
      </c>
      <c r="EM3" s="185">
        <f t="shared" si="2"/>
        <v>43471</v>
      </c>
      <c r="EN3" s="185">
        <f t="shared" si="2"/>
        <v>43472</v>
      </c>
      <c r="EO3" s="185">
        <f t="shared" si="2"/>
        <v>43473</v>
      </c>
      <c r="EP3" s="185">
        <f t="shared" si="2"/>
        <v>43474</v>
      </c>
      <c r="EQ3" s="185">
        <f t="shared" si="2"/>
        <v>43475</v>
      </c>
      <c r="ER3" s="185">
        <f t="shared" si="2"/>
        <v>43476</v>
      </c>
      <c r="ES3" s="185">
        <f t="shared" si="2"/>
        <v>43477</v>
      </c>
      <c r="ET3" s="185">
        <f t="shared" si="2"/>
        <v>43478</v>
      </c>
      <c r="EU3" s="185">
        <f t="shared" si="2"/>
        <v>43479</v>
      </c>
      <c r="EV3" s="185">
        <f t="shared" si="2"/>
        <v>43480</v>
      </c>
      <c r="EW3" s="185">
        <f t="shared" si="2"/>
        <v>43481</v>
      </c>
      <c r="EX3" s="185">
        <f t="shared" si="2"/>
        <v>43482</v>
      </c>
      <c r="EY3" s="185">
        <f t="shared" si="2"/>
        <v>43483</v>
      </c>
      <c r="EZ3" s="185">
        <f t="shared" si="2"/>
        <v>43484</v>
      </c>
      <c r="FA3" s="185">
        <f t="shared" si="2"/>
        <v>43485</v>
      </c>
      <c r="FB3" s="185">
        <f t="shared" si="2"/>
        <v>43486</v>
      </c>
      <c r="FC3" s="185">
        <f t="shared" si="2"/>
        <v>43487</v>
      </c>
      <c r="FD3" s="185">
        <f t="shared" si="2"/>
        <v>43488</v>
      </c>
      <c r="FE3" s="185">
        <f t="shared" si="2"/>
        <v>43489</v>
      </c>
      <c r="FF3" s="185">
        <f t="shared" si="2"/>
        <v>43490</v>
      </c>
      <c r="FG3" s="185">
        <f t="shared" si="2"/>
        <v>43491</v>
      </c>
      <c r="FH3" s="185">
        <f t="shared" si="2"/>
        <v>43492</v>
      </c>
      <c r="FI3" s="185">
        <f t="shared" si="2"/>
        <v>43493</v>
      </c>
      <c r="FJ3" s="185">
        <f t="shared" si="2"/>
        <v>43494</v>
      </c>
      <c r="FK3" s="185">
        <f t="shared" si="2"/>
        <v>43495</v>
      </c>
      <c r="FL3" s="185">
        <f t="shared" si="2"/>
        <v>43496</v>
      </c>
      <c r="FM3" s="185">
        <f t="shared" si="2"/>
        <v>43497</v>
      </c>
    </row>
    <row r="4" spans="1:169" ht="20.25" customHeight="1" x14ac:dyDescent="0.25">
      <c r="A4" s="70"/>
      <c r="B4" s="71"/>
      <c r="C4" s="72">
        <v>43331</v>
      </c>
      <c r="D4" s="72">
        <v>43332</v>
      </c>
      <c r="E4" s="72">
        <v>43333</v>
      </c>
      <c r="F4" s="72">
        <v>43334</v>
      </c>
      <c r="G4" s="72">
        <v>43335</v>
      </c>
      <c r="H4" s="72">
        <v>43336</v>
      </c>
      <c r="I4" s="72">
        <v>43337</v>
      </c>
      <c r="J4" s="72">
        <v>43338</v>
      </c>
      <c r="K4" s="72">
        <v>43339</v>
      </c>
      <c r="L4" s="72">
        <v>43340</v>
      </c>
      <c r="M4" s="72">
        <v>43341</v>
      </c>
      <c r="N4" s="72">
        <v>43342</v>
      </c>
      <c r="O4" s="72">
        <v>43343</v>
      </c>
      <c r="P4" s="72">
        <v>43344</v>
      </c>
      <c r="Q4" s="72">
        <v>43345</v>
      </c>
      <c r="R4" s="72">
        <v>43346</v>
      </c>
      <c r="S4" s="72">
        <v>43347</v>
      </c>
      <c r="T4" s="72">
        <v>43348</v>
      </c>
      <c r="U4" s="72">
        <v>43349</v>
      </c>
      <c r="V4" s="72">
        <v>43350</v>
      </c>
      <c r="W4" s="72">
        <v>43351</v>
      </c>
      <c r="X4" s="72">
        <v>43352</v>
      </c>
      <c r="Y4" s="72">
        <v>43353</v>
      </c>
      <c r="Z4" s="72">
        <v>43354</v>
      </c>
      <c r="AA4" s="72">
        <v>43355</v>
      </c>
      <c r="AB4" s="72">
        <v>43356</v>
      </c>
      <c r="AC4" s="72">
        <v>43357</v>
      </c>
      <c r="AD4" s="72">
        <v>43358</v>
      </c>
      <c r="AE4" s="72">
        <v>43359</v>
      </c>
      <c r="AF4" s="72">
        <v>43360</v>
      </c>
      <c r="AG4" s="72">
        <v>43361</v>
      </c>
      <c r="AH4" s="72">
        <v>43362</v>
      </c>
      <c r="AI4" s="72">
        <v>43363</v>
      </c>
      <c r="AJ4" s="72">
        <v>43364</v>
      </c>
      <c r="AK4" s="72">
        <v>43365</v>
      </c>
      <c r="AL4" s="72">
        <v>43366</v>
      </c>
      <c r="AM4" s="72">
        <v>43367</v>
      </c>
      <c r="AN4" s="72">
        <v>43368</v>
      </c>
      <c r="AO4" s="72">
        <v>43369</v>
      </c>
      <c r="AP4" s="72">
        <v>43370</v>
      </c>
      <c r="AQ4" s="72">
        <v>43371</v>
      </c>
      <c r="AR4" s="72">
        <v>43372</v>
      </c>
      <c r="AS4" s="72">
        <v>43373</v>
      </c>
      <c r="AT4" s="72">
        <v>43374</v>
      </c>
      <c r="AU4" s="72">
        <v>43375</v>
      </c>
      <c r="AV4" s="72">
        <v>43376</v>
      </c>
      <c r="AW4" s="72">
        <v>43377</v>
      </c>
      <c r="AX4" s="72">
        <v>43378</v>
      </c>
      <c r="AY4" s="72">
        <v>43379</v>
      </c>
      <c r="AZ4" s="72">
        <v>43380</v>
      </c>
      <c r="BA4" s="72">
        <v>43381</v>
      </c>
      <c r="BB4" s="72">
        <v>43382</v>
      </c>
      <c r="BC4" s="72">
        <v>43383</v>
      </c>
      <c r="BD4" s="72">
        <v>43384</v>
      </c>
      <c r="BE4" s="72">
        <v>43385</v>
      </c>
      <c r="BF4" s="72">
        <v>43386</v>
      </c>
      <c r="BG4" s="72">
        <v>43387</v>
      </c>
      <c r="BH4" s="72">
        <v>43388</v>
      </c>
      <c r="BI4" s="72">
        <v>43389</v>
      </c>
      <c r="BJ4" s="72">
        <v>43390</v>
      </c>
      <c r="BK4" s="72">
        <v>43391</v>
      </c>
      <c r="BL4" s="72">
        <v>43392</v>
      </c>
      <c r="BM4" s="72">
        <v>43393</v>
      </c>
      <c r="BN4" s="72">
        <v>43394</v>
      </c>
      <c r="BO4" s="72">
        <v>43395</v>
      </c>
      <c r="BP4" s="72">
        <v>43396</v>
      </c>
      <c r="BQ4" s="72">
        <v>43397</v>
      </c>
      <c r="BR4" s="72">
        <v>43398</v>
      </c>
      <c r="BS4" s="72">
        <v>43399</v>
      </c>
      <c r="BT4" s="72">
        <v>43400</v>
      </c>
      <c r="BU4" s="72">
        <v>43401</v>
      </c>
      <c r="BV4" s="72">
        <v>43402</v>
      </c>
      <c r="BW4" s="72">
        <v>43403</v>
      </c>
      <c r="BX4" s="72">
        <v>43404</v>
      </c>
      <c r="BY4" s="72">
        <v>43405</v>
      </c>
      <c r="BZ4" s="72">
        <v>43406</v>
      </c>
      <c r="CA4" s="72">
        <v>43407</v>
      </c>
      <c r="CB4" s="72">
        <v>43408</v>
      </c>
      <c r="CC4" s="72">
        <v>43409</v>
      </c>
      <c r="CD4" s="72">
        <v>43410</v>
      </c>
      <c r="CE4" s="72">
        <v>43411</v>
      </c>
      <c r="CF4" s="72">
        <v>43412</v>
      </c>
      <c r="CG4" s="72">
        <v>43413</v>
      </c>
      <c r="CH4" s="72">
        <v>43414</v>
      </c>
      <c r="CI4" s="72">
        <v>43415</v>
      </c>
      <c r="CJ4" s="72">
        <v>43416</v>
      </c>
      <c r="CK4" s="72">
        <v>43417</v>
      </c>
      <c r="CL4" s="72">
        <v>43418</v>
      </c>
      <c r="CM4" s="72">
        <v>43419</v>
      </c>
      <c r="CN4" s="72">
        <v>43420</v>
      </c>
      <c r="CO4" s="72">
        <v>43421</v>
      </c>
      <c r="CP4" s="72">
        <v>43422</v>
      </c>
      <c r="CQ4" s="72">
        <v>43423</v>
      </c>
      <c r="CR4" s="72">
        <v>43424</v>
      </c>
      <c r="CS4" s="72">
        <v>43425</v>
      </c>
      <c r="CT4" s="72">
        <v>43426</v>
      </c>
      <c r="CU4" s="72">
        <v>43427</v>
      </c>
      <c r="CV4" s="72">
        <v>43428</v>
      </c>
      <c r="CW4" s="72">
        <v>43429</v>
      </c>
      <c r="CX4" s="72">
        <v>43430</v>
      </c>
      <c r="CY4" s="72">
        <v>43431</v>
      </c>
      <c r="CZ4" s="72">
        <v>43432</v>
      </c>
      <c r="DA4" s="72">
        <v>43433</v>
      </c>
      <c r="DB4" s="72">
        <v>43434</v>
      </c>
      <c r="DC4" s="72">
        <v>43435</v>
      </c>
      <c r="DD4" s="72">
        <v>43436</v>
      </c>
      <c r="DE4" s="72">
        <v>43437</v>
      </c>
      <c r="DF4" s="72">
        <v>43438</v>
      </c>
      <c r="DG4" s="72">
        <v>43439</v>
      </c>
      <c r="DH4" s="72">
        <v>43440</v>
      </c>
      <c r="DI4" s="72">
        <v>43441</v>
      </c>
      <c r="DJ4" s="72">
        <v>43442</v>
      </c>
      <c r="DK4" s="72">
        <v>43443</v>
      </c>
      <c r="DL4" s="72">
        <v>43444</v>
      </c>
      <c r="DM4" s="72">
        <v>43445</v>
      </c>
      <c r="DN4" s="72">
        <v>43446</v>
      </c>
      <c r="DO4" s="72">
        <v>43447</v>
      </c>
      <c r="DP4" s="72">
        <v>43448</v>
      </c>
      <c r="DQ4" s="72">
        <v>43449</v>
      </c>
      <c r="DR4" s="72">
        <v>43450</v>
      </c>
      <c r="DS4" s="72">
        <v>43451</v>
      </c>
      <c r="DT4" s="72">
        <v>43452</v>
      </c>
      <c r="DU4" s="72">
        <v>43453</v>
      </c>
      <c r="DV4" s="72">
        <v>43454</v>
      </c>
      <c r="DW4" s="72">
        <v>43455</v>
      </c>
      <c r="DX4" s="72">
        <v>43456</v>
      </c>
      <c r="DY4" s="72">
        <v>43457</v>
      </c>
      <c r="DZ4" s="72">
        <v>43458</v>
      </c>
      <c r="EA4" s="72">
        <v>43459</v>
      </c>
      <c r="EB4" s="72">
        <v>43460</v>
      </c>
      <c r="EC4" s="72">
        <v>43461</v>
      </c>
      <c r="ED4" s="72">
        <v>43462</v>
      </c>
      <c r="EE4" s="72">
        <v>43463</v>
      </c>
      <c r="EF4" s="72">
        <v>43464</v>
      </c>
      <c r="EG4" s="72">
        <v>43465</v>
      </c>
      <c r="EH4" s="72">
        <v>43466</v>
      </c>
      <c r="EI4" s="72">
        <v>43467</v>
      </c>
      <c r="EJ4" s="72">
        <v>43468</v>
      </c>
      <c r="EK4" s="72">
        <v>43469</v>
      </c>
      <c r="EL4" s="72">
        <v>43470</v>
      </c>
      <c r="EM4" s="72">
        <v>43471</v>
      </c>
      <c r="EN4" s="72">
        <v>43472</v>
      </c>
      <c r="EO4" s="72">
        <v>43473</v>
      </c>
      <c r="EP4" s="72">
        <v>43474</v>
      </c>
      <c r="EQ4" s="72">
        <v>43475</v>
      </c>
      <c r="ER4" s="72">
        <v>43476</v>
      </c>
      <c r="ES4" s="72">
        <v>43477</v>
      </c>
      <c r="ET4" s="72">
        <v>43478</v>
      </c>
      <c r="EU4" s="72">
        <v>43479</v>
      </c>
      <c r="EV4" s="72">
        <v>43480</v>
      </c>
      <c r="EW4" s="72">
        <v>43481</v>
      </c>
      <c r="EX4" s="72">
        <v>43482</v>
      </c>
      <c r="EY4" s="72">
        <v>43483</v>
      </c>
      <c r="EZ4" s="72">
        <v>43484</v>
      </c>
      <c r="FA4" s="72">
        <v>43485</v>
      </c>
      <c r="FB4" s="72">
        <v>43486</v>
      </c>
      <c r="FC4" s="72">
        <v>43487</v>
      </c>
      <c r="FD4" s="72">
        <v>43488</v>
      </c>
      <c r="FE4" s="72">
        <v>43489</v>
      </c>
      <c r="FF4" s="72">
        <v>43490</v>
      </c>
      <c r="FG4" s="72">
        <v>43491</v>
      </c>
      <c r="FH4" s="72">
        <v>43492</v>
      </c>
      <c r="FI4" s="72">
        <v>43493</v>
      </c>
      <c r="FJ4" s="72">
        <v>43494</v>
      </c>
      <c r="FK4" s="72">
        <v>43495</v>
      </c>
      <c r="FL4" s="72">
        <v>43496</v>
      </c>
      <c r="FM4" s="72">
        <v>43497</v>
      </c>
    </row>
    <row r="5" spans="1:169" ht="19.5" customHeight="1" x14ac:dyDescent="0.25">
      <c r="A5" s="169">
        <f ca="1">NOW()</f>
        <v>43345.82303634259</v>
      </c>
      <c r="B5" s="139" t="s">
        <v>308</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row>
    <row r="6" spans="1:169" ht="67.5" customHeight="1" thickBot="1" x14ac:dyDescent="0.3">
      <c r="A6" s="141"/>
      <c r="B6" s="222" t="s">
        <v>462</v>
      </c>
      <c r="C6" s="196"/>
      <c r="D6" s="196"/>
      <c r="E6" s="196"/>
      <c r="F6" s="196" t="s">
        <v>568</v>
      </c>
      <c r="G6" s="196"/>
      <c r="H6" s="196"/>
      <c r="I6" s="224" t="s">
        <v>692</v>
      </c>
      <c r="J6" s="197"/>
      <c r="K6" s="197" t="s">
        <v>703</v>
      </c>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c r="AP6" s="197"/>
      <c r="AQ6" s="197"/>
      <c r="AR6" s="197"/>
      <c r="AS6" s="197"/>
      <c r="AT6" s="197"/>
      <c r="AU6" s="197"/>
      <c r="AV6" s="197"/>
      <c r="AW6" s="197"/>
      <c r="AX6" s="197"/>
      <c r="AY6" s="197"/>
      <c r="AZ6" s="197"/>
      <c r="BA6" s="197"/>
      <c r="BB6" s="197"/>
      <c r="BC6" s="197"/>
      <c r="BD6" s="197"/>
      <c r="BE6" s="197"/>
      <c r="BF6" s="197"/>
      <c r="BG6" s="197"/>
      <c r="BH6" s="197"/>
      <c r="BI6" s="197"/>
      <c r="BJ6" s="197"/>
      <c r="BK6" s="197"/>
      <c r="BL6" s="197"/>
      <c r="BM6" s="197"/>
      <c r="BN6" s="197"/>
      <c r="BO6" s="197"/>
      <c r="BP6" s="197"/>
      <c r="BQ6" s="197"/>
      <c r="BR6" s="197"/>
      <c r="BS6" s="197"/>
      <c r="BT6" s="197"/>
      <c r="BU6" s="197"/>
      <c r="BV6" s="197"/>
      <c r="BW6" s="197"/>
      <c r="BX6" s="197"/>
      <c r="BY6" s="197"/>
      <c r="BZ6" s="197"/>
      <c r="CA6" s="197"/>
      <c r="CB6" s="197"/>
      <c r="CC6" s="197"/>
      <c r="CD6" s="197"/>
      <c r="CE6" s="197"/>
      <c r="CF6" s="197"/>
      <c r="CG6" s="197"/>
      <c r="CH6" s="197"/>
      <c r="CI6" s="197"/>
      <c r="CJ6" s="197"/>
      <c r="CK6" s="197"/>
      <c r="CL6" s="197"/>
      <c r="CM6" s="197"/>
      <c r="CN6" s="197"/>
      <c r="CO6" s="197"/>
      <c r="CP6" s="197"/>
      <c r="CQ6" s="197"/>
      <c r="CR6" s="197"/>
      <c r="CS6" s="197"/>
      <c r="CT6" s="197"/>
      <c r="CU6" s="197"/>
      <c r="CV6" s="197"/>
      <c r="CW6" s="197"/>
      <c r="CX6" s="197"/>
      <c r="CY6" s="197"/>
      <c r="CZ6" s="197"/>
      <c r="DA6" s="197"/>
      <c r="DB6" s="197"/>
      <c r="DC6" s="197"/>
      <c r="DD6" s="197"/>
      <c r="DE6" s="197"/>
      <c r="DF6" s="197"/>
      <c r="DG6" s="197"/>
      <c r="DH6" s="197"/>
      <c r="DI6" s="197"/>
      <c r="DJ6" s="197"/>
      <c r="DK6" s="197"/>
      <c r="DL6" s="197"/>
      <c r="DM6" s="197"/>
      <c r="DN6" s="197"/>
      <c r="DO6" s="197"/>
      <c r="DP6" s="197"/>
      <c r="DQ6" s="197"/>
      <c r="DR6" s="197"/>
      <c r="DS6" s="197"/>
      <c r="DT6" s="197"/>
      <c r="DU6" s="197"/>
      <c r="DV6" s="197"/>
      <c r="DW6" s="197"/>
      <c r="DX6" s="197"/>
      <c r="DY6" s="197"/>
      <c r="DZ6" s="197"/>
      <c r="EA6" s="197"/>
      <c r="EB6" s="197"/>
      <c r="EC6" s="197"/>
      <c r="ED6" s="197"/>
      <c r="EE6" s="197"/>
      <c r="EF6" s="197"/>
      <c r="EG6" s="197"/>
      <c r="EH6" s="197"/>
      <c r="EI6" s="197"/>
      <c r="EJ6" s="197"/>
      <c r="EK6" s="197"/>
      <c r="EL6" s="197"/>
      <c r="EM6" s="197"/>
      <c r="EN6" s="197"/>
      <c r="EO6" s="197"/>
      <c r="EP6" s="197"/>
      <c r="EQ6" s="197"/>
      <c r="ER6" s="197"/>
      <c r="ES6" s="197"/>
      <c r="ET6" s="197"/>
      <c r="EU6" s="197"/>
      <c r="EV6" s="197"/>
      <c r="EW6" s="197"/>
      <c r="EX6" s="197"/>
      <c r="EY6" s="197"/>
      <c r="EZ6" s="197"/>
      <c r="FA6" s="197"/>
      <c r="FB6" s="197"/>
      <c r="FC6" s="197"/>
      <c r="FD6" s="197"/>
      <c r="FE6" s="197"/>
      <c r="FF6" s="197"/>
      <c r="FG6" s="197"/>
      <c r="FH6" s="197"/>
      <c r="FI6" s="197"/>
      <c r="FJ6" s="197"/>
      <c r="FK6" s="197"/>
      <c r="FL6" s="197"/>
      <c r="FM6" s="197"/>
    </row>
    <row r="7" spans="1:169" ht="30.75" thickTop="1" x14ac:dyDescent="0.25">
      <c r="A7" s="159">
        <f>HOUR(B7)</f>
        <v>0</v>
      </c>
      <c r="B7" s="220">
        <v>0</v>
      </c>
      <c r="C7" s="161" t="s">
        <v>654</v>
      </c>
      <c r="D7" s="212" t="s">
        <v>670</v>
      </c>
      <c r="E7" s="186"/>
      <c r="F7" s="186"/>
      <c r="G7" s="186" t="s">
        <v>685</v>
      </c>
      <c r="H7" s="186"/>
      <c r="I7" s="186"/>
      <c r="J7" s="168" t="s">
        <v>697</v>
      </c>
      <c r="K7" s="186"/>
      <c r="L7" s="186"/>
      <c r="M7" s="186"/>
      <c r="N7" s="186"/>
      <c r="O7" s="229" t="s">
        <v>750</v>
      </c>
      <c r="P7" s="186"/>
      <c r="Q7" s="186"/>
      <c r="R7" s="186" t="s">
        <v>807</v>
      </c>
      <c r="S7" s="186"/>
      <c r="T7" s="186"/>
      <c r="U7" s="186"/>
      <c r="V7" s="186"/>
      <c r="W7" s="186"/>
      <c r="X7" s="186"/>
      <c r="Y7" s="186"/>
      <c r="Z7" s="186"/>
      <c r="AA7" s="186"/>
      <c r="AB7" s="186"/>
      <c r="AC7" s="186"/>
      <c r="AD7" s="186"/>
      <c r="AE7" s="186"/>
      <c r="AF7" s="186"/>
      <c r="AG7" s="186"/>
      <c r="AH7" s="186"/>
      <c r="AI7" s="186"/>
      <c r="AJ7" s="186"/>
      <c r="AK7" s="186"/>
      <c r="AL7" s="186"/>
      <c r="AM7" s="186"/>
      <c r="AN7" s="186"/>
      <c r="AO7" s="186"/>
      <c r="AP7" s="186"/>
      <c r="AQ7" s="186"/>
      <c r="AR7" s="186"/>
      <c r="AS7" s="186"/>
      <c r="AT7" s="186"/>
      <c r="AU7" s="186"/>
      <c r="AV7" s="186"/>
      <c r="AW7" s="186"/>
      <c r="AX7" s="186"/>
      <c r="AY7" s="186"/>
      <c r="AZ7" s="186"/>
      <c r="BA7" s="186"/>
      <c r="BB7" s="186"/>
      <c r="BC7" s="186"/>
      <c r="BD7" s="186"/>
      <c r="BE7" s="186"/>
      <c r="BF7" s="186"/>
      <c r="BG7" s="186"/>
      <c r="BH7" s="186"/>
      <c r="BI7" s="186"/>
      <c r="BJ7" s="186"/>
      <c r="BK7" s="186"/>
      <c r="BL7" s="186"/>
      <c r="BM7" s="186"/>
      <c r="BN7" s="186"/>
      <c r="BO7" s="186"/>
      <c r="BP7" s="186"/>
      <c r="BQ7" s="186"/>
      <c r="BR7" s="186"/>
      <c r="BS7" s="186"/>
      <c r="BT7" s="186"/>
      <c r="BU7" s="186"/>
      <c r="BV7" s="186"/>
      <c r="BW7" s="186"/>
      <c r="BX7" s="186"/>
      <c r="BY7" s="186"/>
      <c r="BZ7" s="186"/>
      <c r="CA7" s="186"/>
      <c r="CB7" s="186"/>
      <c r="CC7" s="186"/>
      <c r="CD7" s="186"/>
      <c r="CE7" s="186"/>
      <c r="CF7" s="186"/>
      <c r="CG7" s="186"/>
      <c r="CH7" s="186"/>
      <c r="CI7" s="186"/>
      <c r="CJ7" s="186"/>
      <c r="CK7" s="186"/>
      <c r="CL7" s="186"/>
      <c r="CM7" s="186"/>
      <c r="CN7" s="186"/>
      <c r="CO7" s="186"/>
      <c r="CP7" s="186"/>
      <c r="CQ7" s="186"/>
      <c r="CR7" s="186"/>
      <c r="CS7" s="186"/>
      <c r="CT7" s="186"/>
      <c r="CU7" s="186"/>
      <c r="CV7" s="186"/>
      <c r="CW7" s="186"/>
      <c r="CX7" s="186"/>
      <c r="CY7" s="186"/>
      <c r="CZ7" s="186"/>
      <c r="DA7" s="186"/>
      <c r="DB7" s="186"/>
      <c r="DC7" s="186"/>
      <c r="DD7" s="186"/>
      <c r="DE7" s="186"/>
      <c r="DF7" s="186"/>
      <c r="DG7" s="186"/>
      <c r="DH7" s="186"/>
      <c r="DI7" s="186"/>
      <c r="DJ7" s="186"/>
      <c r="DK7" s="186"/>
      <c r="DL7" s="186"/>
      <c r="DM7" s="186"/>
      <c r="DN7" s="186"/>
      <c r="DO7" s="186"/>
      <c r="DP7" s="186"/>
      <c r="DQ7" s="186"/>
      <c r="DR7" s="186"/>
      <c r="DS7" s="186"/>
      <c r="DT7" s="186"/>
      <c r="DU7" s="186"/>
      <c r="DV7" s="186"/>
      <c r="DW7" s="186"/>
      <c r="DX7" s="186"/>
      <c r="DY7" s="186"/>
      <c r="DZ7" s="186"/>
      <c r="EA7" s="186"/>
      <c r="EB7" s="186"/>
      <c r="EC7" s="186"/>
      <c r="ED7" s="186"/>
      <c r="EE7" s="186"/>
      <c r="EF7" s="186"/>
      <c r="EG7" s="186"/>
      <c r="EH7" s="186"/>
      <c r="EI7" s="186"/>
      <c r="EJ7" s="186"/>
      <c r="EK7" s="186"/>
      <c r="EL7" s="186"/>
      <c r="EM7" s="186"/>
      <c r="EN7" s="186"/>
      <c r="EO7" s="186"/>
      <c r="EP7" s="186"/>
      <c r="EQ7" s="186"/>
      <c r="ER7" s="186"/>
      <c r="ES7" s="186"/>
      <c r="ET7" s="186"/>
      <c r="EU7" s="186"/>
      <c r="EV7" s="186"/>
      <c r="EW7" s="186"/>
      <c r="EX7" s="186"/>
      <c r="EY7" s="186"/>
      <c r="EZ7" s="186"/>
      <c r="FA7" s="186"/>
      <c r="FB7" s="186"/>
      <c r="FC7" s="186"/>
      <c r="FD7" s="186"/>
      <c r="FE7" s="186"/>
      <c r="FF7" s="186"/>
      <c r="FG7" s="186"/>
      <c r="FH7" s="186"/>
      <c r="FI7" s="186"/>
      <c r="FJ7" s="186"/>
      <c r="FK7" s="186"/>
      <c r="FL7" s="186"/>
      <c r="FM7" s="186"/>
    </row>
    <row r="8" spans="1:169" x14ac:dyDescent="0.25">
      <c r="A8" s="159">
        <f>HOUR(B8)</f>
        <v>1</v>
      </c>
      <c r="B8" s="221">
        <v>4.1666666666666699E-2</v>
      </c>
      <c r="C8" s="212"/>
      <c r="D8" s="212" t="s">
        <v>662</v>
      </c>
      <c r="E8" s="186"/>
      <c r="F8" s="186"/>
      <c r="G8" s="186" t="s">
        <v>685</v>
      </c>
      <c r="H8" s="186"/>
      <c r="I8" s="186"/>
      <c r="J8" s="225" t="s">
        <v>696</v>
      </c>
      <c r="K8" s="186"/>
      <c r="L8" s="186"/>
      <c r="M8" s="186"/>
      <c r="N8" s="186"/>
      <c r="O8" s="206" t="s">
        <v>750</v>
      </c>
      <c r="P8" s="186"/>
      <c r="Q8" s="186"/>
      <c r="R8" s="186" t="s">
        <v>807</v>
      </c>
      <c r="S8" s="186"/>
      <c r="T8" s="186"/>
      <c r="U8" s="186"/>
      <c r="V8" s="186"/>
      <c r="W8" s="186"/>
      <c r="X8" s="186"/>
      <c r="Y8" s="186"/>
      <c r="Z8" s="186"/>
      <c r="AA8" s="186"/>
      <c r="AB8" s="186"/>
      <c r="AC8" s="186"/>
      <c r="AD8" s="186"/>
      <c r="AE8" s="186"/>
      <c r="AF8" s="186"/>
      <c r="AG8" s="186"/>
      <c r="AH8" s="186"/>
      <c r="AI8" s="186"/>
      <c r="AJ8" s="186"/>
      <c r="AK8" s="186"/>
      <c r="AL8" s="186"/>
      <c r="AM8" s="186"/>
      <c r="AN8" s="186"/>
      <c r="AO8" s="186"/>
      <c r="AP8" s="186"/>
      <c r="AQ8" s="186"/>
      <c r="AR8" s="186"/>
      <c r="AS8" s="186"/>
      <c r="AT8" s="186"/>
      <c r="AU8" s="186"/>
      <c r="AV8" s="186"/>
      <c r="AW8" s="186"/>
      <c r="AX8" s="186"/>
      <c r="AY8" s="186"/>
      <c r="AZ8" s="186"/>
      <c r="BA8" s="186"/>
      <c r="BB8" s="186"/>
      <c r="BC8" s="186"/>
      <c r="BD8" s="186"/>
      <c r="BE8" s="186"/>
      <c r="BF8" s="186"/>
      <c r="BG8" s="186"/>
      <c r="BH8" s="186"/>
      <c r="BI8" s="186"/>
      <c r="BJ8" s="186"/>
      <c r="BK8" s="186"/>
      <c r="BL8" s="186"/>
      <c r="BM8" s="186"/>
      <c r="BN8" s="186"/>
      <c r="BO8" s="186"/>
      <c r="BP8" s="186"/>
      <c r="BQ8" s="186"/>
      <c r="BR8" s="186"/>
      <c r="BS8" s="186"/>
      <c r="BT8" s="186"/>
      <c r="BU8" s="186"/>
      <c r="BV8" s="186"/>
      <c r="BW8" s="186"/>
      <c r="BX8" s="186"/>
      <c r="BY8" s="186"/>
      <c r="BZ8" s="186"/>
      <c r="CA8" s="186"/>
      <c r="CB8" s="186"/>
      <c r="CC8" s="186"/>
      <c r="CD8" s="186"/>
      <c r="CE8" s="186"/>
      <c r="CF8" s="186"/>
      <c r="CG8" s="186"/>
      <c r="CH8" s="186"/>
      <c r="CI8" s="186"/>
      <c r="CJ8" s="186"/>
      <c r="CK8" s="186"/>
      <c r="CL8" s="186"/>
      <c r="CM8" s="186"/>
      <c r="CN8" s="186"/>
      <c r="CO8" s="186"/>
      <c r="CP8" s="186"/>
      <c r="CQ8" s="186"/>
      <c r="CR8" s="186"/>
      <c r="CS8" s="186"/>
      <c r="CT8" s="186"/>
      <c r="CU8" s="186"/>
      <c r="CV8" s="186"/>
      <c r="CW8" s="186"/>
      <c r="CX8" s="186"/>
      <c r="CY8" s="186"/>
      <c r="CZ8" s="186"/>
      <c r="DA8" s="186"/>
      <c r="DB8" s="186"/>
      <c r="DC8" s="186"/>
      <c r="DD8" s="186"/>
      <c r="DE8" s="186"/>
      <c r="DF8" s="186"/>
      <c r="DG8" s="186"/>
      <c r="DH8" s="186"/>
      <c r="DI8" s="186"/>
      <c r="DJ8" s="186"/>
      <c r="DK8" s="186"/>
      <c r="DL8" s="186"/>
      <c r="DM8" s="186"/>
      <c r="DN8" s="186"/>
      <c r="DO8" s="186"/>
      <c r="DP8" s="186"/>
      <c r="DQ8" s="186"/>
      <c r="DR8" s="186"/>
      <c r="DS8" s="186"/>
      <c r="DT8" s="186"/>
      <c r="DU8" s="186"/>
      <c r="DV8" s="186"/>
      <c r="DW8" s="186"/>
      <c r="DX8" s="186"/>
      <c r="DY8" s="186"/>
      <c r="DZ8" s="186"/>
      <c r="EA8" s="186"/>
      <c r="EB8" s="186"/>
      <c r="EC8" s="186"/>
      <c r="ED8" s="186"/>
      <c r="EE8" s="186"/>
      <c r="EF8" s="186"/>
      <c r="EG8" s="186"/>
      <c r="EH8" s="186"/>
      <c r="EI8" s="186"/>
      <c r="EJ8" s="186"/>
      <c r="EK8" s="186"/>
      <c r="EL8" s="186"/>
      <c r="EM8" s="186"/>
      <c r="EN8" s="186"/>
      <c r="EO8" s="186"/>
      <c r="EP8" s="186"/>
      <c r="EQ8" s="186"/>
      <c r="ER8" s="186"/>
      <c r="ES8" s="186"/>
      <c r="ET8" s="186"/>
      <c r="EU8" s="186"/>
      <c r="EV8" s="186"/>
      <c r="EW8" s="186"/>
      <c r="EX8" s="186"/>
      <c r="EY8" s="186"/>
      <c r="EZ8" s="186"/>
      <c r="FA8" s="186"/>
      <c r="FB8" s="186"/>
      <c r="FC8" s="186"/>
      <c r="FD8" s="186"/>
      <c r="FE8" s="186"/>
      <c r="FF8" s="186"/>
      <c r="FG8" s="186"/>
      <c r="FH8" s="186"/>
      <c r="FI8" s="186"/>
      <c r="FJ8" s="186"/>
      <c r="FK8" s="186"/>
      <c r="FL8" s="186"/>
      <c r="FM8" s="186"/>
    </row>
    <row r="9" spans="1:169" ht="58.5" customHeight="1" x14ac:dyDescent="0.25">
      <c r="A9" s="159">
        <f t="shared" ref="A9:A30" si="3">HOUR(B9)</f>
        <v>2</v>
      </c>
      <c r="B9" s="221">
        <v>8.3333333333333301E-2</v>
      </c>
      <c r="C9" s="161" t="s">
        <v>615</v>
      </c>
      <c r="D9" s="186" t="s">
        <v>663</v>
      </c>
      <c r="E9" s="186" t="s">
        <v>666</v>
      </c>
      <c r="F9" s="186"/>
      <c r="G9" s="186" t="s">
        <v>686</v>
      </c>
      <c r="H9" s="186"/>
      <c r="I9" s="231"/>
      <c r="J9" s="225" t="s">
        <v>696</v>
      </c>
      <c r="K9" s="180" t="s">
        <v>699</v>
      </c>
      <c r="L9" s="180" t="s">
        <v>699</v>
      </c>
      <c r="M9" s="180" t="s">
        <v>699</v>
      </c>
      <c r="N9" s="180" t="s">
        <v>699</v>
      </c>
      <c r="O9" s="180" t="s">
        <v>795</v>
      </c>
      <c r="P9" s="180" t="s">
        <v>699</v>
      </c>
      <c r="Q9" s="180"/>
      <c r="R9" s="186" t="s">
        <v>807</v>
      </c>
      <c r="S9" s="180" t="s">
        <v>699</v>
      </c>
      <c r="T9" s="180" t="s">
        <v>699</v>
      </c>
      <c r="U9" s="227" t="s">
        <v>705</v>
      </c>
      <c r="V9" s="227" t="s">
        <v>705</v>
      </c>
      <c r="W9" s="227" t="s">
        <v>705</v>
      </c>
      <c r="X9" s="227" t="s">
        <v>705</v>
      </c>
      <c r="Y9" s="227" t="s">
        <v>705</v>
      </c>
      <c r="Z9" s="227" t="s">
        <v>705</v>
      </c>
      <c r="AA9" s="227" t="s">
        <v>705</v>
      </c>
      <c r="AB9" s="186"/>
      <c r="AC9" s="186"/>
      <c r="AD9" s="186"/>
      <c r="AE9" s="186"/>
      <c r="AF9" s="186"/>
      <c r="AG9" s="186"/>
      <c r="AH9" s="186"/>
      <c r="AI9" s="186"/>
      <c r="AJ9" s="186"/>
      <c r="AK9" s="186"/>
      <c r="AL9" s="186"/>
      <c r="AM9" s="186"/>
      <c r="AN9" s="186"/>
      <c r="AO9" s="186"/>
      <c r="AP9" s="186"/>
      <c r="AQ9" s="186"/>
      <c r="AR9" s="186"/>
      <c r="AS9" s="186"/>
      <c r="AT9" s="186"/>
      <c r="AU9" s="186"/>
      <c r="AV9" s="186"/>
      <c r="AW9" s="186"/>
      <c r="AX9" s="186"/>
      <c r="AY9" s="186"/>
      <c r="AZ9" s="186"/>
      <c r="BA9" s="186"/>
      <c r="BB9" s="186"/>
      <c r="BC9" s="186"/>
      <c r="BD9" s="186"/>
      <c r="BE9" s="186"/>
      <c r="BF9" s="186"/>
      <c r="BG9" s="186"/>
      <c r="BH9" s="186"/>
      <c r="BI9" s="186"/>
      <c r="BJ9" s="186"/>
      <c r="BK9" s="186"/>
      <c r="BL9" s="186"/>
      <c r="BM9" s="186"/>
      <c r="BN9" s="186"/>
      <c r="BO9" s="186"/>
      <c r="BP9" s="186"/>
      <c r="BQ9" s="186"/>
      <c r="BR9" s="186"/>
      <c r="BS9" s="186"/>
      <c r="BT9" s="186"/>
      <c r="BU9" s="186"/>
      <c r="BV9" s="186"/>
      <c r="BW9" s="186"/>
      <c r="BX9" s="186"/>
      <c r="BY9" s="186"/>
      <c r="BZ9" s="186"/>
      <c r="CA9" s="186"/>
      <c r="CB9" s="186"/>
      <c r="CC9" s="186"/>
      <c r="CD9" s="186"/>
      <c r="CE9" s="186"/>
      <c r="CF9" s="186"/>
      <c r="CG9" s="186"/>
      <c r="CH9" s="186"/>
      <c r="CI9" s="186"/>
      <c r="CJ9" s="186"/>
      <c r="CK9" s="186"/>
      <c r="CL9" s="186"/>
      <c r="CM9" s="186"/>
      <c r="CN9" s="186"/>
      <c r="CO9" s="186"/>
      <c r="CP9" s="186"/>
      <c r="CQ9" s="186"/>
      <c r="CR9" s="186"/>
      <c r="CS9" s="186"/>
      <c r="CT9" s="186"/>
      <c r="CU9" s="186"/>
      <c r="CV9" s="186"/>
      <c r="CW9" s="186"/>
      <c r="CX9" s="186"/>
      <c r="CY9" s="186"/>
      <c r="CZ9" s="186"/>
      <c r="DA9" s="186"/>
      <c r="DB9" s="186"/>
      <c r="DC9" s="186"/>
      <c r="DD9" s="186"/>
      <c r="DE9" s="186"/>
      <c r="DF9" s="186"/>
      <c r="DG9" s="186"/>
      <c r="DH9" s="186"/>
      <c r="DI9" s="186"/>
      <c r="DJ9" s="186"/>
      <c r="DK9" s="186"/>
      <c r="DL9" s="186"/>
      <c r="DM9" s="186"/>
      <c r="DN9" s="186"/>
      <c r="DO9" s="186"/>
      <c r="DP9" s="186"/>
      <c r="DQ9" s="186"/>
      <c r="DR9" s="186"/>
      <c r="DS9" s="186"/>
      <c r="DT9" s="186"/>
      <c r="DU9" s="186"/>
      <c r="DV9" s="186"/>
      <c r="DW9" s="186"/>
      <c r="DX9" s="186"/>
      <c r="DY9" s="186"/>
      <c r="DZ9" s="186"/>
      <c r="EA9" s="186"/>
      <c r="EB9" s="186"/>
      <c r="EC9" s="186"/>
      <c r="ED9" s="186"/>
      <c r="EE9" s="186"/>
      <c r="EF9" s="186"/>
      <c r="EG9" s="186"/>
      <c r="EH9" s="186"/>
      <c r="EI9" s="186"/>
      <c r="EJ9" s="186"/>
      <c r="EK9" s="186"/>
      <c r="EL9" s="186"/>
      <c r="EM9" s="186"/>
      <c r="EN9" s="186"/>
      <c r="EO9" s="186"/>
      <c r="EP9" s="186"/>
      <c r="EQ9" s="186"/>
      <c r="ER9" s="186"/>
      <c r="ES9" s="186"/>
      <c r="ET9" s="186"/>
      <c r="EU9" s="186"/>
      <c r="EV9" s="186"/>
      <c r="EW9" s="186"/>
      <c r="EX9" s="186"/>
      <c r="EY9" s="186"/>
      <c r="EZ9" s="186"/>
      <c r="FA9" s="186"/>
      <c r="FB9" s="186"/>
      <c r="FC9" s="186"/>
      <c r="FD9" s="186"/>
      <c r="FE9" s="186"/>
      <c r="FF9" s="186"/>
      <c r="FG9" s="186"/>
      <c r="FH9" s="186"/>
      <c r="FI9" s="186"/>
      <c r="FJ9" s="186"/>
      <c r="FK9" s="186"/>
      <c r="FL9" s="186"/>
      <c r="FM9" s="186"/>
    </row>
    <row r="10" spans="1:169" ht="31.5" customHeight="1" x14ac:dyDescent="0.25">
      <c r="A10" s="159">
        <f t="shared" si="3"/>
        <v>3</v>
      </c>
      <c r="B10" s="221">
        <v>0.125</v>
      </c>
      <c r="C10" s="212" t="s">
        <v>650</v>
      </c>
      <c r="D10" s="168" t="s">
        <v>664</v>
      </c>
      <c r="E10" s="168"/>
      <c r="F10" s="168" t="s">
        <v>673</v>
      </c>
      <c r="G10" s="186" t="s">
        <v>686</v>
      </c>
      <c r="H10" s="186" t="s">
        <v>686</v>
      </c>
      <c r="I10" s="186"/>
      <c r="J10" s="168" t="s">
        <v>657</v>
      </c>
      <c r="K10" s="228"/>
      <c r="L10" s="228"/>
      <c r="M10" s="229" t="s">
        <v>749</v>
      </c>
      <c r="N10" s="229" t="s">
        <v>759</v>
      </c>
      <c r="O10" s="247" t="s">
        <v>793</v>
      </c>
      <c r="P10" s="228" t="s">
        <v>707</v>
      </c>
      <c r="Q10" s="228" t="s">
        <v>798</v>
      </c>
      <c r="R10" s="186" t="s">
        <v>807</v>
      </c>
      <c r="S10" s="186" t="s">
        <v>807</v>
      </c>
      <c r="T10" s="228"/>
      <c r="U10" s="228" t="s">
        <v>739</v>
      </c>
      <c r="V10" s="228"/>
      <c r="W10" s="228"/>
      <c r="X10" s="228"/>
      <c r="Y10" s="228"/>
      <c r="Z10" s="228"/>
      <c r="AA10" s="22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c r="DA10" s="168"/>
      <c r="DB10" s="168"/>
      <c r="DC10" s="168"/>
      <c r="DD10" s="168"/>
      <c r="DE10" s="168"/>
      <c r="DF10" s="168"/>
      <c r="DG10" s="168"/>
      <c r="DH10" s="168"/>
      <c r="DI10" s="168"/>
      <c r="DJ10" s="168"/>
      <c r="DK10" s="168"/>
      <c r="DL10" s="168"/>
      <c r="DM10" s="168"/>
      <c r="DN10" s="168"/>
      <c r="DO10" s="168"/>
      <c r="DP10" s="168"/>
      <c r="DQ10" s="168"/>
      <c r="DR10" s="168"/>
      <c r="DS10" s="168"/>
      <c r="DT10" s="168"/>
      <c r="DU10" s="168"/>
      <c r="DV10" s="168"/>
      <c r="DW10" s="168"/>
      <c r="DX10" s="168"/>
      <c r="DY10" s="168"/>
      <c r="DZ10" s="168"/>
      <c r="EA10" s="168"/>
      <c r="EB10" s="168"/>
      <c r="EC10" s="168"/>
      <c r="ED10" s="168"/>
      <c r="EE10" s="168"/>
      <c r="EF10" s="168"/>
      <c r="EG10" s="168"/>
      <c r="EH10" s="168"/>
      <c r="EI10" s="168"/>
      <c r="EJ10" s="168"/>
      <c r="EK10" s="168"/>
      <c r="EL10" s="168"/>
      <c r="EM10" s="168"/>
      <c r="EN10" s="168"/>
      <c r="EO10" s="168"/>
      <c r="EP10" s="168"/>
      <c r="EQ10" s="168"/>
      <c r="ER10" s="168"/>
      <c r="ES10" s="168"/>
      <c r="ET10" s="168"/>
      <c r="EU10" s="168"/>
      <c r="EV10" s="168"/>
      <c r="EW10" s="168"/>
      <c r="EX10" s="168"/>
      <c r="EY10" s="168"/>
      <c r="EZ10" s="168"/>
      <c r="FA10" s="168"/>
      <c r="FB10" s="168"/>
      <c r="FC10" s="168"/>
      <c r="FD10" s="168"/>
      <c r="FE10" s="168"/>
      <c r="FF10" s="168"/>
      <c r="FG10" s="168"/>
      <c r="FH10" s="168"/>
      <c r="FI10" s="168"/>
      <c r="FJ10" s="168"/>
      <c r="FK10" s="168"/>
      <c r="FL10" s="168"/>
      <c r="FM10" s="168"/>
    </row>
    <row r="11" spans="1:169" x14ac:dyDescent="0.25">
      <c r="A11" s="159">
        <f t="shared" si="3"/>
        <v>4</v>
      </c>
      <c r="B11" s="221">
        <v>0.16666666666666699</v>
      </c>
      <c r="C11" s="161" t="s">
        <v>650</v>
      </c>
      <c r="D11" s="168"/>
      <c r="E11" s="168"/>
      <c r="F11" s="168" t="s">
        <v>673</v>
      </c>
      <c r="G11" s="186" t="s">
        <v>686</v>
      </c>
      <c r="H11" s="186" t="s">
        <v>686</v>
      </c>
      <c r="I11" s="186"/>
      <c r="J11" s="186" t="s">
        <v>721</v>
      </c>
      <c r="K11" s="228"/>
      <c r="L11" s="228"/>
      <c r="M11" s="229" t="s">
        <v>750</v>
      </c>
      <c r="N11" s="229" t="s">
        <v>750</v>
      </c>
      <c r="O11" s="229" t="s">
        <v>750</v>
      </c>
      <c r="P11" s="229" t="s">
        <v>750</v>
      </c>
      <c r="Q11" s="229" t="s">
        <v>798</v>
      </c>
      <c r="R11" s="186" t="s">
        <v>807</v>
      </c>
      <c r="S11" s="186" t="s">
        <v>807</v>
      </c>
      <c r="T11" s="228"/>
      <c r="U11" s="228" t="s">
        <v>739</v>
      </c>
      <c r="V11" s="228"/>
      <c r="W11" s="228"/>
      <c r="X11" s="228"/>
      <c r="Y11" s="228"/>
      <c r="Z11" s="228"/>
      <c r="AA11" s="22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68"/>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row>
    <row r="12" spans="1:169" ht="65.25" customHeight="1" x14ac:dyDescent="0.25">
      <c r="A12" s="159">
        <f t="shared" si="3"/>
        <v>5</v>
      </c>
      <c r="B12" s="221">
        <v>0.20833333333333301</v>
      </c>
      <c r="C12" s="212" t="s">
        <v>650</v>
      </c>
      <c r="D12" s="168"/>
      <c r="E12" s="168"/>
      <c r="F12" s="168" t="s">
        <v>673</v>
      </c>
      <c r="G12" s="168" t="s">
        <v>687</v>
      </c>
      <c r="H12" s="168"/>
      <c r="I12" s="186"/>
      <c r="J12" s="186" t="s">
        <v>721</v>
      </c>
      <c r="K12" s="206" t="s">
        <v>720</v>
      </c>
      <c r="L12" s="206"/>
      <c r="M12" s="206" t="s">
        <v>750</v>
      </c>
      <c r="N12" s="206" t="s">
        <v>750</v>
      </c>
      <c r="O12" s="206" t="s">
        <v>750</v>
      </c>
      <c r="P12" s="206" t="s">
        <v>750</v>
      </c>
      <c r="Q12" s="206" t="s">
        <v>261</v>
      </c>
      <c r="R12" s="206"/>
      <c r="S12" s="206"/>
      <c r="T12" s="206"/>
      <c r="U12" s="235"/>
      <c r="V12" s="235"/>
      <c r="W12" s="206"/>
      <c r="X12" s="206"/>
      <c r="Y12" s="235"/>
      <c r="Z12" s="235"/>
      <c r="AA12" s="255" t="s">
        <v>817</v>
      </c>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c r="DA12" s="168"/>
      <c r="DB12" s="168"/>
      <c r="DC12" s="168"/>
      <c r="DD12" s="168"/>
      <c r="DE12" s="168"/>
      <c r="DF12" s="168"/>
      <c r="DG12" s="168"/>
      <c r="DH12" s="168"/>
      <c r="DI12" s="168"/>
      <c r="DJ12" s="168"/>
      <c r="DK12" s="168"/>
      <c r="DL12" s="168"/>
      <c r="DM12" s="168"/>
      <c r="DN12" s="168"/>
      <c r="DO12" s="168"/>
      <c r="DP12" s="168"/>
      <c r="DQ12" s="168"/>
      <c r="DR12" s="168"/>
      <c r="DS12" s="168"/>
      <c r="DT12" s="168"/>
      <c r="DU12" s="168"/>
      <c r="DV12" s="168"/>
      <c r="DW12" s="168"/>
      <c r="DX12" s="168"/>
      <c r="DY12" s="168"/>
      <c r="DZ12" s="168"/>
      <c r="EA12" s="168"/>
      <c r="EB12" s="168"/>
      <c r="EC12" s="168"/>
      <c r="ED12" s="168"/>
      <c r="EE12" s="168"/>
      <c r="EF12" s="168"/>
      <c r="EG12" s="168"/>
      <c r="EH12" s="168"/>
      <c r="EI12" s="168"/>
      <c r="EJ12" s="168"/>
      <c r="EK12" s="168"/>
      <c r="EL12" s="168"/>
      <c r="EM12" s="168"/>
      <c r="EN12" s="168"/>
      <c r="EO12" s="168"/>
      <c r="EP12" s="168"/>
      <c r="EQ12" s="168"/>
      <c r="ER12" s="168"/>
      <c r="ES12" s="168"/>
      <c r="ET12" s="168"/>
      <c r="EU12" s="168"/>
      <c r="EV12" s="168"/>
      <c r="EW12" s="168"/>
      <c r="EX12" s="168"/>
      <c r="EY12" s="168"/>
      <c r="EZ12" s="168"/>
      <c r="FA12" s="168"/>
      <c r="FB12" s="168"/>
      <c r="FC12" s="168"/>
      <c r="FD12" s="168"/>
      <c r="FE12" s="168"/>
      <c r="FF12" s="168"/>
      <c r="FG12" s="168"/>
      <c r="FH12" s="168"/>
      <c r="FI12" s="168"/>
      <c r="FJ12" s="168"/>
      <c r="FK12" s="168"/>
      <c r="FL12" s="168"/>
      <c r="FM12" s="168"/>
    </row>
    <row r="13" spans="1:169" x14ac:dyDescent="0.25">
      <c r="A13" s="159">
        <f t="shared" si="3"/>
        <v>6</v>
      </c>
      <c r="B13" s="221">
        <v>0.25</v>
      </c>
      <c r="C13" s="208" t="s">
        <v>648</v>
      </c>
      <c r="D13" s="168"/>
      <c r="E13" s="168"/>
      <c r="F13" s="213"/>
      <c r="G13" s="168"/>
      <c r="H13" s="168"/>
      <c r="I13" s="186"/>
      <c r="J13" s="186" t="s">
        <v>721</v>
      </c>
      <c r="K13" s="206"/>
      <c r="L13" s="206"/>
      <c r="M13" s="206" t="s">
        <v>261</v>
      </c>
      <c r="N13" s="206"/>
      <c r="O13" s="206"/>
      <c r="P13" s="236" t="s">
        <v>760</v>
      </c>
      <c r="Q13" s="236" t="s">
        <v>760</v>
      </c>
      <c r="R13" s="206"/>
      <c r="S13" s="206"/>
      <c r="T13" s="206"/>
      <c r="U13" s="235"/>
      <c r="V13" s="235"/>
      <c r="W13" s="206"/>
      <c r="X13" s="206"/>
      <c r="Y13" s="235"/>
      <c r="Z13" s="235"/>
      <c r="AA13" s="235" t="s">
        <v>813</v>
      </c>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c r="EI13" s="168"/>
      <c r="EJ13" s="168"/>
      <c r="EK13" s="168"/>
      <c r="EL13" s="168"/>
      <c r="EM13" s="168"/>
      <c r="EN13" s="168"/>
      <c r="EO13" s="168"/>
      <c r="EP13" s="168"/>
      <c r="EQ13" s="168"/>
      <c r="ER13" s="168"/>
      <c r="ES13" s="168"/>
      <c r="ET13" s="168"/>
      <c r="EU13" s="168"/>
      <c r="EV13" s="168"/>
      <c r="EW13" s="168"/>
      <c r="EX13" s="168"/>
      <c r="EY13" s="168"/>
      <c r="EZ13" s="168"/>
      <c r="FA13" s="168"/>
      <c r="FB13" s="168"/>
      <c r="FC13" s="168"/>
      <c r="FD13" s="168"/>
      <c r="FE13" s="168"/>
      <c r="FF13" s="168"/>
      <c r="FG13" s="168"/>
      <c r="FH13" s="168"/>
      <c r="FI13" s="168"/>
      <c r="FJ13" s="168"/>
      <c r="FK13" s="168"/>
      <c r="FL13" s="168"/>
      <c r="FM13" s="168"/>
    </row>
    <row r="14" spans="1:169" x14ac:dyDescent="0.25">
      <c r="A14" s="159">
        <f t="shared" si="3"/>
        <v>7</v>
      </c>
      <c r="B14" s="221">
        <v>0.29166666666666702</v>
      </c>
      <c r="C14" s="208" t="s">
        <v>648</v>
      </c>
      <c r="D14" s="168"/>
      <c r="E14" s="168"/>
      <c r="F14" s="213"/>
      <c r="G14" s="168"/>
      <c r="H14" s="168"/>
      <c r="I14" s="186"/>
      <c r="J14" s="226" t="s">
        <v>648</v>
      </c>
      <c r="K14" s="206" t="s">
        <v>254</v>
      </c>
      <c r="L14" s="206"/>
      <c r="M14" s="206" t="s">
        <v>261</v>
      </c>
      <c r="N14" s="206"/>
      <c r="O14" s="206"/>
      <c r="P14" s="236" t="s">
        <v>760</v>
      </c>
      <c r="Q14" s="236" t="s">
        <v>760</v>
      </c>
      <c r="R14" s="206"/>
      <c r="S14" s="206"/>
      <c r="T14" s="206"/>
      <c r="U14" s="235" t="s">
        <v>739</v>
      </c>
      <c r="V14" s="235"/>
      <c r="W14" s="206"/>
      <c r="X14" s="206"/>
      <c r="Y14" s="235" t="s">
        <v>672</v>
      </c>
      <c r="Z14" s="235" t="s">
        <v>704</v>
      </c>
      <c r="AA14" s="235" t="s">
        <v>7</v>
      </c>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row>
    <row r="15" spans="1:169" x14ac:dyDescent="0.25">
      <c r="A15" s="159">
        <f t="shared" si="3"/>
        <v>8</v>
      </c>
      <c r="B15" s="221">
        <v>0.33333333333333298</v>
      </c>
      <c r="C15" s="161" t="s">
        <v>261</v>
      </c>
      <c r="D15" s="168"/>
      <c r="E15" s="168"/>
      <c r="F15" s="213"/>
      <c r="G15" s="168"/>
      <c r="H15" s="168"/>
      <c r="I15" s="226" t="s">
        <v>648</v>
      </c>
      <c r="J15" s="226" t="s">
        <v>648</v>
      </c>
      <c r="K15" s="206"/>
      <c r="L15" s="206"/>
      <c r="M15" s="206"/>
      <c r="N15" s="206"/>
      <c r="O15" s="206"/>
      <c r="P15" s="236" t="s">
        <v>760</v>
      </c>
      <c r="Q15" s="236" t="s">
        <v>760</v>
      </c>
      <c r="R15" s="206"/>
      <c r="S15" s="206"/>
      <c r="T15" s="206"/>
      <c r="U15" s="235"/>
      <c r="V15" s="235"/>
      <c r="W15" s="206"/>
      <c r="X15" s="206"/>
      <c r="Y15" s="235"/>
      <c r="Z15" s="235"/>
      <c r="AA15" s="235" t="s">
        <v>814</v>
      </c>
      <c r="AB15" s="168"/>
      <c r="AC15" s="168"/>
      <c r="AD15" s="168"/>
      <c r="AE15" s="168"/>
      <c r="AF15" s="168"/>
      <c r="AG15" s="168"/>
      <c r="AH15" s="168"/>
      <c r="AI15" s="168"/>
      <c r="AJ15" s="168"/>
      <c r="AK15" s="168"/>
      <c r="AL15" s="168"/>
      <c r="AM15" s="168"/>
      <c r="AN15" s="168"/>
      <c r="AO15" s="168"/>
      <c r="AP15" s="168"/>
      <c r="AQ15" s="168"/>
      <c r="AR15" s="168"/>
      <c r="AS15" s="168"/>
      <c r="AT15" s="168"/>
      <c r="AU15" s="168"/>
      <c r="AV15" s="168"/>
      <c r="AW15" s="168"/>
      <c r="AX15" s="168"/>
      <c r="AY15" s="168"/>
      <c r="AZ15" s="168"/>
      <c r="BA15" s="168"/>
      <c r="BB15" s="168"/>
      <c r="BC15" s="168"/>
      <c r="BD15" s="168"/>
      <c r="BE15" s="168"/>
      <c r="BF15" s="168"/>
      <c r="BG15" s="168"/>
      <c r="BH15" s="168"/>
      <c r="BI15" s="168"/>
      <c r="BJ15" s="168"/>
      <c r="BK15" s="168"/>
      <c r="BL15" s="168"/>
      <c r="BM15" s="168"/>
      <c r="BN15" s="168"/>
      <c r="BO15" s="168"/>
      <c r="BP15" s="168"/>
      <c r="BQ15" s="168"/>
      <c r="BR15" s="168"/>
      <c r="BS15" s="168"/>
      <c r="BT15" s="168"/>
      <c r="BU15" s="168"/>
      <c r="BV15" s="168"/>
      <c r="BW15" s="168"/>
      <c r="BX15" s="168"/>
      <c r="BY15" s="168"/>
      <c r="BZ15" s="168"/>
      <c r="CA15" s="168"/>
      <c r="CB15" s="168"/>
      <c r="CC15" s="168"/>
      <c r="CD15" s="168"/>
      <c r="CE15" s="168"/>
      <c r="CF15" s="168"/>
      <c r="CG15" s="168"/>
      <c r="CH15" s="168"/>
      <c r="CI15" s="168"/>
      <c r="CJ15" s="168"/>
      <c r="CK15" s="168"/>
      <c r="CL15" s="168"/>
      <c r="CM15" s="168"/>
      <c r="CN15" s="168"/>
      <c r="CO15" s="168"/>
      <c r="CP15" s="168"/>
      <c r="CQ15" s="168"/>
      <c r="CR15" s="168"/>
      <c r="CS15" s="168"/>
      <c r="CT15" s="168"/>
      <c r="CU15" s="168"/>
      <c r="CV15" s="168"/>
      <c r="CW15" s="168"/>
      <c r="CX15" s="168"/>
      <c r="CY15" s="168"/>
      <c r="CZ15" s="168"/>
      <c r="DA15" s="168"/>
      <c r="DB15" s="168"/>
      <c r="DC15" s="168"/>
      <c r="DD15" s="168"/>
      <c r="DE15" s="168"/>
      <c r="DF15" s="168"/>
      <c r="DG15" s="168"/>
      <c r="DH15" s="168"/>
      <c r="DI15" s="168"/>
      <c r="DJ15" s="168"/>
      <c r="DK15" s="168"/>
      <c r="DL15" s="168"/>
      <c r="DM15" s="168"/>
      <c r="DN15" s="168"/>
      <c r="DO15" s="168"/>
      <c r="DP15" s="168"/>
      <c r="DQ15" s="168"/>
      <c r="DR15" s="168"/>
      <c r="DS15" s="168"/>
      <c r="DT15" s="168"/>
      <c r="DU15" s="168"/>
      <c r="DV15" s="168"/>
      <c r="DW15" s="168"/>
      <c r="DX15" s="168"/>
      <c r="DY15" s="168"/>
      <c r="DZ15" s="168"/>
      <c r="EA15" s="168"/>
      <c r="EB15" s="168"/>
      <c r="EC15" s="168"/>
      <c r="ED15" s="168"/>
      <c r="EE15" s="168"/>
      <c r="EF15" s="168"/>
      <c r="EG15" s="168"/>
      <c r="EH15" s="168"/>
      <c r="EI15" s="168"/>
      <c r="EJ15" s="168"/>
      <c r="EK15" s="168"/>
      <c r="EL15" s="168"/>
      <c r="EM15" s="168"/>
      <c r="EN15" s="168"/>
      <c r="EO15" s="168"/>
      <c r="EP15" s="168"/>
      <c r="EQ15" s="168"/>
      <c r="ER15" s="168"/>
      <c r="ES15" s="168"/>
      <c r="ET15" s="168"/>
      <c r="EU15" s="168"/>
      <c r="EV15" s="168"/>
      <c r="EW15" s="168"/>
      <c r="EX15" s="168"/>
      <c r="EY15" s="168"/>
      <c r="EZ15" s="168"/>
      <c r="FA15" s="168"/>
      <c r="FB15" s="168"/>
      <c r="FC15" s="168"/>
      <c r="FD15" s="168"/>
      <c r="FE15" s="168"/>
      <c r="FF15" s="168"/>
      <c r="FG15" s="168"/>
      <c r="FH15" s="168"/>
      <c r="FI15" s="168"/>
      <c r="FJ15" s="168"/>
      <c r="FK15" s="168"/>
      <c r="FL15" s="168"/>
      <c r="FM15" s="168"/>
    </row>
    <row r="16" spans="1:169" x14ac:dyDescent="0.25">
      <c r="A16" s="159">
        <f t="shared" si="3"/>
        <v>9</v>
      </c>
      <c r="B16" s="221">
        <v>0.375</v>
      </c>
      <c r="C16" s="212" t="s">
        <v>651</v>
      </c>
      <c r="D16" s="168"/>
      <c r="E16" s="168"/>
      <c r="F16" s="168"/>
      <c r="G16" s="168" t="s">
        <v>688</v>
      </c>
      <c r="H16" s="168"/>
      <c r="I16" s="226" t="s">
        <v>648</v>
      </c>
      <c r="J16" s="168"/>
      <c r="K16" s="206"/>
      <c r="L16" s="206"/>
      <c r="M16" s="206"/>
      <c r="N16" s="206"/>
      <c r="O16" s="206"/>
      <c r="P16" s="249" t="s">
        <v>704</v>
      </c>
      <c r="Q16" s="252" t="s">
        <v>787</v>
      </c>
      <c r="R16" s="206"/>
      <c r="S16" s="206"/>
      <c r="T16" s="206"/>
      <c r="U16" s="235"/>
      <c r="V16" s="235"/>
      <c r="W16" s="206"/>
      <c r="X16" s="206"/>
      <c r="Y16" s="235"/>
      <c r="Z16" s="235"/>
      <c r="AA16" s="235" t="s">
        <v>815</v>
      </c>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8"/>
      <c r="BD16" s="168"/>
      <c r="BE16" s="168"/>
      <c r="BF16" s="168"/>
      <c r="BG16" s="168"/>
      <c r="BH16" s="168"/>
      <c r="BI16" s="168"/>
      <c r="BJ16" s="168"/>
      <c r="BK16" s="168"/>
      <c r="BL16" s="168"/>
      <c r="BM16" s="168"/>
      <c r="BN16" s="168"/>
      <c r="BO16" s="168"/>
      <c r="BP16" s="168"/>
      <c r="BQ16" s="168"/>
      <c r="BR16" s="168"/>
      <c r="BS16" s="168"/>
      <c r="BT16" s="168"/>
      <c r="BU16" s="168"/>
      <c r="BV16" s="168"/>
      <c r="BW16" s="168"/>
      <c r="BX16" s="168"/>
      <c r="BY16" s="168"/>
      <c r="BZ16" s="168"/>
      <c r="CA16" s="168"/>
      <c r="CB16" s="168"/>
      <c r="CC16" s="168"/>
      <c r="CD16" s="168"/>
      <c r="CE16" s="168"/>
      <c r="CF16" s="168"/>
      <c r="CG16" s="168"/>
      <c r="CH16" s="168"/>
      <c r="CI16" s="168"/>
      <c r="CJ16" s="168"/>
      <c r="CK16" s="168"/>
      <c r="CL16" s="168"/>
      <c r="CM16" s="168"/>
      <c r="CN16" s="168"/>
      <c r="CO16" s="168"/>
      <c r="CP16" s="168"/>
      <c r="CQ16" s="168"/>
      <c r="CR16" s="168"/>
      <c r="CS16" s="168"/>
      <c r="CT16" s="168"/>
      <c r="CU16" s="168"/>
      <c r="CV16" s="168"/>
      <c r="CW16" s="168"/>
      <c r="CX16" s="168"/>
      <c r="CY16" s="168"/>
      <c r="CZ16" s="168"/>
      <c r="DA16" s="168"/>
      <c r="DB16" s="168"/>
      <c r="DC16" s="168"/>
      <c r="DD16" s="168"/>
      <c r="DE16" s="168"/>
      <c r="DF16" s="168"/>
      <c r="DG16" s="168"/>
      <c r="DH16" s="168"/>
      <c r="DI16" s="168"/>
      <c r="DJ16" s="168"/>
      <c r="DK16" s="168"/>
      <c r="DL16" s="168"/>
      <c r="DM16" s="168"/>
      <c r="DN16" s="168"/>
      <c r="DO16" s="168"/>
      <c r="DP16" s="168"/>
      <c r="DQ16" s="168"/>
      <c r="DR16" s="168"/>
      <c r="DS16" s="168"/>
      <c r="DT16" s="168"/>
      <c r="DU16" s="168"/>
      <c r="DV16" s="168"/>
      <c r="DW16" s="168"/>
      <c r="DX16" s="168"/>
      <c r="DY16" s="168"/>
      <c r="DZ16" s="168"/>
      <c r="EA16" s="168"/>
      <c r="EB16" s="168"/>
      <c r="EC16" s="168"/>
      <c r="ED16" s="168"/>
      <c r="EE16" s="168"/>
      <c r="EF16" s="168"/>
      <c r="EG16" s="168"/>
      <c r="EH16" s="168"/>
      <c r="EI16" s="168"/>
      <c r="EJ16" s="168"/>
      <c r="EK16" s="168"/>
      <c r="EL16" s="168"/>
      <c r="EM16" s="168"/>
      <c r="EN16" s="168"/>
      <c r="EO16" s="168"/>
      <c r="EP16" s="168"/>
      <c r="EQ16" s="168"/>
      <c r="ER16" s="168"/>
      <c r="ES16" s="168"/>
      <c r="ET16" s="168"/>
      <c r="EU16" s="168"/>
      <c r="EV16" s="168"/>
      <c r="EW16" s="168"/>
      <c r="EX16" s="168"/>
      <c r="EY16" s="168"/>
      <c r="EZ16" s="168"/>
      <c r="FA16" s="168"/>
      <c r="FB16" s="168"/>
      <c r="FC16" s="168"/>
      <c r="FD16" s="168"/>
      <c r="FE16" s="168"/>
      <c r="FF16" s="168"/>
      <c r="FG16" s="168"/>
      <c r="FH16" s="168"/>
      <c r="FI16" s="168"/>
      <c r="FJ16" s="168"/>
      <c r="FK16" s="168"/>
      <c r="FL16" s="168"/>
      <c r="FM16" s="168"/>
    </row>
    <row r="17" spans="1:169" ht="37.5" customHeight="1" x14ac:dyDescent="0.25">
      <c r="A17" s="159">
        <f t="shared" si="3"/>
        <v>10</v>
      </c>
      <c r="B17" s="221">
        <v>0.41666666666666702</v>
      </c>
      <c r="C17" s="161" t="s">
        <v>618</v>
      </c>
      <c r="D17" s="168"/>
      <c r="E17" s="168"/>
      <c r="F17" s="168"/>
      <c r="G17" s="168"/>
      <c r="H17" s="168"/>
      <c r="I17" s="226" t="s">
        <v>648</v>
      </c>
      <c r="J17" s="168" t="s">
        <v>693</v>
      </c>
      <c r="K17" s="206" t="s">
        <v>706</v>
      </c>
      <c r="L17" s="206" t="s">
        <v>773</v>
      </c>
      <c r="M17" s="206"/>
      <c r="N17" s="206"/>
      <c r="O17" s="206"/>
      <c r="P17" s="249" t="s">
        <v>704</v>
      </c>
      <c r="Q17" s="252" t="s">
        <v>787</v>
      </c>
      <c r="R17" s="206">
        <v>0</v>
      </c>
      <c r="S17" s="206">
        <v>0.5</v>
      </c>
      <c r="T17" s="206">
        <v>1</v>
      </c>
      <c r="U17" s="235"/>
      <c r="V17" s="235"/>
      <c r="W17" s="206"/>
      <c r="X17" s="206"/>
      <c r="Y17" s="235"/>
      <c r="Z17" s="235"/>
      <c r="AA17" s="235" t="s">
        <v>816</v>
      </c>
      <c r="AB17" s="168"/>
      <c r="AC17" s="168"/>
      <c r="AD17" s="168"/>
      <c r="AE17" s="168"/>
      <c r="AF17" s="168"/>
      <c r="AG17" s="168"/>
      <c r="AH17" s="168"/>
      <c r="AI17" s="168"/>
      <c r="AJ17" s="168"/>
      <c r="AK17" s="168"/>
      <c r="AL17" s="168"/>
      <c r="AM17" s="168"/>
      <c r="AN17" s="168"/>
      <c r="AO17" s="168"/>
      <c r="AP17" s="168"/>
      <c r="AQ17" s="168"/>
      <c r="AR17" s="168"/>
      <c r="AS17" s="168"/>
      <c r="AT17" s="168"/>
      <c r="AU17" s="168"/>
      <c r="AV17" s="168"/>
      <c r="AW17" s="168"/>
      <c r="AX17" s="168"/>
      <c r="AY17" s="168"/>
      <c r="AZ17" s="168"/>
      <c r="BA17" s="168"/>
      <c r="BB17" s="168"/>
      <c r="BC17" s="168"/>
      <c r="BD17" s="168"/>
      <c r="BE17" s="168"/>
      <c r="BF17" s="168"/>
      <c r="BG17" s="168"/>
      <c r="BH17" s="168"/>
      <c r="BI17" s="168"/>
      <c r="BJ17" s="168"/>
      <c r="BK17" s="168"/>
      <c r="BL17" s="168"/>
      <c r="BM17" s="168"/>
      <c r="BN17" s="168"/>
      <c r="BO17" s="168"/>
      <c r="BP17" s="168"/>
      <c r="BQ17" s="168"/>
      <c r="BR17" s="168"/>
      <c r="BS17" s="168"/>
      <c r="BT17" s="168"/>
      <c r="BU17" s="168"/>
      <c r="BV17" s="168"/>
      <c r="BW17" s="168"/>
      <c r="BX17" s="168"/>
      <c r="BY17" s="168"/>
      <c r="BZ17" s="168"/>
      <c r="CA17" s="168"/>
      <c r="CB17" s="168"/>
      <c r="CC17" s="168"/>
      <c r="CD17" s="168"/>
      <c r="CE17" s="168"/>
      <c r="CF17" s="168"/>
      <c r="CG17" s="168"/>
      <c r="CH17" s="168"/>
      <c r="CI17" s="168"/>
      <c r="CJ17" s="168"/>
      <c r="CK17" s="168"/>
      <c r="CL17" s="168"/>
      <c r="CM17" s="168"/>
      <c r="CN17" s="168"/>
      <c r="CO17" s="168"/>
      <c r="CP17" s="168"/>
      <c r="CQ17" s="168"/>
      <c r="CR17" s="168"/>
      <c r="CS17" s="168"/>
      <c r="CT17" s="168"/>
      <c r="CU17" s="168"/>
      <c r="CV17" s="168"/>
      <c r="CW17" s="168"/>
      <c r="CX17" s="168"/>
      <c r="CY17" s="168"/>
      <c r="CZ17" s="168"/>
      <c r="DA17" s="168"/>
      <c r="DB17" s="168"/>
      <c r="DC17" s="168"/>
      <c r="DD17" s="168"/>
      <c r="DE17" s="168"/>
      <c r="DF17" s="168"/>
      <c r="DG17" s="168"/>
      <c r="DH17" s="168"/>
      <c r="DI17" s="168"/>
      <c r="DJ17" s="168"/>
      <c r="DK17" s="168"/>
      <c r="DL17" s="168"/>
      <c r="DM17" s="168"/>
      <c r="DN17" s="168"/>
      <c r="DO17" s="168"/>
      <c r="DP17" s="168"/>
      <c r="DQ17" s="168"/>
      <c r="DR17" s="168"/>
      <c r="DS17" s="168"/>
      <c r="DT17" s="168"/>
      <c r="DU17" s="168"/>
      <c r="DV17" s="168"/>
      <c r="DW17" s="168"/>
      <c r="DX17" s="168"/>
      <c r="DY17" s="168"/>
      <c r="DZ17" s="168"/>
      <c r="EA17" s="168"/>
      <c r="EB17" s="168"/>
      <c r="EC17" s="168"/>
      <c r="ED17" s="168"/>
      <c r="EE17" s="168"/>
      <c r="EF17" s="168"/>
      <c r="EG17" s="168"/>
      <c r="EH17" s="168"/>
      <c r="EI17" s="168"/>
      <c r="EJ17" s="168"/>
      <c r="EK17" s="168"/>
      <c r="EL17" s="168"/>
      <c r="EM17" s="168"/>
      <c r="EN17" s="168"/>
      <c r="EO17" s="168"/>
      <c r="EP17" s="168"/>
      <c r="EQ17" s="168"/>
      <c r="ER17" s="168"/>
      <c r="ES17" s="168"/>
      <c r="ET17" s="168"/>
      <c r="EU17" s="168"/>
      <c r="EV17" s="168"/>
      <c r="EW17" s="168"/>
      <c r="EX17" s="168"/>
      <c r="EY17" s="168"/>
      <c r="EZ17" s="168"/>
      <c r="FA17" s="168"/>
      <c r="FB17" s="168"/>
      <c r="FC17" s="168"/>
      <c r="FD17" s="168"/>
      <c r="FE17" s="168"/>
      <c r="FF17" s="168"/>
      <c r="FG17" s="168"/>
      <c r="FH17" s="168"/>
      <c r="FI17" s="168"/>
      <c r="FJ17" s="168"/>
      <c r="FK17" s="168"/>
      <c r="FL17" s="168"/>
      <c r="FM17" s="168"/>
    </row>
    <row r="18" spans="1:169" ht="90" x14ac:dyDescent="0.25">
      <c r="A18" s="159">
        <f t="shared" si="3"/>
        <v>11</v>
      </c>
      <c r="B18" s="221">
        <v>0.45833333333333298</v>
      </c>
      <c r="C18" s="212" t="s">
        <v>652</v>
      </c>
      <c r="D18" s="168" t="s">
        <v>674</v>
      </c>
      <c r="E18" s="168"/>
      <c r="F18" s="168"/>
      <c r="G18" s="213"/>
      <c r="H18" s="213"/>
      <c r="I18" s="213" t="s">
        <v>700</v>
      </c>
      <c r="J18" s="209" t="s">
        <v>693</v>
      </c>
      <c r="K18" s="206"/>
      <c r="L18" s="206"/>
      <c r="M18" s="246" t="s">
        <v>789</v>
      </c>
      <c r="N18" s="206"/>
      <c r="O18" s="206"/>
      <c r="P18" s="249" t="s">
        <v>801</v>
      </c>
      <c r="Q18" s="252" t="s">
        <v>787</v>
      </c>
      <c r="R18" s="206"/>
      <c r="S18" s="206"/>
      <c r="T18" s="206"/>
      <c r="U18" s="235"/>
      <c r="V18" s="235"/>
      <c r="W18" s="206"/>
      <c r="X18" s="206"/>
      <c r="Y18" s="235"/>
      <c r="Z18" s="235"/>
      <c r="AA18" s="235"/>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c r="BS18" s="168"/>
      <c r="BT18" s="168"/>
      <c r="BU18" s="168"/>
      <c r="BV18" s="168"/>
      <c r="BW18" s="168"/>
      <c r="BX18" s="168"/>
      <c r="BY18" s="168"/>
      <c r="BZ18" s="168"/>
      <c r="CA18" s="168"/>
      <c r="CB18" s="168"/>
      <c r="CC18" s="168"/>
      <c r="CD18" s="168"/>
      <c r="CE18" s="168"/>
      <c r="CF18" s="168"/>
      <c r="CG18" s="168"/>
      <c r="CH18" s="168"/>
      <c r="CI18" s="168"/>
      <c r="CJ18" s="168"/>
      <c r="CK18" s="168"/>
      <c r="CL18" s="168"/>
      <c r="CM18" s="168"/>
      <c r="CN18" s="168"/>
      <c r="CO18" s="168"/>
      <c r="CP18" s="168"/>
      <c r="CQ18" s="168"/>
      <c r="CR18" s="168"/>
      <c r="CS18" s="168"/>
      <c r="CT18" s="168"/>
      <c r="CU18" s="168"/>
      <c r="CV18" s="168"/>
      <c r="CW18" s="168"/>
      <c r="CX18" s="168"/>
      <c r="CY18" s="168"/>
      <c r="CZ18" s="168"/>
      <c r="DA18" s="168"/>
      <c r="DB18" s="168"/>
      <c r="DC18" s="168"/>
      <c r="DD18" s="168"/>
      <c r="DE18" s="168"/>
      <c r="DF18" s="168"/>
      <c r="DG18" s="168"/>
      <c r="DH18" s="168"/>
      <c r="DI18" s="168"/>
      <c r="DJ18" s="168"/>
      <c r="DK18" s="168"/>
      <c r="DL18" s="168"/>
      <c r="DM18" s="168"/>
      <c r="DN18" s="168"/>
      <c r="DO18" s="168"/>
      <c r="DP18" s="168"/>
      <c r="DQ18" s="168"/>
      <c r="DR18" s="168"/>
      <c r="DS18" s="168"/>
      <c r="DT18" s="168"/>
      <c r="DU18" s="168"/>
      <c r="DV18" s="168"/>
      <c r="DW18" s="168"/>
      <c r="DX18" s="168"/>
      <c r="DY18" s="168"/>
      <c r="DZ18" s="168"/>
      <c r="EA18" s="168"/>
      <c r="EB18" s="168"/>
      <c r="EC18" s="168"/>
      <c r="ED18" s="168"/>
      <c r="EE18" s="168"/>
      <c r="EF18" s="168"/>
      <c r="EG18" s="168"/>
      <c r="EH18" s="168"/>
      <c r="EI18" s="168"/>
      <c r="EJ18" s="168"/>
      <c r="EK18" s="168"/>
      <c r="EL18" s="168"/>
      <c r="EM18" s="168"/>
      <c r="EN18" s="168"/>
      <c r="EO18" s="168"/>
      <c r="EP18" s="168"/>
      <c r="EQ18" s="168"/>
      <c r="ER18" s="168"/>
      <c r="ES18" s="168"/>
      <c r="ET18" s="168"/>
      <c r="EU18" s="168"/>
      <c r="EV18" s="168"/>
      <c r="EW18" s="168"/>
      <c r="EX18" s="168"/>
      <c r="EY18" s="168"/>
      <c r="EZ18" s="168"/>
      <c r="FA18" s="168"/>
      <c r="FB18" s="168"/>
      <c r="FC18" s="168"/>
      <c r="FD18" s="168"/>
      <c r="FE18" s="168"/>
      <c r="FF18" s="168"/>
      <c r="FG18" s="168"/>
      <c r="FH18" s="168"/>
      <c r="FI18" s="168"/>
      <c r="FJ18" s="168"/>
      <c r="FK18" s="168"/>
      <c r="FL18" s="168"/>
      <c r="FM18" s="168"/>
    </row>
    <row r="19" spans="1:169" ht="30" x14ac:dyDescent="0.25">
      <c r="A19" s="159">
        <f t="shared" si="3"/>
        <v>12</v>
      </c>
      <c r="B19" s="221">
        <v>0.5</v>
      </c>
      <c r="C19" s="180" t="s">
        <v>657</v>
      </c>
      <c r="D19" s="168"/>
      <c r="E19" s="168"/>
      <c r="F19" s="168"/>
      <c r="G19" s="191"/>
      <c r="H19" s="168"/>
      <c r="I19" s="213" t="s">
        <v>714</v>
      </c>
      <c r="J19" s="209" t="s">
        <v>693</v>
      </c>
      <c r="K19" s="206"/>
      <c r="L19" s="206"/>
      <c r="M19" s="246" t="s">
        <v>790</v>
      </c>
      <c r="N19" s="206"/>
      <c r="O19" s="206" t="s">
        <v>730</v>
      </c>
      <c r="P19" s="237" t="s">
        <v>750</v>
      </c>
      <c r="Q19" s="253" t="s">
        <v>787</v>
      </c>
      <c r="R19" s="206"/>
      <c r="S19" s="206"/>
      <c r="T19" s="206"/>
      <c r="U19" s="235" t="s">
        <v>740</v>
      </c>
      <c r="V19" s="235" t="s">
        <v>741</v>
      </c>
      <c r="W19" s="206"/>
      <c r="X19" s="206"/>
      <c r="Y19" s="235"/>
      <c r="Z19" s="235"/>
      <c r="AA19" s="235"/>
      <c r="AB19" s="168"/>
      <c r="AC19" s="168"/>
      <c r="AD19" s="168"/>
      <c r="AE19" s="168"/>
      <c r="AF19" s="168"/>
      <c r="AG19" s="168"/>
      <c r="AH19" s="168"/>
      <c r="AI19" s="168"/>
      <c r="AJ19" s="168"/>
      <c r="AK19" s="168"/>
      <c r="AL19" s="168"/>
      <c r="AM19" s="168"/>
      <c r="AN19" s="168"/>
      <c r="AO19" s="168"/>
      <c r="AP19" s="168"/>
      <c r="AQ19" s="168"/>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8"/>
      <c r="BR19" s="168"/>
      <c r="BS19" s="168"/>
      <c r="BT19" s="168"/>
      <c r="BU19" s="168"/>
      <c r="BV19" s="168"/>
      <c r="BW19" s="168"/>
      <c r="BX19" s="168"/>
      <c r="BY19" s="168"/>
      <c r="BZ19" s="168"/>
      <c r="CA19" s="168"/>
      <c r="CB19" s="168"/>
      <c r="CC19" s="168"/>
      <c r="CD19" s="168"/>
      <c r="CE19" s="168"/>
      <c r="CF19" s="168"/>
      <c r="CG19" s="168"/>
      <c r="CH19" s="168"/>
      <c r="CI19" s="168"/>
      <c r="CJ19" s="168"/>
      <c r="CK19" s="168"/>
      <c r="CL19" s="168"/>
      <c r="CM19" s="168"/>
      <c r="CN19" s="168"/>
      <c r="CO19" s="168"/>
      <c r="CP19" s="168"/>
      <c r="CQ19" s="168"/>
      <c r="CR19" s="168"/>
      <c r="CS19" s="168"/>
      <c r="CT19" s="168"/>
      <c r="CU19" s="168"/>
      <c r="CV19" s="168"/>
      <c r="CW19" s="168"/>
      <c r="CX19" s="168"/>
      <c r="CY19" s="168"/>
      <c r="CZ19" s="168"/>
      <c r="DA19" s="168"/>
      <c r="DB19" s="168"/>
      <c r="DC19" s="168"/>
      <c r="DD19" s="168"/>
      <c r="DE19" s="168"/>
      <c r="DF19" s="168"/>
      <c r="DG19" s="168"/>
      <c r="DH19" s="168"/>
      <c r="DI19" s="168"/>
      <c r="DJ19" s="168"/>
      <c r="DK19" s="168"/>
      <c r="DL19" s="168"/>
      <c r="DM19" s="168"/>
      <c r="DN19" s="168"/>
      <c r="DO19" s="168"/>
      <c r="DP19" s="168"/>
      <c r="DQ19" s="168"/>
      <c r="DR19" s="168"/>
      <c r="DS19" s="168"/>
      <c r="DT19" s="168"/>
      <c r="DU19" s="168"/>
      <c r="DV19" s="168"/>
      <c r="DW19" s="168"/>
      <c r="DX19" s="168"/>
      <c r="DY19" s="168"/>
      <c r="DZ19" s="168"/>
      <c r="EA19" s="168"/>
      <c r="EB19" s="168"/>
      <c r="EC19" s="168"/>
      <c r="ED19" s="168"/>
      <c r="EE19" s="168"/>
      <c r="EF19" s="168"/>
      <c r="EG19" s="168"/>
      <c r="EH19" s="168"/>
      <c r="EI19" s="168"/>
      <c r="EJ19" s="168"/>
      <c r="EK19" s="168"/>
      <c r="EL19" s="168"/>
      <c r="EM19" s="168"/>
      <c r="EN19" s="168"/>
      <c r="EO19" s="168"/>
      <c r="EP19" s="168"/>
      <c r="EQ19" s="168"/>
      <c r="ER19" s="168"/>
      <c r="ES19" s="168"/>
      <c r="ET19" s="168"/>
      <c r="EU19" s="168"/>
      <c r="EV19" s="168"/>
      <c r="EW19" s="168"/>
      <c r="EX19" s="168"/>
      <c r="EY19" s="168"/>
      <c r="EZ19" s="168"/>
      <c r="FA19" s="168"/>
      <c r="FB19" s="168"/>
      <c r="FC19" s="168"/>
      <c r="FD19" s="168"/>
      <c r="FE19" s="168"/>
      <c r="FF19" s="168"/>
      <c r="FG19" s="168"/>
      <c r="FH19" s="168"/>
      <c r="FI19" s="168"/>
      <c r="FJ19" s="168"/>
      <c r="FK19" s="168"/>
      <c r="FL19" s="168"/>
      <c r="FM19" s="168"/>
    </row>
    <row r="20" spans="1:169" ht="65.25" customHeight="1" x14ac:dyDescent="0.25">
      <c r="A20" s="159">
        <f t="shared" si="3"/>
        <v>13</v>
      </c>
      <c r="B20" s="221">
        <v>0.54166666666666696</v>
      </c>
      <c r="C20" s="212" t="s">
        <v>618</v>
      </c>
      <c r="D20" s="168"/>
      <c r="E20" s="168"/>
      <c r="F20" s="168"/>
      <c r="G20" s="168"/>
      <c r="H20" s="168" t="s">
        <v>695</v>
      </c>
      <c r="I20" s="213" t="s">
        <v>714</v>
      </c>
      <c r="J20" s="209" t="s">
        <v>693</v>
      </c>
      <c r="K20" s="206"/>
      <c r="L20" s="206"/>
      <c r="M20" s="206"/>
      <c r="N20" s="206"/>
      <c r="O20" s="206"/>
      <c r="P20" s="237" t="s">
        <v>750</v>
      </c>
      <c r="Q20" s="252" t="s">
        <v>787</v>
      </c>
      <c r="R20" s="206"/>
      <c r="S20" s="230"/>
      <c r="T20" s="206"/>
      <c r="U20" s="235"/>
      <c r="V20" s="235"/>
      <c r="W20" s="206"/>
      <c r="X20" s="206"/>
      <c r="Y20" s="235"/>
      <c r="Z20" s="235" t="s">
        <v>742</v>
      </c>
      <c r="AA20" s="235"/>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c r="EI20" s="168"/>
      <c r="EJ20" s="168"/>
      <c r="EK20" s="168"/>
      <c r="EL20" s="168"/>
      <c r="EM20" s="168"/>
      <c r="EN20" s="168"/>
      <c r="EO20" s="168"/>
      <c r="EP20" s="168"/>
      <c r="EQ20" s="168"/>
      <c r="ER20" s="168"/>
      <c r="ES20" s="168"/>
      <c r="ET20" s="168"/>
      <c r="EU20" s="168"/>
      <c r="EV20" s="168"/>
      <c r="EW20" s="168"/>
      <c r="EX20" s="168"/>
      <c r="EY20" s="168"/>
      <c r="EZ20" s="168"/>
      <c r="FA20" s="168"/>
      <c r="FB20" s="168"/>
      <c r="FC20" s="168"/>
      <c r="FD20" s="168"/>
      <c r="FE20" s="168"/>
      <c r="FF20" s="168"/>
      <c r="FG20" s="168"/>
      <c r="FH20" s="168"/>
      <c r="FI20" s="168"/>
      <c r="FJ20" s="168"/>
      <c r="FK20" s="168"/>
      <c r="FL20" s="168"/>
      <c r="FM20" s="168"/>
    </row>
    <row r="21" spans="1:169" ht="73.5" customHeight="1" x14ac:dyDescent="0.25">
      <c r="A21" s="159">
        <f t="shared" si="3"/>
        <v>14</v>
      </c>
      <c r="B21" s="221">
        <v>0.58333333333333304</v>
      </c>
      <c r="C21" s="180" t="s">
        <v>658</v>
      </c>
      <c r="D21" s="168"/>
      <c r="E21" s="168"/>
      <c r="F21" s="168"/>
      <c r="G21" s="168" t="s">
        <v>690</v>
      </c>
      <c r="H21" s="168"/>
      <c r="I21" s="213" t="s">
        <v>714</v>
      </c>
      <c r="J21" s="209" t="s">
        <v>723</v>
      </c>
      <c r="K21" s="206"/>
      <c r="L21" s="206"/>
      <c r="M21" s="206"/>
      <c r="N21" s="206"/>
      <c r="O21" s="206"/>
      <c r="P21" s="250" t="s">
        <v>798</v>
      </c>
      <c r="Q21" s="254" t="s">
        <v>727</v>
      </c>
      <c r="R21" s="206"/>
      <c r="S21" s="206"/>
      <c r="T21" s="206"/>
      <c r="U21" s="235"/>
      <c r="V21" s="235"/>
      <c r="W21" s="206"/>
      <c r="X21" s="206"/>
      <c r="Y21" s="235"/>
      <c r="Z21" s="235"/>
      <c r="AA21" s="235"/>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c r="BQ21" s="168"/>
      <c r="BR21" s="168"/>
      <c r="BS21" s="168"/>
      <c r="BT21" s="168"/>
      <c r="BU21" s="168"/>
      <c r="BV21" s="168"/>
      <c r="BW21" s="168"/>
      <c r="BX21" s="168"/>
      <c r="BY21" s="168"/>
      <c r="BZ21" s="168"/>
      <c r="CA21" s="168"/>
      <c r="CB21" s="168"/>
      <c r="CC21" s="168"/>
      <c r="CD21" s="168"/>
      <c r="CE21" s="168"/>
      <c r="CF21" s="168"/>
      <c r="CG21" s="168"/>
      <c r="CH21" s="168"/>
      <c r="CI21" s="168"/>
      <c r="CJ21" s="168"/>
      <c r="CK21" s="168"/>
      <c r="CL21" s="168"/>
      <c r="CM21" s="168"/>
      <c r="CN21" s="168"/>
      <c r="CO21" s="168"/>
      <c r="CP21" s="168"/>
      <c r="CQ21" s="168"/>
      <c r="CR21" s="168"/>
      <c r="CS21" s="168"/>
      <c r="CT21" s="168"/>
      <c r="CU21" s="168"/>
      <c r="CV21" s="168"/>
      <c r="CW21" s="168"/>
      <c r="CX21" s="168"/>
      <c r="CY21" s="168"/>
      <c r="CZ21" s="168"/>
      <c r="DA21" s="168"/>
      <c r="DB21" s="168"/>
      <c r="DC21" s="168"/>
      <c r="DD21" s="168"/>
      <c r="DE21" s="168"/>
      <c r="DF21" s="168"/>
      <c r="DG21" s="168"/>
      <c r="DH21" s="168"/>
      <c r="DI21" s="168"/>
      <c r="DJ21" s="168"/>
      <c r="DK21" s="168"/>
      <c r="DL21" s="168"/>
      <c r="DM21" s="168"/>
      <c r="DN21" s="168"/>
      <c r="DO21" s="168"/>
      <c r="DP21" s="168"/>
      <c r="DQ21" s="168"/>
      <c r="DR21" s="168"/>
      <c r="DS21" s="168"/>
      <c r="DT21" s="168"/>
      <c r="DU21" s="168"/>
      <c r="DV21" s="168"/>
      <c r="DW21" s="168"/>
      <c r="DX21" s="168"/>
      <c r="DY21" s="168"/>
      <c r="DZ21" s="168"/>
      <c r="EA21" s="168"/>
      <c r="EB21" s="168"/>
      <c r="EC21" s="168"/>
      <c r="ED21" s="168"/>
      <c r="EE21" s="168"/>
      <c r="EF21" s="168"/>
      <c r="EG21" s="168"/>
      <c r="EH21" s="168"/>
      <c r="EI21" s="168"/>
      <c r="EJ21" s="168"/>
      <c r="EK21" s="168"/>
      <c r="EL21" s="168"/>
      <c r="EM21" s="168"/>
      <c r="EN21" s="168"/>
      <c r="EO21" s="168"/>
      <c r="EP21" s="168"/>
      <c r="EQ21" s="168"/>
      <c r="ER21" s="168"/>
      <c r="ES21" s="168"/>
      <c r="ET21" s="168"/>
      <c r="EU21" s="168"/>
      <c r="EV21" s="168"/>
      <c r="EW21" s="168"/>
      <c r="EX21" s="168"/>
      <c r="EY21" s="168"/>
      <c r="EZ21" s="168"/>
      <c r="FA21" s="168"/>
      <c r="FB21" s="168"/>
      <c r="FC21" s="168"/>
      <c r="FD21" s="168"/>
      <c r="FE21" s="168"/>
      <c r="FF21" s="168"/>
      <c r="FG21" s="168"/>
      <c r="FH21" s="168"/>
      <c r="FI21" s="168"/>
      <c r="FJ21" s="168"/>
      <c r="FK21" s="168"/>
      <c r="FL21" s="168"/>
      <c r="FM21" s="168"/>
    </row>
    <row r="22" spans="1:169" ht="40.5" customHeight="1" x14ac:dyDescent="0.25">
      <c r="A22" s="159">
        <f t="shared" si="3"/>
        <v>15</v>
      </c>
      <c r="B22" s="221">
        <v>0.625</v>
      </c>
      <c r="C22" s="212" t="s">
        <v>638</v>
      </c>
      <c r="D22" s="212" t="s">
        <v>668</v>
      </c>
      <c r="E22" s="168"/>
      <c r="F22" s="168" t="s">
        <v>684</v>
      </c>
      <c r="G22" s="168" t="s">
        <v>690</v>
      </c>
      <c r="H22" s="168"/>
      <c r="I22" s="213" t="s">
        <v>718</v>
      </c>
      <c r="J22" s="209" t="s">
        <v>723</v>
      </c>
      <c r="K22" s="230"/>
      <c r="L22" s="206"/>
      <c r="M22" s="206"/>
      <c r="N22" s="206"/>
      <c r="O22" s="206"/>
      <c r="P22" s="251" t="s">
        <v>802</v>
      </c>
      <c r="Q22" s="253" t="s">
        <v>787</v>
      </c>
      <c r="R22" s="206"/>
      <c r="S22" s="206"/>
      <c r="T22" s="206"/>
      <c r="U22" s="235"/>
      <c r="V22" s="235"/>
      <c r="W22" s="206"/>
      <c r="X22" s="206"/>
      <c r="Y22" s="235"/>
      <c r="Z22" s="235"/>
      <c r="AA22" s="235"/>
      <c r="AB22" s="168"/>
      <c r="AC22" s="168"/>
      <c r="AD22" s="168"/>
      <c r="AE22" s="168"/>
      <c r="AF22" s="168"/>
      <c r="AG22" s="168"/>
      <c r="AH22" s="168"/>
      <c r="AI22" s="168"/>
      <c r="AJ22" s="168"/>
      <c r="AK22" s="168"/>
      <c r="AL22" s="168"/>
      <c r="AM22" s="168"/>
      <c r="AN22" s="168"/>
      <c r="AO22" s="168"/>
      <c r="AP22" s="168"/>
      <c r="AQ22" s="168"/>
      <c r="AR22" s="168"/>
      <c r="AS22" s="168"/>
      <c r="AT22" s="168"/>
      <c r="AU22" s="168"/>
      <c r="AV22" s="168"/>
      <c r="AW22" s="168"/>
      <c r="AX22" s="168"/>
      <c r="AY22" s="168"/>
      <c r="AZ22" s="168"/>
      <c r="BA22" s="168"/>
      <c r="BB22" s="168"/>
      <c r="BC22" s="168"/>
      <c r="BD22" s="168"/>
      <c r="BE22" s="168"/>
      <c r="BF22" s="168"/>
      <c r="BG22" s="168"/>
      <c r="BH22" s="168"/>
      <c r="BI22" s="168"/>
      <c r="BJ22" s="168"/>
      <c r="BK22" s="168"/>
      <c r="BL22" s="168"/>
      <c r="BM22" s="168"/>
      <c r="BN22" s="168"/>
      <c r="BO22" s="168"/>
      <c r="BP22" s="168"/>
      <c r="BQ22" s="168"/>
      <c r="BR22" s="168"/>
      <c r="BS22" s="168"/>
      <c r="BT22" s="168"/>
      <c r="BU22" s="168"/>
      <c r="BV22" s="168"/>
      <c r="BW22" s="168"/>
      <c r="BX22" s="168"/>
      <c r="BY22" s="168"/>
      <c r="BZ22" s="168"/>
      <c r="CA22" s="168"/>
      <c r="CB22" s="168"/>
      <c r="CC22" s="168"/>
      <c r="CD22" s="168"/>
      <c r="CE22" s="168"/>
      <c r="CF22" s="168"/>
      <c r="CG22" s="168"/>
      <c r="CH22" s="168"/>
      <c r="CI22" s="168"/>
      <c r="CJ22" s="168"/>
      <c r="CK22" s="168"/>
      <c r="CL22" s="168"/>
      <c r="CM22" s="168"/>
      <c r="CN22" s="168"/>
      <c r="CO22" s="168"/>
      <c r="CP22" s="168"/>
      <c r="CQ22" s="168"/>
      <c r="CR22" s="168"/>
      <c r="CS22" s="168"/>
      <c r="CT22" s="168"/>
      <c r="CU22" s="168"/>
      <c r="CV22" s="168"/>
      <c r="CW22" s="168"/>
      <c r="CX22" s="168"/>
      <c r="CY22" s="168"/>
      <c r="CZ22" s="168"/>
      <c r="DA22" s="168"/>
      <c r="DB22" s="168"/>
      <c r="DC22" s="168"/>
      <c r="DD22" s="168"/>
      <c r="DE22" s="168"/>
      <c r="DF22" s="168"/>
      <c r="DG22" s="168"/>
      <c r="DH22" s="168"/>
      <c r="DI22" s="168"/>
      <c r="DJ22" s="168"/>
      <c r="DK22" s="168"/>
      <c r="DL22" s="168"/>
      <c r="DM22" s="168"/>
      <c r="DN22" s="168"/>
      <c r="DO22" s="168"/>
      <c r="DP22" s="168"/>
      <c r="DQ22" s="168"/>
      <c r="DR22" s="168"/>
      <c r="DS22" s="168"/>
      <c r="DT22" s="168"/>
      <c r="DU22" s="168"/>
      <c r="DV22" s="168"/>
      <c r="DW22" s="168"/>
      <c r="DX22" s="168"/>
      <c r="DY22" s="168"/>
      <c r="DZ22" s="168"/>
      <c r="EA22" s="168"/>
      <c r="EB22" s="168"/>
      <c r="EC22" s="168"/>
      <c r="ED22" s="168"/>
      <c r="EE22" s="168"/>
      <c r="EF22" s="168"/>
      <c r="EG22" s="168"/>
      <c r="EH22" s="168"/>
      <c r="EI22" s="168"/>
      <c r="EJ22" s="168"/>
      <c r="EK22" s="168"/>
      <c r="EL22" s="168"/>
      <c r="EM22" s="168"/>
      <c r="EN22" s="168"/>
      <c r="EO22" s="168"/>
      <c r="EP22" s="168"/>
      <c r="EQ22" s="168"/>
      <c r="ER22" s="168"/>
      <c r="ES22" s="168"/>
      <c r="ET22" s="168"/>
      <c r="EU22" s="168"/>
      <c r="EV22" s="168"/>
      <c r="EW22" s="168"/>
      <c r="EX22" s="168"/>
      <c r="EY22" s="168"/>
      <c r="EZ22" s="168"/>
      <c r="FA22" s="168"/>
      <c r="FB22" s="168"/>
      <c r="FC22" s="168"/>
      <c r="FD22" s="168"/>
      <c r="FE22" s="168"/>
      <c r="FF22" s="168"/>
      <c r="FG22" s="168"/>
      <c r="FH22" s="168"/>
      <c r="FI22" s="168"/>
      <c r="FJ22" s="168"/>
      <c r="FK22" s="168"/>
      <c r="FL22" s="168"/>
      <c r="FM22" s="168"/>
    </row>
    <row r="23" spans="1:169" ht="45" x14ac:dyDescent="0.25">
      <c r="A23" s="159">
        <f t="shared" si="3"/>
        <v>16</v>
      </c>
      <c r="B23" s="221">
        <v>0.66666666666666696</v>
      </c>
      <c r="C23" s="161" t="s">
        <v>659</v>
      </c>
      <c r="D23" s="168" t="s">
        <v>672</v>
      </c>
      <c r="E23" s="168"/>
      <c r="F23" s="218" t="s">
        <v>679</v>
      </c>
      <c r="G23" s="168" t="s">
        <v>690</v>
      </c>
      <c r="H23" s="168"/>
      <c r="I23" s="213" t="s">
        <v>715</v>
      </c>
      <c r="J23" s="168" t="s">
        <v>698</v>
      </c>
      <c r="K23" s="228" t="s">
        <v>697</v>
      </c>
      <c r="L23" s="229" t="s">
        <v>734</v>
      </c>
      <c r="M23" s="229" t="s">
        <v>768</v>
      </c>
      <c r="N23" s="228"/>
      <c r="O23" s="228" t="s">
        <v>727</v>
      </c>
      <c r="P23" s="251" t="s">
        <v>803</v>
      </c>
      <c r="Q23" s="252" t="s">
        <v>787</v>
      </c>
      <c r="R23" s="228" t="s">
        <v>701</v>
      </c>
      <c r="S23" s="228" t="s">
        <v>811</v>
      </c>
      <c r="T23" s="228" t="s">
        <v>776</v>
      </c>
      <c r="U23" s="235"/>
      <c r="V23" s="235"/>
      <c r="W23" s="206"/>
      <c r="X23" s="206"/>
      <c r="Y23" s="235"/>
      <c r="Z23" s="235"/>
      <c r="AA23" s="235"/>
      <c r="AB23" s="168"/>
      <c r="AC23" s="168"/>
      <c r="AD23" s="168"/>
      <c r="AE23" s="168"/>
      <c r="AF23" s="168"/>
      <c r="AG23" s="168"/>
      <c r="AH23" s="168"/>
      <c r="AI23" s="168"/>
      <c r="AJ23" s="168"/>
      <c r="AK23" s="168"/>
      <c r="AL23" s="168"/>
      <c r="AM23" s="168"/>
      <c r="AN23" s="168"/>
      <c r="AO23" s="168"/>
      <c r="AP23" s="168"/>
      <c r="AQ23" s="168"/>
      <c r="AR23" s="168"/>
      <c r="AS23" s="168"/>
      <c r="AT23" s="168"/>
      <c r="AU23" s="168"/>
      <c r="AV23" s="168"/>
      <c r="AW23" s="168"/>
      <c r="AX23" s="168"/>
      <c r="AY23" s="168"/>
      <c r="AZ23" s="168"/>
      <c r="BA23" s="168"/>
      <c r="BB23" s="168"/>
      <c r="BC23" s="168"/>
      <c r="BD23" s="168"/>
      <c r="BE23" s="168"/>
      <c r="BF23" s="168"/>
      <c r="BG23" s="168"/>
      <c r="BH23" s="168"/>
      <c r="BI23" s="168"/>
      <c r="BJ23" s="168"/>
      <c r="BK23" s="168"/>
      <c r="BL23" s="168"/>
      <c r="BM23" s="168"/>
      <c r="BN23" s="168"/>
      <c r="BO23" s="168"/>
      <c r="BP23" s="168"/>
      <c r="BQ23" s="168"/>
      <c r="BR23" s="168"/>
      <c r="BS23" s="168"/>
      <c r="BT23" s="168"/>
      <c r="BU23" s="168"/>
      <c r="BV23" s="168"/>
      <c r="BW23" s="168"/>
      <c r="BX23" s="168"/>
      <c r="BY23" s="168"/>
      <c r="BZ23" s="168"/>
      <c r="CA23" s="168"/>
      <c r="CB23" s="168"/>
      <c r="CC23" s="168"/>
      <c r="CD23" s="168"/>
      <c r="CE23" s="168"/>
      <c r="CF23" s="168"/>
      <c r="CG23" s="168"/>
      <c r="CH23" s="168"/>
      <c r="CI23" s="168"/>
      <c r="CJ23" s="168"/>
      <c r="CK23" s="168"/>
      <c r="CL23" s="168"/>
      <c r="CM23" s="168"/>
      <c r="CN23" s="168"/>
      <c r="CO23" s="168"/>
      <c r="CP23" s="168"/>
      <c r="CQ23" s="168"/>
      <c r="CR23" s="168"/>
      <c r="CS23" s="168"/>
      <c r="CT23" s="168"/>
      <c r="CU23" s="168"/>
      <c r="CV23" s="168"/>
      <c r="CW23" s="168"/>
      <c r="CX23" s="168"/>
      <c r="CY23" s="168"/>
      <c r="CZ23" s="168"/>
      <c r="DA23" s="168"/>
      <c r="DB23" s="168"/>
      <c r="DC23" s="168"/>
      <c r="DD23" s="168"/>
      <c r="DE23" s="168"/>
      <c r="DF23" s="168"/>
      <c r="DG23" s="168"/>
      <c r="DH23" s="168"/>
      <c r="DI23" s="168"/>
      <c r="DJ23" s="168"/>
      <c r="DK23" s="168"/>
      <c r="DL23" s="168"/>
      <c r="DM23" s="168"/>
      <c r="DN23" s="168"/>
      <c r="DO23" s="168"/>
      <c r="DP23" s="168"/>
      <c r="DQ23" s="168"/>
      <c r="DR23" s="168"/>
      <c r="DS23" s="168"/>
      <c r="DT23" s="168"/>
      <c r="DU23" s="168"/>
      <c r="DV23" s="168"/>
      <c r="DW23" s="168"/>
      <c r="DX23" s="168"/>
      <c r="DY23" s="168"/>
      <c r="DZ23" s="168"/>
      <c r="EA23" s="168"/>
      <c r="EB23" s="168"/>
      <c r="EC23" s="168"/>
      <c r="ED23" s="168"/>
      <c r="EE23" s="168"/>
      <c r="EF23" s="168"/>
      <c r="EG23" s="168"/>
      <c r="EH23" s="168"/>
      <c r="EI23" s="168"/>
      <c r="EJ23" s="168"/>
      <c r="EK23" s="168"/>
      <c r="EL23" s="168"/>
      <c r="EM23" s="168"/>
      <c r="EN23" s="168"/>
      <c r="EO23" s="168"/>
      <c r="EP23" s="168"/>
      <c r="EQ23" s="168"/>
      <c r="ER23" s="168"/>
      <c r="ES23" s="168"/>
      <c r="ET23" s="168"/>
      <c r="EU23" s="168"/>
      <c r="EV23" s="168"/>
      <c r="EW23" s="168"/>
      <c r="EX23" s="168"/>
      <c r="EY23" s="168"/>
      <c r="EZ23" s="168"/>
      <c r="FA23" s="168"/>
      <c r="FB23" s="168"/>
      <c r="FC23" s="168"/>
      <c r="FD23" s="168"/>
      <c r="FE23" s="168"/>
      <c r="FF23" s="168"/>
      <c r="FG23" s="168"/>
      <c r="FH23" s="168"/>
      <c r="FI23" s="168"/>
      <c r="FJ23" s="168"/>
      <c r="FK23" s="168"/>
      <c r="FL23" s="168"/>
      <c r="FM23" s="168"/>
    </row>
    <row r="24" spans="1:169" ht="45" x14ac:dyDescent="0.25">
      <c r="A24" s="159">
        <f t="shared" si="3"/>
        <v>17</v>
      </c>
      <c r="B24" s="221">
        <v>0.70833333333333304</v>
      </c>
      <c r="C24" s="168" t="s">
        <v>664</v>
      </c>
      <c r="D24" s="168" t="s">
        <v>673</v>
      </c>
      <c r="E24" s="217" t="s">
        <v>683</v>
      </c>
      <c r="F24" s="218" t="s">
        <v>679</v>
      </c>
      <c r="G24" s="223" t="s">
        <v>689</v>
      </c>
      <c r="H24" s="168"/>
      <c r="I24" s="213" t="s">
        <v>715</v>
      </c>
      <c r="J24" s="168" t="s">
        <v>698</v>
      </c>
      <c r="K24" s="228"/>
      <c r="L24" s="229" t="s">
        <v>735</v>
      </c>
      <c r="M24" s="228" t="s">
        <v>767</v>
      </c>
      <c r="N24" s="228"/>
      <c r="O24" s="234" t="s">
        <v>728</v>
      </c>
      <c r="P24" s="237" t="s">
        <v>804</v>
      </c>
      <c r="Q24" s="237" t="s">
        <v>810</v>
      </c>
      <c r="R24" s="228" t="s">
        <v>755</v>
      </c>
      <c r="S24" s="228"/>
      <c r="T24" s="228" t="s">
        <v>780</v>
      </c>
      <c r="U24" s="228" t="s">
        <v>727</v>
      </c>
      <c r="V24" s="228"/>
      <c r="W24" s="206"/>
      <c r="X24" s="206"/>
      <c r="Y24" s="228"/>
      <c r="Z24" s="228"/>
      <c r="AA24" s="22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8"/>
      <c r="CP24" s="168"/>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row>
    <row r="25" spans="1:169" ht="60" x14ac:dyDescent="0.25">
      <c r="A25" s="159">
        <f t="shared" si="3"/>
        <v>18</v>
      </c>
      <c r="B25" s="221">
        <v>0.75</v>
      </c>
      <c r="C25" s="212" t="s">
        <v>638</v>
      </c>
      <c r="D25" s="168" t="s">
        <v>673</v>
      </c>
      <c r="E25" s="217"/>
      <c r="F25" s="218" t="s">
        <v>679</v>
      </c>
      <c r="G25" s="218" t="s">
        <v>679</v>
      </c>
      <c r="H25" s="225"/>
      <c r="I25" s="168" t="s">
        <v>697</v>
      </c>
      <c r="J25" s="168" t="s">
        <v>698</v>
      </c>
      <c r="K25" s="228"/>
      <c r="L25" s="229" t="s">
        <v>736</v>
      </c>
      <c r="M25" s="228" t="s">
        <v>770</v>
      </c>
      <c r="N25" s="228"/>
      <c r="O25" s="234" t="s">
        <v>797</v>
      </c>
      <c r="P25" s="250" t="s">
        <v>787</v>
      </c>
      <c r="Q25" s="237" t="s">
        <v>810</v>
      </c>
      <c r="R25" s="228" t="s">
        <v>766</v>
      </c>
      <c r="S25" s="228"/>
      <c r="T25" s="228" t="s">
        <v>778</v>
      </c>
      <c r="U25" s="228" t="s">
        <v>261</v>
      </c>
      <c r="V25" s="228"/>
      <c r="W25" s="206"/>
      <c r="X25" s="206"/>
      <c r="Y25" s="228"/>
      <c r="Z25" s="228"/>
      <c r="AA25" s="22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c r="BS25" s="168"/>
      <c r="BT25" s="168"/>
      <c r="BU25" s="168"/>
      <c r="BV25" s="168"/>
      <c r="BW25" s="168"/>
      <c r="BX25" s="168"/>
      <c r="BY25" s="168"/>
      <c r="BZ25" s="168"/>
      <c r="CA25" s="168"/>
      <c r="CB25" s="168"/>
      <c r="CC25" s="168"/>
      <c r="CD25" s="168"/>
      <c r="CE25" s="168"/>
      <c r="CF25" s="168"/>
      <c r="CG25" s="168"/>
      <c r="CH25" s="168"/>
      <c r="CI25" s="168"/>
      <c r="CJ25" s="168"/>
      <c r="CK25" s="168"/>
      <c r="CL25" s="168"/>
      <c r="CM25" s="168"/>
      <c r="CN25" s="168"/>
      <c r="CO25" s="168"/>
      <c r="CP25" s="168"/>
      <c r="CQ25" s="168"/>
      <c r="CR25" s="168"/>
      <c r="CS25" s="168"/>
      <c r="CT25" s="168"/>
      <c r="CU25" s="168"/>
      <c r="CV25" s="168"/>
      <c r="CW25" s="168"/>
      <c r="CX25" s="168"/>
      <c r="CY25" s="168"/>
      <c r="CZ25" s="168"/>
      <c r="DA25" s="168"/>
      <c r="DB25" s="168"/>
      <c r="DC25" s="168"/>
      <c r="DD25" s="168"/>
      <c r="DE25" s="168"/>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168"/>
      <c r="EC25" s="168"/>
      <c r="ED25" s="168"/>
      <c r="EE25" s="168"/>
      <c r="EF25" s="168"/>
      <c r="EG25" s="168"/>
      <c r="EH25" s="168"/>
      <c r="EI25" s="168"/>
      <c r="EJ25" s="168"/>
      <c r="EK25" s="168"/>
      <c r="EL25" s="168"/>
      <c r="EM25" s="168"/>
      <c r="EN25" s="168"/>
      <c r="EO25" s="168"/>
      <c r="EP25" s="168"/>
      <c r="EQ25" s="168"/>
      <c r="ER25" s="168"/>
      <c r="ES25" s="168"/>
      <c r="ET25" s="168"/>
      <c r="EU25" s="168"/>
      <c r="EV25" s="168"/>
      <c r="EW25" s="168"/>
      <c r="EX25" s="168"/>
      <c r="EY25" s="168"/>
      <c r="EZ25" s="168"/>
      <c r="FA25" s="168"/>
      <c r="FB25" s="168"/>
      <c r="FC25" s="168"/>
      <c r="FD25" s="168"/>
      <c r="FE25" s="168"/>
      <c r="FF25" s="168"/>
      <c r="FG25" s="168"/>
      <c r="FH25" s="168"/>
      <c r="FI25" s="168"/>
      <c r="FJ25" s="168"/>
      <c r="FK25" s="168"/>
      <c r="FL25" s="168"/>
      <c r="FM25" s="168"/>
    </row>
    <row r="26" spans="1:169" ht="105" x14ac:dyDescent="0.25">
      <c r="A26" s="159">
        <f t="shared" si="3"/>
        <v>19</v>
      </c>
      <c r="B26" s="221">
        <v>0.79166666666666696</v>
      </c>
      <c r="C26" s="212" t="s">
        <v>661</v>
      </c>
      <c r="D26" s="168" t="s">
        <v>673</v>
      </c>
      <c r="E26" s="217" t="s">
        <v>678</v>
      </c>
      <c r="F26" s="218" t="s">
        <v>679</v>
      </c>
      <c r="G26" s="168" t="s">
        <v>691</v>
      </c>
      <c r="H26" s="225"/>
      <c r="I26" s="225" t="s">
        <v>696</v>
      </c>
      <c r="J26" s="168" t="s">
        <v>698</v>
      </c>
      <c r="K26" s="228"/>
      <c r="L26" s="229" t="s">
        <v>737</v>
      </c>
      <c r="M26" s="228" t="s">
        <v>726</v>
      </c>
      <c r="N26" s="228" t="s">
        <v>787</v>
      </c>
      <c r="O26" s="228" t="s">
        <v>782</v>
      </c>
      <c r="P26" s="251" t="s">
        <v>787</v>
      </c>
      <c r="Q26" s="237" t="s">
        <v>369</v>
      </c>
      <c r="R26" s="228" t="s">
        <v>805</v>
      </c>
      <c r="S26" s="228" t="s">
        <v>727</v>
      </c>
      <c r="T26" s="228" t="s">
        <v>779</v>
      </c>
      <c r="U26" s="228" t="s">
        <v>261</v>
      </c>
      <c r="V26" s="228"/>
      <c r="W26" s="206"/>
      <c r="X26" s="206"/>
      <c r="Y26" s="228"/>
      <c r="Z26" s="228"/>
      <c r="AA26" s="228"/>
      <c r="AB26" s="168"/>
      <c r="AC26" s="168"/>
      <c r="AD26" s="168"/>
      <c r="AE26" s="168"/>
      <c r="AF26" s="168"/>
      <c r="AG26" s="168"/>
      <c r="AH26" s="168"/>
      <c r="AI26" s="168"/>
      <c r="AJ26" s="168"/>
      <c r="AK26" s="168"/>
      <c r="AL26" s="168"/>
      <c r="AM26" s="168"/>
      <c r="AN26" s="168"/>
      <c r="AO26" s="168"/>
      <c r="AP26" s="168"/>
      <c r="AQ26" s="168"/>
      <c r="AR26" s="168"/>
      <c r="AS26" s="168"/>
      <c r="AT26" s="168"/>
      <c r="AU26" s="168"/>
      <c r="AV26" s="168"/>
      <c r="AW26" s="168"/>
      <c r="AX26" s="168"/>
      <c r="AY26" s="168"/>
      <c r="AZ26" s="168"/>
      <c r="BA26" s="168"/>
      <c r="BB26" s="168"/>
      <c r="BC26" s="168"/>
      <c r="BD26" s="168"/>
      <c r="BE26" s="168"/>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O26" s="168"/>
      <c r="CP26" s="168"/>
      <c r="CQ26" s="168"/>
      <c r="CR26" s="168"/>
      <c r="CS26" s="168"/>
      <c r="CT26" s="168"/>
      <c r="CU26" s="168"/>
      <c r="CV26" s="168"/>
      <c r="CW26" s="168"/>
      <c r="CX26" s="168"/>
      <c r="CY26" s="168"/>
      <c r="CZ26" s="168"/>
      <c r="DA26" s="168"/>
      <c r="DB26" s="168"/>
      <c r="DC26" s="168"/>
      <c r="DD26" s="168"/>
      <c r="DE26" s="168"/>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168"/>
      <c r="EC26" s="168"/>
      <c r="ED26" s="168"/>
      <c r="EE26" s="168"/>
      <c r="EF26" s="168"/>
      <c r="EG26" s="168"/>
      <c r="EH26" s="168"/>
      <c r="EI26" s="168"/>
      <c r="EJ26" s="168"/>
      <c r="EK26" s="168"/>
      <c r="EL26" s="168"/>
      <c r="EM26" s="168"/>
      <c r="EN26" s="168"/>
      <c r="EO26" s="168"/>
      <c r="EP26" s="168"/>
      <c r="EQ26" s="168"/>
      <c r="ER26" s="168"/>
      <c r="ES26" s="168"/>
      <c r="ET26" s="168"/>
      <c r="EU26" s="168"/>
      <c r="EV26" s="168"/>
      <c r="EW26" s="168"/>
      <c r="EX26" s="168"/>
      <c r="EY26" s="168"/>
      <c r="EZ26" s="168"/>
      <c r="FA26" s="168"/>
      <c r="FB26" s="168"/>
      <c r="FC26" s="168"/>
      <c r="FD26" s="168"/>
      <c r="FE26" s="168"/>
      <c r="FF26" s="168"/>
      <c r="FG26" s="168"/>
      <c r="FH26" s="168"/>
      <c r="FI26" s="168"/>
      <c r="FJ26" s="168"/>
      <c r="FK26" s="168"/>
      <c r="FL26" s="168"/>
      <c r="FM26" s="168"/>
    </row>
    <row r="27" spans="1:169" ht="60" x14ac:dyDescent="0.25">
      <c r="A27" s="159">
        <f t="shared" si="3"/>
        <v>20</v>
      </c>
      <c r="B27" s="221">
        <v>0.83333333333333304</v>
      </c>
      <c r="C27" s="212" t="s">
        <v>665</v>
      </c>
      <c r="D27" s="212" t="s">
        <v>668</v>
      </c>
      <c r="E27" s="212" t="s">
        <v>668</v>
      </c>
      <c r="F27" s="218" t="s">
        <v>679</v>
      </c>
      <c r="G27" s="168" t="s">
        <v>691</v>
      </c>
      <c r="H27" s="225" t="s">
        <v>708</v>
      </c>
      <c r="I27" s="225" t="s">
        <v>696</v>
      </c>
      <c r="J27" s="168" t="s">
        <v>698</v>
      </c>
      <c r="K27" s="228" t="s">
        <v>657</v>
      </c>
      <c r="L27" s="229" t="s">
        <v>756</v>
      </c>
      <c r="M27" s="228" t="s">
        <v>775</v>
      </c>
      <c r="N27" s="180" t="s">
        <v>783</v>
      </c>
      <c r="O27" s="234" t="s">
        <v>728</v>
      </c>
      <c r="P27" s="251" t="s">
        <v>787</v>
      </c>
      <c r="Q27" s="237" t="s">
        <v>750</v>
      </c>
      <c r="R27" s="252" t="s">
        <v>672</v>
      </c>
      <c r="S27" s="228" t="s">
        <v>261</v>
      </c>
      <c r="T27" s="228"/>
      <c r="U27" s="228" t="s">
        <v>261</v>
      </c>
      <c r="V27" s="228"/>
      <c r="W27" s="206"/>
      <c r="X27" s="206"/>
      <c r="Y27" s="228"/>
      <c r="Z27" s="228"/>
      <c r="AA27" s="22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c r="BS27" s="168"/>
      <c r="BT27" s="168"/>
      <c r="BU27" s="168"/>
      <c r="BV27" s="168"/>
      <c r="BW27" s="168"/>
      <c r="BX27" s="168"/>
      <c r="BY27" s="168"/>
      <c r="BZ27" s="168"/>
      <c r="CA27" s="168"/>
      <c r="CB27" s="168"/>
      <c r="CC27" s="168"/>
      <c r="CD27" s="168"/>
      <c r="CE27" s="168"/>
      <c r="CF27" s="168"/>
      <c r="CG27" s="168"/>
      <c r="CH27" s="168"/>
      <c r="CI27" s="168"/>
      <c r="CJ27" s="168"/>
      <c r="CK27" s="168"/>
      <c r="CL27" s="168"/>
      <c r="CM27" s="168"/>
      <c r="CN27" s="168"/>
      <c r="CO27" s="168"/>
      <c r="CP27" s="168"/>
      <c r="CQ27" s="168"/>
      <c r="CR27" s="168"/>
      <c r="CS27" s="168"/>
      <c r="CT27" s="168"/>
      <c r="CU27" s="168"/>
      <c r="CV27" s="168"/>
      <c r="CW27" s="168"/>
      <c r="CX27" s="168"/>
      <c r="CY27" s="168"/>
      <c r="CZ27" s="168"/>
      <c r="DA27" s="168"/>
      <c r="DB27" s="168"/>
      <c r="DC27" s="168"/>
      <c r="DD27" s="168"/>
      <c r="DE27" s="168"/>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168"/>
      <c r="EC27" s="168"/>
      <c r="ED27" s="168"/>
      <c r="EE27" s="168"/>
      <c r="EF27" s="168"/>
      <c r="EG27" s="168"/>
      <c r="EH27" s="168"/>
      <c r="EI27" s="168"/>
      <c r="EJ27" s="168"/>
      <c r="EK27" s="168"/>
      <c r="EL27" s="168"/>
      <c r="EM27" s="168"/>
      <c r="EN27" s="168"/>
      <c r="EO27" s="168"/>
      <c r="EP27" s="168"/>
      <c r="EQ27" s="168"/>
      <c r="ER27" s="168"/>
      <c r="ES27" s="168"/>
      <c r="ET27" s="168"/>
      <c r="EU27" s="168"/>
      <c r="EV27" s="168"/>
      <c r="EW27" s="168"/>
      <c r="EX27" s="168"/>
      <c r="EY27" s="168"/>
      <c r="EZ27" s="168"/>
      <c r="FA27" s="168"/>
      <c r="FB27" s="168"/>
      <c r="FC27" s="168"/>
      <c r="FD27" s="168"/>
      <c r="FE27" s="168"/>
      <c r="FF27" s="168"/>
      <c r="FG27" s="168"/>
      <c r="FH27" s="168"/>
      <c r="FI27" s="168"/>
      <c r="FJ27" s="168"/>
      <c r="FK27" s="168"/>
      <c r="FL27" s="168"/>
      <c r="FM27" s="168"/>
    </row>
    <row r="28" spans="1:169" ht="45" x14ac:dyDescent="0.25">
      <c r="A28" s="159">
        <f t="shared" si="3"/>
        <v>21</v>
      </c>
      <c r="B28" s="221">
        <v>0.875</v>
      </c>
      <c r="C28" s="212" t="s">
        <v>659</v>
      </c>
      <c r="D28" s="205" t="s">
        <v>675</v>
      </c>
      <c r="E28" s="218" t="s">
        <v>679</v>
      </c>
      <c r="F28" s="218" t="s">
        <v>679</v>
      </c>
      <c r="G28" s="168" t="s">
        <v>694</v>
      </c>
      <c r="H28" s="225" t="s">
        <v>716</v>
      </c>
      <c r="I28" s="168" t="s">
        <v>701</v>
      </c>
      <c r="J28" s="186"/>
      <c r="K28" s="228" t="s">
        <v>731</v>
      </c>
      <c r="L28" s="229" t="s">
        <v>748</v>
      </c>
      <c r="M28" s="239" t="s">
        <v>769</v>
      </c>
      <c r="N28" s="180" t="s">
        <v>791</v>
      </c>
      <c r="O28" s="228"/>
      <c r="P28" s="250" t="s">
        <v>729</v>
      </c>
      <c r="Q28" s="237" t="s">
        <v>750</v>
      </c>
      <c r="R28" s="252" t="s">
        <v>672</v>
      </c>
      <c r="S28" s="228" t="s">
        <v>261</v>
      </c>
      <c r="T28" s="228" t="s">
        <v>777</v>
      </c>
      <c r="U28" s="228" t="s">
        <v>261</v>
      </c>
      <c r="V28" s="228"/>
      <c r="W28" s="206"/>
      <c r="X28" s="206"/>
      <c r="Y28" s="228"/>
      <c r="Z28" s="228"/>
      <c r="AA28" s="228"/>
      <c r="AB28" s="168"/>
      <c r="AC28" s="168"/>
      <c r="AD28" s="168"/>
      <c r="AE28" s="168"/>
      <c r="AF28" s="168"/>
      <c r="AG28" s="168"/>
      <c r="AH28" s="168"/>
      <c r="AI28" s="168"/>
      <c r="AJ28" s="168"/>
      <c r="AK28" s="168"/>
      <c r="AL28" s="168"/>
      <c r="AM28" s="168"/>
      <c r="AN28" s="168"/>
      <c r="AO28" s="168"/>
      <c r="AP28" s="168"/>
      <c r="AQ28" s="168"/>
      <c r="AR28" s="168"/>
      <c r="AS28" s="168"/>
      <c r="AT28" s="168"/>
      <c r="AU28" s="168"/>
      <c r="AV28" s="168"/>
      <c r="AW28" s="168"/>
      <c r="AX28" s="168"/>
      <c r="AY28" s="168"/>
      <c r="AZ28" s="168"/>
      <c r="BA28" s="168"/>
      <c r="BB28" s="168"/>
      <c r="BC28" s="168"/>
      <c r="BD28" s="168"/>
      <c r="BE28" s="168"/>
      <c r="BF28" s="168"/>
      <c r="BG28" s="168"/>
      <c r="BH28" s="168"/>
      <c r="BI28" s="168"/>
      <c r="BJ28" s="168"/>
      <c r="BK28" s="168"/>
      <c r="BL28" s="168"/>
      <c r="BM28" s="168"/>
      <c r="BN28" s="168"/>
      <c r="BO28" s="168"/>
      <c r="BP28" s="168"/>
      <c r="BQ28" s="168"/>
      <c r="BR28" s="168"/>
      <c r="BS28" s="168"/>
      <c r="BT28" s="168"/>
      <c r="BU28" s="168"/>
      <c r="BV28" s="168"/>
      <c r="BW28" s="168"/>
      <c r="BX28" s="168"/>
      <c r="BY28" s="168"/>
      <c r="BZ28" s="168"/>
      <c r="CA28" s="168"/>
      <c r="CB28" s="168"/>
      <c r="CC28" s="168"/>
      <c r="CD28" s="168"/>
      <c r="CE28" s="168"/>
      <c r="CF28" s="168"/>
      <c r="CG28" s="168"/>
      <c r="CH28" s="168"/>
      <c r="CI28" s="168"/>
      <c r="CJ28" s="168"/>
      <c r="CK28" s="168"/>
      <c r="CL28" s="168"/>
      <c r="CM28" s="168"/>
      <c r="CN28" s="168"/>
      <c r="CO28" s="168"/>
      <c r="CP28" s="168"/>
      <c r="CQ28" s="168"/>
      <c r="CR28" s="168"/>
      <c r="CS28" s="168"/>
      <c r="CT28" s="168"/>
      <c r="CU28" s="168"/>
      <c r="CV28" s="168"/>
      <c r="CW28" s="168"/>
      <c r="CX28" s="168"/>
      <c r="CY28" s="168"/>
      <c r="CZ28" s="168"/>
      <c r="DA28" s="168"/>
      <c r="DB28" s="168"/>
      <c r="DC28" s="168"/>
      <c r="DD28" s="168"/>
      <c r="DE28" s="168"/>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168"/>
      <c r="EC28" s="168"/>
      <c r="ED28" s="168"/>
      <c r="EE28" s="168"/>
      <c r="EF28" s="168"/>
      <c r="EG28" s="168"/>
      <c r="EH28" s="168"/>
      <c r="EI28" s="168"/>
      <c r="EJ28" s="168"/>
      <c r="EK28" s="168"/>
      <c r="EL28" s="168"/>
      <c r="EM28" s="168"/>
      <c r="EN28" s="168"/>
      <c r="EO28" s="168"/>
      <c r="EP28" s="168"/>
      <c r="EQ28" s="168"/>
      <c r="ER28" s="168"/>
      <c r="ES28" s="168"/>
      <c r="ET28" s="168"/>
      <c r="EU28" s="168"/>
      <c r="EV28" s="168"/>
      <c r="EW28" s="168"/>
      <c r="EX28" s="168"/>
      <c r="EY28" s="168"/>
      <c r="EZ28" s="168"/>
      <c r="FA28" s="168"/>
      <c r="FB28" s="168"/>
      <c r="FC28" s="168"/>
      <c r="FD28" s="168"/>
      <c r="FE28" s="168"/>
      <c r="FF28" s="168"/>
      <c r="FG28" s="168"/>
      <c r="FH28" s="168"/>
      <c r="FI28" s="168"/>
      <c r="FJ28" s="168"/>
      <c r="FK28" s="168"/>
      <c r="FL28" s="168"/>
      <c r="FM28" s="168"/>
    </row>
    <row r="29" spans="1:169" ht="30" x14ac:dyDescent="0.25">
      <c r="A29" s="159">
        <f t="shared" si="3"/>
        <v>22</v>
      </c>
      <c r="B29" s="221">
        <v>0.91666666666666696</v>
      </c>
      <c r="C29" s="161" t="s">
        <v>669</v>
      </c>
      <c r="D29" s="212" t="s">
        <v>676</v>
      </c>
      <c r="E29" s="218" t="s">
        <v>679</v>
      </c>
      <c r="F29" s="218" t="s">
        <v>679</v>
      </c>
      <c r="G29" s="218"/>
      <c r="H29" s="186" t="s">
        <v>709</v>
      </c>
      <c r="I29" s="213" t="s">
        <v>715</v>
      </c>
      <c r="J29" s="186"/>
      <c r="K29" s="228"/>
      <c r="L29" s="229"/>
      <c r="M29" s="228" t="s">
        <v>774</v>
      </c>
      <c r="N29" s="228" t="s">
        <v>791</v>
      </c>
      <c r="O29" s="228" t="s">
        <v>781</v>
      </c>
      <c r="P29" s="248"/>
      <c r="Q29" s="237" t="s">
        <v>750</v>
      </c>
      <c r="R29" s="252" t="s">
        <v>799</v>
      </c>
      <c r="S29" s="228" t="s">
        <v>261</v>
      </c>
      <c r="T29" s="228"/>
      <c r="U29" s="228" t="s">
        <v>261</v>
      </c>
      <c r="V29" s="228"/>
      <c r="W29" s="206"/>
      <c r="X29" s="206"/>
      <c r="Y29" s="228"/>
      <c r="Z29" s="228"/>
      <c r="AA29" s="228"/>
      <c r="AB29" s="186"/>
      <c r="AC29" s="186"/>
      <c r="AD29" s="186"/>
      <c r="AE29" s="186"/>
      <c r="AF29" s="186"/>
      <c r="AG29" s="186"/>
      <c r="AH29" s="186"/>
      <c r="AI29" s="186"/>
      <c r="AJ29" s="186"/>
      <c r="AK29" s="186"/>
      <c r="AL29" s="186"/>
      <c r="AM29" s="186"/>
      <c r="AN29" s="186"/>
      <c r="AO29" s="186"/>
      <c r="AP29" s="186"/>
      <c r="AQ29" s="186"/>
      <c r="AR29" s="186"/>
      <c r="AS29" s="186"/>
      <c r="AT29" s="186"/>
      <c r="AU29" s="186"/>
      <c r="AV29" s="186"/>
      <c r="AW29" s="186"/>
      <c r="AX29" s="186"/>
      <c r="AY29" s="186"/>
      <c r="AZ29" s="186"/>
      <c r="BA29" s="186"/>
      <c r="BB29" s="186"/>
      <c r="BC29" s="186"/>
      <c r="BD29" s="186"/>
      <c r="BE29" s="186"/>
      <c r="BF29" s="186"/>
      <c r="BG29" s="186"/>
      <c r="BH29" s="186"/>
      <c r="BI29" s="186"/>
      <c r="BJ29" s="186"/>
      <c r="BK29" s="186"/>
      <c r="BL29" s="186"/>
      <c r="BM29" s="186"/>
      <c r="BN29" s="186"/>
      <c r="BO29" s="186"/>
      <c r="BP29" s="186"/>
      <c r="BQ29" s="186"/>
      <c r="BR29" s="186"/>
      <c r="BS29" s="186"/>
      <c r="BT29" s="186"/>
      <c r="BU29" s="186"/>
      <c r="BV29" s="186"/>
      <c r="BW29" s="186"/>
      <c r="BX29" s="186"/>
      <c r="BY29" s="186"/>
      <c r="BZ29" s="186"/>
      <c r="CA29" s="186"/>
      <c r="CB29" s="186"/>
      <c r="CC29" s="186"/>
      <c r="CD29" s="186"/>
      <c r="CE29" s="186"/>
      <c r="CF29" s="186"/>
      <c r="CG29" s="186"/>
      <c r="CH29" s="186"/>
      <c r="CI29" s="186"/>
      <c r="CJ29" s="186"/>
      <c r="CK29" s="186"/>
      <c r="CL29" s="186"/>
      <c r="CM29" s="186"/>
      <c r="CN29" s="186"/>
      <c r="CO29" s="186"/>
      <c r="CP29" s="186"/>
      <c r="CQ29" s="186"/>
      <c r="CR29" s="186"/>
      <c r="CS29" s="186"/>
      <c r="CT29" s="186"/>
      <c r="CU29" s="186"/>
      <c r="CV29" s="186"/>
      <c r="CW29" s="186"/>
      <c r="CX29" s="186"/>
      <c r="CY29" s="186"/>
      <c r="CZ29" s="186"/>
      <c r="DA29" s="186"/>
      <c r="DB29" s="186"/>
      <c r="DC29" s="186"/>
      <c r="DD29" s="186"/>
      <c r="DE29" s="186"/>
      <c r="DF29" s="186"/>
      <c r="DG29" s="186"/>
      <c r="DH29" s="186"/>
      <c r="DI29" s="186"/>
      <c r="DJ29" s="186"/>
      <c r="DK29" s="186"/>
      <c r="DL29" s="186"/>
      <c r="DM29" s="186"/>
      <c r="DN29" s="186"/>
      <c r="DO29" s="186"/>
      <c r="DP29" s="186"/>
      <c r="DQ29" s="186"/>
      <c r="DR29" s="186"/>
      <c r="DS29" s="186"/>
      <c r="DT29" s="186"/>
      <c r="DU29" s="186"/>
      <c r="DV29" s="186"/>
      <c r="DW29" s="186"/>
      <c r="DX29" s="186"/>
      <c r="DY29" s="186"/>
      <c r="DZ29" s="186"/>
      <c r="EA29" s="186"/>
      <c r="EB29" s="186"/>
      <c r="EC29" s="186"/>
      <c r="ED29" s="186"/>
      <c r="EE29" s="186"/>
      <c r="EF29" s="186"/>
      <c r="EG29" s="186"/>
      <c r="EH29" s="186"/>
      <c r="EI29" s="186"/>
      <c r="EJ29" s="186"/>
      <c r="EK29" s="186"/>
      <c r="EL29" s="186"/>
      <c r="EM29" s="186"/>
      <c r="EN29" s="186"/>
      <c r="EO29" s="186"/>
      <c r="EP29" s="186"/>
      <c r="EQ29" s="186"/>
      <c r="ER29" s="186"/>
      <c r="ES29" s="186"/>
      <c r="ET29" s="186"/>
      <c r="EU29" s="186"/>
      <c r="EV29" s="186"/>
      <c r="EW29" s="186"/>
      <c r="EX29" s="186"/>
      <c r="EY29" s="186"/>
      <c r="EZ29" s="186"/>
      <c r="FA29" s="186"/>
      <c r="FB29" s="186"/>
      <c r="FC29" s="186"/>
      <c r="FD29" s="186"/>
      <c r="FE29" s="186"/>
      <c r="FF29" s="186"/>
      <c r="FG29" s="186"/>
      <c r="FH29" s="186"/>
      <c r="FI29" s="186"/>
      <c r="FJ29" s="186"/>
      <c r="FK29" s="186"/>
      <c r="FL29" s="186"/>
      <c r="FM29" s="186"/>
    </row>
    <row r="30" spans="1:169" ht="47.25" customHeight="1" x14ac:dyDescent="0.25">
      <c r="A30" s="159">
        <f t="shared" si="3"/>
        <v>23</v>
      </c>
      <c r="B30" s="220">
        <v>0.95833333333333304</v>
      </c>
      <c r="C30" s="212" t="s">
        <v>669</v>
      </c>
      <c r="D30" s="186"/>
      <c r="E30" s="218" t="s">
        <v>679</v>
      </c>
      <c r="F30" s="186" t="s">
        <v>685</v>
      </c>
      <c r="G30" s="186"/>
      <c r="H30" s="186"/>
      <c r="I30" s="213" t="s">
        <v>715</v>
      </c>
      <c r="J30" s="186"/>
      <c r="K30" s="186"/>
      <c r="L30" s="229"/>
      <c r="M30" s="238"/>
      <c r="N30" s="180" t="s">
        <v>792</v>
      </c>
      <c r="O30" s="186"/>
      <c r="P30" s="186"/>
      <c r="Q30" s="186"/>
      <c r="R30" s="186"/>
      <c r="S30" s="186"/>
      <c r="T30" s="186"/>
      <c r="U30" s="186"/>
      <c r="V30" s="186"/>
      <c r="W30" s="186"/>
      <c r="X30" s="186"/>
      <c r="Y30" s="186"/>
      <c r="Z30" s="186"/>
      <c r="AA30" s="186"/>
      <c r="AB30" s="186"/>
      <c r="AC30" s="186"/>
      <c r="AD30" s="186"/>
      <c r="AE30" s="186"/>
      <c r="AF30" s="186"/>
      <c r="AG30" s="186"/>
      <c r="AH30" s="186"/>
      <c r="AI30" s="186"/>
      <c r="AJ30" s="186"/>
      <c r="AK30" s="186"/>
      <c r="AL30" s="186"/>
      <c r="AM30" s="186"/>
      <c r="AN30" s="186"/>
      <c r="AO30" s="186"/>
      <c r="AP30" s="186"/>
      <c r="AQ30" s="186"/>
      <c r="AR30" s="186"/>
      <c r="AS30" s="186"/>
      <c r="AT30" s="186"/>
      <c r="AU30" s="186"/>
      <c r="AV30" s="186"/>
      <c r="AW30" s="186"/>
      <c r="AX30" s="186"/>
      <c r="AY30" s="186"/>
      <c r="AZ30" s="186"/>
      <c r="BA30" s="186"/>
      <c r="BB30" s="186"/>
      <c r="BC30" s="186"/>
      <c r="BD30" s="186"/>
      <c r="BE30" s="186"/>
      <c r="BF30" s="186"/>
      <c r="BG30" s="186"/>
      <c r="BH30" s="186"/>
      <c r="BI30" s="186"/>
      <c r="BJ30" s="186"/>
      <c r="BK30" s="186"/>
      <c r="BL30" s="186"/>
      <c r="BM30" s="186"/>
      <c r="BN30" s="186"/>
      <c r="BO30" s="186"/>
      <c r="BP30" s="186"/>
      <c r="BQ30" s="186"/>
      <c r="BR30" s="186"/>
      <c r="BS30" s="186"/>
      <c r="BT30" s="186"/>
      <c r="BU30" s="186"/>
      <c r="BV30" s="186"/>
      <c r="BW30" s="186"/>
      <c r="BX30" s="186"/>
      <c r="BY30" s="186"/>
      <c r="BZ30" s="186"/>
      <c r="CA30" s="186"/>
      <c r="CB30" s="186"/>
      <c r="CC30" s="186"/>
      <c r="CD30" s="186"/>
      <c r="CE30" s="186"/>
      <c r="CF30" s="186"/>
      <c r="CG30" s="186"/>
      <c r="CH30" s="186"/>
      <c r="CI30" s="186"/>
      <c r="CJ30" s="186"/>
      <c r="CK30" s="186"/>
      <c r="CL30" s="186"/>
      <c r="CM30" s="186"/>
      <c r="CN30" s="186"/>
      <c r="CO30" s="186"/>
      <c r="CP30" s="186"/>
      <c r="CQ30" s="186"/>
      <c r="CR30" s="186"/>
      <c r="CS30" s="186"/>
      <c r="CT30" s="186"/>
      <c r="CU30" s="186"/>
      <c r="CV30" s="186"/>
      <c r="CW30" s="186"/>
      <c r="CX30" s="186"/>
      <c r="CY30" s="186"/>
      <c r="CZ30" s="186"/>
      <c r="DA30" s="186"/>
      <c r="DB30" s="186"/>
      <c r="DC30" s="186"/>
      <c r="DD30" s="186"/>
      <c r="DE30" s="186"/>
      <c r="DF30" s="186"/>
      <c r="DG30" s="186"/>
      <c r="DH30" s="186"/>
      <c r="DI30" s="186"/>
      <c r="DJ30" s="186"/>
      <c r="DK30" s="186"/>
      <c r="DL30" s="186"/>
      <c r="DM30" s="186"/>
      <c r="DN30" s="186"/>
      <c r="DO30" s="186"/>
      <c r="DP30" s="186"/>
      <c r="DQ30" s="186"/>
      <c r="DR30" s="186"/>
      <c r="DS30" s="186"/>
      <c r="DT30" s="186"/>
      <c r="DU30" s="186"/>
      <c r="DV30" s="186"/>
      <c r="DW30" s="186"/>
      <c r="DX30" s="186"/>
      <c r="DY30" s="186"/>
      <c r="DZ30" s="186"/>
      <c r="EA30" s="186"/>
      <c r="EB30" s="186"/>
      <c r="EC30" s="186"/>
      <c r="ED30" s="186"/>
      <c r="EE30" s="186"/>
      <c r="EF30" s="186"/>
      <c r="EG30" s="186"/>
      <c r="EH30" s="186"/>
      <c r="EI30" s="186"/>
      <c r="EJ30" s="186"/>
      <c r="EK30" s="186"/>
      <c r="EL30" s="186"/>
      <c r="EM30" s="186"/>
      <c r="EN30" s="186"/>
      <c r="EO30" s="186"/>
      <c r="EP30" s="186"/>
      <c r="EQ30" s="186"/>
      <c r="ER30" s="186"/>
      <c r="ES30" s="186"/>
      <c r="ET30" s="186"/>
      <c r="EU30" s="186"/>
      <c r="EV30" s="186"/>
      <c r="EW30" s="186"/>
      <c r="EX30" s="186"/>
      <c r="EY30" s="186"/>
      <c r="EZ30" s="186"/>
      <c r="FA30" s="186"/>
      <c r="FB30" s="186"/>
      <c r="FC30" s="186"/>
      <c r="FD30" s="186"/>
      <c r="FE30" s="186"/>
      <c r="FF30" s="186"/>
      <c r="FG30" s="186"/>
      <c r="FH30" s="186"/>
      <c r="FI30" s="186"/>
      <c r="FJ30" s="186"/>
      <c r="FK30" s="186"/>
      <c r="FL30" s="186"/>
      <c r="FM30" s="186"/>
    </row>
    <row r="31" spans="1:169" ht="39" customHeight="1" x14ac:dyDescent="0.25">
      <c r="A31" s="75"/>
      <c r="B31" s="144" t="s">
        <v>314</v>
      </c>
      <c r="C31" s="181">
        <f t="shared" ref="C31:I31" si="4">SUM(C7:C30)</f>
        <v>0</v>
      </c>
      <c r="D31" s="181">
        <f t="shared" si="4"/>
        <v>0</v>
      </c>
      <c r="E31" s="181">
        <f t="shared" si="4"/>
        <v>0</v>
      </c>
      <c r="F31" s="181">
        <f t="shared" si="4"/>
        <v>0</v>
      </c>
      <c r="G31" s="181">
        <f t="shared" si="4"/>
        <v>0</v>
      </c>
      <c r="H31" s="181">
        <f t="shared" si="4"/>
        <v>0</v>
      </c>
      <c r="I31" s="181">
        <f t="shared" si="4"/>
        <v>0</v>
      </c>
      <c r="J31" s="181">
        <f t="shared" ref="J31:BU31" si="5">SUM(J7:J30)</f>
        <v>0</v>
      </c>
      <c r="K31" s="181">
        <f t="shared" si="5"/>
        <v>0</v>
      </c>
      <c r="L31" s="181">
        <f t="shared" si="5"/>
        <v>0</v>
      </c>
      <c r="M31" s="181">
        <f t="shared" si="5"/>
        <v>0</v>
      </c>
      <c r="N31" s="181">
        <f t="shared" si="5"/>
        <v>0</v>
      </c>
      <c r="O31" s="181">
        <f t="shared" si="5"/>
        <v>0</v>
      </c>
      <c r="P31" s="181">
        <f>SUM(P7:P30)</f>
        <v>0</v>
      </c>
      <c r="Q31" s="181">
        <f t="shared" si="5"/>
        <v>0</v>
      </c>
      <c r="R31" s="181">
        <f t="shared" si="5"/>
        <v>0</v>
      </c>
      <c r="S31" s="181">
        <f t="shared" si="5"/>
        <v>0.5</v>
      </c>
      <c r="T31" s="181">
        <f t="shared" si="5"/>
        <v>1</v>
      </c>
      <c r="U31" s="181">
        <f t="shared" si="5"/>
        <v>0</v>
      </c>
      <c r="V31" s="181">
        <f t="shared" si="5"/>
        <v>0</v>
      </c>
      <c r="W31" s="181">
        <f t="shared" si="5"/>
        <v>0</v>
      </c>
      <c r="X31" s="181">
        <f t="shared" si="5"/>
        <v>0</v>
      </c>
      <c r="Y31" s="181">
        <f t="shared" si="5"/>
        <v>0</v>
      </c>
      <c r="Z31" s="181">
        <f t="shared" si="5"/>
        <v>0</v>
      </c>
      <c r="AA31" s="181">
        <f t="shared" si="5"/>
        <v>0</v>
      </c>
      <c r="AB31" s="181">
        <f t="shared" si="5"/>
        <v>0</v>
      </c>
      <c r="AC31" s="181">
        <f t="shared" si="5"/>
        <v>0</v>
      </c>
      <c r="AD31" s="181">
        <f t="shared" si="5"/>
        <v>0</v>
      </c>
      <c r="AE31" s="181">
        <f t="shared" si="5"/>
        <v>0</v>
      </c>
      <c r="AF31" s="181">
        <f t="shared" si="5"/>
        <v>0</v>
      </c>
      <c r="AG31" s="181">
        <f t="shared" si="5"/>
        <v>0</v>
      </c>
      <c r="AH31" s="181">
        <f t="shared" si="5"/>
        <v>0</v>
      </c>
      <c r="AI31" s="181">
        <f t="shared" si="5"/>
        <v>0</v>
      </c>
      <c r="AJ31" s="181">
        <f t="shared" si="5"/>
        <v>0</v>
      </c>
      <c r="AK31" s="181">
        <f t="shared" si="5"/>
        <v>0</v>
      </c>
      <c r="AL31" s="181">
        <f t="shared" si="5"/>
        <v>0</v>
      </c>
      <c r="AM31" s="181">
        <f t="shared" si="5"/>
        <v>0</v>
      </c>
      <c r="AN31" s="181">
        <f t="shared" si="5"/>
        <v>0</v>
      </c>
      <c r="AO31" s="181">
        <f t="shared" si="5"/>
        <v>0</v>
      </c>
      <c r="AP31" s="181">
        <f t="shared" si="5"/>
        <v>0</v>
      </c>
      <c r="AQ31" s="181">
        <f t="shared" si="5"/>
        <v>0</v>
      </c>
      <c r="AR31" s="181">
        <f t="shared" si="5"/>
        <v>0</v>
      </c>
      <c r="AS31" s="181">
        <f t="shared" si="5"/>
        <v>0</v>
      </c>
      <c r="AT31" s="181">
        <f t="shared" si="5"/>
        <v>0</v>
      </c>
      <c r="AU31" s="181">
        <f t="shared" si="5"/>
        <v>0</v>
      </c>
      <c r="AV31" s="181">
        <f t="shared" si="5"/>
        <v>0</v>
      </c>
      <c r="AW31" s="181">
        <f t="shared" si="5"/>
        <v>0</v>
      </c>
      <c r="AX31" s="181">
        <f t="shared" si="5"/>
        <v>0</v>
      </c>
      <c r="AY31" s="181">
        <f t="shared" si="5"/>
        <v>0</v>
      </c>
      <c r="AZ31" s="181">
        <f t="shared" si="5"/>
        <v>0</v>
      </c>
      <c r="BA31" s="181">
        <f t="shared" si="5"/>
        <v>0</v>
      </c>
      <c r="BB31" s="181">
        <f t="shared" si="5"/>
        <v>0</v>
      </c>
      <c r="BC31" s="181">
        <f t="shared" si="5"/>
        <v>0</v>
      </c>
      <c r="BD31" s="181">
        <f t="shared" si="5"/>
        <v>0</v>
      </c>
      <c r="BE31" s="181">
        <f t="shared" si="5"/>
        <v>0</v>
      </c>
      <c r="BF31" s="181">
        <f t="shared" si="5"/>
        <v>0</v>
      </c>
      <c r="BG31" s="181">
        <f t="shared" si="5"/>
        <v>0</v>
      </c>
      <c r="BH31" s="181">
        <f t="shared" si="5"/>
        <v>0</v>
      </c>
      <c r="BI31" s="181">
        <f t="shared" si="5"/>
        <v>0</v>
      </c>
      <c r="BJ31" s="181">
        <f t="shared" si="5"/>
        <v>0</v>
      </c>
      <c r="BK31" s="181">
        <f t="shared" si="5"/>
        <v>0</v>
      </c>
      <c r="BL31" s="181">
        <f t="shared" si="5"/>
        <v>0</v>
      </c>
      <c r="BM31" s="181">
        <f t="shared" si="5"/>
        <v>0</v>
      </c>
      <c r="BN31" s="181">
        <f t="shared" si="5"/>
        <v>0</v>
      </c>
      <c r="BO31" s="181">
        <f t="shared" si="5"/>
        <v>0</v>
      </c>
      <c r="BP31" s="181">
        <f t="shared" si="5"/>
        <v>0</v>
      </c>
      <c r="BQ31" s="181">
        <f t="shared" si="5"/>
        <v>0</v>
      </c>
      <c r="BR31" s="181">
        <f t="shared" si="5"/>
        <v>0</v>
      </c>
      <c r="BS31" s="181">
        <f t="shared" si="5"/>
        <v>0</v>
      </c>
      <c r="BT31" s="181">
        <f t="shared" si="5"/>
        <v>0</v>
      </c>
      <c r="BU31" s="181">
        <f t="shared" si="5"/>
        <v>0</v>
      </c>
      <c r="BV31" s="181">
        <f t="shared" ref="BV31:EG31" si="6">SUM(BV7:BV30)</f>
        <v>0</v>
      </c>
      <c r="BW31" s="181">
        <f t="shared" si="6"/>
        <v>0</v>
      </c>
      <c r="BX31" s="181">
        <f t="shared" si="6"/>
        <v>0</v>
      </c>
      <c r="BY31" s="181">
        <f t="shared" si="6"/>
        <v>0</v>
      </c>
      <c r="BZ31" s="181">
        <f t="shared" si="6"/>
        <v>0</v>
      </c>
      <c r="CA31" s="181">
        <f t="shared" si="6"/>
        <v>0</v>
      </c>
      <c r="CB31" s="181">
        <f t="shared" si="6"/>
        <v>0</v>
      </c>
      <c r="CC31" s="181">
        <f t="shared" si="6"/>
        <v>0</v>
      </c>
      <c r="CD31" s="181">
        <f t="shared" si="6"/>
        <v>0</v>
      </c>
      <c r="CE31" s="181">
        <f t="shared" si="6"/>
        <v>0</v>
      </c>
      <c r="CF31" s="181">
        <f t="shared" si="6"/>
        <v>0</v>
      </c>
      <c r="CG31" s="181">
        <f t="shared" si="6"/>
        <v>0</v>
      </c>
      <c r="CH31" s="181">
        <f t="shared" si="6"/>
        <v>0</v>
      </c>
      <c r="CI31" s="181">
        <f t="shared" si="6"/>
        <v>0</v>
      </c>
      <c r="CJ31" s="181">
        <f t="shared" si="6"/>
        <v>0</v>
      </c>
      <c r="CK31" s="181">
        <f t="shared" si="6"/>
        <v>0</v>
      </c>
      <c r="CL31" s="181">
        <f t="shared" si="6"/>
        <v>0</v>
      </c>
      <c r="CM31" s="181">
        <f t="shared" si="6"/>
        <v>0</v>
      </c>
      <c r="CN31" s="181">
        <f t="shared" si="6"/>
        <v>0</v>
      </c>
      <c r="CO31" s="181">
        <f t="shared" si="6"/>
        <v>0</v>
      </c>
      <c r="CP31" s="181">
        <f t="shared" si="6"/>
        <v>0</v>
      </c>
      <c r="CQ31" s="181">
        <f t="shared" si="6"/>
        <v>0</v>
      </c>
      <c r="CR31" s="181">
        <f t="shared" si="6"/>
        <v>0</v>
      </c>
      <c r="CS31" s="181">
        <f t="shared" si="6"/>
        <v>0</v>
      </c>
      <c r="CT31" s="181">
        <f t="shared" si="6"/>
        <v>0</v>
      </c>
      <c r="CU31" s="181">
        <f t="shared" si="6"/>
        <v>0</v>
      </c>
      <c r="CV31" s="181">
        <f t="shared" si="6"/>
        <v>0</v>
      </c>
      <c r="CW31" s="181">
        <f t="shared" si="6"/>
        <v>0</v>
      </c>
      <c r="CX31" s="181">
        <f t="shared" si="6"/>
        <v>0</v>
      </c>
      <c r="CY31" s="181">
        <f t="shared" si="6"/>
        <v>0</v>
      </c>
      <c r="CZ31" s="181">
        <f t="shared" si="6"/>
        <v>0</v>
      </c>
      <c r="DA31" s="181">
        <f t="shared" si="6"/>
        <v>0</v>
      </c>
      <c r="DB31" s="181">
        <f t="shared" si="6"/>
        <v>0</v>
      </c>
      <c r="DC31" s="181">
        <f t="shared" si="6"/>
        <v>0</v>
      </c>
      <c r="DD31" s="181">
        <f t="shared" si="6"/>
        <v>0</v>
      </c>
      <c r="DE31" s="181">
        <f t="shared" si="6"/>
        <v>0</v>
      </c>
      <c r="DF31" s="181">
        <f t="shared" si="6"/>
        <v>0</v>
      </c>
      <c r="DG31" s="181">
        <f t="shared" si="6"/>
        <v>0</v>
      </c>
      <c r="DH31" s="181">
        <f t="shared" si="6"/>
        <v>0</v>
      </c>
      <c r="DI31" s="181">
        <f t="shared" si="6"/>
        <v>0</v>
      </c>
      <c r="DJ31" s="181">
        <f t="shared" si="6"/>
        <v>0</v>
      </c>
      <c r="DK31" s="181">
        <f t="shared" si="6"/>
        <v>0</v>
      </c>
      <c r="DL31" s="181">
        <f t="shared" si="6"/>
        <v>0</v>
      </c>
      <c r="DM31" s="181">
        <f t="shared" si="6"/>
        <v>0</v>
      </c>
      <c r="DN31" s="181">
        <f t="shared" si="6"/>
        <v>0</v>
      </c>
      <c r="DO31" s="181">
        <f t="shared" si="6"/>
        <v>0</v>
      </c>
      <c r="DP31" s="181">
        <f t="shared" si="6"/>
        <v>0</v>
      </c>
      <c r="DQ31" s="181">
        <f t="shared" si="6"/>
        <v>0</v>
      </c>
      <c r="DR31" s="181">
        <f t="shared" si="6"/>
        <v>0</v>
      </c>
      <c r="DS31" s="181">
        <f t="shared" si="6"/>
        <v>0</v>
      </c>
      <c r="DT31" s="181">
        <f t="shared" si="6"/>
        <v>0</v>
      </c>
      <c r="DU31" s="181">
        <f t="shared" si="6"/>
        <v>0</v>
      </c>
      <c r="DV31" s="181">
        <f t="shared" si="6"/>
        <v>0</v>
      </c>
      <c r="DW31" s="181">
        <f t="shared" si="6"/>
        <v>0</v>
      </c>
      <c r="DX31" s="181">
        <f t="shared" si="6"/>
        <v>0</v>
      </c>
      <c r="DY31" s="181">
        <f t="shared" si="6"/>
        <v>0</v>
      </c>
      <c r="DZ31" s="181">
        <f t="shared" si="6"/>
        <v>0</v>
      </c>
      <c r="EA31" s="181">
        <f t="shared" si="6"/>
        <v>0</v>
      </c>
      <c r="EB31" s="181">
        <f t="shared" si="6"/>
        <v>0</v>
      </c>
      <c r="EC31" s="181">
        <f t="shared" si="6"/>
        <v>0</v>
      </c>
      <c r="ED31" s="181">
        <f t="shared" si="6"/>
        <v>0</v>
      </c>
      <c r="EE31" s="181">
        <f t="shared" si="6"/>
        <v>0</v>
      </c>
      <c r="EF31" s="181">
        <f t="shared" si="6"/>
        <v>0</v>
      </c>
      <c r="EG31" s="181">
        <f t="shared" si="6"/>
        <v>0</v>
      </c>
      <c r="EH31" s="181">
        <f t="shared" ref="EH31:FM31" si="7">SUM(EH7:EH30)</f>
        <v>0</v>
      </c>
      <c r="EI31" s="181">
        <f t="shared" si="7"/>
        <v>0</v>
      </c>
      <c r="EJ31" s="181">
        <f t="shared" si="7"/>
        <v>0</v>
      </c>
      <c r="EK31" s="181">
        <f t="shared" si="7"/>
        <v>0</v>
      </c>
      <c r="EL31" s="181">
        <f t="shared" si="7"/>
        <v>0</v>
      </c>
      <c r="EM31" s="181">
        <f t="shared" si="7"/>
        <v>0</v>
      </c>
      <c r="EN31" s="181">
        <f t="shared" si="7"/>
        <v>0</v>
      </c>
      <c r="EO31" s="181">
        <f t="shared" si="7"/>
        <v>0</v>
      </c>
      <c r="EP31" s="181">
        <f t="shared" si="7"/>
        <v>0</v>
      </c>
      <c r="EQ31" s="181">
        <f t="shared" si="7"/>
        <v>0</v>
      </c>
      <c r="ER31" s="181">
        <f t="shared" si="7"/>
        <v>0</v>
      </c>
      <c r="ES31" s="181">
        <f t="shared" si="7"/>
        <v>0</v>
      </c>
      <c r="ET31" s="181">
        <f t="shared" si="7"/>
        <v>0</v>
      </c>
      <c r="EU31" s="181">
        <f t="shared" si="7"/>
        <v>0</v>
      </c>
      <c r="EV31" s="181">
        <f t="shared" si="7"/>
        <v>0</v>
      </c>
      <c r="EW31" s="181">
        <f t="shared" si="7"/>
        <v>0</v>
      </c>
      <c r="EX31" s="181">
        <f t="shared" si="7"/>
        <v>0</v>
      </c>
      <c r="EY31" s="181">
        <f t="shared" si="7"/>
        <v>0</v>
      </c>
      <c r="EZ31" s="181">
        <f t="shared" si="7"/>
        <v>0</v>
      </c>
      <c r="FA31" s="181">
        <f t="shared" si="7"/>
        <v>0</v>
      </c>
      <c r="FB31" s="181">
        <f t="shared" si="7"/>
        <v>0</v>
      </c>
      <c r="FC31" s="181">
        <f t="shared" si="7"/>
        <v>0</v>
      </c>
      <c r="FD31" s="181">
        <f t="shared" si="7"/>
        <v>0</v>
      </c>
      <c r="FE31" s="181">
        <f t="shared" si="7"/>
        <v>0</v>
      </c>
      <c r="FF31" s="181">
        <f t="shared" si="7"/>
        <v>0</v>
      </c>
      <c r="FG31" s="181">
        <f t="shared" si="7"/>
        <v>0</v>
      </c>
      <c r="FH31" s="181">
        <f t="shared" si="7"/>
        <v>0</v>
      </c>
      <c r="FI31" s="181">
        <f t="shared" si="7"/>
        <v>0</v>
      </c>
      <c r="FJ31" s="181">
        <f t="shared" si="7"/>
        <v>0</v>
      </c>
      <c r="FK31" s="181">
        <f t="shared" si="7"/>
        <v>0</v>
      </c>
      <c r="FL31" s="181">
        <f t="shared" si="7"/>
        <v>0</v>
      </c>
      <c r="FM31" s="181">
        <f t="shared" si="7"/>
        <v>0</v>
      </c>
    </row>
    <row r="32" spans="1:169" ht="39.75" customHeight="1" thickBot="1" x14ac:dyDescent="0.3">
      <c r="A32" s="192"/>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row>
    <row r="33" spans="2:17" ht="27" thickTop="1" x14ac:dyDescent="0.4">
      <c r="B33" s="216" t="s">
        <v>560</v>
      </c>
      <c r="C33"/>
      <c r="J33" s="191"/>
    </row>
    <row r="34" spans="2:17" ht="61.5" customHeight="1" thickBot="1" x14ac:dyDescent="0.3">
      <c r="B34" s="142" t="s">
        <v>567</v>
      </c>
      <c r="C34"/>
      <c r="J34" s="191"/>
    </row>
    <row r="35" spans="2:17" ht="15.75" thickTop="1" x14ac:dyDescent="0.25">
      <c r="B35" s="187" t="s">
        <v>561</v>
      </c>
      <c r="C35"/>
      <c r="J35" s="191"/>
      <c r="P35" s="245" t="s">
        <v>761</v>
      </c>
      <c r="Q35" s="244" t="s">
        <v>762</v>
      </c>
    </row>
    <row r="36" spans="2:17" ht="45" x14ac:dyDescent="0.2">
      <c r="B36" s="188" t="s">
        <v>562</v>
      </c>
      <c r="C36"/>
      <c r="J36" s="191"/>
      <c r="P36" s="245" t="s">
        <v>731</v>
      </c>
      <c r="Q36" s="244" t="s">
        <v>744</v>
      </c>
    </row>
    <row r="37" spans="2:17" ht="60" x14ac:dyDescent="0.2">
      <c r="B37" s="189" t="s">
        <v>563</v>
      </c>
      <c r="C37"/>
      <c r="F37" s="191"/>
      <c r="J37" s="191"/>
      <c r="P37" s="245" t="s">
        <v>738</v>
      </c>
      <c r="Q37" s="244" t="s">
        <v>745</v>
      </c>
    </row>
    <row r="38" spans="2:17" ht="60" x14ac:dyDescent="0.2">
      <c r="B38" s="188" t="s">
        <v>564</v>
      </c>
      <c r="C38"/>
      <c r="F38" s="191"/>
      <c r="J38" s="191"/>
      <c r="P38" s="245" t="s">
        <v>786</v>
      </c>
      <c r="Q38" s="244"/>
    </row>
    <row r="39" spans="2:17" ht="135" x14ac:dyDescent="0.2">
      <c r="B39" s="188" t="s">
        <v>565</v>
      </c>
      <c r="C39"/>
      <c r="F39" s="191"/>
      <c r="J39" s="191"/>
      <c r="P39" s="245" t="s">
        <v>785</v>
      </c>
      <c r="Q39" s="244" t="s">
        <v>746</v>
      </c>
    </row>
    <row r="40" spans="2:17" x14ac:dyDescent="0.2">
      <c r="B40" s="189" t="s">
        <v>569</v>
      </c>
      <c r="C40"/>
      <c r="F40" s="214"/>
      <c r="J40" s="191"/>
      <c r="P40" s="228" t="s">
        <v>784</v>
      </c>
      <c r="Q40" s="244"/>
    </row>
    <row r="41" spans="2:17" x14ac:dyDescent="0.25">
      <c r="B41" s="190"/>
      <c r="C41"/>
      <c r="F41" s="215"/>
      <c r="J41" s="191"/>
      <c r="P41" s="228" t="s">
        <v>796</v>
      </c>
      <c r="Q41" s="237" t="s">
        <v>729</v>
      </c>
    </row>
    <row r="42" spans="2:17" x14ac:dyDescent="0.25">
      <c r="B42" s="190"/>
      <c r="C42"/>
      <c r="F42"/>
      <c r="J42" s="191"/>
      <c r="P42" s="237" t="s">
        <v>765</v>
      </c>
      <c r="Q42" s="228" t="s">
        <v>730</v>
      </c>
    </row>
    <row r="43" spans="2:17" x14ac:dyDescent="0.25">
      <c r="B43" s="190"/>
      <c r="C43"/>
      <c r="F43"/>
      <c r="J43" s="191"/>
      <c r="P43" s="228" t="s">
        <v>751</v>
      </c>
      <c r="Q43" s="228" t="s">
        <v>753</v>
      </c>
    </row>
    <row r="44" spans="2:17" ht="30" x14ac:dyDescent="0.25">
      <c r="B44" s="190"/>
      <c r="C44"/>
      <c r="F44"/>
      <c r="J44" s="191"/>
      <c r="P44" s="228" t="s">
        <v>794</v>
      </c>
      <c r="Q44" s="228" t="s">
        <v>753</v>
      </c>
    </row>
    <row r="45" spans="2:17" x14ac:dyDescent="0.25">
      <c r="B45" s="190"/>
      <c r="C45"/>
      <c r="F45"/>
      <c r="J45" s="191"/>
      <c r="P45" s="228" t="s">
        <v>752</v>
      </c>
      <c r="Q45" s="228" t="s">
        <v>754</v>
      </c>
    </row>
    <row r="46" spans="2:17" x14ac:dyDescent="0.25">
      <c r="B46" s="190"/>
      <c r="C46"/>
      <c r="F46"/>
      <c r="J46" s="191"/>
      <c r="P46" s="237" t="s">
        <v>729</v>
      </c>
      <c r="Q46" s="228" t="s">
        <v>754</v>
      </c>
    </row>
    <row r="47" spans="2:17" x14ac:dyDescent="0.25">
      <c r="B47" s="190"/>
      <c r="C47"/>
      <c r="F47"/>
      <c r="J47" s="191"/>
      <c r="P47" s="228" t="s">
        <v>764</v>
      </c>
      <c r="Q47" s="228" t="s">
        <v>763</v>
      </c>
    </row>
    <row r="48" spans="2:17" ht="60" x14ac:dyDescent="0.25">
      <c r="B48" s="190"/>
      <c r="C48"/>
      <c r="F48"/>
      <c r="J48" s="191"/>
      <c r="P48" s="228" t="s">
        <v>743</v>
      </c>
      <c r="Q48" s="228" t="s">
        <v>784</v>
      </c>
    </row>
    <row r="49" spans="2:10" x14ac:dyDescent="0.25">
      <c r="B49" s="190"/>
      <c r="C49"/>
      <c r="F49"/>
      <c r="J49" s="191"/>
    </row>
    <row r="50" spans="2:10" x14ac:dyDescent="0.25">
      <c r="B50" s="190"/>
      <c r="C50"/>
      <c r="F50"/>
      <c r="J50" s="191"/>
    </row>
    <row r="51" spans="2:10" x14ac:dyDescent="0.25">
      <c r="B51" s="190"/>
      <c r="C51"/>
      <c r="F51"/>
      <c r="J51" s="191"/>
    </row>
    <row r="52" spans="2:10" x14ac:dyDescent="0.25">
      <c r="B52" s="190"/>
      <c r="C52"/>
      <c r="F52"/>
      <c r="J52" s="191"/>
    </row>
    <row r="53" spans="2:10" x14ac:dyDescent="0.25">
      <c r="B53" s="190"/>
      <c r="C53"/>
      <c r="F53"/>
      <c r="J53" s="191"/>
    </row>
    <row r="54" spans="2:10" x14ac:dyDescent="0.25">
      <c r="B54" s="190"/>
      <c r="C54"/>
      <c r="F54"/>
      <c r="J54" s="191"/>
    </row>
    <row r="55" spans="2:10" x14ac:dyDescent="0.25">
      <c r="B55" s="190"/>
      <c r="C55"/>
      <c r="F55"/>
      <c r="J55" s="191"/>
    </row>
    <row r="56" spans="2:10" x14ac:dyDescent="0.25">
      <c r="B56" s="190"/>
      <c r="C56"/>
      <c r="F56"/>
      <c r="J56" s="191"/>
    </row>
    <row r="57" spans="2:10" x14ac:dyDescent="0.25">
      <c r="B57" s="190"/>
      <c r="C57"/>
      <c r="F57"/>
      <c r="J57" s="191"/>
    </row>
    <row r="58" spans="2:10" x14ac:dyDescent="0.25">
      <c r="B58" s="190"/>
      <c r="C58"/>
      <c r="F58"/>
      <c r="J58" s="191"/>
    </row>
    <row r="59" spans="2:10" ht="21" x14ac:dyDescent="0.25">
      <c r="B59" s="194" t="e">
        <f>SUM(#REF!)</f>
        <v>#REF!</v>
      </c>
      <c r="C59"/>
      <c r="F59"/>
      <c r="J59" s="191"/>
    </row>
    <row r="60" spans="2:10" ht="30.75" thickBot="1" x14ac:dyDescent="0.3">
      <c r="B60" s="195" t="s">
        <v>566</v>
      </c>
      <c r="C60"/>
      <c r="F60"/>
      <c r="J60" s="191"/>
    </row>
    <row r="61" spans="2:10" ht="15.75" thickTop="1" x14ac:dyDescent="0.25">
      <c r="C61"/>
      <c r="F61"/>
      <c r="J61" s="191"/>
    </row>
    <row r="62" spans="2:10" x14ac:dyDescent="0.25">
      <c r="C62"/>
      <c r="F62"/>
      <c r="J62" s="191"/>
    </row>
    <row r="63" spans="2:10" x14ac:dyDescent="0.25">
      <c r="C63"/>
      <c r="F63"/>
      <c r="J63" s="191"/>
    </row>
    <row r="64" spans="2:10" x14ac:dyDescent="0.25">
      <c r="C64"/>
      <c r="F64"/>
      <c r="J64" s="191"/>
    </row>
    <row r="65" spans="6:10" x14ac:dyDescent="0.25">
      <c r="F65"/>
      <c r="J65" s="191"/>
    </row>
    <row r="66" spans="6:10" x14ac:dyDescent="0.25">
      <c r="F66"/>
      <c r="J66" s="191"/>
    </row>
    <row r="67" spans="6:10" x14ac:dyDescent="0.25">
      <c r="F67"/>
      <c r="J67" s="191"/>
    </row>
    <row r="68" spans="6:10" x14ac:dyDescent="0.25">
      <c r="F68"/>
      <c r="J68" s="191"/>
    </row>
    <row r="69" spans="6:10" x14ac:dyDescent="0.25">
      <c r="F69"/>
      <c r="J69" s="191"/>
    </row>
    <row r="70" spans="6:10" x14ac:dyDescent="0.25">
      <c r="J70" s="191"/>
    </row>
    <row r="71" spans="6:10" x14ac:dyDescent="0.25">
      <c r="J71" s="191"/>
    </row>
    <row r="72" spans="6:10" x14ac:dyDescent="0.25">
      <c r="J72" s="191"/>
    </row>
    <row r="73" spans="6:10" x14ac:dyDescent="0.25">
      <c r="J73" s="191"/>
    </row>
    <row r="74" spans="6:10" x14ac:dyDescent="0.25">
      <c r="J74" s="191"/>
    </row>
    <row r="75" spans="6:10" x14ac:dyDescent="0.25">
      <c r="J75" s="191"/>
    </row>
    <row r="76" spans="6:10" x14ac:dyDescent="0.25">
      <c r="J76" s="191"/>
    </row>
    <row r="77" spans="6:10" x14ac:dyDescent="0.25">
      <c r="J77" s="191"/>
    </row>
    <row r="78" spans="6:10" x14ac:dyDescent="0.25">
      <c r="J78" s="191"/>
    </row>
    <row r="79" spans="6:10" x14ac:dyDescent="0.25">
      <c r="J79" s="191"/>
    </row>
    <row r="80" spans="6:10" x14ac:dyDescent="0.25">
      <c r="J80" s="191"/>
    </row>
    <row r="81" spans="10:10" x14ac:dyDescent="0.25">
      <c r="J81" s="191"/>
    </row>
    <row r="82" spans="10:10" x14ac:dyDescent="0.25">
      <c r="J82" s="191"/>
    </row>
    <row r="83" spans="10:10" x14ac:dyDescent="0.25">
      <c r="J83" s="191"/>
    </row>
    <row r="84" spans="10:10" x14ac:dyDescent="0.25">
      <c r="J84" s="191"/>
    </row>
    <row r="85" spans="10:10" x14ac:dyDescent="0.25">
      <c r="J85" s="191"/>
    </row>
    <row r="86" spans="10:10" x14ac:dyDescent="0.25">
      <c r="J86" s="191"/>
    </row>
    <row r="87" spans="10:10" x14ac:dyDescent="0.25">
      <c r="J87" s="191"/>
    </row>
    <row r="88" spans="10:10" x14ac:dyDescent="0.25">
      <c r="J88" s="191"/>
    </row>
    <row r="89" spans="10:10" x14ac:dyDescent="0.25">
      <c r="J89" s="191"/>
    </row>
    <row r="90" spans="10:10" x14ac:dyDescent="0.25">
      <c r="J90" s="191"/>
    </row>
    <row r="91" spans="10:10" x14ac:dyDescent="0.25">
      <c r="J91" s="191"/>
    </row>
    <row r="92" spans="10:10" x14ac:dyDescent="0.25">
      <c r="J92" s="191"/>
    </row>
    <row r="93" spans="10:10" x14ac:dyDescent="0.25">
      <c r="J93" s="191"/>
    </row>
    <row r="94" spans="10:10" x14ac:dyDescent="0.25">
      <c r="J94" s="191"/>
    </row>
    <row r="95" spans="10:10" x14ac:dyDescent="0.25">
      <c r="J95" s="191"/>
    </row>
    <row r="96" spans="10:10" x14ac:dyDescent="0.25">
      <c r="J96" s="191"/>
    </row>
    <row r="97" spans="10:10" x14ac:dyDescent="0.25">
      <c r="J97" s="191"/>
    </row>
    <row r="98" spans="10:10" x14ac:dyDescent="0.25">
      <c r="J98" s="191"/>
    </row>
    <row r="99" spans="10:10" x14ac:dyDescent="0.25">
      <c r="J99" s="191"/>
    </row>
    <row r="100" spans="10:10" x14ac:dyDescent="0.25">
      <c r="J100" s="191"/>
    </row>
    <row r="101" spans="10:10" x14ac:dyDescent="0.25">
      <c r="J101" s="191"/>
    </row>
    <row r="102" spans="10:10" x14ac:dyDescent="0.25">
      <c r="J102" s="191"/>
    </row>
    <row r="103" spans="10:10" x14ac:dyDescent="0.25">
      <c r="J103" s="191"/>
    </row>
    <row r="104" spans="10:10" x14ac:dyDescent="0.25">
      <c r="J104" s="191"/>
    </row>
    <row r="105" spans="10:10" x14ac:dyDescent="0.25">
      <c r="J105" s="191"/>
    </row>
    <row r="106" spans="10:10" x14ac:dyDescent="0.25">
      <c r="J106" s="191"/>
    </row>
    <row r="107" spans="10:10" x14ac:dyDescent="0.25">
      <c r="J107" s="191"/>
    </row>
    <row r="108" spans="10:10" x14ac:dyDescent="0.25">
      <c r="J108" s="191"/>
    </row>
    <row r="109" spans="10:10" x14ac:dyDescent="0.25">
      <c r="J109" s="191"/>
    </row>
    <row r="110" spans="10:10" x14ac:dyDescent="0.25">
      <c r="J110" s="191"/>
    </row>
    <row r="111" spans="10:10" x14ac:dyDescent="0.25">
      <c r="J111" s="191"/>
    </row>
    <row r="112" spans="10:10" x14ac:dyDescent="0.25">
      <c r="J112" s="191"/>
    </row>
    <row r="113" spans="10:10" x14ac:dyDescent="0.25">
      <c r="J113" s="191"/>
    </row>
    <row r="114" spans="10:10" x14ac:dyDescent="0.25">
      <c r="J114" s="191"/>
    </row>
    <row r="115" spans="10:10" x14ac:dyDescent="0.25">
      <c r="J115" s="191"/>
    </row>
    <row r="116" spans="10:10" x14ac:dyDescent="0.25">
      <c r="J116" s="191"/>
    </row>
    <row r="117" spans="10:10" x14ac:dyDescent="0.25">
      <c r="J117" s="191"/>
    </row>
    <row r="118" spans="10:10" x14ac:dyDescent="0.25">
      <c r="J118" s="191"/>
    </row>
    <row r="119" spans="10:10" x14ac:dyDescent="0.25">
      <c r="J119" s="191"/>
    </row>
    <row r="120" spans="10:10" x14ac:dyDescent="0.25">
      <c r="J120" s="191"/>
    </row>
    <row r="121" spans="10:10" x14ac:dyDescent="0.25">
      <c r="J121" s="191"/>
    </row>
    <row r="122" spans="10:10" x14ac:dyDescent="0.25">
      <c r="J122" s="191"/>
    </row>
    <row r="123" spans="10:10" x14ac:dyDescent="0.25">
      <c r="J123" s="191"/>
    </row>
    <row r="124" spans="10:10" x14ac:dyDescent="0.25">
      <c r="J124" s="191"/>
    </row>
    <row r="125" spans="10:10" x14ac:dyDescent="0.25">
      <c r="J125" s="191"/>
    </row>
    <row r="126" spans="10:10" x14ac:dyDescent="0.25">
      <c r="J126" s="191"/>
    </row>
    <row r="127" spans="10:10" x14ac:dyDescent="0.25">
      <c r="J127" s="191"/>
    </row>
    <row r="128" spans="10:10" x14ac:dyDescent="0.25">
      <c r="J128" s="191"/>
    </row>
    <row r="129" spans="10:10" x14ac:dyDescent="0.25">
      <c r="J129" s="191"/>
    </row>
    <row r="130" spans="10:10" x14ac:dyDescent="0.25">
      <c r="J130" s="191"/>
    </row>
    <row r="131" spans="10:10" x14ac:dyDescent="0.25">
      <c r="J131" s="191"/>
    </row>
    <row r="132" spans="10:10" x14ac:dyDescent="0.25">
      <c r="J132" s="191"/>
    </row>
    <row r="133" spans="10:10" x14ac:dyDescent="0.25">
      <c r="J133" s="191"/>
    </row>
    <row r="134" spans="10:10" x14ac:dyDescent="0.25">
      <c r="J134" s="191"/>
    </row>
    <row r="135" spans="10:10" x14ac:dyDescent="0.25">
      <c r="J135" s="191"/>
    </row>
    <row r="136" spans="10:10" x14ac:dyDescent="0.25">
      <c r="J136" s="191"/>
    </row>
    <row r="137" spans="10:10" x14ac:dyDescent="0.25">
      <c r="J137" s="191"/>
    </row>
    <row r="138" spans="10:10" x14ac:dyDescent="0.25">
      <c r="J138" s="191"/>
    </row>
    <row r="139" spans="10:10" x14ac:dyDescent="0.25">
      <c r="J139" s="191"/>
    </row>
    <row r="140" spans="10:10" x14ac:dyDescent="0.25">
      <c r="J140" s="191"/>
    </row>
    <row r="141" spans="10:10" x14ac:dyDescent="0.25">
      <c r="J141" s="191"/>
    </row>
    <row r="142" spans="10:10" x14ac:dyDescent="0.25">
      <c r="J142" s="191"/>
    </row>
    <row r="143" spans="10:10" x14ac:dyDescent="0.25">
      <c r="J143" s="191"/>
    </row>
    <row r="144" spans="10:10" x14ac:dyDescent="0.25">
      <c r="J144" s="191"/>
    </row>
    <row r="145" spans="10:10" x14ac:dyDescent="0.25">
      <c r="J145" s="191"/>
    </row>
    <row r="146" spans="10:10" x14ac:dyDescent="0.25">
      <c r="J146" s="191"/>
    </row>
    <row r="147" spans="10:10" x14ac:dyDescent="0.25">
      <c r="J147" s="191"/>
    </row>
    <row r="148" spans="10:10" x14ac:dyDescent="0.25">
      <c r="J148" s="191"/>
    </row>
    <row r="149" spans="10:10" x14ac:dyDescent="0.25">
      <c r="J149" s="191"/>
    </row>
    <row r="150" spans="10:10" x14ac:dyDescent="0.25">
      <c r="J150" s="191"/>
    </row>
    <row r="151" spans="10:10" x14ac:dyDescent="0.25">
      <c r="J151" s="191"/>
    </row>
    <row r="152" spans="10:10" x14ac:dyDescent="0.25">
      <c r="J152" s="191"/>
    </row>
    <row r="153" spans="10:10" x14ac:dyDescent="0.25">
      <c r="J153" s="191"/>
    </row>
    <row r="154" spans="10:10" x14ac:dyDescent="0.25">
      <c r="J154" s="191"/>
    </row>
    <row r="155" spans="10:10" x14ac:dyDescent="0.25">
      <c r="J155" s="191"/>
    </row>
    <row r="156" spans="10:10" x14ac:dyDescent="0.25">
      <c r="J156" s="191"/>
    </row>
    <row r="157" spans="10:10" x14ac:dyDescent="0.25">
      <c r="J157" s="191"/>
    </row>
    <row r="158" spans="10:10" x14ac:dyDescent="0.25">
      <c r="J158" s="191"/>
    </row>
    <row r="159" spans="10:10" x14ac:dyDescent="0.25">
      <c r="J159" s="191"/>
    </row>
    <row r="160" spans="10:10" x14ac:dyDescent="0.25">
      <c r="J160" s="191"/>
    </row>
    <row r="161" spans="10:10" x14ac:dyDescent="0.25">
      <c r="J161" s="191"/>
    </row>
    <row r="162" spans="10:10" x14ac:dyDescent="0.25">
      <c r="J162" s="191"/>
    </row>
    <row r="163" spans="10:10" x14ac:dyDescent="0.25">
      <c r="J163" s="191"/>
    </row>
    <row r="164" spans="10:10" x14ac:dyDescent="0.25">
      <c r="J164" s="191"/>
    </row>
    <row r="165" spans="10:10" x14ac:dyDescent="0.25">
      <c r="J165" s="191"/>
    </row>
    <row r="166" spans="10:10" x14ac:dyDescent="0.25">
      <c r="J166" s="191"/>
    </row>
    <row r="167" spans="10:10" x14ac:dyDescent="0.25">
      <c r="J167" s="191"/>
    </row>
    <row r="168" spans="10:10" x14ac:dyDescent="0.25">
      <c r="J168" s="191"/>
    </row>
    <row r="169" spans="10:10" x14ac:dyDescent="0.25">
      <c r="J169" s="191"/>
    </row>
    <row r="170" spans="10:10" x14ac:dyDescent="0.25">
      <c r="J170" s="191"/>
    </row>
    <row r="171" spans="10:10" x14ac:dyDescent="0.25">
      <c r="J171" s="191"/>
    </row>
    <row r="172" spans="10:10" x14ac:dyDescent="0.25">
      <c r="J172" s="191"/>
    </row>
    <row r="173" spans="10:10" x14ac:dyDescent="0.25">
      <c r="J173" s="191"/>
    </row>
    <row r="174" spans="10:10" x14ac:dyDescent="0.25">
      <c r="J174" s="191"/>
    </row>
    <row r="175" spans="10:10" x14ac:dyDescent="0.25">
      <c r="J175" s="191"/>
    </row>
    <row r="176" spans="10:10" x14ac:dyDescent="0.25">
      <c r="J176" s="191"/>
    </row>
    <row r="177" spans="10:10" x14ac:dyDescent="0.25">
      <c r="J177" s="191"/>
    </row>
    <row r="178" spans="10:10" x14ac:dyDescent="0.25">
      <c r="J178" s="191"/>
    </row>
    <row r="179" spans="10:10" x14ac:dyDescent="0.25">
      <c r="J179" s="191"/>
    </row>
    <row r="180" spans="10:10" x14ac:dyDescent="0.25">
      <c r="J180" s="191"/>
    </row>
    <row r="181" spans="10:10" x14ac:dyDescent="0.25">
      <c r="J181" s="191"/>
    </row>
    <row r="182" spans="10:10" x14ac:dyDescent="0.25">
      <c r="J182" s="191"/>
    </row>
    <row r="183" spans="10:10" x14ac:dyDescent="0.25">
      <c r="J183" s="191"/>
    </row>
    <row r="184" spans="10:10" x14ac:dyDescent="0.25">
      <c r="J184" s="191"/>
    </row>
    <row r="185" spans="10:10" x14ac:dyDescent="0.25">
      <c r="J185" s="191"/>
    </row>
    <row r="186" spans="10:10" x14ac:dyDescent="0.25">
      <c r="J186" s="191"/>
    </row>
    <row r="187" spans="10:10" x14ac:dyDescent="0.25">
      <c r="J187" s="191"/>
    </row>
    <row r="188" spans="10:10" x14ac:dyDescent="0.25">
      <c r="J188" s="191"/>
    </row>
    <row r="189" spans="10:10" x14ac:dyDescent="0.25">
      <c r="J189" s="191"/>
    </row>
    <row r="190" spans="10:10" x14ac:dyDescent="0.25">
      <c r="J190" s="191"/>
    </row>
    <row r="191" spans="10:10" x14ac:dyDescent="0.25">
      <c r="J191" s="191"/>
    </row>
    <row r="192" spans="10:10" x14ac:dyDescent="0.25">
      <c r="J192" s="191"/>
    </row>
    <row r="193" spans="10:10" x14ac:dyDescent="0.25">
      <c r="J193" s="191"/>
    </row>
    <row r="194" spans="10:10" x14ac:dyDescent="0.25">
      <c r="J194" s="191"/>
    </row>
    <row r="195" spans="10:10" x14ac:dyDescent="0.25">
      <c r="J195" s="191"/>
    </row>
    <row r="196" spans="10:10" x14ac:dyDescent="0.25">
      <c r="J196" s="191"/>
    </row>
    <row r="197" spans="10:10" x14ac:dyDescent="0.25">
      <c r="J197" s="191"/>
    </row>
    <row r="198" spans="10:10" x14ac:dyDescent="0.25">
      <c r="J198" s="191"/>
    </row>
    <row r="199" spans="10:10" x14ac:dyDescent="0.25">
      <c r="J199" s="191"/>
    </row>
    <row r="200" spans="10:10" x14ac:dyDescent="0.25">
      <c r="J200" s="191"/>
    </row>
    <row r="201" spans="10:10" x14ac:dyDescent="0.25">
      <c r="J201" s="191"/>
    </row>
    <row r="202" spans="10:10" x14ac:dyDescent="0.25">
      <c r="J202" s="191"/>
    </row>
    <row r="203" spans="10:10" x14ac:dyDescent="0.25">
      <c r="J203" s="191"/>
    </row>
    <row r="204" spans="10:10" x14ac:dyDescent="0.25">
      <c r="J204" s="191"/>
    </row>
    <row r="205" spans="10:10" x14ac:dyDescent="0.25">
      <c r="J205" s="191"/>
    </row>
    <row r="206" spans="10:10" x14ac:dyDescent="0.25">
      <c r="J206" s="191"/>
    </row>
    <row r="207" spans="10:10" x14ac:dyDescent="0.25">
      <c r="J207" s="191"/>
    </row>
    <row r="208" spans="10:10" x14ac:dyDescent="0.25">
      <c r="J208" s="191"/>
    </row>
    <row r="209" spans="10:10" x14ac:dyDescent="0.25">
      <c r="J209" s="191"/>
    </row>
    <row r="210" spans="10:10" x14ac:dyDescent="0.25">
      <c r="J210" s="191"/>
    </row>
    <row r="211" spans="10:10" x14ac:dyDescent="0.25">
      <c r="J211" s="191"/>
    </row>
    <row r="212" spans="10:10" x14ac:dyDescent="0.25">
      <c r="J212" s="191"/>
    </row>
    <row r="213" spans="10:10" x14ac:dyDescent="0.25">
      <c r="J213" s="191"/>
    </row>
    <row r="214" spans="10:10" x14ac:dyDescent="0.25">
      <c r="J214" s="191"/>
    </row>
    <row r="215" spans="10:10" x14ac:dyDescent="0.25">
      <c r="J215" s="191"/>
    </row>
    <row r="216" spans="10:10" x14ac:dyDescent="0.25">
      <c r="J216" s="191"/>
    </row>
    <row r="217" spans="10:10" x14ac:dyDescent="0.25">
      <c r="J217" s="191"/>
    </row>
    <row r="218" spans="10:10" x14ac:dyDescent="0.25">
      <c r="J218" s="191"/>
    </row>
    <row r="219" spans="10:10" x14ac:dyDescent="0.25">
      <c r="J219" s="191"/>
    </row>
    <row r="220" spans="10:10" x14ac:dyDescent="0.25">
      <c r="J220" s="191"/>
    </row>
    <row r="221" spans="10:10" x14ac:dyDescent="0.25">
      <c r="J221" s="191"/>
    </row>
    <row r="222" spans="10:10" x14ac:dyDescent="0.25">
      <c r="J222" s="191"/>
    </row>
    <row r="223" spans="10:10" x14ac:dyDescent="0.25">
      <c r="J223" s="191"/>
    </row>
    <row r="224" spans="10:10" x14ac:dyDescent="0.25">
      <c r="J224" s="191"/>
    </row>
    <row r="225" spans="10:10" x14ac:dyDescent="0.25">
      <c r="J225" s="191"/>
    </row>
    <row r="226" spans="10:10" x14ac:dyDescent="0.25">
      <c r="J226" s="191"/>
    </row>
    <row r="227" spans="10:10" x14ac:dyDescent="0.25">
      <c r="J227" s="191"/>
    </row>
    <row r="228" spans="10:10" x14ac:dyDescent="0.25">
      <c r="J228" s="191"/>
    </row>
    <row r="229" spans="10:10" x14ac:dyDescent="0.25">
      <c r="J229" s="191"/>
    </row>
    <row r="230" spans="10:10" x14ac:dyDescent="0.25">
      <c r="J230" s="191"/>
    </row>
    <row r="231" spans="10:10" x14ac:dyDescent="0.25">
      <c r="J231" s="191"/>
    </row>
    <row r="232" spans="10:10" x14ac:dyDescent="0.25">
      <c r="J232" s="191"/>
    </row>
    <row r="233" spans="10:10" x14ac:dyDescent="0.25">
      <c r="J233" s="191"/>
    </row>
    <row r="234" spans="10:10" x14ac:dyDescent="0.25">
      <c r="J234" s="191"/>
    </row>
    <row r="235" spans="10:10" x14ac:dyDescent="0.25">
      <c r="J235" s="191"/>
    </row>
    <row r="236" spans="10:10" x14ac:dyDescent="0.25">
      <c r="J236" s="191"/>
    </row>
    <row r="237" spans="10:10" x14ac:dyDescent="0.25">
      <c r="J237" s="191"/>
    </row>
    <row r="238" spans="10:10" x14ac:dyDescent="0.25">
      <c r="J238" s="191"/>
    </row>
    <row r="239" spans="10:10" x14ac:dyDescent="0.25">
      <c r="J239" s="191"/>
    </row>
    <row r="240" spans="10:10" x14ac:dyDescent="0.25">
      <c r="J240" s="191"/>
    </row>
    <row r="241" spans="10:10" x14ac:dyDescent="0.25">
      <c r="J241" s="191"/>
    </row>
    <row r="242" spans="10:10" x14ac:dyDescent="0.25">
      <c r="J242" s="191"/>
    </row>
    <row r="243" spans="10:10" x14ac:dyDescent="0.25">
      <c r="J243" s="191"/>
    </row>
    <row r="244" spans="10:10" x14ac:dyDescent="0.25">
      <c r="J244" s="191"/>
    </row>
    <row r="245" spans="10:10" x14ac:dyDescent="0.25">
      <c r="J245" s="191"/>
    </row>
    <row r="246" spans="10:10" x14ac:dyDescent="0.25">
      <c r="J246" s="191"/>
    </row>
    <row r="247" spans="10:10" x14ac:dyDescent="0.25">
      <c r="J247" s="191"/>
    </row>
    <row r="248" spans="10:10" x14ac:dyDescent="0.25">
      <c r="J248" s="191"/>
    </row>
    <row r="249" spans="10:10" x14ac:dyDescent="0.25">
      <c r="J249" s="191"/>
    </row>
    <row r="250" spans="10:10" x14ac:dyDescent="0.25">
      <c r="J250" s="191"/>
    </row>
    <row r="251" spans="10:10" x14ac:dyDescent="0.25">
      <c r="J251" s="191"/>
    </row>
    <row r="252" spans="10:10" x14ac:dyDescent="0.25">
      <c r="J252" s="191"/>
    </row>
    <row r="253" spans="10:10" x14ac:dyDescent="0.25">
      <c r="J253" s="191"/>
    </row>
    <row r="254" spans="10:10" x14ac:dyDescent="0.25">
      <c r="J254" s="191"/>
    </row>
    <row r="255" spans="10:10" x14ac:dyDescent="0.25">
      <c r="J255" s="191"/>
    </row>
    <row r="256" spans="10:10" x14ac:dyDescent="0.25">
      <c r="J256" s="191"/>
    </row>
    <row r="257" spans="10:10" x14ac:dyDescent="0.25">
      <c r="J257" s="191"/>
    </row>
    <row r="258" spans="10:10" x14ac:dyDescent="0.25">
      <c r="J258" s="191"/>
    </row>
    <row r="259" spans="10:10" x14ac:dyDescent="0.25">
      <c r="J259" s="191"/>
    </row>
    <row r="260" spans="10:10" x14ac:dyDescent="0.25">
      <c r="J260" s="191"/>
    </row>
    <row r="261" spans="10:10" x14ac:dyDescent="0.25">
      <c r="J261" s="191"/>
    </row>
    <row r="262" spans="10:10" x14ac:dyDescent="0.25">
      <c r="J262" s="191"/>
    </row>
    <row r="263" spans="10:10" x14ac:dyDescent="0.25">
      <c r="J263" s="191"/>
    </row>
    <row r="264" spans="10:10" x14ac:dyDescent="0.25">
      <c r="J264" s="191"/>
    </row>
    <row r="265" spans="10:10" x14ac:dyDescent="0.25">
      <c r="J265" s="191"/>
    </row>
    <row r="266" spans="10:10" x14ac:dyDescent="0.25">
      <c r="J266" s="191"/>
    </row>
    <row r="267" spans="10:10" x14ac:dyDescent="0.25">
      <c r="J267" s="191"/>
    </row>
    <row r="268" spans="10:10" x14ac:dyDescent="0.25">
      <c r="J268" s="191"/>
    </row>
    <row r="269" spans="10:10" x14ac:dyDescent="0.25">
      <c r="J269" s="191"/>
    </row>
    <row r="270" spans="10:10" x14ac:dyDescent="0.25">
      <c r="J270" s="191"/>
    </row>
    <row r="271" spans="10:10" x14ac:dyDescent="0.25">
      <c r="J271" s="191"/>
    </row>
    <row r="272" spans="10:10" x14ac:dyDescent="0.25">
      <c r="J272" s="191"/>
    </row>
    <row r="273" spans="10:10" x14ac:dyDescent="0.25">
      <c r="J273" s="191"/>
    </row>
    <row r="274" spans="10:10" x14ac:dyDescent="0.25">
      <c r="J274" s="191"/>
    </row>
    <row r="275" spans="10:10" x14ac:dyDescent="0.25">
      <c r="J275" s="191"/>
    </row>
    <row r="276" spans="10:10" x14ac:dyDescent="0.25">
      <c r="J276" s="191"/>
    </row>
    <row r="277" spans="10:10" x14ac:dyDescent="0.25">
      <c r="J277" s="191"/>
    </row>
    <row r="278" spans="10:10" x14ac:dyDescent="0.25">
      <c r="J278" s="191"/>
    </row>
    <row r="279" spans="10:10" x14ac:dyDescent="0.25">
      <c r="J279" s="191"/>
    </row>
    <row r="280" spans="10:10" x14ac:dyDescent="0.25">
      <c r="J280" s="191"/>
    </row>
    <row r="281" spans="10:10" x14ac:dyDescent="0.25">
      <c r="J281" s="191"/>
    </row>
    <row r="282" spans="10:10" x14ac:dyDescent="0.25">
      <c r="J282" s="191"/>
    </row>
    <row r="283" spans="10:10" x14ac:dyDescent="0.25">
      <c r="J283" s="191"/>
    </row>
    <row r="284" spans="10:10" x14ac:dyDescent="0.25">
      <c r="J284" s="191"/>
    </row>
    <row r="285" spans="10:10" x14ac:dyDescent="0.25">
      <c r="J285" s="191"/>
    </row>
    <row r="286" spans="10:10" x14ac:dyDescent="0.25">
      <c r="J286" s="191"/>
    </row>
    <row r="287" spans="10:10" x14ac:dyDescent="0.25">
      <c r="J287" s="191"/>
    </row>
    <row r="288" spans="10:10" x14ac:dyDescent="0.25">
      <c r="J288" s="191"/>
    </row>
    <row r="289" spans="10:10" x14ac:dyDescent="0.25">
      <c r="J289" s="191"/>
    </row>
    <row r="290" spans="10:10" x14ac:dyDescent="0.25">
      <c r="J290" s="191"/>
    </row>
    <row r="291" spans="10:10" x14ac:dyDescent="0.25">
      <c r="J291" s="191"/>
    </row>
    <row r="292" spans="10:10" x14ac:dyDescent="0.25">
      <c r="J292" s="191"/>
    </row>
    <row r="293" spans="10:10" x14ac:dyDescent="0.25">
      <c r="J293" s="191"/>
    </row>
    <row r="294" spans="10:10" x14ac:dyDescent="0.25">
      <c r="J294" s="191"/>
    </row>
    <row r="295" spans="10:10" x14ac:dyDescent="0.25">
      <c r="J295" s="191"/>
    </row>
    <row r="296" spans="10:10" x14ac:dyDescent="0.25">
      <c r="J296" s="191"/>
    </row>
    <row r="297" spans="10:10" x14ac:dyDescent="0.25">
      <c r="J297" s="191"/>
    </row>
    <row r="298" spans="10:10" x14ac:dyDescent="0.25">
      <c r="J298" s="191"/>
    </row>
    <row r="299" spans="10:10" x14ac:dyDescent="0.25">
      <c r="J299" s="191"/>
    </row>
    <row r="300" spans="10:10" x14ac:dyDescent="0.25">
      <c r="J300" s="191"/>
    </row>
    <row r="301" spans="10:10" x14ac:dyDescent="0.25">
      <c r="J301" s="191"/>
    </row>
    <row r="302" spans="10:10" x14ac:dyDescent="0.25">
      <c r="J302" s="191"/>
    </row>
    <row r="303" spans="10:10" x14ac:dyDescent="0.25">
      <c r="J303" s="191"/>
    </row>
    <row r="304" spans="10:10" x14ac:dyDescent="0.25">
      <c r="J304" s="191"/>
    </row>
    <row r="305" spans="10:10" x14ac:dyDescent="0.25">
      <c r="J305" s="191"/>
    </row>
    <row r="306" spans="10:10" x14ac:dyDescent="0.25">
      <c r="J306" s="191"/>
    </row>
    <row r="307" spans="10:10" x14ac:dyDescent="0.25">
      <c r="J307" s="191"/>
    </row>
    <row r="308" spans="10:10" x14ac:dyDescent="0.25">
      <c r="J308" s="191"/>
    </row>
    <row r="309" spans="10:10" x14ac:dyDescent="0.25">
      <c r="J309" s="191"/>
    </row>
    <row r="310" spans="10:10" x14ac:dyDescent="0.25">
      <c r="J310" s="191"/>
    </row>
    <row r="311" spans="10:10" x14ac:dyDescent="0.25">
      <c r="J311" s="191"/>
    </row>
    <row r="312" spans="10:10" x14ac:dyDescent="0.25">
      <c r="J312" s="191"/>
    </row>
    <row r="313" spans="10:10" x14ac:dyDescent="0.25">
      <c r="J313" s="191"/>
    </row>
    <row r="314" spans="10:10" x14ac:dyDescent="0.25">
      <c r="J314" s="191"/>
    </row>
    <row r="315" spans="10:10" x14ac:dyDescent="0.25">
      <c r="J315" s="191"/>
    </row>
    <row r="316" spans="10:10" x14ac:dyDescent="0.25">
      <c r="J316" s="191"/>
    </row>
    <row r="317" spans="10:10" x14ac:dyDescent="0.25">
      <c r="J317" s="191"/>
    </row>
    <row r="318" spans="10:10" x14ac:dyDescent="0.25">
      <c r="J318" s="191"/>
    </row>
    <row r="319" spans="10:10" x14ac:dyDescent="0.25">
      <c r="J319" s="191"/>
    </row>
    <row r="320" spans="10:10" x14ac:dyDescent="0.25">
      <c r="J320" s="191"/>
    </row>
    <row r="321" spans="10:10" x14ac:dyDescent="0.25">
      <c r="J321" s="191"/>
    </row>
    <row r="322" spans="10:10" x14ac:dyDescent="0.25">
      <c r="J322" s="191"/>
    </row>
    <row r="323" spans="10:10" x14ac:dyDescent="0.25">
      <c r="J323" s="191"/>
    </row>
    <row r="324" spans="10:10" x14ac:dyDescent="0.25">
      <c r="J324" s="191"/>
    </row>
    <row r="325" spans="10:10" x14ac:dyDescent="0.25">
      <c r="J325" s="191"/>
    </row>
    <row r="326" spans="10:10" x14ac:dyDescent="0.25">
      <c r="J326" s="191"/>
    </row>
    <row r="327" spans="10:10" x14ac:dyDescent="0.25">
      <c r="J327" s="191"/>
    </row>
    <row r="328" spans="10:10" x14ac:dyDescent="0.25">
      <c r="J328" s="191"/>
    </row>
    <row r="329" spans="10:10" x14ac:dyDescent="0.25">
      <c r="J329" s="191"/>
    </row>
    <row r="330" spans="10:10" x14ac:dyDescent="0.25">
      <c r="J330" s="191"/>
    </row>
    <row r="331" spans="10:10" x14ac:dyDescent="0.25">
      <c r="J331" s="191"/>
    </row>
    <row r="332" spans="10:10" x14ac:dyDescent="0.25">
      <c r="J332" s="191"/>
    </row>
    <row r="333" spans="10:10" x14ac:dyDescent="0.25">
      <c r="J333" s="191"/>
    </row>
    <row r="334" spans="10:10" x14ac:dyDescent="0.25">
      <c r="J334" s="191"/>
    </row>
    <row r="335" spans="10:10" x14ac:dyDescent="0.25">
      <c r="J335" s="191"/>
    </row>
    <row r="336" spans="10:10" x14ac:dyDescent="0.25">
      <c r="J336" s="191"/>
    </row>
    <row r="337" spans="10:10" x14ac:dyDescent="0.25">
      <c r="J337" s="191"/>
    </row>
    <row r="338" spans="10:10" x14ac:dyDescent="0.25">
      <c r="J338" s="191"/>
    </row>
    <row r="339" spans="10:10" x14ac:dyDescent="0.25">
      <c r="J339" s="191"/>
    </row>
    <row r="340" spans="10:10" x14ac:dyDescent="0.25">
      <c r="J340" s="191"/>
    </row>
    <row r="341" spans="10:10" x14ac:dyDescent="0.25">
      <c r="J341" s="191"/>
    </row>
    <row r="342" spans="10:10" x14ac:dyDescent="0.25">
      <c r="J342" s="191"/>
    </row>
    <row r="343" spans="10:10" x14ac:dyDescent="0.25">
      <c r="J343" s="191"/>
    </row>
    <row r="344" spans="10:10" x14ac:dyDescent="0.25">
      <c r="J344" s="191"/>
    </row>
  </sheetData>
  <conditionalFormatting sqref="E15 E18:E19 E21:E22 D27 E12 G13:G17 E7:F8 G21:H24 H19:H20 H25:H28 K21:P22 T23:FM23 D9:I9 AB24:FM27 K24:K27 J18:FM20 H7:I8 K9:Q9 J11:J15 J20:J22 K10:L11 R21:FM22 P10:Q10 K12:FM12 I16:FM17 J13:FM13 J14:O14 I15:O15 K7:N8 N23:O24 O25:Q26 O27 P14:FM15 P17:P28 S9:FM9 R24:AA26 S27:AA29 P7:FM8 Q16:Q29 T10:FM11">
    <cfRule type="expression" dxfId="925" priority="924">
      <formula xml:space="preserve"> INDIRECT(CHAR(COLUMN()+96) &amp; 4) = TODAY() * NOT(ISBLANK(INDIRECT(CHAR(COLUMN()+96) &amp; ROW())))</formula>
    </cfRule>
    <cfRule type="expression" dxfId="924" priority="925">
      <formula xml:space="preserve"> INDIRECT(CHAR(COLUMN()+96) &amp; 4) = TODAY() * ISBLANK(INDIRECT(CHAR(COLUMN()+96) &amp; ROW()))</formula>
    </cfRule>
  </conditionalFormatting>
  <conditionalFormatting sqref="A4:FM6">
    <cfRule type="timePeriod" dxfId="923" priority="926" timePeriod="today">
      <formula>FLOOR(A4,1)=TODAY()</formula>
    </cfRule>
    <cfRule type="timePeriod" dxfId="922" priority="927" timePeriod="tomorrow">
      <formula>FLOOR(A4,1)=TODAY()+1</formula>
    </cfRule>
    <cfRule type="timePeriod" dxfId="921" priority="928" timePeriod="yesterday">
      <formula>FLOOR(A4,1)=TODAY()-1</formula>
    </cfRule>
  </conditionalFormatting>
  <conditionalFormatting sqref="E15 E18:E19 E21:E22 E12 A7:B30 D27 G13:G17 E7:F8 G21:H24 H19:H20 H25:H28 K21:P22 T23:FM23 D9:I9 AB24:FM27 K24:K27 J18:FM20 H7:I8 K9:Q9 J11:J15 J20:J22 K10:L11 R21:FM22 P10:Q10 K12:FM12 I16:FM17 J13:FM13 J14:O14 I15:O15 K7:N8 N23:O24 O25:Q26 O27 P14:FM15 P17:P28 S9:FM9 R24:AA26 S27:AA29 P7:FM8 Q16:Q29 T10:FM11">
    <cfRule type="expression" dxfId="920" priority="921">
      <formula>INDIRECT("A"&amp;3) = INDIRECT("A"&amp;ROW())</formula>
    </cfRule>
  </conditionalFormatting>
  <conditionalFormatting sqref="A2:A3 B2:FM2 A1:FM1">
    <cfRule type="expression" dxfId="919" priority="922">
      <formula xml:space="preserve"> INDIRECT(CHAR(COLUMN()+96) &amp; 4) = TODAY() * ISBLANK(INDIRECT(CHAR(COLUMN()+96) &amp; ROW()))</formula>
    </cfRule>
  </conditionalFormatting>
  <conditionalFormatting sqref="E18:E19 E15 E21:E22 D27 A31:FM31 E12 G13:G17 E7:F8 G21:H24 H19:H20 H25:H28 K21:P22 T23:FM23 D9:I9 AB24:FM27 K24:K27 J18:FM20 H7:I8 K9:Q9 J11:J15 J20:J22 K10:L11 R21:FM22 P10:Q10 K12:FM12 I16:FM17 J13:FM13 J14:O14 I15:O15 K7:N8 N23:O24 O25:Q26 O27 P14:FM15 P17:P28 S9:FM9 R24:AA26 S27:AA29 P7:FM8 Q16:Q29 T10:FM11">
    <cfRule type="colorScale" priority="923">
      <colorScale>
        <cfvo type="num" val="0"/>
        <cfvo type="num" val="0.5"/>
        <cfvo type="num" val="1"/>
        <color rgb="FFF8696B"/>
        <color rgb="FFFFEB84"/>
        <color rgb="FF63BE7B"/>
      </colorScale>
    </cfRule>
  </conditionalFormatting>
  <conditionalFormatting sqref="E20">
    <cfRule type="expression" dxfId="918" priority="919">
      <formula xml:space="preserve"> INDIRECT(CHAR(COLUMN()+96) &amp; 4) = TODAY() * NOT(ISBLANK(INDIRECT(CHAR(COLUMN()+96) &amp; ROW())))</formula>
    </cfRule>
    <cfRule type="expression" dxfId="917" priority="920">
      <formula xml:space="preserve"> INDIRECT(CHAR(COLUMN()+96) &amp; 4) = TODAY() * ISBLANK(INDIRECT(CHAR(COLUMN()+96) &amp; ROW()))</formula>
    </cfRule>
  </conditionalFormatting>
  <conditionalFormatting sqref="E20">
    <cfRule type="expression" dxfId="916" priority="917">
      <formula>INDIRECT("A"&amp;3) = INDIRECT("A"&amp;ROW())</formula>
    </cfRule>
  </conditionalFormatting>
  <conditionalFormatting sqref="E20">
    <cfRule type="colorScale" priority="918">
      <colorScale>
        <cfvo type="num" val="0"/>
        <cfvo type="num" val="0.5"/>
        <cfvo type="num" val="1"/>
        <color rgb="FFF8696B"/>
        <color rgb="FFFFEB84"/>
        <color rgb="FF63BE7B"/>
      </colorScale>
    </cfRule>
  </conditionalFormatting>
  <conditionalFormatting sqref="E20">
    <cfRule type="expression" dxfId="915" priority="915">
      <formula xml:space="preserve"> INDIRECT(CHAR(COLUMN()+96) &amp; 4) = TODAY() * NOT(ISBLANK(INDIRECT(CHAR(COLUMN()+96) &amp; ROW())))</formula>
    </cfRule>
    <cfRule type="expression" dxfId="914" priority="916">
      <formula xml:space="preserve"> INDIRECT(CHAR(COLUMN()+96) &amp; 4) = TODAY() * ISBLANK(INDIRECT(CHAR(COLUMN()+96) &amp; ROW()))</formula>
    </cfRule>
  </conditionalFormatting>
  <conditionalFormatting sqref="E20">
    <cfRule type="expression" dxfId="913" priority="913">
      <formula>INDIRECT("A"&amp;3) = INDIRECT("A"&amp;ROW())</formula>
    </cfRule>
  </conditionalFormatting>
  <conditionalFormatting sqref="E20">
    <cfRule type="colorScale" priority="914">
      <colorScale>
        <cfvo type="num" val="0"/>
        <cfvo type="num" val="0.5"/>
        <cfvo type="num" val="1"/>
        <color rgb="FFF8696B"/>
        <color rgb="FFFFEB84"/>
        <color rgb="FF63BE7B"/>
      </colorScale>
    </cfRule>
  </conditionalFormatting>
  <conditionalFormatting sqref="G20">
    <cfRule type="expression" dxfId="912" priority="911">
      <formula xml:space="preserve"> INDIRECT(CHAR(COLUMN()+96) &amp; 4) = TODAY() * NOT(ISBLANK(INDIRECT(CHAR(COLUMN()+96) &amp; ROW())))</formula>
    </cfRule>
    <cfRule type="expression" dxfId="911" priority="912">
      <formula xml:space="preserve"> INDIRECT(CHAR(COLUMN()+96) &amp; 4) = TODAY() * ISBLANK(INDIRECT(CHAR(COLUMN()+96) &amp; ROW()))</formula>
    </cfRule>
  </conditionalFormatting>
  <conditionalFormatting sqref="G20">
    <cfRule type="expression" dxfId="910" priority="909">
      <formula>INDIRECT("A"&amp;3) = INDIRECT("A"&amp;ROW())</formula>
    </cfRule>
  </conditionalFormatting>
  <conditionalFormatting sqref="G20">
    <cfRule type="colorScale" priority="910">
      <colorScale>
        <cfvo type="num" val="0"/>
        <cfvo type="num" val="0.5"/>
        <cfvo type="num" val="1"/>
        <color rgb="FFF8696B"/>
        <color rgb="FFFFEB84"/>
        <color rgb="FF63BE7B"/>
      </colorScale>
    </cfRule>
  </conditionalFormatting>
  <conditionalFormatting sqref="G20">
    <cfRule type="expression" dxfId="909" priority="907">
      <formula xml:space="preserve"> INDIRECT(CHAR(COLUMN()+96) &amp; 4) = TODAY() * NOT(ISBLANK(INDIRECT(CHAR(COLUMN()+96) &amp; ROW())))</formula>
    </cfRule>
    <cfRule type="expression" dxfId="908" priority="908">
      <formula xml:space="preserve"> INDIRECT(CHAR(COLUMN()+96) &amp; 4) = TODAY() * ISBLANK(INDIRECT(CHAR(COLUMN()+96) &amp; ROW()))</formula>
    </cfRule>
  </conditionalFormatting>
  <conditionalFormatting sqref="G20">
    <cfRule type="expression" dxfId="907" priority="905">
      <formula>INDIRECT("A"&amp;3) = INDIRECT("A"&amp;ROW())</formula>
    </cfRule>
  </conditionalFormatting>
  <conditionalFormatting sqref="G20">
    <cfRule type="colorScale" priority="906">
      <colorScale>
        <cfvo type="num" val="0"/>
        <cfvo type="num" val="0.5"/>
        <cfvo type="num" val="1"/>
        <color rgb="FFF8696B"/>
        <color rgb="FFFFEB84"/>
        <color rgb="FF63BE7B"/>
      </colorScale>
    </cfRule>
  </conditionalFormatting>
  <conditionalFormatting sqref="D23:D26">
    <cfRule type="expression" dxfId="906" priority="851">
      <formula xml:space="preserve"> INDIRECT(CHAR(COLUMN()+96) &amp; 4) = TODAY() * NOT(ISBLANK(INDIRECT(CHAR(COLUMN()+96) &amp; ROW())))</formula>
    </cfRule>
    <cfRule type="expression" dxfId="905" priority="852">
      <formula xml:space="preserve"> INDIRECT(CHAR(COLUMN()+96) &amp; 4) = TODAY() * ISBLANK(INDIRECT(CHAR(COLUMN()+96) &amp; ROW()))</formula>
    </cfRule>
  </conditionalFormatting>
  <conditionalFormatting sqref="D23:D26">
    <cfRule type="expression" dxfId="904" priority="849">
      <formula>INDIRECT("A"&amp;3) = INDIRECT("A"&amp;ROW())</formula>
    </cfRule>
  </conditionalFormatting>
  <conditionalFormatting sqref="D23:D26">
    <cfRule type="colorScale" priority="850">
      <colorScale>
        <cfvo type="num" val="0"/>
        <cfvo type="num" val="0.5"/>
        <cfvo type="num" val="1"/>
        <color rgb="FFF8696B"/>
        <color rgb="FFFFEB84"/>
        <color rgb="FF63BE7B"/>
      </colorScale>
    </cfRule>
  </conditionalFormatting>
  <conditionalFormatting sqref="D23:D26">
    <cfRule type="expression" dxfId="903" priority="847">
      <formula xml:space="preserve"> INDIRECT(CHAR(COLUMN()+96) &amp; 4) = TODAY() * NOT(ISBLANK(INDIRECT(CHAR(COLUMN()+96) &amp; ROW())))</formula>
    </cfRule>
    <cfRule type="expression" dxfId="902" priority="848">
      <formula xml:space="preserve"> INDIRECT(CHAR(COLUMN()+96) &amp; 4) = TODAY() * ISBLANK(INDIRECT(CHAR(COLUMN()+96) &amp; ROW()))</formula>
    </cfRule>
  </conditionalFormatting>
  <conditionalFormatting sqref="D23:D26">
    <cfRule type="expression" dxfId="901" priority="845">
      <formula>INDIRECT("A"&amp;3) = INDIRECT("A"&amp;ROW())</formula>
    </cfRule>
  </conditionalFormatting>
  <conditionalFormatting sqref="D23:D26">
    <cfRule type="colorScale" priority="846">
      <colorScale>
        <cfvo type="num" val="0"/>
        <cfvo type="num" val="0.5"/>
        <cfvo type="num" val="1"/>
        <color rgb="FFF8696B"/>
        <color rgb="FFFFEB84"/>
        <color rgb="FF63BE7B"/>
      </colorScale>
    </cfRule>
  </conditionalFormatting>
  <conditionalFormatting sqref="D10:D13">
    <cfRule type="expression" dxfId="900" priority="859">
      <formula xml:space="preserve"> INDIRECT(CHAR(COLUMN()+96) &amp; 4) = TODAY() * NOT(ISBLANK(INDIRECT(CHAR(COLUMN()+96) &amp; ROW())))</formula>
    </cfRule>
    <cfRule type="expression" dxfId="899" priority="860">
      <formula xml:space="preserve"> INDIRECT(CHAR(COLUMN()+96) &amp; 4) = TODAY() * ISBLANK(INDIRECT(CHAR(COLUMN()+96) &amp; ROW()))</formula>
    </cfRule>
  </conditionalFormatting>
  <conditionalFormatting sqref="D10:D13">
    <cfRule type="expression" dxfId="898" priority="857">
      <formula>INDIRECT("A"&amp;3) = INDIRECT("A"&amp;ROW())</formula>
    </cfRule>
  </conditionalFormatting>
  <conditionalFormatting sqref="D10:D13">
    <cfRule type="colorScale" priority="858">
      <colorScale>
        <cfvo type="num" val="0"/>
        <cfvo type="num" val="0.5"/>
        <cfvo type="num" val="1"/>
        <color rgb="FFF8696B"/>
        <color rgb="FFFFEB84"/>
        <color rgb="FF63BE7B"/>
      </colorScale>
    </cfRule>
  </conditionalFormatting>
  <conditionalFormatting sqref="D15">
    <cfRule type="expression" dxfId="897" priority="855">
      <formula xml:space="preserve"> INDIRECT(CHAR(COLUMN()+96) &amp; 4) = TODAY() * NOT(ISBLANK(INDIRECT(CHAR(COLUMN()+96) &amp; ROW())))</formula>
    </cfRule>
    <cfRule type="expression" dxfId="896" priority="856">
      <formula xml:space="preserve"> INDIRECT(CHAR(COLUMN()+96) &amp; 4) = TODAY() * ISBLANK(INDIRECT(CHAR(COLUMN()+96) &amp; ROW()))</formula>
    </cfRule>
  </conditionalFormatting>
  <conditionalFormatting sqref="D15">
    <cfRule type="expression" dxfId="895" priority="853">
      <formula>INDIRECT("A"&amp;3) = INDIRECT("A"&amp;ROW())</formula>
    </cfRule>
  </conditionalFormatting>
  <conditionalFormatting sqref="D15">
    <cfRule type="colorScale" priority="854">
      <colorScale>
        <cfvo type="num" val="0"/>
        <cfvo type="num" val="0.5"/>
        <cfvo type="num" val="1"/>
        <color rgb="FFF8696B"/>
        <color rgb="FFFFEB84"/>
        <color rgb="FF63BE7B"/>
      </colorScale>
    </cfRule>
  </conditionalFormatting>
  <conditionalFormatting sqref="D16">
    <cfRule type="expression" dxfId="894" priority="843">
      <formula xml:space="preserve"> INDIRECT(CHAR(COLUMN()+96) &amp; 4) = TODAY() * NOT(ISBLANK(INDIRECT(CHAR(COLUMN()+96) &amp; ROW())))</formula>
    </cfRule>
    <cfRule type="expression" dxfId="893" priority="844">
      <formula xml:space="preserve"> INDIRECT(CHAR(COLUMN()+96) &amp; 4) = TODAY() * ISBLANK(INDIRECT(CHAR(COLUMN()+96) &amp; ROW()))</formula>
    </cfRule>
  </conditionalFormatting>
  <conditionalFormatting sqref="D16">
    <cfRule type="expression" dxfId="892" priority="841">
      <formula>INDIRECT("A"&amp;3) = INDIRECT("A"&amp;ROW())</formula>
    </cfRule>
  </conditionalFormatting>
  <conditionalFormatting sqref="D16">
    <cfRule type="colorScale" priority="842">
      <colorScale>
        <cfvo type="num" val="0"/>
        <cfvo type="num" val="0.5"/>
        <cfvo type="num" val="1"/>
        <color rgb="FFF8696B"/>
        <color rgb="FFFFEB84"/>
        <color rgb="FF63BE7B"/>
      </colorScale>
    </cfRule>
  </conditionalFormatting>
  <conditionalFormatting sqref="D16">
    <cfRule type="expression" dxfId="891" priority="839">
      <formula xml:space="preserve"> INDIRECT(CHAR(COLUMN()+96) &amp; 4) = TODAY() * NOT(ISBLANK(INDIRECT(CHAR(COLUMN()+96) &amp; ROW())))</formula>
    </cfRule>
    <cfRule type="expression" dxfId="890" priority="840">
      <formula xml:space="preserve"> INDIRECT(CHAR(COLUMN()+96) &amp; 4) = TODAY() * ISBLANK(INDIRECT(CHAR(COLUMN()+96) &amp; ROW()))</formula>
    </cfRule>
  </conditionalFormatting>
  <conditionalFormatting sqref="D16">
    <cfRule type="expression" dxfId="889" priority="837">
      <formula>INDIRECT("A"&amp;3) = INDIRECT("A"&amp;ROW())</formula>
    </cfRule>
  </conditionalFormatting>
  <conditionalFormatting sqref="D16">
    <cfRule type="colorScale" priority="838">
      <colorScale>
        <cfvo type="num" val="0"/>
        <cfvo type="num" val="0.5"/>
        <cfvo type="num" val="1"/>
        <color rgb="FFF8696B"/>
        <color rgb="FFFFEB84"/>
        <color rgb="FF63BE7B"/>
      </colorScale>
    </cfRule>
  </conditionalFormatting>
  <conditionalFormatting sqref="D21">
    <cfRule type="expression" dxfId="888" priority="831">
      <formula xml:space="preserve"> INDIRECT(CHAR(COLUMN()+96) &amp; 4) = TODAY() * NOT(ISBLANK(INDIRECT(CHAR(COLUMN()+96) &amp; ROW())))</formula>
    </cfRule>
    <cfRule type="expression" dxfId="887" priority="832">
      <formula xml:space="preserve"> INDIRECT(CHAR(COLUMN()+96) &amp; 4) = TODAY() * ISBLANK(INDIRECT(CHAR(COLUMN()+96) &amp; ROW()))</formula>
    </cfRule>
  </conditionalFormatting>
  <conditionalFormatting sqref="D21">
    <cfRule type="expression" dxfId="886" priority="829">
      <formula>INDIRECT("A"&amp;3) = INDIRECT("A"&amp;ROW())</formula>
    </cfRule>
  </conditionalFormatting>
  <conditionalFormatting sqref="D21">
    <cfRule type="colorScale" priority="830">
      <colorScale>
        <cfvo type="num" val="0"/>
        <cfvo type="num" val="0.5"/>
        <cfvo type="num" val="1"/>
        <color rgb="FFF8696B"/>
        <color rgb="FFFFEB84"/>
        <color rgb="FF63BE7B"/>
      </colorScale>
    </cfRule>
  </conditionalFormatting>
  <conditionalFormatting sqref="D14:E14 E13">
    <cfRule type="expression" dxfId="885" priority="827">
      <formula xml:space="preserve"> INDIRECT(CHAR(COLUMN()+96) &amp; 4) = TODAY() * NOT(ISBLANK(INDIRECT(CHAR(COLUMN()+96) &amp; ROW())))</formula>
    </cfRule>
    <cfRule type="expression" dxfId="884" priority="828">
      <formula xml:space="preserve"> INDIRECT(CHAR(COLUMN()+96) &amp; 4) = TODAY() * ISBLANK(INDIRECT(CHAR(COLUMN()+96) &amp; ROW()))</formula>
    </cfRule>
  </conditionalFormatting>
  <conditionalFormatting sqref="D14:E14 E13">
    <cfRule type="expression" dxfId="883" priority="825">
      <formula>INDIRECT("A"&amp;3) = INDIRECT("A"&amp;ROW())</formula>
    </cfRule>
  </conditionalFormatting>
  <conditionalFormatting sqref="D14:E14 E13">
    <cfRule type="colorScale" priority="826">
      <colorScale>
        <cfvo type="num" val="0"/>
        <cfvo type="num" val="0.5"/>
        <cfvo type="num" val="1"/>
        <color rgb="FFF8696B"/>
        <color rgb="FFFFEB84"/>
        <color rgb="FF63BE7B"/>
      </colorScale>
    </cfRule>
  </conditionalFormatting>
  <conditionalFormatting sqref="D19:D20">
    <cfRule type="expression" dxfId="882" priority="823">
      <formula xml:space="preserve"> INDIRECT(CHAR(COLUMN()+96) &amp; 4) = TODAY() * NOT(ISBLANK(INDIRECT(CHAR(COLUMN()+96) &amp; ROW())))</formula>
    </cfRule>
    <cfRule type="expression" dxfId="881" priority="824">
      <formula xml:space="preserve"> INDIRECT(CHAR(COLUMN()+96) &amp; 4) = TODAY() * ISBLANK(INDIRECT(CHAR(COLUMN()+96) &amp; ROW()))</formula>
    </cfRule>
  </conditionalFormatting>
  <conditionalFormatting sqref="D19:D20">
    <cfRule type="expression" dxfId="880" priority="821">
      <formula>INDIRECT("A"&amp;3) = INDIRECT("A"&amp;ROW())</formula>
    </cfRule>
  </conditionalFormatting>
  <conditionalFormatting sqref="D19:D20">
    <cfRule type="colorScale" priority="822">
      <colorScale>
        <cfvo type="num" val="0"/>
        <cfvo type="num" val="0.5"/>
        <cfvo type="num" val="1"/>
        <color rgb="FFF8696B"/>
        <color rgb="FFFFEB84"/>
        <color rgb="FF63BE7B"/>
      </colorScale>
    </cfRule>
  </conditionalFormatting>
  <conditionalFormatting sqref="D19:D20">
    <cfRule type="expression" dxfId="879" priority="819">
      <formula xml:space="preserve"> INDIRECT(CHAR(COLUMN()+96) &amp; 4) = TODAY() * NOT(ISBLANK(INDIRECT(CHAR(COLUMN()+96) &amp; ROW())))</formula>
    </cfRule>
    <cfRule type="expression" dxfId="878" priority="820">
      <formula xml:space="preserve"> INDIRECT(CHAR(COLUMN()+96) &amp; 4) = TODAY() * ISBLANK(INDIRECT(CHAR(COLUMN()+96) &amp; ROW()))</formula>
    </cfRule>
  </conditionalFormatting>
  <conditionalFormatting sqref="D19:D20">
    <cfRule type="expression" dxfId="877" priority="817">
      <formula>INDIRECT("A"&amp;3) = INDIRECT("A"&amp;ROW())</formula>
    </cfRule>
  </conditionalFormatting>
  <conditionalFormatting sqref="D19:D20">
    <cfRule type="colorScale" priority="818">
      <colorScale>
        <cfvo type="num" val="0"/>
        <cfvo type="num" val="0.5"/>
        <cfvo type="num" val="1"/>
        <color rgb="FFF8696B"/>
        <color rgb="FFFFEB84"/>
        <color rgb="FF63BE7B"/>
      </colorScale>
    </cfRule>
  </conditionalFormatting>
  <conditionalFormatting sqref="D17:D18">
    <cfRule type="expression" dxfId="876" priority="815">
      <formula xml:space="preserve"> INDIRECT(CHAR(COLUMN()+96) &amp; 4) = TODAY() * NOT(ISBLANK(INDIRECT(CHAR(COLUMN()+96) &amp; ROW())))</formula>
    </cfRule>
    <cfRule type="expression" dxfId="875" priority="816">
      <formula xml:space="preserve"> INDIRECT(CHAR(COLUMN()+96) &amp; 4) = TODAY() * ISBLANK(INDIRECT(CHAR(COLUMN()+96) &amp; ROW()))</formula>
    </cfRule>
  </conditionalFormatting>
  <conditionalFormatting sqref="D17:D18">
    <cfRule type="expression" dxfId="874" priority="813">
      <formula>INDIRECT("A"&amp;3) = INDIRECT("A"&amp;ROW())</formula>
    </cfRule>
  </conditionalFormatting>
  <conditionalFormatting sqref="D17:D18">
    <cfRule type="colorScale" priority="814">
      <colorScale>
        <cfvo type="num" val="0"/>
        <cfvo type="num" val="0.5"/>
        <cfvo type="num" val="1"/>
        <color rgb="FFF8696B"/>
        <color rgb="FFFFEB84"/>
        <color rgb="FF63BE7B"/>
      </colorScale>
    </cfRule>
  </conditionalFormatting>
  <conditionalFormatting sqref="E10:E11">
    <cfRule type="expression" dxfId="873" priority="811">
      <formula xml:space="preserve"> INDIRECT(CHAR(COLUMN()+96) &amp; 4) = TODAY() * NOT(ISBLANK(INDIRECT(CHAR(COLUMN()+96) &amp; ROW())))</formula>
    </cfRule>
    <cfRule type="expression" dxfId="872" priority="812">
      <formula xml:space="preserve"> INDIRECT(CHAR(COLUMN()+96) &amp; 4) = TODAY() * ISBLANK(INDIRECT(CHAR(COLUMN()+96) &amp; ROW()))</formula>
    </cfRule>
  </conditionalFormatting>
  <conditionalFormatting sqref="E10:E11">
    <cfRule type="expression" dxfId="871" priority="809">
      <formula>INDIRECT("A"&amp;3) = INDIRECT("A"&amp;ROW())</formula>
    </cfRule>
  </conditionalFormatting>
  <conditionalFormatting sqref="E10:E11">
    <cfRule type="colorScale" priority="810">
      <colorScale>
        <cfvo type="num" val="0"/>
        <cfvo type="num" val="0.5"/>
        <cfvo type="num" val="1"/>
        <color rgb="FFF8696B"/>
        <color rgb="FFFFEB84"/>
        <color rgb="FF63BE7B"/>
      </colorScale>
    </cfRule>
  </conditionalFormatting>
  <conditionalFormatting sqref="E10:E11">
    <cfRule type="expression" dxfId="870" priority="807">
      <formula xml:space="preserve"> INDIRECT(CHAR(COLUMN()+96) &amp; 4) = TODAY() * NOT(ISBLANK(INDIRECT(CHAR(COLUMN()+96) &amp; ROW())))</formula>
    </cfRule>
    <cfRule type="expression" dxfId="869" priority="808">
      <formula xml:space="preserve"> INDIRECT(CHAR(COLUMN()+96) &amp; 4) = TODAY() * ISBLANK(INDIRECT(CHAR(COLUMN()+96) &amp; ROW()))</formula>
    </cfRule>
  </conditionalFormatting>
  <conditionalFormatting sqref="E10:E11">
    <cfRule type="expression" dxfId="868" priority="805">
      <formula>INDIRECT("A"&amp;3) = INDIRECT("A"&amp;ROW())</formula>
    </cfRule>
  </conditionalFormatting>
  <conditionalFormatting sqref="E10:E11">
    <cfRule type="colorScale" priority="806">
      <colorScale>
        <cfvo type="num" val="0"/>
        <cfvo type="num" val="0.5"/>
        <cfvo type="num" val="1"/>
        <color rgb="FFF8696B"/>
        <color rgb="FFFFEB84"/>
        <color rgb="FF63BE7B"/>
      </colorScale>
    </cfRule>
  </conditionalFormatting>
  <conditionalFormatting sqref="E16:E17">
    <cfRule type="expression" dxfId="867" priority="803">
      <formula xml:space="preserve"> INDIRECT(CHAR(COLUMN()+96) &amp; 4) = TODAY() * NOT(ISBLANK(INDIRECT(CHAR(COLUMN()+96) &amp; ROW())))</formula>
    </cfRule>
    <cfRule type="expression" dxfId="866" priority="804">
      <formula xml:space="preserve"> INDIRECT(CHAR(COLUMN()+96) &amp; 4) = TODAY() * ISBLANK(INDIRECT(CHAR(COLUMN()+96) &amp; ROW()))</formula>
    </cfRule>
  </conditionalFormatting>
  <conditionalFormatting sqref="E16:E17">
    <cfRule type="expression" dxfId="865" priority="801">
      <formula>INDIRECT("A"&amp;3) = INDIRECT("A"&amp;ROW())</formula>
    </cfRule>
  </conditionalFormatting>
  <conditionalFormatting sqref="E16:E17">
    <cfRule type="colorScale" priority="802">
      <colorScale>
        <cfvo type="num" val="0"/>
        <cfvo type="num" val="0.5"/>
        <cfvo type="num" val="1"/>
        <color rgb="FFF8696B"/>
        <color rgb="FFFFEB84"/>
        <color rgb="FF63BE7B"/>
      </colorScale>
    </cfRule>
  </conditionalFormatting>
  <conditionalFormatting sqref="E16:E17">
    <cfRule type="expression" dxfId="864" priority="799">
      <formula xml:space="preserve"> INDIRECT(CHAR(COLUMN()+96) &amp; 4) = TODAY() * NOT(ISBLANK(INDIRECT(CHAR(COLUMN()+96) &amp; ROW())))</formula>
    </cfRule>
    <cfRule type="expression" dxfId="863" priority="800">
      <formula xml:space="preserve"> INDIRECT(CHAR(COLUMN()+96) &amp; 4) = TODAY() * ISBLANK(INDIRECT(CHAR(COLUMN()+96) &amp; ROW()))</formula>
    </cfRule>
  </conditionalFormatting>
  <conditionalFormatting sqref="E16:E17">
    <cfRule type="expression" dxfId="862" priority="797">
      <formula>INDIRECT("A"&amp;3) = INDIRECT("A"&amp;ROW())</formula>
    </cfRule>
  </conditionalFormatting>
  <conditionalFormatting sqref="E16:E17">
    <cfRule type="colorScale" priority="798">
      <colorScale>
        <cfvo type="num" val="0"/>
        <cfvo type="num" val="0.5"/>
        <cfvo type="num" val="1"/>
        <color rgb="FFF8696B"/>
        <color rgb="FFFFEB84"/>
        <color rgb="FF63BE7B"/>
      </colorScale>
    </cfRule>
  </conditionalFormatting>
  <conditionalFormatting sqref="E23:E24">
    <cfRule type="expression" dxfId="861" priority="795">
      <formula xml:space="preserve"> INDIRECT(CHAR(COLUMN()+96) &amp; 4) = TODAY() * NOT(ISBLANK(INDIRECT(CHAR(COLUMN()+96) &amp; ROW())))</formula>
    </cfRule>
    <cfRule type="expression" dxfId="860" priority="796">
      <formula xml:space="preserve"> INDIRECT(CHAR(COLUMN()+96) &amp; 4) = TODAY() * ISBLANK(INDIRECT(CHAR(COLUMN()+96) &amp; ROW()))</formula>
    </cfRule>
  </conditionalFormatting>
  <conditionalFormatting sqref="E23:E24">
    <cfRule type="expression" dxfId="859" priority="793">
      <formula>INDIRECT("A"&amp;3) = INDIRECT("A"&amp;ROW())</formula>
    </cfRule>
  </conditionalFormatting>
  <conditionalFormatting sqref="E23:E24">
    <cfRule type="colorScale" priority="794">
      <colorScale>
        <cfvo type="num" val="0"/>
        <cfvo type="num" val="0.5"/>
        <cfvo type="num" val="1"/>
        <color rgb="FFF8696B"/>
        <color rgb="FFFFEB84"/>
        <color rgb="FF63BE7B"/>
      </colorScale>
    </cfRule>
  </conditionalFormatting>
  <conditionalFormatting sqref="E23:E24">
    <cfRule type="expression" dxfId="858" priority="791">
      <formula xml:space="preserve"> INDIRECT(CHAR(COLUMN()+96) &amp; 4) = TODAY() * NOT(ISBLANK(INDIRECT(CHAR(COLUMN()+96) &amp; ROW())))</formula>
    </cfRule>
    <cfRule type="expression" dxfId="857" priority="792">
      <formula xml:space="preserve"> INDIRECT(CHAR(COLUMN()+96) &amp; 4) = TODAY() * ISBLANK(INDIRECT(CHAR(COLUMN()+96) &amp; ROW()))</formula>
    </cfRule>
  </conditionalFormatting>
  <conditionalFormatting sqref="E23:E24">
    <cfRule type="expression" dxfId="856" priority="789">
      <formula>INDIRECT("A"&amp;3) = INDIRECT("A"&amp;ROW())</formula>
    </cfRule>
  </conditionalFormatting>
  <conditionalFormatting sqref="E23:E24">
    <cfRule type="colorScale" priority="790">
      <colorScale>
        <cfvo type="num" val="0"/>
        <cfvo type="num" val="0.5"/>
        <cfvo type="num" val="1"/>
        <color rgb="FFF8696B"/>
        <color rgb="FFFFEB84"/>
        <color rgb="FF63BE7B"/>
      </colorScale>
    </cfRule>
  </conditionalFormatting>
  <conditionalFormatting sqref="D29:D30 F30:H30 H29 AB28:FM29 K28:K30 N29:O29 M30:FM30 O28">
    <cfRule type="expression" dxfId="855" priority="787">
      <formula xml:space="preserve"> INDIRECT(CHAR(COLUMN()+96) &amp; 4) = TODAY() * NOT(ISBLANK(INDIRECT(CHAR(COLUMN()+96) &amp; ROW())))</formula>
    </cfRule>
    <cfRule type="expression" dxfId="854" priority="788">
      <formula xml:space="preserve"> INDIRECT(CHAR(COLUMN()+96) &amp; 4) = TODAY() * ISBLANK(INDIRECT(CHAR(COLUMN()+96) &amp; ROW()))</formula>
    </cfRule>
  </conditionalFormatting>
  <conditionalFormatting sqref="D29:D30 F30:H30 H29 AB28:FM29 K28:K30 N29:O29 M30:FM30 O28">
    <cfRule type="expression" dxfId="853" priority="785">
      <formula>INDIRECT("A"&amp;3) = INDIRECT("A"&amp;ROW())</formula>
    </cfRule>
  </conditionalFormatting>
  <conditionalFormatting sqref="D29:D30 F30:H30 H29 AB28:FM29 K28:K30 N29:O29 M30:FM30 O28">
    <cfRule type="colorScale" priority="786">
      <colorScale>
        <cfvo type="num" val="0"/>
        <cfvo type="num" val="0.5"/>
        <cfvo type="num" val="1"/>
        <color rgb="FFF8696B"/>
        <color rgb="FFFFEB84"/>
        <color rgb="FF63BE7B"/>
      </colorScale>
    </cfRule>
  </conditionalFormatting>
  <conditionalFormatting sqref="G17:G19">
    <cfRule type="expression" dxfId="852" priority="759">
      <formula xml:space="preserve"> INDIRECT(CHAR(COLUMN()+96) &amp; 4) = TODAY() * NOT(ISBLANK(INDIRECT(CHAR(COLUMN()+96) &amp; ROW())))</formula>
    </cfRule>
    <cfRule type="expression" dxfId="851" priority="760">
      <formula xml:space="preserve"> INDIRECT(CHAR(COLUMN()+96) &amp; 4) = TODAY() * ISBLANK(INDIRECT(CHAR(COLUMN()+96) &amp; ROW()))</formula>
    </cfRule>
  </conditionalFormatting>
  <conditionalFormatting sqref="G17:G19">
    <cfRule type="expression" dxfId="850" priority="757">
      <formula>INDIRECT("A"&amp;3) = INDIRECT("A"&amp;ROW())</formula>
    </cfRule>
  </conditionalFormatting>
  <conditionalFormatting sqref="G17:G19">
    <cfRule type="colorScale" priority="758">
      <colorScale>
        <cfvo type="num" val="0"/>
        <cfvo type="num" val="0.5"/>
        <cfvo type="num" val="1"/>
        <color rgb="FFF8696B"/>
        <color rgb="FFFFEB84"/>
        <color rgb="FF63BE7B"/>
      </colorScale>
    </cfRule>
  </conditionalFormatting>
  <conditionalFormatting sqref="F13:F15">
    <cfRule type="expression" dxfId="849" priority="751">
      <formula xml:space="preserve"> INDIRECT(CHAR(COLUMN()+96) &amp; 4) = TODAY() * NOT(ISBLANK(INDIRECT(CHAR(COLUMN()+96) &amp; ROW())))</formula>
    </cfRule>
    <cfRule type="expression" dxfId="848" priority="752">
      <formula xml:space="preserve"> INDIRECT(CHAR(COLUMN()+96) &amp; 4) = TODAY() * ISBLANK(INDIRECT(CHAR(COLUMN()+96) &amp; ROW()))</formula>
    </cfRule>
  </conditionalFormatting>
  <conditionalFormatting sqref="F13:F15">
    <cfRule type="expression" dxfId="847" priority="749">
      <formula>INDIRECT("A"&amp;3) = INDIRECT("A"&amp;ROW())</formula>
    </cfRule>
  </conditionalFormatting>
  <conditionalFormatting sqref="F13:F15">
    <cfRule type="colorScale" priority="750">
      <colorScale>
        <cfvo type="num" val="0"/>
        <cfvo type="num" val="0.5"/>
        <cfvo type="num" val="1"/>
        <color rgb="FFF8696B"/>
        <color rgb="FFFFEB84"/>
        <color rgb="FF63BE7B"/>
      </colorScale>
    </cfRule>
  </conditionalFormatting>
  <conditionalFormatting sqref="F20">
    <cfRule type="expression" dxfId="846" priority="747">
      <formula xml:space="preserve"> INDIRECT(CHAR(COLUMN()+96) &amp; 4) = TODAY() * NOT(ISBLANK(INDIRECT(CHAR(COLUMN()+96) &amp; ROW())))</formula>
    </cfRule>
    <cfRule type="expression" dxfId="845" priority="748">
      <formula xml:space="preserve"> INDIRECT(CHAR(COLUMN()+96) &amp; 4) = TODAY() * ISBLANK(INDIRECT(CHAR(COLUMN()+96) &amp; ROW()))</formula>
    </cfRule>
  </conditionalFormatting>
  <conditionalFormatting sqref="F20">
    <cfRule type="expression" dxfId="844" priority="745">
      <formula>INDIRECT("A"&amp;3) = INDIRECT("A"&amp;ROW())</formula>
    </cfRule>
  </conditionalFormatting>
  <conditionalFormatting sqref="F20">
    <cfRule type="colorScale" priority="746">
      <colorScale>
        <cfvo type="num" val="0"/>
        <cfvo type="num" val="0.5"/>
        <cfvo type="num" val="1"/>
        <color rgb="FFF8696B"/>
        <color rgb="FFFFEB84"/>
        <color rgb="FF63BE7B"/>
      </colorScale>
    </cfRule>
  </conditionalFormatting>
  <conditionalFormatting sqref="F16:F19">
    <cfRule type="expression" dxfId="843" priority="743">
      <formula xml:space="preserve"> INDIRECT(CHAR(COLUMN()+96) &amp; 4) = TODAY() * NOT(ISBLANK(INDIRECT(CHAR(COLUMN()+96) &amp; ROW())))</formula>
    </cfRule>
    <cfRule type="expression" dxfId="842" priority="744">
      <formula xml:space="preserve"> INDIRECT(CHAR(COLUMN()+96) &amp; 4) = TODAY() * ISBLANK(INDIRECT(CHAR(COLUMN()+96) &amp; ROW()))</formula>
    </cfRule>
  </conditionalFormatting>
  <conditionalFormatting sqref="F16:F19">
    <cfRule type="expression" dxfId="841" priority="741">
      <formula>INDIRECT("A"&amp;3) = INDIRECT("A"&amp;ROW())</formula>
    </cfRule>
  </conditionalFormatting>
  <conditionalFormatting sqref="F16:F19">
    <cfRule type="colorScale" priority="742">
      <colorScale>
        <cfvo type="num" val="0"/>
        <cfvo type="num" val="0.5"/>
        <cfvo type="num" val="1"/>
        <color rgb="FFF8696B"/>
        <color rgb="FFFFEB84"/>
        <color rgb="FF63BE7B"/>
      </colorScale>
    </cfRule>
  </conditionalFormatting>
  <conditionalFormatting sqref="F21:F22">
    <cfRule type="expression" dxfId="840" priority="739">
      <formula xml:space="preserve"> INDIRECT(CHAR(COLUMN()+96) &amp; 4) = TODAY() * NOT(ISBLANK(INDIRECT(CHAR(COLUMN()+96) &amp; ROW())))</formula>
    </cfRule>
    <cfRule type="expression" dxfId="839" priority="740">
      <formula xml:space="preserve"> INDIRECT(CHAR(COLUMN()+96) &amp; 4) = TODAY() * ISBLANK(INDIRECT(CHAR(COLUMN()+96) &amp; ROW()))</formula>
    </cfRule>
  </conditionalFormatting>
  <conditionalFormatting sqref="F21:F22">
    <cfRule type="expression" dxfId="838" priority="737">
      <formula>INDIRECT("A"&amp;3) = INDIRECT("A"&amp;ROW())</formula>
    </cfRule>
  </conditionalFormatting>
  <conditionalFormatting sqref="F21:F22">
    <cfRule type="colorScale" priority="738">
      <colorScale>
        <cfvo type="num" val="0"/>
        <cfvo type="num" val="0.5"/>
        <cfvo type="num" val="1"/>
        <color rgb="FFF8696B"/>
        <color rgb="FFFFEB84"/>
        <color rgb="FF63BE7B"/>
      </colorScale>
    </cfRule>
  </conditionalFormatting>
  <conditionalFormatting sqref="F42">
    <cfRule type="timePeriod" dxfId="837" priority="706" timePeriod="today">
      <formula>FLOOR(F42,1)=TODAY()</formula>
    </cfRule>
    <cfRule type="timePeriod" dxfId="836" priority="707" timePeriod="tomorrow">
      <formula>FLOOR(F42,1)=TODAY()+1</formula>
    </cfRule>
    <cfRule type="timePeriod" dxfId="835" priority="708" timePeriod="yesterday">
      <formula>FLOOR(F42,1)=TODAY()-1</formula>
    </cfRule>
  </conditionalFormatting>
  <conditionalFormatting sqref="C7:C23 C25:C30">
    <cfRule type="expression" dxfId="834" priority="701">
      <formula xml:space="preserve"> INDIRECT(CHAR(COLUMN()+96) &amp; 4) = TODAY() * NOT(ISBLANK(INDIRECT(CHAR(COLUMN()+96) &amp; ROW())))</formula>
    </cfRule>
    <cfRule type="expression" dxfId="833" priority="702">
      <formula xml:space="preserve"> INDIRECT(CHAR(COLUMN()+96) &amp; 4) = TODAY() * ISBLANK(INDIRECT(CHAR(COLUMN()+96) &amp; ROW()))</formula>
    </cfRule>
  </conditionalFormatting>
  <conditionalFormatting sqref="C7:C23 C25:C30">
    <cfRule type="expression" dxfId="832" priority="699">
      <formula>INDIRECT("A"&amp;3) = INDIRECT("A"&amp;ROW())</formula>
    </cfRule>
  </conditionalFormatting>
  <conditionalFormatting sqref="C7:C23 C25:C30">
    <cfRule type="colorScale" priority="700">
      <colorScale>
        <cfvo type="num" val="0"/>
        <cfvo type="num" val="0.5"/>
        <cfvo type="num" val="1"/>
        <color rgb="FFF8696B"/>
        <color rgb="FFFFEB84"/>
        <color rgb="FF63BE7B"/>
      </colorScale>
    </cfRule>
  </conditionalFormatting>
  <conditionalFormatting sqref="C38">
    <cfRule type="timePeriod" dxfId="831" priority="696" timePeriod="today">
      <formula>FLOOR(C38,1)=TODAY()</formula>
    </cfRule>
    <cfRule type="timePeriod" dxfId="830" priority="697" timePeriod="tomorrow">
      <formula>FLOOR(C38,1)=TODAY()+1</formula>
    </cfRule>
    <cfRule type="timePeriod" dxfId="829" priority="698" timePeriod="yesterday">
      <formula>FLOOR(C38,1)=TODAY()-1</formula>
    </cfRule>
  </conditionalFormatting>
  <conditionalFormatting sqref="B34">
    <cfRule type="timePeriod" dxfId="828" priority="693" timePeriod="today">
      <formula>FLOOR(B34,1)=TODAY()</formula>
    </cfRule>
    <cfRule type="timePeriod" dxfId="827" priority="694" timePeriod="tomorrow">
      <formula>FLOOR(B34,1)=TODAY()+1</formula>
    </cfRule>
    <cfRule type="timePeriod" dxfId="826" priority="695" timePeriod="yesterday">
      <formula>FLOOR(B34,1)=TODAY()-1</formula>
    </cfRule>
  </conditionalFormatting>
  <conditionalFormatting sqref="D8">
    <cfRule type="expression" dxfId="825" priority="691">
      <formula xml:space="preserve"> INDIRECT(CHAR(COLUMN()+96) &amp; 4) = TODAY() * NOT(ISBLANK(INDIRECT(CHAR(COLUMN()+96) &amp; ROW())))</formula>
    </cfRule>
    <cfRule type="expression" dxfId="824" priority="692">
      <formula xml:space="preserve"> INDIRECT(CHAR(COLUMN()+96) &amp; 4) = TODAY() * ISBLANK(INDIRECT(CHAR(COLUMN()+96) &amp; ROW()))</formula>
    </cfRule>
  </conditionalFormatting>
  <conditionalFormatting sqref="D8">
    <cfRule type="expression" dxfId="823" priority="689">
      <formula>INDIRECT("A"&amp;3) = INDIRECT("A"&amp;ROW())</formula>
    </cfRule>
  </conditionalFormatting>
  <conditionalFormatting sqref="D8">
    <cfRule type="colorScale" priority="690">
      <colorScale>
        <cfvo type="num" val="0"/>
        <cfvo type="num" val="0.5"/>
        <cfvo type="num" val="1"/>
        <color rgb="FFF8696B"/>
        <color rgb="FFFFEB84"/>
        <color rgb="FF63BE7B"/>
      </colorScale>
    </cfRule>
  </conditionalFormatting>
  <conditionalFormatting sqref="D7">
    <cfRule type="expression" dxfId="822" priority="687">
      <formula xml:space="preserve"> INDIRECT(CHAR(COLUMN()+96) &amp; 4) = TODAY() * NOT(ISBLANK(INDIRECT(CHAR(COLUMN()+96) &amp; ROW())))</formula>
    </cfRule>
    <cfRule type="expression" dxfId="821" priority="688">
      <formula xml:space="preserve"> INDIRECT(CHAR(COLUMN()+96) &amp; 4) = TODAY() * ISBLANK(INDIRECT(CHAR(COLUMN()+96) &amp; ROW()))</formula>
    </cfRule>
  </conditionalFormatting>
  <conditionalFormatting sqref="D7">
    <cfRule type="expression" dxfId="820" priority="685">
      <formula>INDIRECT("A"&amp;3) = INDIRECT("A"&amp;ROW())</formula>
    </cfRule>
  </conditionalFormatting>
  <conditionalFormatting sqref="D7">
    <cfRule type="colorScale" priority="686">
      <colorScale>
        <cfvo type="num" val="0"/>
        <cfvo type="num" val="0.5"/>
        <cfvo type="num" val="1"/>
        <color rgb="FFF8696B"/>
        <color rgb="FFFFEB84"/>
        <color rgb="FF63BE7B"/>
      </colorScale>
    </cfRule>
  </conditionalFormatting>
  <conditionalFormatting sqref="C24">
    <cfRule type="expression" dxfId="819" priority="683">
      <formula xml:space="preserve"> INDIRECT(CHAR(COLUMN()+96) &amp; 4) = TODAY() * NOT(ISBLANK(INDIRECT(CHAR(COLUMN()+96) &amp; ROW())))</formula>
    </cfRule>
    <cfRule type="expression" dxfId="818" priority="684">
      <formula xml:space="preserve"> INDIRECT(CHAR(COLUMN()+96) &amp; 4) = TODAY() * ISBLANK(INDIRECT(CHAR(COLUMN()+96) &amp; ROW()))</formula>
    </cfRule>
  </conditionalFormatting>
  <conditionalFormatting sqref="C24">
    <cfRule type="expression" dxfId="817" priority="681">
      <formula>INDIRECT("A"&amp;3) = INDIRECT("A"&amp;ROW())</formula>
    </cfRule>
  </conditionalFormatting>
  <conditionalFormatting sqref="C24">
    <cfRule type="colorScale" priority="682">
      <colorScale>
        <cfvo type="num" val="0"/>
        <cfvo type="num" val="0.5"/>
        <cfvo type="num" val="1"/>
        <color rgb="FFF8696B"/>
        <color rgb="FFFFEB84"/>
        <color rgb="FF63BE7B"/>
      </colorScale>
    </cfRule>
  </conditionalFormatting>
  <conditionalFormatting sqref="D22">
    <cfRule type="expression" dxfId="816" priority="679">
      <formula xml:space="preserve"> INDIRECT(CHAR(COLUMN()+96) &amp; 4) = TODAY() * NOT(ISBLANK(INDIRECT(CHAR(COLUMN()+96) &amp; ROW())))</formula>
    </cfRule>
    <cfRule type="expression" dxfId="815" priority="680">
      <formula xml:space="preserve"> INDIRECT(CHAR(COLUMN()+96) &amp; 4) = TODAY() * ISBLANK(INDIRECT(CHAR(COLUMN()+96) &amp; ROW()))</formula>
    </cfRule>
  </conditionalFormatting>
  <conditionalFormatting sqref="D22">
    <cfRule type="expression" dxfId="814" priority="677">
      <formula>INDIRECT("A"&amp;3) = INDIRECT("A"&amp;ROW())</formula>
    </cfRule>
  </conditionalFormatting>
  <conditionalFormatting sqref="D22">
    <cfRule type="colorScale" priority="678">
      <colorScale>
        <cfvo type="num" val="0"/>
        <cfvo type="num" val="0.5"/>
        <cfvo type="num" val="1"/>
        <color rgb="FFF8696B"/>
        <color rgb="FFFFEB84"/>
        <color rgb="FF63BE7B"/>
      </colorScale>
    </cfRule>
  </conditionalFormatting>
  <conditionalFormatting sqref="D28">
    <cfRule type="expression" dxfId="813" priority="671">
      <formula xml:space="preserve"> INDIRECT(CHAR(COLUMN()+96) &amp; 4) = TODAY() * NOT(ISBLANK(INDIRECT(CHAR(COLUMN()+96) &amp; ROW())))</formula>
    </cfRule>
    <cfRule type="expression" dxfId="812" priority="672">
      <formula xml:space="preserve"> INDIRECT(CHAR(COLUMN()+96) &amp; 4) = TODAY() * ISBLANK(INDIRECT(CHAR(COLUMN()+96) &amp; ROW()))</formula>
    </cfRule>
  </conditionalFormatting>
  <conditionalFormatting sqref="D28">
    <cfRule type="expression" dxfId="811" priority="669">
      <formula>INDIRECT("A"&amp;3) = INDIRECT("A"&amp;ROW())</formula>
    </cfRule>
  </conditionalFormatting>
  <conditionalFormatting sqref="D28">
    <cfRule type="colorScale" priority="670">
      <colorScale>
        <cfvo type="num" val="0"/>
        <cfvo type="num" val="0.5"/>
        <cfvo type="num" val="1"/>
        <color rgb="FFF8696B"/>
        <color rgb="FFFFEB84"/>
        <color rgb="FF63BE7B"/>
      </colorScale>
    </cfRule>
  </conditionalFormatting>
  <conditionalFormatting sqref="E25">
    <cfRule type="expression" dxfId="810" priority="655">
      <formula xml:space="preserve"> INDIRECT(CHAR(COLUMN()+96) &amp; 4) = TODAY() * NOT(ISBLANK(INDIRECT(CHAR(COLUMN()+96) &amp; ROW())))</formula>
    </cfRule>
    <cfRule type="expression" dxfId="809" priority="656">
      <formula xml:space="preserve"> INDIRECT(CHAR(COLUMN()+96) &amp; 4) = TODAY() * ISBLANK(INDIRECT(CHAR(COLUMN()+96) &amp; ROW()))</formula>
    </cfRule>
  </conditionalFormatting>
  <conditionalFormatting sqref="E25">
    <cfRule type="expression" dxfId="808" priority="653">
      <formula>INDIRECT("A"&amp;3) = INDIRECT("A"&amp;ROW())</formula>
    </cfRule>
  </conditionalFormatting>
  <conditionalFormatting sqref="E25">
    <cfRule type="colorScale" priority="654">
      <colorScale>
        <cfvo type="num" val="0"/>
        <cfvo type="num" val="0.5"/>
        <cfvo type="num" val="1"/>
        <color rgb="FFF8696B"/>
        <color rgb="FFFFEB84"/>
        <color rgb="FF63BE7B"/>
      </colorScale>
    </cfRule>
  </conditionalFormatting>
  <conditionalFormatting sqref="E26">
    <cfRule type="expression" dxfId="807" priority="651">
      <formula xml:space="preserve"> INDIRECT(CHAR(COLUMN()+96) &amp; 4) = TODAY() * NOT(ISBLANK(INDIRECT(CHAR(COLUMN()+96) &amp; ROW())))</formula>
    </cfRule>
    <cfRule type="expression" dxfId="806" priority="652">
      <formula xml:space="preserve"> INDIRECT(CHAR(COLUMN()+96) &amp; 4) = TODAY() * ISBLANK(INDIRECT(CHAR(COLUMN()+96) &amp; ROW()))</formula>
    </cfRule>
  </conditionalFormatting>
  <conditionalFormatting sqref="E26">
    <cfRule type="expression" dxfId="805" priority="649">
      <formula>INDIRECT("A"&amp;3) = INDIRECT("A"&amp;ROW())</formula>
    </cfRule>
  </conditionalFormatting>
  <conditionalFormatting sqref="E26">
    <cfRule type="colorScale" priority="650">
      <colorScale>
        <cfvo type="num" val="0"/>
        <cfvo type="num" val="0.5"/>
        <cfvo type="num" val="1"/>
        <color rgb="FFF8696B"/>
        <color rgb="FFFFEB84"/>
        <color rgb="FF63BE7B"/>
      </colorScale>
    </cfRule>
  </conditionalFormatting>
  <conditionalFormatting sqref="E27">
    <cfRule type="expression" dxfId="804" priority="647">
      <formula xml:space="preserve"> INDIRECT(CHAR(COLUMN()+96) &amp; 4) = TODAY() * NOT(ISBLANK(INDIRECT(CHAR(COLUMN()+96) &amp; ROW())))</formula>
    </cfRule>
    <cfRule type="expression" dxfId="803" priority="648">
      <formula xml:space="preserve"> INDIRECT(CHAR(COLUMN()+96) &amp; 4) = TODAY() * ISBLANK(INDIRECT(CHAR(COLUMN()+96) &amp; ROW()))</formula>
    </cfRule>
  </conditionalFormatting>
  <conditionalFormatting sqref="E27">
    <cfRule type="expression" dxfId="802" priority="645">
      <formula>INDIRECT("A"&amp;3) = INDIRECT("A"&amp;ROW())</formula>
    </cfRule>
  </conditionalFormatting>
  <conditionalFormatting sqref="E27">
    <cfRule type="colorScale" priority="646">
      <colorScale>
        <cfvo type="num" val="0"/>
        <cfvo type="num" val="0.5"/>
        <cfvo type="num" val="1"/>
        <color rgb="FFF8696B"/>
        <color rgb="FFFFEB84"/>
        <color rgb="FF63BE7B"/>
      </colorScale>
    </cfRule>
  </conditionalFormatting>
  <conditionalFormatting sqref="E27">
    <cfRule type="expression" dxfId="801" priority="643">
      <formula xml:space="preserve"> INDIRECT(CHAR(COLUMN()+96) &amp; 4) = TODAY() * NOT(ISBLANK(INDIRECT(CHAR(COLUMN()+96) &amp; ROW())))</formula>
    </cfRule>
    <cfRule type="expression" dxfId="800" priority="644">
      <formula xml:space="preserve"> INDIRECT(CHAR(COLUMN()+96) &amp; 4) = TODAY() * ISBLANK(INDIRECT(CHAR(COLUMN()+96) &amp; ROW()))</formula>
    </cfRule>
  </conditionalFormatting>
  <conditionalFormatting sqref="E27">
    <cfRule type="expression" dxfId="799" priority="641">
      <formula>INDIRECT("A"&amp;3) = INDIRECT("A"&amp;ROW())</formula>
    </cfRule>
  </conditionalFormatting>
  <conditionalFormatting sqref="E27">
    <cfRule type="colorScale" priority="642">
      <colorScale>
        <cfvo type="num" val="0"/>
        <cfvo type="num" val="0.5"/>
        <cfvo type="num" val="1"/>
        <color rgb="FFF8696B"/>
        <color rgb="FFFFEB84"/>
        <color rgb="FF63BE7B"/>
      </colorScale>
    </cfRule>
  </conditionalFormatting>
  <conditionalFormatting sqref="D28">
    <cfRule type="expression" dxfId="798" priority="639">
      <formula xml:space="preserve"> INDIRECT(CHAR(COLUMN()+96) &amp; 4) = TODAY() * NOT(ISBLANK(INDIRECT(CHAR(COLUMN()+96) &amp; ROW())))</formula>
    </cfRule>
    <cfRule type="expression" dxfId="797" priority="640">
      <formula xml:space="preserve"> INDIRECT(CHAR(COLUMN()+96) &amp; 4) = TODAY() * ISBLANK(INDIRECT(CHAR(COLUMN()+96) &amp; ROW()))</formula>
    </cfRule>
  </conditionalFormatting>
  <conditionalFormatting sqref="D28">
    <cfRule type="expression" dxfId="796" priority="637">
      <formula>INDIRECT("A"&amp;3) = INDIRECT("A"&amp;ROW())</formula>
    </cfRule>
  </conditionalFormatting>
  <conditionalFormatting sqref="D28">
    <cfRule type="colorScale" priority="638">
      <colorScale>
        <cfvo type="num" val="0"/>
        <cfvo type="num" val="0.5"/>
        <cfvo type="num" val="1"/>
        <color rgb="FFF8696B"/>
        <color rgb="FFFFEB84"/>
        <color rgb="FF63BE7B"/>
      </colorScale>
    </cfRule>
  </conditionalFormatting>
  <conditionalFormatting sqref="D29">
    <cfRule type="expression" dxfId="795" priority="635">
      <formula xml:space="preserve"> INDIRECT(CHAR(COLUMN()+96) &amp; 4) = TODAY() * NOT(ISBLANK(INDIRECT(CHAR(COLUMN()+96) &amp; ROW())))</formula>
    </cfRule>
    <cfRule type="expression" dxfId="794" priority="636">
      <formula xml:space="preserve"> INDIRECT(CHAR(COLUMN()+96) &amp; 4) = TODAY() * ISBLANK(INDIRECT(CHAR(COLUMN()+96) &amp; ROW()))</formula>
    </cfRule>
  </conditionalFormatting>
  <conditionalFormatting sqref="D29">
    <cfRule type="expression" dxfId="793" priority="633">
      <formula>INDIRECT("A"&amp;3) = INDIRECT("A"&amp;ROW())</formula>
    </cfRule>
  </conditionalFormatting>
  <conditionalFormatting sqref="D29">
    <cfRule type="colorScale" priority="634">
      <colorScale>
        <cfvo type="num" val="0"/>
        <cfvo type="num" val="0.5"/>
        <cfvo type="num" val="1"/>
        <color rgb="FFF8696B"/>
        <color rgb="FFFFEB84"/>
        <color rgb="FF63BE7B"/>
      </colorScale>
    </cfRule>
  </conditionalFormatting>
  <conditionalFormatting sqref="D27">
    <cfRule type="expression" dxfId="792" priority="631">
      <formula xml:space="preserve"> INDIRECT(CHAR(COLUMN()+96) &amp; 4) = TODAY() * NOT(ISBLANK(INDIRECT(CHAR(COLUMN()+96) &amp; ROW())))</formula>
    </cfRule>
    <cfRule type="expression" dxfId="791" priority="632">
      <formula xml:space="preserve"> INDIRECT(CHAR(COLUMN()+96) &amp; 4) = TODAY() * ISBLANK(INDIRECT(CHAR(COLUMN()+96) &amp; ROW()))</formula>
    </cfRule>
  </conditionalFormatting>
  <conditionalFormatting sqref="D27">
    <cfRule type="expression" dxfId="790" priority="629">
      <formula>INDIRECT("A"&amp;3) = INDIRECT("A"&amp;ROW())</formula>
    </cfRule>
  </conditionalFormatting>
  <conditionalFormatting sqref="D27">
    <cfRule type="colorScale" priority="630">
      <colorScale>
        <cfvo type="num" val="0"/>
        <cfvo type="num" val="0.5"/>
        <cfvo type="num" val="1"/>
        <color rgb="FFF8696B"/>
        <color rgb="FFFFEB84"/>
        <color rgb="FF63BE7B"/>
      </colorScale>
    </cfRule>
  </conditionalFormatting>
  <conditionalFormatting sqref="E28:E30">
    <cfRule type="expression" dxfId="789" priority="627">
      <formula xml:space="preserve"> INDIRECT(CHAR(COLUMN()+96) &amp; 4) = TODAY() * NOT(ISBLANK(INDIRECT(CHAR(COLUMN()+96) &amp; ROW())))</formula>
    </cfRule>
    <cfRule type="expression" dxfId="788" priority="628">
      <formula xml:space="preserve"> INDIRECT(CHAR(COLUMN()+96) &amp; 4) = TODAY() * ISBLANK(INDIRECT(CHAR(COLUMN()+96) &amp; ROW()))</formula>
    </cfRule>
  </conditionalFormatting>
  <conditionalFormatting sqref="E28:E30">
    <cfRule type="expression" dxfId="787" priority="625">
      <formula>INDIRECT("A"&amp;3) = INDIRECT("A"&amp;ROW())</formula>
    </cfRule>
  </conditionalFormatting>
  <conditionalFormatting sqref="E28:E30">
    <cfRule type="colorScale" priority="626">
      <colorScale>
        <cfvo type="num" val="0"/>
        <cfvo type="num" val="0.5"/>
        <cfvo type="num" val="1"/>
        <color rgb="FFF8696B"/>
        <color rgb="FFFFEB84"/>
        <color rgb="FF63BE7B"/>
      </colorScale>
    </cfRule>
  </conditionalFormatting>
  <conditionalFormatting sqref="E28:E30">
    <cfRule type="expression" dxfId="786" priority="623">
      <formula xml:space="preserve"> INDIRECT(CHAR(COLUMN()+96) &amp; 4) = TODAY() * NOT(ISBLANK(INDIRECT(CHAR(COLUMN()+96) &amp; ROW())))</formula>
    </cfRule>
    <cfRule type="expression" dxfId="785" priority="624">
      <formula xml:space="preserve"> INDIRECT(CHAR(COLUMN()+96) &amp; 4) = TODAY() * ISBLANK(INDIRECT(CHAR(COLUMN()+96) &amp; ROW()))</formula>
    </cfRule>
  </conditionalFormatting>
  <conditionalFormatting sqref="E28:E30">
    <cfRule type="expression" dxfId="784" priority="621">
      <formula>INDIRECT("A"&amp;3) = INDIRECT("A"&amp;ROW())</formula>
    </cfRule>
  </conditionalFormatting>
  <conditionalFormatting sqref="E28:E30">
    <cfRule type="colorScale" priority="622">
      <colorScale>
        <cfvo type="num" val="0"/>
        <cfvo type="num" val="0.5"/>
        <cfvo type="num" val="1"/>
        <color rgb="FFF8696B"/>
        <color rgb="FFFFEB84"/>
        <color rgb="FF63BE7B"/>
      </colorScale>
    </cfRule>
  </conditionalFormatting>
  <conditionalFormatting sqref="E25">
    <cfRule type="expression" dxfId="783" priority="611">
      <formula xml:space="preserve"> INDIRECT(CHAR(COLUMN()+96) &amp; 4) = TODAY() * NOT(ISBLANK(INDIRECT(CHAR(COLUMN()+96) &amp; ROW())))</formula>
    </cfRule>
    <cfRule type="expression" dxfId="782" priority="612">
      <formula xml:space="preserve"> INDIRECT(CHAR(COLUMN()+96) &amp; 4) = TODAY() * ISBLANK(INDIRECT(CHAR(COLUMN()+96) &amp; ROW()))</formula>
    </cfRule>
  </conditionalFormatting>
  <conditionalFormatting sqref="E25">
    <cfRule type="expression" dxfId="781" priority="609">
      <formula>INDIRECT("A"&amp;3) = INDIRECT("A"&amp;ROW())</formula>
    </cfRule>
  </conditionalFormatting>
  <conditionalFormatting sqref="E25">
    <cfRule type="colorScale" priority="610">
      <colorScale>
        <cfvo type="num" val="0"/>
        <cfvo type="num" val="0.5"/>
        <cfvo type="num" val="1"/>
        <color rgb="FFF8696B"/>
        <color rgb="FFFFEB84"/>
        <color rgb="FF63BE7B"/>
      </colorScale>
    </cfRule>
  </conditionalFormatting>
  <conditionalFormatting sqref="E25">
    <cfRule type="expression" dxfId="780" priority="607">
      <formula xml:space="preserve"> INDIRECT(CHAR(COLUMN()+96) &amp; 4) = TODAY() * NOT(ISBLANK(INDIRECT(CHAR(COLUMN()+96) &amp; ROW())))</formula>
    </cfRule>
    <cfRule type="expression" dxfId="779" priority="608">
      <formula xml:space="preserve"> INDIRECT(CHAR(COLUMN()+96) &amp; 4) = TODAY() * ISBLANK(INDIRECT(CHAR(COLUMN()+96) &amp; ROW()))</formula>
    </cfRule>
  </conditionalFormatting>
  <conditionalFormatting sqref="E25">
    <cfRule type="expression" dxfId="778" priority="605">
      <formula>INDIRECT("A"&amp;3) = INDIRECT("A"&amp;ROW())</formula>
    </cfRule>
  </conditionalFormatting>
  <conditionalFormatting sqref="E25">
    <cfRule type="colorScale" priority="606">
      <colorScale>
        <cfvo type="num" val="0"/>
        <cfvo type="num" val="0.5"/>
        <cfvo type="num" val="1"/>
        <color rgb="FFF8696B"/>
        <color rgb="FFFFEB84"/>
        <color rgb="FF63BE7B"/>
      </colorScale>
    </cfRule>
  </conditionalFormatting>
  <conditionalFormatting sqref="E26">
    <cfRule type="expression" dxfId="777" priority="603">
      <formula xml:space="preserve"> INDIRECT(CHAR(COLUMN()+96) &amp; 4) = TODAY() * NOT(ISBLANK(INDIRECT(CHAR(COLUMN()+96) &amp; ROW())))</formula>
    </cfRule>
    <cfRule type="expression" dxfId="776" priority="604">
      <formula xml:space="preserve"> INDIRECT(CHAR(COLUMN()+96) &amp; 4) = TODAY() * ISBLANK(INDIRECT(CHAR(COLUMN()+96) &amp; ROW()))</formula>
    </cfRule>
  </conditionalFormatting>
  <conditionalFormatting sqref="E26">
    <cfRule type="expression" dxfId="775" priority="601">
      <formula>INDIRECT("A"&amp;3) = INDIRECT("A"&amp;ROW())</formula>
    </cfRule>
  </conditionalFormatting>
  <conditionalFormatting sqref="E26">
    <cfRule type="colorScale" priority="602">
      <colorScale>
        <cfvo type="num" val="0"/>
        <cfvo type="num" val="0.5"/>
        <cfvo type="num" val="1"/>
        <color rgb="FFF8696B"/>
        <color rgb="FFFFEB84"/>
        <color rgb="FF63BE7B"/>
      </colorScale>
    </cfRule>
  </conditionalFormatting>
  <conditionalFormatting sqref="E27">
    <cfRule type="expression" dxfId="774" priority="599">
      <formula xml:space="preserve"> INDIRECT(CHAR(COLUMN()+96) &amp; 4) = TODAY() * NOT(ISBLANK(INDIRECT(CHAR(COLUMN()+96) &amp; ROW())))</formula>
    </cfRule>
    <cfRule type="expression" dxfId="773" priority="600">
      <formula xml:space="preserve"> INDIRECT(CHAR(COLUMN()+96) &amp; 4) = TODAY() * ISBLANK(INDIRECT(CHAR(COLUMN()+96) &amp; ROW()))</formula>
    </cfRule>
  </conditionalFormatting>
  <conditionalFormatting sqref="E27">
    <cfRule type="expression" dxfId="772" priority="597">
      <formula>INDIRECT("A"&amp;3) = INDIRECT("A"&amp;ROW())</formula>
    </cfRule>
  </conditionalFormatting>
  <conditionalFormatting sqref="E27">
    <cfRule type="colorScale" priority="598">
      <colorScale>
        <cfvo type="num" val="0"/>
        <cfvo type="num" val="0.5"/>
        <cfvo type="num" val="1"/>
        <color rgb="FFF8696B"/>
        <color rgb="FFFFEB84"/>
        <color rgb="FF63BE7B"/>
      </colorScale>
    </cfRule>
  </conditionalFormatting>
  <conditionalFormatting sqref="E28:E30">
    <cfRule type="expression" dxfId="771" priority="595">
      <formula xml:space="preserve"> INDIRECT(CHAR(COLUMN()+96) &amp; 4) = TODAY() * NOT(ISBLANK(INDIRECT(CHAR(COLUMN()+96) &amp; ROW())))</formula>
    </cfRule>
    <cfRule type="expression" dxfId="770" priority="596">
      <formula xml:space="preserve"> INDIRECT(CHAR(COLUMN()+96) &amp; 4) = TODAY() * ISBLANK(INDIRECT(CHAR(COLUMN()+96) &amp; ROW()))</formula>
    </cfRule>
  </conditionalFormatting>
  <conditionalFormatting sqref="E28:E30">
    <cfRule type="expression" dxfId="769" priority="593">
      <formula>INDIRECT("A"&amp;3) = INDIRECT("A"&amp;ROW())</formula>
    </cfRule>
  </conditionalFormatting>
  <conditionalFormatting sqref="E28:E30">
    <cfRule type="colorScale" priority="594">
      <colorScale>
        <cfvo type="num" val="0"/>
        <cfvo type="num" val="0.5"/>
        <cfvo type="num" val="1"/>
        <color rgb="FFF8696B"/>
        <color rgb="FFFFEB84"/>
        <color rgb="FF63BE7B"/>
      </colorScale>
    </cfRule>
  </conditionalFormatting>
  <conditionalFormatting sqref="E28:E30">
    <cfRule type="expression" dxfId="768" priority="591">
      <formula xml:space="preserve"> INDIRECT(CHAR(COLUMN()+96) &amp; 4) = TODAY() * NOT(ISBLANK(INDIRECT(CHAR(COLUMN()+96) &amp; ROW())))</formula>
    </cfRule>
    <cfRule type="expression" dxfId="767" priority="592">
      <formula xml:space="preserve"> INDIRECT(CHAR(COLUMN()+96) &amp; 4) = TODAY() * ISBLANK(INDIRECT(CHAR(COLUMN()+96) &amp; ROW()))</formula>
    </cfRule>
  </conditionalFormatting>
  <conditionalFormatting sqref="E28:E30">
    <cfRule type="expression" dxfId="766" priority="589">
      <formula>INDIRECT("A"&amp;3) = INDIRECT("A"&amp;ROW())</formula>
    </cfRule>
  </conditionalFormatting>
  <conditionalFormatting sqref="E28:E30">
    <cfRule type="colorScale" priority="590">
      <colorScale>
        <cfvo type="num" val="0"/>
        <cfvo type="num" val="0.5"/>
        <cfvo type="num" val="1"/>
        <color rgb="FFF8696B"/>
        <color rgb="FFFFEB84"/>
        <color rgb="FF63BE7B"/>
      </colorScale>
    </cfRule>
  </conditionalFormatting>
  <conditionalFormatting sqref="F10:F12">
    <cfRule type="expression" dxfId="765" priority="587">
      <formula xml:space="preserve"> INDIRECT(CHAR(COLUMN()+96) &amp; 4) = TODAY() * NOT(ISBLANK(INDIRECT(CHAR(COLUMN()+96) &amp; ROW())))</formula>
    </cfRule>
    <cfRule type="expression" dxfId="764" priority="588">
      <formula xml:space="preserve"> INDIRECT(CHAR(COLUMN()+96) &amp; 4) = TODAY() * ISBLANK(INDIRECT(CHAR(COLUMN()+96) &amp; ROW()))</formula>
    </cfRule>
  </conditionalFormatting>
  <conditionalFormatting sqref="F10:F12">
    <cfRule type="expression" dxfId="763" priority="585">
      <formula>INDIRECT("A"&amp;3) = INDIRECT("A"&amp;ROW())</formula>
    </cfRule>
  </conditionalFormatting>
  <conditionalFormatting sqref="F10:F12">
    <cfRule type="colorScale" priority="586">
      <colorScale>
        <cfvo type="num" val="0"/>
        <cfvo type="num" val="0.5"/>
        <cfvo type="num" val="1"/>
        <color rgb="FFF8696B"/>
        <color rgb="FFFFEB84"/>
        <color rgb="FF63BE7B"/>
      </colorScale>
    </cfRule>
  </conditionalFormatting>
  <conditionalFormatting sqref="F10:F12">
    <cfRule type="expression" dxfId="762" priority="583">
      <formula xml:space="preserve"> INDIRECT(CHAR(COLUMN()+96) &amp; 4) = TODAY() * NOT(ISBLANK(INDIRECT(CHAR(COLUMN()+96) &amp; ROW())))</formula>
    </cfRule>
    <cfRule type="expression" dxfId="761" priority="584">
      <formula xml:space="preserve"> INDIRECT(CHAR(COLUMN()+96) &amp; 4) = TODAY() * ISBLANK(INDIRECT(CHAR(COLUMN()+96) &amp; ROW()))</formula>
    </cfRule>
  </conditionalFormatting>
  <conditionalFormatting sqref="F10:F12">
    <cfRule type="expression" dxfId="760" priority="581">
      <formula>INDIRECT("A"&amp;3) = INDIRECT("A"&amp;ROW())</formula>
    </cfRule>
  </conditionalFormatting>
  <conditionalFormatting sqref="F10:F12">
    <cfRule type="colorScale" priority="582">
      <colorScale>
        <cfvo type="num" val="0"/>
        <cfvo type="num" val="0.5"/>
        <cfvo type="num" val="1"/>
        <color rgb="FFF8696B"/>
        <color rgb="FFFFEB84"/>
        <color rgb="FF63BE7B"/>
      </colorScale>
    </cfRule>
  </conditionalFormatting>
  <conditionalFormatting sqref="E26">
    <cfRule type="expression" dxfId="759" priority="579">
      <formula xml:space="preserve"> INDIRECT(CHAR(COLUMN()+96) &amp; 4) = TODAY() * NOT(ISBLANK(INDIRECT(CHAR(COLUMN()+96) &amp; ROW())))</formula>
    </cfRule>
    <cfRule type="expression" dxfId="758" priority="580">
      <formula xml:space="preserve"> INDIRECT(CHAR(COLUMN()+96) &amp; 4) = TODAY() * ISBLANK(INDIRECT(CHAR(COLUMN()+96) &amp; ROW()))</formula>
    </cfRule>
  </conditionalFormatting>
  <conditionalFormatting sqref="E26">
    <cfRule type="expression" dxfId="757" priority="577">
      <formula>INDIRECT("A"&amp;3) = INDIRECT("A"&amp;ROW())</formula>
    </cfRule>
  </conditionalFormatting>
  <conditionalFormatting sqref="E26">
    <cfRule type="colorScale" priority="578">
      <colorScale>
        <cfvo type="num" val="0"/>
        <cfvo type="num" val="0.5"/>
        <cfvo type="num" val="1"/>
        <color rgb="FFF8696B"/>
        <color rgb="FFFFEB84"/>
        <color rgb="FF63BE7B"/>
      </colorScale>
    </cfRule>
  </conditionalFormatting>
  <conditionalFormatting sqref="E27">
    <cfRule type="expression" dxfId="756" priority="575">
      <formula xml:space="preserve"> INDIRECT(CHAR(COLUMN()+96) &amp; 4) = TODAY() * NOT(ISBLANK(INDIRECT(CHAR(COLUMN()+96) &amp; ROW())))</formula>
    </cfRule>
    <cfRule type="expression" dxfId="755" priority="576">
      <formula xml:space="preserve"> INDIRECT(CHAR(COLUMN()+96) &amp; 4) = TODAY() * ISBLANK(INDIRECT(CHAR(COLUMN()+96) &amp; ROW()))</formula>
    </cfRule>
  </conditionalFormatting>
  <conditionalFormatting sqref="E27">
    <cfRule type="expression" dxfId="754" priority="573">
      <formula>INDIRECT("A"&amp;3) = INDIRECT("A"&amp;ROW())</formula>
    </cfRule>
  </conditionalFormatting>
  <conditionalFormatting sqref="E27">
    <cfRule type="colorScale" priority="574">
      <colorScale>
        <cfvo type="num" val="0"/>
        <cfvo type="num" val="0.5"/>
        <cfvo type="num" val="1"/>
        <color rgb="FFF8696B"/>
        <color rgb="FFFFEB84"/>
        <color rgb="FF63BE7B"/>
      </colorScale>
    </cfRule>
  </conditionalFormatting>
  <conditionalFormatting sqref="E28:E30">
    <cfRule type="expression" dxfId="753" priority="571">
      <formula xml:space="preserve"> INDIRECT(CHAR(COLUMN()+96) &amp; 4) = TODAY() * NOT(ISBLANK(INDIRECT(CHAR(COLUMN()+96) &amp; ROW())))</formula>
    </cfRule>
    <cfRule type="expression" dxfId="752" priority="572">
      <formula xml:space="preserve"> INDIRECT(CHAR(COLUMN()+96) &amp; 4) = TODAY() * ISBLANK(INDIRECT(CHAR(COLUMN()+96) &amp; ROW()))</formula>
    </cfRule>
  </conditionalFormatting>
  <conditionalFormatting sqref="E28:E30">
    <cfRule type="expression" dxfId="751" priority="569">
      <formula>INDIRECT("A"&amp;3) = INDIRECT("A"&amp;ROW())</formula>
    </cfRule>
  </conditionalFormatting>
  <conditionalFormatting sqref="E28:E30">
    <cfRule type="colorScale" priority="570">
      <colorScale>
        <cfvo type="num" val="0"/>
        <cfvo type="num" val="0.5"/>
        <cfvo type="num" val="1"/>
        <color rgb="FFF8696B"/>
        <color rgb="FFFFEB84"/>
        <color rgb="FF63BE7B"/>
      </colorScale>
    </cfRule>
  </conditionalFormatting>
  <conditionalFormatting sqref="E28:E30">
    <cfRule type="expression" dxfId="750" priority="567">
      <formula xml:space="preserve"> INDIRECT(CHAR(COLUMN()+96) &amp; 4) = TODAY() * NOT(ISBLANK(INDIRECT(CHAR(COLUMN()+96) &amp; ROW())))</formula>
    </cfRule>
    <cfRule type="expression" dxfId="749" priority="568">
      <formula xml:space="preserve"> INDIRECT(CHAR(COLUMN()+96) &amp; 4) = TODAY() * ISBLANK(INDIRECT(CHAR(COLUMN()+96) &amp; ROW()))</formula>
    </cfRule>
  </conditionalFormatting>
  <conditionalFormatting sqref="E28:E30">
    <cfRule type="expression" dxfId="748" priority="565">
      <formula>INDIRECT("A"&amp;3) = INDIRECT("A"&amp;ROW())</formula>
    </cfRule>
  </conditionalFormatting>
  <conditionalFormatting sqref="E28:E30">
    <cfRule type="colorScale" priority="566">
      <colorScale>
        <cfvo type="num" val="0"/>
        <cfvo type="num" val="0.5"/>
        <cfvo type="num" val="1"/>
        <color rgb="FFF8696B"/>
        <color rgb="FFFFEB84"/>
        <color rgb="FF63BE7B"/>
      </colorScale>
    </cfRule>
  </conditionalFormatting>
  <conditionalFormatting sqref="E26">
    <cfRule type="expression" dxfId="747" priority="555">
      <formula xml:space="preserve"> INDIRECT(CHAR(COLUMN()+96) &amp; 4) = TODAY() * NOT(ISBLANK(INDIRECT(CHAR(COLUMN()+96) &amp; ROW())))</formula>
    </cfRule>
    <cfRule type="expression" dxfId="746" priority="556">
      <formula xml:space="preserve"> INDIRECT(CHAR(COLUMN()+96) &amp; 4) = TODAY() * ISBLANK(INDIRECT(CHAR(COLUMN()+96) &amp; ROW()))</formula>
    </cfRule>
  </conditionalFormatting>
  <conditionalFormatting sqref="E26">
    <cfRule type="expression" dxfId="745" priority="553">
      <formula>INDIRECT("A"&amp;3) = INDIRECT("A"&amp;ROW())</formula>
    </cfRule>
  </conditionalFormatting>
  <conditionalFormatting sqref="E26">
    <cfRule type="colorScale" priority="554">
      <colorScale>
        <cfvo type="num" val="0"/>
        <cfvo type="num" val="0.5"/>
        <cfvo type="num" val="1"/>
        <color rgb="FFF8696B"/>
        <color rgb="FFFFEB84"/>
        <color rgb="FF63BE7B"/>
      </colorScale>
    </cfRule>
  </conditionalFormatting>
  <conditionalFormatting sqref="E26">
    <cfRule type="expression" dxfId="744" priority="551">
      <formula xml:space="preserve"> INDIRECT(CHAR(COLUMN()+96) &amp; 4) = TODAY() * NOT(ISBLANK(INDIRECT(CHAR(COLUMN()+96) &amp; ROW())))</formula>
    </cfRule>
    <cfRule type="expression" dxfId="743" priority="552">
      <formula xml:space="preserve"> INDIRECT(CHAR(COLUMN()+96) &amp; 4) = TODAY() * ISBLANK(INDIRECT(CHAR(COLUMN()+96) &amp; ROW()))</formula>
    </cfRule>
  </conditionalFormatting>
  <conditionalFormatting sqref="E26">
    <cfRule type="expression" dxfId="742" priority="549">
      <formula>INDIRECT("A"&amp;3) = INDIRECT("A"&amp;ROW())</formula>
    </cfRule>
  </conditionalFormatting>
  <conditionalFormatting sqref="E26">
    <cfRule type="colorScale" priority="550">
      <colorScale>
        <cfvo type="num" val="0"/>
        <cfvo type="num" val="0.5"/>
        <cfvo type="num" val="1"/>
        <color rgb="FFF8696B"/>
        <color rgb="FFFFEB84"/>
        <color rgb="FF63BE7B"/>
      </colorScale>
    </cfRule>
  </conditionalFormatting>
  <conditionalFormatting sqref="E27">
    <cfRule type="expression" dxfId="741" priority="547">
      <formula xml:space="preserve"> INDIRECT(CHAR(COLUMN()+96) &amp; 4) = TODAY() * NOT(ISBLANK(INDIRECT(CHAR(COLUMN()+96) &amp; ROW())))</formula>
    </cfRule>
    <cfRule type="expression" dxfId="740" priority="548">
      <formula xml:space="preserve"> INDIRECT(CHAR(COLUMN()+96) &amp; 4) = TODAY() * ISBLANK(INDIRECT(CHAR(COLUMN()+96) &amp; ROW()))</formula>
    </cfRule>
  </conditionalFormatting>
  <conditionalFormatting sqref="E27">
    <cfRule type="expression" dxfId="739" priority="545">
      <formula>INDIRECT("A"&amp;3) = INDIRECT("A"&amp;ROW())</formula>
    </cfRule>
  </conditionalFormatting>
  <conditionalFormatting sqref="E27">
    <cfRule type="colorScale" priority="546">
      <colorScale>
        <cfvo type="num" val="0"/>
        <cfvo type="num" val="0.5"/>
        <cfvo type="num" val="1"/>
        <color rgb="FFF8696B"/>
        <color rgb="FFFFEB84"/>
        <color rgb="FF63BE7B"/>
      </colorScale>
    </cfRule>
  </conditionalFormatting>
  <conditionalFormatting sqref="E28:E30">
    <cfRule type="expression" dxfId="738" priority="543">
      <formula xml:space="preserve"> INDIRECT(CHAR(COLUMN()+96) &amp; 4) = TODAY() * NOT(ISBLANK(INDIRECT(CHAR(COLUMN()+96) &amp; ROW())))</formula>
    </cfRule>
    <cfRule type="expression" dxfId="737" priority="544">
      <formula xml:space="preserve"> INDIRECT(CHAR(COLUMN()+96) &amp; 4) = TODAY() * ISBLANK(INDIRECT(CHAR(COLUMN()+96) &amp; ROW()))</formula>
    </cfRule>
  </conditionalFormatting>
  <conditionalFormatting sqref="E28:E30">
    <cfRule type="expression" dxfId="736" priority="541">
      <formula>INDIRECT("A"&amp;3) = INDIRECT("A"&amp;ROW())</formula>
    </cfRule>
  </conditionalFormatting>
  <conditionalFormatting sqref="E28:E30">
    <cfRule type="colorScale" priority="542">
      <colorScale>
        <cfvo type="num" val="0"/>
        <cfvo type="num" val="0.5"/>
        <cfvo type="num" val="1"/>
        <color rgb="FFF8696B"/>
        <color rgb="FFFFEB84"/>
        <color rgb="FF63BE7B"/>
      </colorScale>
    </cfRule>
  </conditionalFormatting>
  <conditionalFormatting sqref="G12">
    <cfRule type="expression" dxfId="735" priority="531">
      <formula xml:space="preserve"> INDIRECT(CHAR(COLUMN()+96) &amp; 4) = TODAY() * NOT(ISBLANK(INDIRECT(CHAR(COLUMN()+96) &amp; ROW())))</formula>
    </cfRule>
    <cfRule type="expression" dxfId="734" priority="532">
      <formula xml:space="preserve"> INDIRECT(CHAR(COLUMN()+96) &amp; 4) = TODAY() * ISBLANK(INDIRECT(CHAR(COLUMN()+96) &amp; ROW()))</formula>
    </cfRule>
  </conditionalFormatting>
  <conditionalFormatting sqref="G12">
    <cfRule type="expression" dxfId="733" priority="529">
      <formula>INDIRECT("A"&amp;3) = INDIRECT("A"&amp;ROW())</formula>
    </cfRule>
  </conditionalFormatting>
  <conditionalFormatting sqref="G12">
    <cfRule type="colorScale" priority="530">
      <colorScale>
        <cfvo type="num" val="0"/>
        <cfvo type="num" val="0.5"/>
        <cfvo type="num" val="1"/>
        <color rgb="FFF8696B"/>
        <color rgb="FFFFEB84"/>
        <color rgb="FF63BE7B"/>
      </colorScale>
    </cfRule>
  </conditionalFormatting>
  <conditionalFormatting sqref="F23">
    <cfRule type="expression" dxfId="732" priority="515">
      <formula xml:space="preserve"> INDIRECT(CHAR(COLUMN()+96) &amp; 4) = TODAY() * NOT(ISBLANK(INDIRECT(CHAR(COLUMN()+96) &amp; ROW())))</formula>
    </cfRule>
    <cfRule type="expression" dxfId="731" priority="516">
      <formula xml:space="preserve"> INDIRECT(CHAR(COLUMN()+96) &amp; 4) = TODAY() * ISBLANK(INDIRECT(CHAR(COLUMN()+96) &amp; ROW()))</formula>
    </cfRule>
  </conditionalFormatting>
  <conditionalFormatting sqref="F23">
    <cfRule type="expression" dxfId="730" priority="513">
      <formula>INDIRECT("A"&amp;3) = INDIRECT("A"&amp;ROW())</formula>
    </cfRule>
  </conditionalFormatting>
  <conditionalFormatting sqref="F23">
    <cfRule type="colorScale" priority="514">
      <colorScale>
        <cfvo type="num" val="0"/>
        <cfvo type="num" val="0.5"/>
        <cfvo type="num" val="1"/>
        <color rgb="FFF8696B"/>
        <color rgb="FFFFEB84"/>
        <color rgb="FF63BE7B"/>
      </colorScale>
    </cfRule>
  </conditionalFormatting>
  <conditionalFormatting sqref="F23">
    <cfRule type="expression" dxfId="729" priority="511">
      <formula xml:space="preserve"> INDIRECT(CHAR(COLUMN()+96) &amp; 4) = TODAY() * NOT(ISBLANK(INDIRECT(CHAR(COLUMN()+96) &amp; ROW())))</formula>
    </cfRule>
    <cfRule type="expression" dxfId="728" priority="512">
      <formula xml:space="preserve"> INDIRECT(CHAR(COLUMN()+96) &amp; 4) = TODAY() * ISBLANK(INDIRECT(CHAR(COLUMN()+96) &amp; ROW()))</formula>
    </cfRule>
  </conditionalFormatting>
  <conditionalFormatting sqref="F23">
    <cfRule type="expression" dxfId="727" priority="509">
      <formula>INDIRECT("A"&amp;3) = INDIRECT("A"&amp;ROW())</formula>
    </cfRule>
  </conditionalFormatting>
  <conditionalFormatting sqref="F23">
    <cfRule type="colorScale" priority="510">
      <colorScale>
        <cfvo type="num" val="0"/>
        <cfvo type="num" val="0.5"/>
        <cfvo type="num" val="1"/>
        <color rgb="FFF8696B"/>
        <color rgb="FFFFEB84"/>
        <color rgb="FF63BE7B"/>
      </colorScale>
    </cfRule>
  </conditionalFormatting>
  <conditionalFormatting sqref="F23">
    <cfRule type="expression" dxfId="726" priority="507">
      <formula xml:space="preserve"> INDIRECT(CHAR(COLUMN()+96) &amp; 4) = TODAY() * NOT(ISBLANK(INDIRECT(CHAR(COLUMN()+96) &amp; ROW())))</formula>
    </cfRule>
    <cfRule type="expression" dxfId="725" priority="508">
      <formula xml:space="preserve"> INDIRECT(CHAR(COLUMN()+96) &amp; 4) = TODAY() * ISBLANK(INDIRECT(CHAR(COLUMN()+96) &amp; ROW()))</formula>
    </cfRule>
  </conditionalFormatting>
  <conditionalFormatting sqref="F23">
    <cfRule type="expression" dxfId="724" priority="505">
      <formula>INDIRECT("A"&amp;3) = INDIRECT("A"&amp;ROW())</formula>
    </cfRule>
  </conditionalFormatting>
  <conditionalFormatting sqref="F23">
    <cfRule type="colorScale" priority="506">
      <colorScale>
        <cfvo type="num" val="0"/>
        <cfvo type="num" val="0.5"/>
        <cfvo type="num" val="1"/>
        <color rgb="FFF8696B"/>
        <color rgb="FFFFEB84"/>
        <color rgb="FF63BE7B"/>
      </colorScale>
    </cfRule>
  </conditionalFormatting>
  <conditionalFormatting sqref="F23">
    <cfRule type="expression" dxfId="723" priority="503">
      <formula xml:space="preserve"> INDIRECT(CHAR(COLUMN()+96) &amp; 4) = TODAY() * NOT(ISBLANK(INDIRECT(CHAR(COLUMN()+96) &amp; ROW())))</formula>
    </cfRule>
    <cfRule type="expression" dxfId="722" priority="504">
      <formula xml:space="preserve"> INDIRECT(CHAR(COLUMN()+96) &amp; 4) = TODAY() * ISBLANK(INDIRECT(CHAR(COLUMN()+96) &amp; ROW()))</formula>
    </cfRule>
  </conditionalFormatting>
  <conditionalFormatting sqref="F23">
    <cfRule type="expression" dxfId="721" priority="501">
      <formula>INDIRECT("A"&amp;3) = INDIRECT("A"&amp;ROW())</formula>
    </cfRule>
  </conditionalFormatting>
  <conditionalFormatting sqref="F23">
    <cfRule type="colorScale" priority="502">
      <colorScale>
        <cfvo type="num" val="0"/>
        <cfvo type="num" val="0.5"/>
        <cfvo type="num" val="1"/>
        <color rgb="FFF8696B"/>
        <color rgb="FFFFEB84"/>
        <color rgb="FF63BE7B"/>
      </colorScale>
    </cfRule>
  </conditionalFormatting>
  <conditionalFormatting sqref="F23">
    <cfRule type="expression" dxfId="720" priority="499">
      <formula xml:space="preserve"> INDIRECT(CHAR(COLUMN()+96) &amp; 4) = TODAY() * NOT(ISBLANK(INDIRECT(CHAR(COLUMN()+96) &amp; ROW())))</formula>
    </cfRule>
    <cfRule type="expression" dxfId="719" priority="500">
      <formula xml:space="preserve"> INDIRECT(CHAR(COLUMN()+96) &amp; 4) = TODAY() * ISBLANK(INDIRECT(CHAR(COLUMN()+96) &amp; ROW()))</formula>
    </cfRule>
  </conditionalFormatting>
  <conditionalFormatting sqref="F23">
    <cfRule type="expression" dxfId="718" priority="497">
      <formula>INDIRECT("A"&amp;3) = INDIRECT("A"&amp;ROW())</formula>
    </cfRule>
  </conditionalFormatting>
  <conditionalFormatting sqref="F23">
    <cfRule type="colorScale" priority="498">
      <colorScale>
        <cfvo type="num" val="0"/>
        <cfvo type="num" val="0.5"/>
        <cfvo type="num" val="1"/>
        <color rgb="FFF8696B"/>
        <color rgb="FFFFEB84"/>
        <color rgb="FF63BE7B"/>
      </colorScale>
    </cfRule>
  </conditionalFormatting>
  <conditionalFormatting sqref="F23">
    <cfRule type="expression" dxfId="717" priority="495">
      <formula xml:space="preserve"> INDIRECT(CHAR(COLUMN()+96) &amp; 4) = TODAY() * NOT(ISBLANK(INDIRECT(CHAR(COLUMN()+96) &amp; ROW())))</formula>
    </cfRule>
    <cfRule type="expression" dxfId="716" priority="496">
      <formula xml:space="preserve"> INDIRECT(CHAR(COLUMN()+96) &amp; 4) = TODAY() * ISBLANK(INDIRECT(CHAR(COLUMN()+96) &amp; ROW()))</formula>
    </cfRule>
  </conditionalFormatting>
  <conditionalFormatting sqref="F23">
    <cfRule type="expression" dxfId="715" priority="493">
      <formula>INDIRECT("A"&amp;3) = INDIRECT("A"&amp;ROW())</formula>
    </cfRule>
  </conditionalFormatting>
  <conditionalFormatting sqref="F23">
    <cfRule type="colorScale" priority="494">
      <colorScale>
        <cfvo type="num" val="0"/>
        <cfvo type="num" val="0.5"/>
        <cfvo type="num" val="1"/>
        <color rgb="FFF8696B"/>
        <color rgb="FFFFEB84"/>
        <color rgb="FF63BE7B"/>
      </colorScale>
    </cfRule>
  </conditionalFormatting>
  <conditionalFormatting sqref="F23">
    <cfRule type="expression" dxfId="714" priority="491">
      <formula xml:space="preserve"> INDIRECT(CHAR(COLUMN()+96) &amp; 4) = TODAY() * NOT(ISBLANK(INDIRECT(CHAR(COLUMN()+96) &amp; ROW())))</formula>
    </cfRule>
    <cfRule type="expression" dxfId="713" priority="492">
      <formula xml:space="preserve"> INDIRECT(CHAR(COLUMN()+96) &amp; 4) = TODAY() * ISBLANK(INDIRECT(CHAR(COLUMN()+96) &amp; ROW()))</formula>
    </cfRule>
  </conditionalFormatting>
  <conditionalFormatting sqref="F23">
    <cfRule type="expression" dxfId="712" priority="489">
      <formula>INDIRECT("A"&amp;3) = INDIRECT("A"&amp;ROW())</formula>
    </cfRule>
  </conditionalFormatting>
  <conditionalFormatting sqref="F23">
    <cfRule type="colorScale" priority="490">
      <colorScale>
        <cfvo type="num" val="0"/>
        <cfvo type="num" val="0.5"/>
        <cfvo type="num" val="1"/>
        <color rgb="FFF8696B"/>
        <color rgb="FFFFEB84"/>
        <color rgb="FF63BE7B"/>
      </colorScale>
    </cfRule>
  </conditionalFormatting>
  <conditionalFormatting sqref="F24">
    <cfRule type="expression" dxfId="711" priority="487">
      <formula xml:space="preserve"> INDIRECT(CHAR(COLUMN()+96) &amp; 4) = TODAY() * NOT(ISBLANK(INDIRECT(CHAR(COLUMN()+96) &amp; ROW())))</formula>
    </cfRule>
    <cfRule type="expression" dxfId="710" priority="488">
      <formula xml:space="preserve"> INDIRECT(CHAR(COLUMN()+96) &amp; 4) = TODAY() * ISBLANK(INDIRECT(CHAR(COLUMN()+96) &amp; ROW()))</formula>
    </cfRule>
  </conditionalFormatting>
  <conditionalFormatting sqref="F24">
    <cfRule type="expression" dxfId="709" priority="485">
      <formula>INDIRECT("A"&amp;3) = INDIRECT("A"&amp;ROW())</formula>
    </cfRule>
  </conditionalFormatting>
  <conditionalFormatting sqref="F24">
    <cfRule type="colorScale" priority="486">
      <colorScale>
        <cfvo type="num" val="0"/>
        <cfvo type="num" val="0.5"/>
        <cfvo type="num" val="1"/>
        <color rgb="FFF8696B"/>
        <color rgb="FFFFEB84"/>
        <color rgb="FF63BE7B"/>
      </colorScale>
    </cfRule>
  </conditionalFormatting>
  <conditionalFormatting sqref="F24">
    <cfRule type="expression" dxfId="708" priority="483">
      <formula xml:space="preserve"> INDIRECT(CHAR(COLUMN()+96) &amp; 4) = TODAY() * NOT(ISBLANK(INDIRECT(CHAR(COLUMN()+96) &amp; ROW())))</formula>
    </cfRule>
    <cfRule type="expression" dxfId="707" priority="484">
      <formula xml:space="preserve"> INDIRECT(CHAR(COLUMN()+96) &amp; 4) = TODAY() * ISBLANK(INDIRECT(CHAR(COLUMN()+96) &amp; ROW()))</formula>
    </cfRule>
  </conditionalFormatting>
  <conditionalFormatting sqref="F24">
    <cfRule type="expression" dxfId="706" priority="481">
      <formula>INDIRECT("A"&amp;3) = INDIRECT("A"&amp;ROW())</formula>
    </cfRule>
  </conditionalFormatting>
  <conditionalFormatting sqref="F24">
    <cfRule type="colorScale" priority="482">
      <colorScale>
        <cfvo type="num" val="0"/>
        <cfvo type="num" val="0.5"/>
        <cfvo type="num" val="1"/>
        <color rgb="FFF8696B"/>
        <color rgb="FFFFEB84"/>
        <color rgb="FF63BE7B"/>
      </colorScale>
    </cfRule>
  </conditionalFormatting>
  <conditionalFormatting sqref="F24">
    <cfRule type="expression" dxfId="705" priority="479">
      <formula xml:space="preserve"> INDIRECT(CHAR(COLUMN()+96) &amp; 4) = TODAY() * NOT(ISBLANK(INDIRECT(CHAR(COLUMN()+96) &amp; ROW())))</formula>
    </cfRule>
    <cfRule type="expression" dxfId="704" priority="480">
      <formula xml:space="preserve"> INDIRECT(CHAR(COLUMN()+96) &amp; 4) = TODAY() * ISBLANK(INDIRECT(CHAR(COLUMN()+96) &amp; ROW()))</formula>
    </cfRule>
  </conditionalFormatting>
  <conditionalFormatting sqref="F24">
    <cfRule type="expression" dxfId="703" priority="477">
      <formula>INDIRECT("A"&amp;3) = INDIRECT("A"&amp;ROW())</formula>
    </cfRule>
  </conditionalFormatting>
  <conditionalFormatting sqref="F24">
    <cfRule type="colorScale" priority="478">
      <colorScale>
        <cfvo type="num" val="0"/>
        <cfvo type="num" val="0.5"/>
        <cfvo type="num" val="1"/>
        <color rgb="FFF8696B"/>
        <color rgb="FFFFEB84"/>
        <color rgb="FF63BE7B"/>
      </colorScale>
    </cfRule>
  </conditionalFormatting>
  <conditionalFormatting sqref="F24">
    <cfRule type="expression" dxfId="702" priority="475">
      <formula xml:space="preserve"> INDIRECT(CHAR(COLUMN()+96) &amp; 4) = TODAY() * NOT(ISBLANK(INDIRECT(CHAR(COLUMN()+96) &amp; ROW())))</formula>
    </cfRule>
    <cfRule type="expression" dxfId="701" priority="476">
      <formula xml:space="preserve"> INDIRECT(CHAR(COLUMN()+96) &amp; 4) = TODAY() * ISBLANK(INDIRECT(CHAR(COLUMN()+96) &amp; ROW()))</formula>
    </cfRule>
  </conditionalFormatting>
  <conditionalFormatting sqref="F24">
    <cfRule type="expression" dxfId="700" priority="473">
      <formula>INDIRECT("A"&amp;3) = INDIRECT("A"&amp;ROW())</formula>
    </cfRule>
  </conditionalFormatting>
  <conditionalFormatting sqref="F24">
    <cfRule type="colorScale" priority="474">
      <colorScale>
        <cfvo type="num" val="0"/>
        <cfvo type="num" val="0.5"/>
        <cfvo type="num" val="1"/>
        <color rgb="FFF8696B"/>
        <color rgb="FFFFEB84"/>
        <color rgb="FF63BE7B"/>
      </colorScale>
    </cfRule>
  </conditionalFormatting>
  <conditionalFormatting sqref="F24">
    <cfRule type="expression" dxfId="699" priority="471">
      <formula xml:space="preserve"> INDIRECT(CHAR(COLUMN()+96) &amp; 4) = TODAY() * NOT(ISBLANK(INDIRECT(CHAR(COLUMN()+96) &amp; ROW())))</formula>
    </cfRule>
    <cfRule type="expression" dxfId="698" priority="472">
      <formula xml:space="preserve"> INDIRECT(CHAR(COLUMN()+96) &amp; 4) = TODAY() * ISBLANK(INDIRECT(CHAR(COLUMN()+96) &amp; ROW()))</formula>
    </cfRule>
  </conditionalFormatting>
  <conditionalFormatting sqref="F24">
    <cfRule type="expression" dxfId="697" priority="469">
      <formula>INDIRECT("A"&amp;3) = INDIRECT("A"&amp;ROW())</formula>
    </cfRule>
  </conditionalFormatting>
  <conditionalFormatting sqref="F24">
    <cfRule type="colorScale" priority="470">
      <colorScale>
        <cfvo type="num" val="0"/>
        <cfvo type="num" val="0.5"/>
        <cfvo type="num" val="1"/>
        <color rgb="FFF8696B"/>
        <color rgb="FFFFEB84"/>
        <color rgb="FF63BE7B"/>
      </colorScale>
    </cfRule>
  </conditionalFormatting>
  <conditionalFormatting sqref="F24">
    <cfRule type="expression" dxfId="696" priority="467">
      <formula xml:space="preserve"> INDIRECT(CHAR(COLUMN()+96) &amp; 4) = TODAY() * NOT(ISBLANK(INDIRECT(CHAR(COLUMN()+96) &amp; ROW())))</formula>
    </cfRule>
    <cfRule type="expression" dxfId="695" priority="468">
      <formula xml:space="preserve"> INDIRECT(CHAR(COLUMN()+96) &amp; 4) = TODAY() * ISBLANK(INDIRECT(CHAR(COLUMN()+96) &amp; ROW()))</formula>
    </cfRule>
  </conditionalFormatting>
  <conditionalFormatting sqref="F24">
    <cfRule type="expression" dxfId="694" priority="465">
      <formula>INDIRECT("A"&amp;3) = INDIRECT("A"&amp;ROW())</formula>
    </cfRule>
  </conditionalFormatting>
  <conditionalFormatting sqref="F24">
    <cfRule type="colorScale" priority="466">
      <colorScale>
        <cfvo type="num" val="0"/>
        <cfvo type="num" val="0.5"/>
        <cfvo type="num" val="1"/>
        <color rgb="FFF8696B"/>
        <color rgb="FFFFEB84"/>
        <color rgb="FF63BE7B"/>
      </colorScale>
    </cfRule>
  </conditionalFormatting>
  <conditionalFormatting sqref="F24">
    <cfRule type="expression" dxfId="693" priority="463">
      <formula xml:space="preserve"> INDIRECT(CHAR(COLUMN()+96) &amp; 4) = TODAY() * NOT(ISBLANK(INDIRECT(CHAR(COLUMN()+96) &amp; ROW())))</formula>
    </cfRule>
    <cfRule type="expression" dxfId="692" priority="464">
      <formula xml:space="preserve"> INDIRECT(CHAR(COLUMN()+96) &amp; 4) = TODAY() * ISBLANK(INDIRECT(CHAR(COLUMN()+96) &amp; ROW()))</formula>
    </cfRule>
  </conditionalFormatting>
  <conditionalFormatting sqref="F24">
    <cfRule type="expression" dxfId="691" priority="461">
      <formula>INDIRECT("A"&amp;3) = INDIRECT("A"&amp;ROW())</formula>
    </cfRule>
  </conditionalFormatting>
  <conditionalFormatting sqref="F24">
    <cfRule type="colorScale" priority="462">
      <colorScale>
        <cfvo type="num" val="0"/>
        <cfvo type="num" val="0.5"/>
        <cfvo type="num" val="1"/>
        <color rgb="FFF8696B"/>
        <color rgb="FFFFEB84"/>
        <color rgb="FF63BE7B"/>
      </colorScale>
    </cfRule>
  </conditionalFormatting>
  <conditionalFormatting sqref="F25:G25">
    <cfRule type="expression" dxfId="690" priority="459">
      <formula xml:space="preserve"> INDIRECT(CHAR(COLUMN()+96) &amp; 4) = TODAY() * NOT(ISBLANK(INDIRECT(CHAR(COLUMN()+96) &amp; ROW())))</formula>
    </cfRule>
    <cfRule type="expression" dxfId="689" priority="460">
      <formula xml:space="preserve"> INDIRECT(CHAR(COLUMN()+96) &amp; 4) = TODAY() * ISBLANK(INDIRECT(CHAR(COLUMN()+96) &amp; ROW()))</formula>
    </cfRule>
  </conditionalFormatting>
  <conditionalFormatting sqref="F25:G25">
    <cfRule type="expression" dxfId="688" priority="457">
      <formula>INDIRECT("A"&amp;3) = INDIRECT("A"&amp;ROW())</formula>
    </cfRule>
  </conditionalFormatting>
  <conditionalFormatting sqref="F25:G25">
    <cfRule type="colorScale" priority="458">
      <colorScale>
        <cfvo type="num" val="0"/>
        <cfvo type="num" val="0.5"/>
        <cfvo type="num" val="1"/>
        <color rgb="FFF8696B"/>
        <color rgb="FFFFEB84"/>
        <color rgb="FF63BE7B"/>
      </colorScale>
    </cfRule>
  </conditionalFormatting>
  <conditionalFormatting sqref="F25:G25">
    <cfRule type="expression" dxfId="687" priority="455">
      <formula xml:space="preserve"> INDIRECT(CHAR(COLUMN()+96) &amp; 4) = TODAY() * NOT(ISBLANK(INDIRECT(CHAR(COLUMN()+96) &amp; ROW())))</formula>
    </cfRule>
    <cfRule type="expression" dxfId="686" priority="456">
      <formula xml:space="preserve"> INDIRECT(CHAR(COLUMN()+96) &amp; 4) = TODAY() * ISBLANK(INDIRECT(CHAR(COLUMN()+96) &amp; ROW()))</formula>
    </cfRule>
  </conditionalFormatting>
  <conditionalFormatting sqref="F25:G25">
    <cfRule type="expression" dxfId="685" priority="453">
      <formula>INDIRECT("A"&amp;3) = INDIRECT("A"&amp;ROW())</formula>
    </cfRule>
  </conditionalFormatting>
  <conditionalFormatting sqref="F25:G25">
    <cfRule type="colorScale" priority="454">
      <colorScale>
        <cfvo type="num" val="0"/>
        <cfvo type="num" val="0.5"/>
        <cfvo type="num" val="1"/>
        <color rgb="FFF8696B"/>
        <color rgb="FFFFEB84"/>
        <color rgb="FF63BE7B"/>
      </colorScale>
    </cfRule>
  </conditionalFormatting>
  <conditionalFormatting sqref="F25:G25">
    <cfRule type="expression" dxfId="684" priority="451">
      <formula xml:space="preserve"> INDIRECT(CHAR(COLUMN()+96) &amp; 4) = TODAY() * NOT(ISBLANK(INDIRECT(CHAR(COLUMN()+96) &amp; ROW())))</formula>
    </cfRule>
    <cfRule type="expression" dxfId="683" priority="452">
      <formula xml:space="preserve"> INDIRECT(CHAR(COLUMN()+96) &amp; 4) = TODAY() * ISBLANK(INDIRECT(CHAR(COLUMN()+96) &amp; ROW()))</formula>
    </cfRule>
  </conditionalFormatting>
  <conditionalFormatting sqref="F25:G25">
    <cfRule type="expression" dxfId="682" priority="449">
      <formula>INDIRECT("A"&amp;3) = INDIRECT("A"&amp;ROW())</formula>
    </cfRule>
  </conditionalFormatting>
  <conditionalFormatting sqref="F25:G25">
    <cfRule type="colorScale" priority="450">
      <colorScale>
        <cfvo type="num" val="0"/>
        <cfvo type="num" val="0.5"/>
        <cfvo type="num" val="1"/>
        <color rgb="FFF8696B"/>
        <color rgb="FFFFEB84"/>
        <color rgb="FF63BE7B"/>
      </colorScale>
    </cfRule>
  </conditionalFormatting>
  <conditionalFormatting sqref="F25:G25">
    <cfRule type="expression" dxfId="681" priority="447">
      <formula xml:space="preserve"> INDIRECT(CHAR(COLUMN()+96) &amp; 4) = TODAY() * NOT(ISBLANK(INDIRECT(CHAR(COLUMN()+96) &amp; ROW())))</formula>
    </cfRule>
    <cfRule type="expression" dxfId="680" priority="448">
      <formula xml:space="preserve"> INDIRECT(CHAR(COLUMN()+96) &amp; 4) = TODAY() * ISBLANK(INDIRECT(CHAR(COLUMN()+96) &amp; ROW()))</formula>
    </cfRule>
  </conditionalFormatting>
  <conditionalFormatting sqref="F25:G25">
    <cfRule type="expression" dxfId="679" priority="445">
      <formula>INDIRECT("A"&amp;3) = INDIRECT("A"&amp;ROW())</formula>
    </cfRule>
  </conditionalFormatting>
  <conditionalFormatting sqref="F25:G25">
    <cfRule type="colorScale" priority="446">
      <colorScale>
        <cfvo type="num" val="0"/>
        <cfvo type="num" val="0.5"/>
        <cfvo type="num" val="1"/>
        <color rgb="FFF8696B"/>
        <color rgb="FFFFEB84"/>
        <color rgb="FF63BE7B"/>
      </colorScale>
    </cfRule>
  </conditionalFormatting>
  <conditionalFormatting sqref="F25:G25">
    <cfRule type="expression" dxfId="678" priority="443">
      <formula xml:space="preserve"> INDIRECT(CHAR(COLUMN()+96) &amp; 4) = TODAY() * NOT(ISBLANK(INDIRECT(CHAR(COLUMN()+96) &amp; ROW())))</formula>
    </cfRule>
    <cfRule type="expression" dxfId="677" priority="444">
      <formula xml:space="preserve"> INDIRECT(CHAR(COLUMN()+96) &amp; 4) = TODAY() * ISBLANK(INDIRECT(CHAR(COLUMN()+96) &amp; ROW()))</formula>
    </cfRule>
  </conditionalFormatting>
  <conditionalFormatting sqref="F25:G25">
    <cfRule type="expression" dxfId="676" priority="441">
      <formula>INDIRECT("A"&amp;3) = INDIRECT("A"&amp;ROW())</formula>
    </cfRule>
  </conditionalFormatting>
  <conditionalFormatting sqref="F25:G25">
    <cfRule type="colorScale" priority="442">
      <colorScale>
        <cfvo type="num" val="0"/>
        <cfvo type="num" val="0.5"/>
        <cfvo type="num" val="1"/>
        <color rgb="FFF8696B"/>
        <color rgb="FFFFEB84"/>
        <color rgb="FF63BE7B"/>
      </colorScale>
    </cfRule>
  </conditionalFormatting>
  <conditionalFormatting sqref="F25:G25">
    <cfRule type="expression" dxfId="675" priority="439">
      <formula xml:space="preserve"> INDIRECT(CHAR(COLUMN()+96) &amp; 4) = TODAY() * NOT(ISBLANK(INDIRECT(CHAR(COLUMN()+96) &amp; ROW())))</formula>
    </cfRule>
    <cfRule type="expression" dxfId="674" priority="440">
      <formula xml:space="preserve"> INDIRECT(CHAR(COLUMN()+96) &amp; 4) = TODAY() * ISBLANK(INDIRECT(CHAR(COLUMN()+96) &amp; ROW()))</formula>
    </cfRule>
  </conditionalFormatting>
  <conditionalFormatting sqref="F25:G25">
    <cfRule type="expression" dxfId="673" priority="437">
      <formula>INDIRECT("A"&amp;3) = INDIRECT("A"&amp;ROW())</formula>
    </cfRule>
  </conditionalFormatting>
  <conditionalFormatting sqref="F25:G25">
    <cfRule type="colorScale" priority="438">
      <colorScale>
        <cfvo type="num" val="0"/>
        <cfvo type="num" val="0.5"/>
        <cfvo type="num" val="1"/>
        <color rgb="FFF8696B"/>
        <color rgb="FFFFEB84"/>
        <color rgb="FF63BE7B"/>
      </colorScale>
    </cfRule>
  </conditionalFormatting>
  <conditionalFormatting sqref="F25:G25">
    <cfRule type="expression" dxfId="672" priority="435">
      <formula xml:space="preserve"> INDIRECT(CHAR(COLUMN()+96) &amp; 4) = TODAY() * NOT(ISBLANK(INDIRECT(CHAR(COLUMN()+96) &amp; ROW())))</formula>
    </cfRule>
    <cfRule type="expression" dxfId="671" priority="436">
      <formula xml:space="preserve"> INDIRECT(CHAR(COLUMN()+96) &amp; 4) = TODAY() * ISBLANK(INDIRECT(CHAR(COLUMN()+96) &amp; ROW()))</formula>
    </cfRule>
  </conditionalFormatting>
  <conditionalFormatting sqref="F25:G25">
    <cfRule type="expression" dxfId="670" priority="433">
      <formula>INDIRECT("A"&amp;3) = INDIRECT("A"&amp;ROW())</formula>
    </cfRule>
  </conditionalFormatting>
  <conditionalFormatting sqref="F25:G25">
    <cfRule type="colorScale" priority="434">
      <colorScale>
        <cfvo type="num" val="0"/>
        <cfvo type="num" val="0.5"/>
        <cfvo type="num" val="1"/>
        <color rgb="FFF8696B"/>
        <color rgb="FFFFEB84"/>
        <color rgb="FF63BE7B"/>
      </colorScale>
    </cfRule>
  </conditionalFormatting>
  <conditionalFormatting sqref="F26">
    <cfRule type="expression" dxfId="669" priority="431">
      <formula xml:space="preserve"> INDIRECT(CHAR(COLUMN()+96) &amp; 4) = TODAY() * NOT(ISBLANK(INDIRECT(CHAR(COLUMN()+96) &amp; ROW())))</formula>
    </cfRule>
    <cfRule type="expression" dxfId="668" priority="432">
      <formula xml:space="preserve"> INDIRECT(CHAR(COLUMN()+96) &amp; 4) = TODAY() * ISBLANK(INDIRECT(CHAR(COLUMN()+96) &amp; ROW()))</formula>
    </cfRule>
  </conditionalFormatting>
  <conditionalFormatting sqref="F26">
    <cfRule type="expression" dxfId="667" priority="429">
      <formula>INDIRECT("A"&amp;3) = INDIRECT("A"&amp;ROW())</formula>
    </cfRule>
  </conditionalFormatting>
  <conditionalFormatting sqref="F26">
    <cfRule type="colorScale" priority="430">
      <colorScale>
        <cfvo type="num" val="0"/>
        <cfvo type="num" val="0.5"/>
        <cfvo type="num" val="1"/>
        <color rgb="FFF8696B"/>
        <color rgb="FFFFEB84"/>
        <color rgb="FF63BE7B"/>
      </colorScale>
    </cfRule>
  </conditionalFormatting>
  <conditionalFormatting sqref="F26">
    <cfRule type="expression" dxfId="666" priority="427">
      <formula xml:space="preserve"> INDIRECT(CHAR(COLUMN()+96) &amp; 4) = TODAY() * NOT(ISBLANK(INDIRECT(CHAR(COLUMN()+96) &amp; ROW())))</formula>
    </cfRule>
    <cfRule type="expression" dxfId="665" priority="428">
      <formula xml:space="preserve"> INDIRECT(CHAR(COLUMN()+96) &amp; 4) = TODAY() * ISBLANK(INDIRECT(CHAR(COLUMN()+96) &amp; ROW()))</formula>
    </cfRule>
  </conditionalFormatting>
  <conditionalFormatting sqref="F26">
    <cfRule type="expression" dxfId="664" priority="425">
      <formula>INDIRECT("A"&amp;3) = INDIRECT("A"&amp;ROW())</formula>
    </cfRule>
  </conditionalFormatting>
  <conditionalFormatting sqref="F26">
    <cfRule type="colorScale" priority="426">
      <colorScale>
        <cfvo type="num" val="0"/>
        <cfvo type="num" val="0.5"/>
        <cfvo type="num" val="1"/>
        <color rgb="FFF8696B"/>
        <color rgb="FFFFEB84"/>
        <color rgb="FF63BE7B"/>
      </colorScale>
    </cfRule>
  </conditionalFormatting>
  <conditionalFormatting sqref="F26">
    <cfRule type="expression" dxfId="663" priority="423">
      <formula xml:space="preserve"> INDIRECT(CHAR(COLUMN()+96) &amp; 4) = TODAY() * NOT(ISBLANK(INDIRECT(CHAR(COLUMN()+96) &amp; ROW())))</formula>
    </cfRule>
    <cfRule type="expression" dxfId="662" priority="424">
      <formula xml:space="preserve"> INDIRECT(CHAR(COLUMN()+96) &amp; 4) = TODAY() * ISBLANK(INDIRECT(CHAR(COLUMN()+96) &amp; ROW()))</formula>
    </cfRule>
  </conditionalFormatting>
  <conditionalFormatting sqref="F26">
    <cfRule type="expression" dxfId="661" priority="421">
      <formula>INDIRECT("A"&amp;3) = INDIRECT("A"&amp;ROW())</formula>
    </cfRule>
  </conditionalFormatting>
  <conditionalFormatting sqref="F26">
    <cfRule type="colorScale" priority="422">
      <colorScale>
        <cfvo type="num" val="0"/>
        <cfvo type="num" val="0.5"/>
        <cfvo type="num" val="1"/>
        <color rgb="FFF8696B"/>
        <color rgb="FFFFEB84"/>
        <color rgb="FF63BE7B"/>
      </colorScale>
    </cfRule>
  </conditionalFormatting>
  <conditionalFormatting sqref="F26">
    <cfRule type="expression" dxfId="660" priority="419">
      <formula xml:space="preserve"> INDIRECT(CHAR(COLUMN()+96) &amp; 4) = TODAY() * NOT(ISBLANK(INDIRECT(CHAR(COLUMN()+96) &amp; ROW())))</formula>
    </cfRule>
    <cfRule type="expression" dxfId="659" priority="420">
      <formula xml:space="preserve"> INDIRECT(CHAR(COLUMN()+96) &amp; 4) = TODAY() * ISBLANK(INDIRECT(CHAR(COLUMN()+96) &amp; ROW()))</formula>
    </cfRule>
  </conditionalFormatting>
  <conditionalFormatting sqref="F26">
    <cfRule type="expression" dxfId="658" priority="417">
      <formula>INDIRECT("A"&amp;3) = INDIRECT("A"&amp;ROW())</formula>
    </cfRule>
  </conditionalFormatting>
  <conditionalFormatting sqref="F26">
    <cfRule type="colorScale" priority="418">
      <colorScale>
        <cfvo type="num" val="0"/>
        <cfvo type="num" val="0.5"/>
        <cfvo type="num" val="1"/>
        <color rgb="FFF8696B"/>
        <color rgb="FFFFEB84"/>
        <color rgb="FF63BE7B"/>
      </colorScale>
    </cfRule>
  </conditionalFormatting>
  <conditionalFormatting sqref="F26">
    <cfRule type="expression" dxfId="657" priority="415">
      <formula xml:space="preserve"> INDIRECT(CHAR(COLUMN()+96) &amp; 4) = TODAY() * NOT(ISBLANK(INDIRECT(CHAR(COLUMN()+96) &amp; ROW())))</formula>
    </cfRule>
    <cfRule type="expression" dxfId="656" priority="416">
      <formula xml:space="preserve"> INDIRECT(CHAR(COLUMN()+96) &amp; 4) = TODAY() * ISBLANK(INDIRECT(CHAR(COLUMN()+96) &amp; ROW()))</formula>
    </cfRule>
  </conditionalFormatting>
  <conditionalFormatting sqref="F26">
    <cfRule type="expression" dxfId="655" priority="413">
      <formula>INDIRECT("A"&amp;3) = INDIRECT("A"&amp;ROW())</formula>
    </cfRule>
  </conditionalFormatting>
  <conditionalFormatting sqref="F26">
    <cfRule type="colorScale" priority="414">
      <colorScale>
        <cfvo type="num" val="0"/>
        <cfvo type="num" val="0.5"/>
        <cfvo type="num" val="1"/>
        <color rgb="FFF8696B"/>
        <color rgb="FFFFEB84"/>
        <color rgb="FF63BE7B"/>
      </colorScale>
    </cfRule>
  </conditionalFormatting>
  <conditionalFormatting sqref="F26">
    <cfRule type="expression" dxfId="654" priority="411">
      <formula xml:space="preserve"> INDIRECT(CHAR(COLUMN()+96) &amp; 4) = TODAY() * NOT(ISBLANK(INDIRECT(CHAR(COLUMN()+96) &amp; ROW())))</formula>
    </cfRule>
    <cfRule type="expression" dxfId="653" priority="412">
      <formula xml:space="preserve"> INDIRECT(CHAR(COLUMN()+96) &amp; 4) = TODAY() * ISBLANK(INDIRECT(CHAR(COLUMN()+96) &amp; ROW()))</formula>
    </cfRule>
  </conditionalFormatting>
  <conditionalFormatting sqref="F26">
    <cfRule type="expression" dxfId="652" priority="409">
      <formula>INDIRECT("A"&amp;3) = INDIRECT("A"&amp;ROW())</formula>
    </cfRule>
  </conditionalFormatting>
  <conditionalFormatting sqref="F26">
    <cfRule type="colorScale" priority="410">
      <colorScale>
        <cfvo type="num" val="0"/>
        <cfvo type="num" val="0.5"/>
        <cfvo type="num" val="1"/>
        <color rgb="FFF8696B"/>
        <color rgb="FFFFEB84"/>
        <color rgb="FF63BE7B"/>
      </colorScale>
    </cfRule>
  </conditionalFormatting>
  <conditionalFormatting sqref="F26">
    <cfRule type="expression" dxfId="651" priority="407">
      <formula xml:space="preserve"> INDIRECT(CHAR(COLUMN()+96) &amp; 4) = TODAY() * NOT(ISBLANK(INDIRECT(CHAR(COLUMN()+96) &amp; ROW())))</formula>
    </cfRule>
    <cfRule type="expression" dxfId="650" priority="408">
      <formula xml:space="preserve"> INDIRECT(CHAR(COLUMN()+96) &amp; 4) = TODAY() * ISBLANK(INDIRECT(CHAR(COLUMN()+96) &amp; ROW()))</formula>
    </cfRule>
  </conditionalFormatting>
  <conditionalFormatting sqref="F26">
    <cfRule type="expression" dxfId="649" priority="405">
      <formula>INDIRECT("A"&amp;3) = INDIRECT("A"&amp;ROW())</formula>
    </cfRule>
  </conditionalFormatting>
  <conditionalFormatting sqref="F26">
    <cfRule type="colorScale" priority="406">
      <colorScale>
        <cfvo type="num" val="0"/>
        <cfvo type="num" val="0.5"/>
        <cfvo type="num" val="1"/>
        <color rgb="FFF8696B"/>
        <color rgb="FFFFEB84"/>
        <color rgb="FF63BE7B"/>
      </colorScale>
    </cfRule>
  </conditionalFormatting>
  <conditionalFormatting sqref="F27">
    <cfRule type="expression" dxfId="648" priority="403">
      <formula xml:space="preserve"> INDIRECT(CHAR(COLUMN()+96) &amp; 4) = TODAY() * NOT(ISBLANK(INDIRECT(CHAR(COLUMN()+96) &amp; ROW())))</formula>
    </cfRule>
    <cfRule type="expression" dxfId="647" priority="404">
      <formula xml:space="preserve"> INDIRECT(CHAR(COLUMN()+96) &amp; 4) = TODAY() * ISBLANK(INDIRECT(CHAR(COLUMN()+96) &amp; ROW()))</formula>
    </cfRule>
  </conditionalFormatting>
  <conditionalFormatting sqref="F27">
    <cfRule type="expression" dxfId="646" priority="401">
      <formula>INDIRECT("A"&amp;3) = INDIRECT("A"&amp;ROW())</formula>
    </cfRule>
  </conditionalFormatting>
  <conditionalFormatting sqref="F27">
    <cfRule type="colorScale" priority="402">
      <colorScale>
        <cfvo type="num" val="0"/>
        <cfvo type="num" val="0.5"/>
        <cfvo type="num" val="1"/>
        <color rgb="FFF8696B"/>
        <color rgb="FFFFEB84"/>
        <color rgb="FF63BE7B"/>
      </colorScale>
    </cfRule>
  </conditionalFormatting>
  <conditionalFormatting sqref="F27">
    <cfRule type="expression" dxfId="645" priority="399">
      <formula xml:space="preserve"> INDIRECT(CHAR(COLUMN()+96) &amp; 4) = TODAY() * NOT(ISBLANK(INDIRECT(CHAR(COLUMN()+96) &amp; ROW())))</formula>
    </cfRule>
    <cfRule type="expression" dxfId="644" priority="400">
      <formula xml:space="preserve"> INDIRECT(CHAR(COLUMN()+96) &amp; 4) = TODAY() * ISBLANK(INDIRECT(CHAR(COLUMN()+96) &amp; ROW()))</formula>
    </cfRule>
  </conditionalFormatting>
  <conditionalFormatting sqref="F27">
    <cfRule type="expression" dxfId="643" priority="397">
      <formula>INDIRECT("A"&amp;3) = INDIRECT("A"&amp;ROW())</formula>
    </cfRule>
  </conditionalFormatting>
  <conditionalFormatting sqref="F27">
    <cfRule type="colorScale" priority="398">
      <colorScale>
        <cfvo type="num" val="0"/>
        <cfvo type="num" val="0.5"/>
        <cfvo type="num" val="1"/>
        <color rgb="FFF8696B"/>
        <color rgb="FFFFEB84"/>
        <color rgb="FF63BE7B"/>
      </colorScale>
    </cfRule>
  </conditionalFormatting>
  <conditionalFormatting sqref="F27">
    <cfRule type="expression" dxfId="642" priority="395">
      <formula xml:space="preserve"> INDIRECT(CHAR(COLUMN()+96) &amp; 4) = TODAY() * NOT(ISBLANK(INDIRECT(CHAR(COLUMN()+96) &amp; ROW())))</formula>
    </cfRule>
    <cfRule type="expression" dxfId="641" priority="396">
      <formula xml:space="preserve"> INDIRECT(CHAR(COLUMN()+96) &amp; 4) = TODAY() * ISBLANK(INDIRECT(CHAR(COLUMN()+96) &amp; ROW()))</formula>
    </cfRule>
  </conditionalFormatting>
  <conditionalFormatting sqref="F27">
    <cfRule type="expression" dxfId="640" priority="393">
      <formula>INDIRECT("A"&amp;3) = INDIRECT("A"&amp;ROW())</formula>
    </cfRule>
  </conditionalFormatting>
  <conditionalFormatting sqref="F27">
    <cfRule type="colorScale" priority="394">
      <colorScale>
        <cfvo type="num" val="0"/>
        <cfvo type="num" val="0.5"/>
        <cfvo type="num" val="1"/>
        <color rgb="FFF8696B"/>
        <color rgb="FFFFEB84"/>
        <color rgb="FF63BE7B"/>
      </colorScale>
    </cfRule>
  </conditionalFormatting>
  <conditionalFormatting sqref="F27">
    <cfRule type="expression" dxfId="639" priority="391">
      <formula xml:space="preserve"> INDIRECT(CHAR(COLUMN()+96) &amp; 4) = TODAY() * NOT(ISBLANK(INDIRECT(CHAR(COLUMN()+96) &amp; ROW())))</formula>
    </cfRule>
    <cfRule type="expression" dxfId="638" priority="392">
      <formula xml:space="preserve"> INDIRECT(CHAR(COLUMN()+96) &amp; 4) = TODAY() * ISBLANK(INDIRECT(CHAR(COLUMN()+96) &amp; ROW()))</formula>
    </cfRule>
  </conditionalFormatting>
  <conditionalFormatting sqref="F27">
    <cfRule type="expression" dxfId="637" priority="389">
      <formula>INDIRECT("A"&amp;3) = INDIRECT("A"&amp;ROW())</formula>
    </cfRule>
  </conditionalFormatting>
  <conditionalFormatting sqref="F27">
    <cfRule type="colorScale" priority="390">
      <colorScale>
        <cfvo type="num" val="0"/>
        <cfvo type="num" val="0.5"/>
        <cfvo type="num" val="1"/>
        <color rgb="FFF8696B"/>
        <color rgb="FFFFEB84"/>
        <color rgb="FF63BE7B"/>
      </colorScale>
    </cfRule>
  </conditionalFormatting>
  <conditionalFormatting sqref="F27">
    <cfRule type="expression" dxfId="636" priority="387">
      <formula xml:space="preserve"> INDIRECT(CHAR(COLUMN()+96) &amp; 4) = TODAY() * NOT(ISBLANK(INDIRECT(CHAR(COLUMN()+96) &amp; ROW())))</formula>
    </cfRule>
    <cfRule type="expression" dxfId="635" priority="388">
      <formula xml:space="preserve"> INDIRECT(CHAR(COLUMN()+96) &amp; 4) = TODAY() * ISBLANK(INDIRECT(CHAR(COLUMN()+96) &amp; ROW()))</formula>
    </cfRule>
  </conditionalFormatting>
  <conditionalFormatting sqref="F27">
    <cfRule type="expression" dxfId="634" priority="385">
      <formula>INDIRECT("A"&amp;3) = INDIRECT("A"&amp;ROW())</formula>
    </cfRule>
  </conditionalFormatting>
  <conditionalFormatting sqref="F27">
    <cfRule type="colorScale" priority="386">
      <colorScale>
        <cfvo type="num" val="0"/>
        <cfvo type="num" val="0.5"/>
        <cfvo type="num" val="1"/>
        <color rgb="FFF8696B"/>
        <color rgb="FFFFEB84"/>
        <color rgb="FF63BE7B"/>
      </colorScale>
    </cfRule>
  </conditionalFormatting>
  <conditionalFormatting sqref="F27">
    <cfRule type="expression" dxfId="633" priority="383">
      <formula xml:space="preserve"> INDIRECT(CHAR(COLUMN()+96) &amp; 4) = TODAY() * NOT(ISBLANK(INDIRECT(CHAR(COLUMN()+96) &amp; ROW())))</formula>
    </cfRule>
    <cfRule type="expression" dxfId="632" priority="384">
      <formula xml:space="preserve"> INDIRECT(CHAR(COLUMN()+96) &amp; 4) = TODAY() * ISBLANK(INDIRECT(CHAR(COLUMN()+96) &amp; ROW()))</formula>
    </cfRule>
  </conditionalFormatting>
  <conditionalFormatting sqref="F27">
    <cfRule type="expression" dxfId="631" priority="381">
      <formula>INDIRECT("A"&amp;3) = INDIRECT("A"&amp;ROW())</formula>
    </cfRule>
  </conditionalFormatting>
  <conditionalFormatting sqref="F27">
    <cfRule type="colorScale" priority="382">
      <colorScale>
        <cfvo type="num" val="0"/>
        <cfvo type="num" val="0.5"/>
        <cfvo type="num" val="1"/>
        <color rgb="FFF8696B"/>
        <color rgb="FFFFEB84"/>
        <color rgb="FF63BE7B"/>
      </colorScale>
    </cfRule>
  </conditionalFormatting>
  <conditionalFormatting sqref="F27">
    <cfRule type="expression" dxfId="630" priority="379">
      <formula xml:space="preserve"> INDIRECT(CHAR(COLUMN()+96) &amp; 4) = TODAY() * NOT(ISBLANK(INDIRECT(CHAR(COLUMN()+96) &amp; ROW())))</formula>
    </cfRule>
    <cfRule type="expression" dxfId="629" priority="380">
      <formula xml:space="preserve"> INDIRECT(CHAR(COLUMN()+96) &amp; 4) = TODAY() * ISBLANK(INDIRECT(CHAR(COLUMN()+96) &amp; ROW()))</formula>
    </cfRule>
  </conditionalFormatting>
  <conditionalFormatting sqref="F27">
    <cfRule type="expression" dxfId="628" priority="377">
      <formula>INDIRECT("A"&amp;3) = INDIRECT("A"&amp;ROW())</formula>
    </cfRule>
  </conditionalFormatting>
  <conditionalFormatting sqref="F27">
    <cfRule type="colorScale" priority="378">
      <colorScale>
        <cfvo type="num" val="0"/>
        <cfvo type="num" val="0.5"/>
        <cfvo type="num" val="1"/>
        <color rgb="FFF8696B"/>
        <color rgb="FFFFEB84"/>
        <color rgb="FF63BE7B"/>
      </colorScale>
    </cfRule>
  </conditionalFormatting>
  <conditionalFormatting sqref="F29:G29 F28">
    <cfRule type="expression" dxfId="627" priority="375">
      <formula xml:space="preserve"> INDIRECT(CHAR(COLUMN()+96) &amp; 4) = TODAY() * NOT(ISBLANK(INDIRECT(CHAR(COLUMN()+96) &amp; ROW())))</formula>
    </cfRule>
    <cfRule type="expression" dxfId="626" priority="376">
      <formula xml:space="preserve"> INDIRECT(CHAR(COLUMN()+96) &amp; 4) = TODAY() * ISBLANK(INDIRECT(CHAR(COLUMN()+96) &amp; ROW()))</formula>
    </cfRule>
  </conditionalFormatting>
  <conditionalFormatting sqref="F29:G29 F28">
    <cfRule type="expression" dxfId="625" priority="373">
      <formula>INDIRECT("A"&amp;3) = INDIRECT("A"&amp;ROW())</formula>
    </cfRule>
  </conditionalFormatting>
  <conditionalFormatting sqref="F29:G29 F28">
    <cfRule type="colorScale" priority="374">
      <colorScale>
        <cfvo type="num" val="0"/>
        <cfvo type="num" val="0.5"/>
        <cfvo type="num" val="1"/>
        <color rgb="FFF8696B"/>
        <color rgb="FFFFEB84"/>
        <color rgb="FF63BE7B"/>
      </colorScale>
    </cfRule>
  </conditionalFormatting>
  <conditionalFormatting sqref="F29:G29 F28">
    <cfRule type="expression" dxfId="624" priority="371">
      <formula xml:space="preserve"> INDIRECT(CHAR(COLUMN()+96) &amp; 4) = TODAY() * NOT(ISBLANK(INDIRECT(CHAR(COLUMN()+96) &amp; ROW())))</formula>
    </cfRule>
    <cfRule type="expression" dxfId="623" priority="372">
      <formula xml:space="preserve"> INDIRECT(CHAR(COLUMN()+96) &amp; 4) = TODAY() * ISBLANK(INDIRECT(CHAR(COLUMN()+96) &amp; ROW()))</formula>
    </cfRule>
  </conditionalFormatting>
  <conditionalFormatting sqref="F29:G29 F28">
    <cfRule type="expression" dxfId="622" priority="369">
      <formula>INDIRECT("A"&amp;3) = INDIRECT("A"&amp;ROW())</formula>
    </cfRule>
  </conditionalFormatting>
  <conditionalFormatting sqref="F29:G29 F28">
    <cfRule type="colorScale" priority="370">
      <colorScale>
        <cfvo type="num" val="0"/>
        <cfvo type="num" val="0.5"/>
        <cfvo type="num" val="1"/>
        <color rgb="FFF8696B"/>
        <color rgb="FFFFEB84"/>
        <color rgb="FF63BE7B"/>
      </colorScale>
    </cfRule>
  </conditionalFormatting>
  <conditionalFormatting sqref="F29:G29 F28">
    <cfRule type="expression" dxfId="621" priority="367">
      <formula xml:space="preserve"> INDIRECT(CHAR(COLUMN()+96) &amp; 4) = TODAY() * NOT(ISBLANK(INDIRECT(CHAR(COLUMN()+96) &amp; ROW())))</formula>
    </cfRule>
    <cfRule type="expression" dxfId="620" priority="368">
      <formula xml:space="preserve"> INDIRECT(CHAR(COLUMN()+96) &amp; 4) = TODAY() * ISBLANK(INDIRECT(CHAR(COLUMN()+96) &amp; ROW()))</formula>
    </cfRule>
  </conditionalFormatting>
  <conditionalFormatting sqref="F29:G29 F28">
    <cfRule type="expression" dxfId="619" priority="365">
      <formula>INDIRECT("A"&amp;3) = INDIRECT("A"&amp;ROW())</formula>
    </cfRule>
  </conditionalFormatting>
  <conditionalFormatting sqref="F29:G29 F28">
    <cfRule type="colorScale" priority="366">
      <colorScale>
        <cfvo type="num" val="0"/>
        <cfvo type="num" val="0.5"/>
        <cfvo type="num" val="1"/>
        <color rgb="FFF8696B"/>
        <color rgb="FFFFEB84"/>
        <color rgb="FF63BE7B"/>
      </colorScale>
    </cfRule>
  </conditionalFormatting>
  <conditionalFormatting sqref="F29:G29 F28">
    <cfRule type="expression" dxfId="618" priority="363">
      <formula xml:space="preserve"> INDIRECT(CHAR(COLUMN()+96) &amp; 4) = TODAY() * NOT(ISBLANK(INDIRECT(CHAR(COLUMN()+96) &amp; ROW())))</formula>
    </cfRule>
    <cfRule type="expression" dxfId="617" priority="364">
      <formula xml:space="preserve"> INDIRECT(CHAR(COLUMN()+96) &amp; 4) = TODAY() * ISBLANK(INDIRECT(CHAR(COLUMN()+96) &amp; ROW()))</formula>
    </cfRule>
  </conditionalFormatting>
  <conditionalFormatting sqref="F29:G29 F28">
    <cfRule type="expression" dxfId="616" priority="361">
      <formula>INDIRECT("A"&amp;3) = INDIRECT("A"&amp;ROW())</formula>
    </cfRule>
  </conditionalFormatting>
  <conditionalFormatting sqref="F29:G29 F28">
    <cfRule type="colorScale" priority="362">
      <colorScale>
        <cfvo type="num" val="0"/>
        <cfvo type="num" val="0.5"/>
        <cfvo type="num" val="1"/>
        <color rgb="FFF8696B"/>
        <color rgb="FFFFEB84"/>
        <color rgb="FF63BE7B"/>
      </colorScale>
    </cfRule>
  </conditionalFormatting>
  <conditionalFormatting sqref="F29:G29 F28">
    <cfRule type="expression" dxfId="615" priority="359">
      <formula xml:space="preserve"> INDIRECT(CHAR(COLUMN()+96) &amp; 4) = TODAY() * NOT(ISBLANK(INDIRECT(CHAR(COLUMN()+96) &amp; ROW())))</formula>
    </cfRule>
    <cfRule type="expression" dxfId="614" priority="360">
      <formula xml:space="preserve"> INDIRECT(CHAR(COLUMN()+96) &amp; 4) = TODAY() * ISBLANK(INDIRECT(CHAR(COLUMN()+96) &amp; ROW()))</formula>
    </cfRule>
  </conditionalFormatting>
  <conditionalFormatting sqref="F29:G29 F28">
    <cfRule type="expression" dxfId="613" priority="357">
      <formula>INDIRECT("A"&amp;3) = INDIRECT("A"&amp;ROW())</formula>
    </cfRule>
  </conditionalFormatting>
  <conditionalFormatting sqref="F29:G29 F28">
    <cfRule type="colorScale" priority="358">
      <colorScale>
        <cfvo type="num" val="0"/>
        <cfvo type="num" val="0.5"/>
        <cfvo type="num" val="1"/>
        <color rgb="FFF8696B"/>
        <color rgb="FFFFEB84"/>
        <color rgb="FF63BE7B"/>
      </colorScale>
    </cfRule>
  </conditionalFormatting>
  <conditionalFormatting sqref="F29:G29 F28">
    <cfRule type="expression" dxfId="612" priority="355">
      <formula xml:space="preserve"> INDIRECT(CHAR(COLUMN()+96) &amp; 4) = TODAY() * NOT(ISBLANK(INDIRECT(CHAR(COLUMN()+96) &amp; ROW())))</formula>
    </cfRule>
    <cfRule type="expression" dxfId="611" priority="356">
      <formula xml:space="preserve"> INDIRECT(CHAR(COLUMN()+96) &amp; 4) = TODAY() * ISBLANK(INDIRECT(CHAR(COLUMN()+96) &amp; ROW()))</formula>
    </cfRule>
  </conditionalFormatting>
  <conditionalFormatting sqref="F29:G29 F28">
    <cfRule type="expression" dxfId="610" priority="353">
      <formula>INDIRECT("A"&amp;3) = INDIRECT("A"&amp;ROW())</formula>
    </cfRule>
  </conditionalFormatting>
  <conditionalFormatting sqref="F29:G29 F28">
    <cfRule type="colorScale" priority="354">
      <colorScale>
        <cfvo type="num" val="0"/>
        <cfvo type="num" val="0.5"/>
        <cfvo type="num" val="1"/>
        <color rgb="FFF8696B"/>
        <color rgb="FFFFEB84"/>
        <color rgb="FF63BE7B"/>
      </colorScale>
    </cfRule>
  </conditionalFormatting>
  <conditionalFormatting sqref="F29:G29 F28">
    <cfRule type="expression" dxfId="609" priority="351">
      <formula xml:space="preserve"> INDIRECT(CHAR(COLUMN()+96) &amp; 4) = TODAY() * NOT(ISBLANK(INDIRECT(CHAR(COLUMN()+96) &amp; ROW())))</formula>
    </cfRule>
    <cfRule type="expression" dxfId="608" priority="352">
      <formula xml:space="preserve"> INDIRECT(CHAR(COLUMN()+96) &amp; 4) = TODAY() * ISBLANK(INDIRECT(CHAR(COLUMN()+96) &amp; ROW()))</formula>
    </cfRule>
  </conditionalFormatting>
  <conditionalFormatting sqref="F29:G29 F28">
    <cfRule type="expression" dxfId="607" priority="349">
      <formula>INDIRECT("A"&amp;3) = INDIRECT("A"&amp;ROW())</formula>
    </cfRule>
  </conditionalFormatting>
  <conditionalFormatting sqref="F29:G29 F28">
    <cfRule type="colorScale" priority="350">
      <colorScale>
        <cfvo type="num" val="0"/>
        <cfvo type="num" val="0.5"/>
        <cfvo type="num" val="1"/>
        <color rgb="FFF8696B"/>
        <color rgb="FFFFEB84"/>
        <color rgb="FF63BE7B"/>
      </colorScale>
    </cfRule>
  </conditionalFormatting>
  <conditionalFormatting sqref="H13:H17">
    <cfRule type="expression" dxfId="606" priority="347">
      <formula xml:space="preserve"> INDIRECT(CHAR(COLUMN()+96) &amp; 4) = TODAY() * NOT(ISBLANK(INDIRECT(CHAR(COLUMN()+96) &amp; ROW())))</formula>
    </cfRule>
    <cfRule type="expression" dxfId="605" priority="348">
      <formula xml:space="preserve"> INDIRECT(CHAR(COLUMN()+96) &amp; 4) = TODAY() * ISBLANK(INDIRECT(CHAR(COLUMN()+96) &amp; ROW()))</formula>
    </cfRule>
  </conditionalFormatting>
  <conditionalFormatting sqref="H13:H17">
    <cfRule type="expression" dxfId="604" priority="345">
      <formula>INDIRECT("A"&amp;3) = INDIRECT("A"&amp;ROW())</formula>
    </cfRule>
  </conditionalFormatting>
  <conditionalFormatting sqref="H13:H17">
    <cfRule type="colorScale" priority="346">
      <colorScale>
        <cfvo type="num" val="0"/>
        <cfvo type="num" val="0.5"/>
        <cfvo type="num" val="1"/>
        <color rgb="FFF8696B"/>
        <color rgb="FFFFEB84"/>
        <color rgb="FF63BE7B"/>
      </colorScale>
    </cfRule>
  </conditionalFormatting>
  <conditionalFormatting sqref="H17:H18">
    <cfRule type="expression" dxfId="603" priority="343">
      <formula xml:space="preserve"> INDIRECT(CHAR(COLUMN()+96) &amp; 4) = TODAY() * NOT(ISBLANK(INDIRECT(CHAR(COLUMN()+96) &amp; ROW())))</formula>
    </cfRule>
    <cfRule type="expression" dxfId="602" priority="344">
      <formula xml:space="preserve"> INDIRECT(CHAR(COLUMN()+96) &amp; 4) = TODAY() * ISBLANK(INDIRECT(CHAR(COLUMN()+96) &amp; ROW()))</formula>
    </cfRule>
  </conditionalFormatting>
  <conditionalFormatting sqref="H17:H18">
    <cfRule type="expression" dxfId="601" priority="341">
      <formula>INDIRECT("A"&amp;3) = INDIRECT("A"&amp;ROW())</formula>
    </cfRule>
  </conditionalFormatting>
  <conditionalFormatting sqref="H17:H18">
    <cfRule type="colorScale" priority="342">
      <colorScale>
        <cfvo type="num" val="0"/>
        <cfvo type="num" val="0.5"/>
        <cfvo type="num" val="1"/>
        <color rgb="FFF8696B"/>
        <color rgb="FFFFEB84"/>
        <color rgb="FF63BE7B"/>
      </colorScale>
    </cfRule>
  </conditionalFormatting>
  <conditionalFormatting sqref="H12">
    <cfRule type="expression" dxfId="600" priority="339">
      <formula xml:space="preserve"> INDIRECT(CHAR(COLUMN()+96) &amp; 4) = TODAY() * NOT(ISBLANK(INDIRECT(CHAR(COLUMN()+96) &amp; ROW())))</formula>
    </cfRule>
    <cfRule type="expression" dxfId="599" priority="340">
      <formula xml:space="preserve"> INDIRECT(CHAR(COLUMN()+96) &amp; 4) = TODAY() * ISBLANK(INDIRECT(CHAR(COLUMN()+96) &amp; ROW()))</formula>
    </cfRule>
  </conditionalFormatting>
  <conditionalFormatting sqref="H12">
    <cfRule type="expression" dxfId="598" priority="337">
      <formula>INDIRECT("A"&amp;3) = INDIRECT("A"&amp;ROW())</formula>
    </cfRule>
  </conditionalFormatting>
  <conditionalFormatting sqref="H12">
    <cfRule type="colorScale" priority="338">
      <colorScale>
        <cfvo type="num" val="0"/>
        <cfvo type="num" val="0.5"/>
        <cfvo type="num" val="1"/>
        <color rgb="FFF8696B"/>
        <color rgb="FFFFEB84"/>
        <color rgb="FF63BE7B"/>
      </colorScale>
    </cfRule>
  </conditionalFormatting>
  <conditionalFormatting sqref="G8">
    <cfRule type="expression" dxfId="597" priority="323">
      <formula xml:space="preserve"> INDIRECT(CHAR(COLUMN()+96) &amp; 4) = TODAY() * NOT(ISBLANK(INDIRECT(CHAR(COLUMN()+96) &amp; ROW())))</formula>
    </cfRule>
    <cfRule type="expression" dxfId="596" priority="324">
      <formula xml:space="preserve"> INDIRECT(CHAR(COLUMN()+96) &amp; 4) = TODAY() * ISBLANK(INDIRECT(CHAR(COLUMN()+96) &amp; ROW()))</formula>
    </cfRule>
  </conditionalFormatting>
  <conditionalFormatting sqref="G8">
    <cfRule type="expression" dxfId="595" priority="321">
      <formula>INDIRECT("A"&amp;3) = INDIRECT("A"&amp;ROW())</formula>
    </cfRule>
  </conditionalFormatting>
  <conditionalFormatting sqref="G8">
    <cfRule type="colorScale" priority="322">
      <colorScale>
        <cfvo type="num" val="0"/>
        <cfvo type="num" val="0.5"/>
        <cfvo type="num" val="1"/>
        <color rgb="FFF8696B"/>
        <color rgb="FFFFEB84"/>
        <color rgb="FF63BE7B"/>
      </colorScale>
    </cfRule>
  </conditionalFormatting>
  <conditionalFormatting sqref="G7">
    <cfRule type="expression" dxfId="594" priority="319">
      <formula xml:space="preserve"> INDIRECT(CHAR(COLUMN()+96) &amp; 4) = TODAY() * NOT(ISBLANK(INDIRECT(CHAR(COLUMN()+96) &amp; ROW())))</formula>
    </cfRule>
    <cfRule type="expression" dxfId="593" priority="320">
      <formula xml:space="preserve"> INDIRECT(CHAR(COLUMN()+96) &amp; 4) = TODAY() * ISBLANK(INDIRECT(CHAR(COLUMN()+96) &amp; ROW()))</formula>
    </cfRule>
  </conditionalFormatting>
  <conditionalFormatting sqref="G7">
    <cfRule type="expression" dxfId="592" priority="317">
      <formula>INDIRECT("A"&amp;3) = INDIRECT("A"&amp;ROW())</formula>
    </cfRule>
  </conditionalFormatting>
  <conditionalFormatting sqref="G7">
    <cfRule type="colorScale" priority="318">
      <colorScale>
        <cfvo type="num" val="0"/>
        <cfvo type="num" val="0.5"/>
        <cfvo type="num" val="1"/>
        <color rgb="FFF8696B"/>
        <color rgb="FFFFEB84"/>
        <color rgb="FF63BE7B"/>
      </colorScale>
    </cfRule>
  </conditionalFormatting>
  <conditionalFormatting sqref="G10:I10">
    <cfRule type="expression" dxfId="591" priority="315">
      <formula xml:space="preserve"> INDIRECT(CHAR(COLUMN()+96) &amp; 4) = TODAY() * NOT(ISBLANK(INDIRECT(CHAR(COLUMN()+96) &amp; ROW())))</formula>
    </cfRule>
    <cfRule type="expression" dxfId="590" priority="316">
      <formula xml:space="preserve"> INDIRECT(CHAR(COLUMN()+96) &amp; 4) = TODAY() * ISBLANK(INDIRECT(CHAR(COLUMN()+96) &amp; ROW()))</formula>
    </cfRule>
  </conditionalFormatting>
  <conditionalFormatting sqref="G10:I10">
    <cfRule type="expression" dxfId="589" priority="313">
      <formula>INDIRECT("A"&amp;3) = INDIRECT("A"&amp;ROW())</formula>
    </cfRule>
  </conditionalFormatting>
  <conditionalFormatting sqref="G10:I10">
    <cfRule type="colorScale" priority="314">
      <colorScale>
        <cfvo type="num" val="0"/>
        <cfvo type="num" val="0.5"/>
        <cfvo type="num" val="1"/>
        <color rgb="FFF8696B"/>
        <color rgb="FFFFEB84"/>
        <color rgb="FF63BE7B"/>
      </colorScale>
    </cfRule>
  </conditionalFormatting>
  <conditionalFormatting sqref="G11:I11 I12:I14">
    <cfRule type="expression" dxfId="588" priority="311">
      <formula xml:space="preserve"> INDIRECT(CHAR(COLUMN()+96) &amp; 4) = TODAY() * NOT(ISBLANK(INDIRECT(CHAR(COLUMN()+96) &amp; ROW())))</formula>
    </cfRule>
    <cfRule type="expression" dxfId="587" priority="312">
      <formula xml:space="preserve"> INDIRECT(CHAR(COLUMN()+96) &amp; 4) = TODAY() * ISBLANK(INDIRECT(CHAR(COLUMN()+96) &amp; ROW()))</formula>
    </cfRule>
  </conditionalFormatting>
  <conditionalFormatting sqref="G11:I11 I12:I14">
    <cfRule type="expression" dxfId="586" priority="309">
      <formula>INDIRECT("A"&amp;3) = INDIRECT("A"&amp;ROW())</formula>
    </cfRule>
  </conditionalFormatting>
  <conditionalFormatting sqref="G11:I11 I12:I14">
    <cfRule type="colorScale" priority="310">
      <colorScale>
        <cfvo type="num" val="0"/>
        <cfvo type="num" val="0.5"/>
        <cfvo type="num" val="1"/>
        <color rgb="FFF8696B"/>
        <color rgb="FFFFEB84"/>
        <color rgb="FF63BE7B"/>
      </colorScale>
    </cfRule>
  </conditionalFormatting>
  <conditionalFormatting sqref="G26:G27">
    <cfRule type="expression" dxfId="585" priority="303">
      <formula xml:space="preserve"> INDIRECT(CHAR(COLUMN()+96) &amp; 4) = TODAY() * NOT(ISBLANK(INDIRECT(CHAR(COLUMN()+96) &amp; ROW())))</formula>
    </cfRule>
    <cfRule type="expression" dxfId="584" priority="304">
      <formula xml:space="preserve"> INDIRECT(CHAR(COLUMN()+96) &amp; 4) = TODAY() * ISBLANK(INDIRECT(CHAR(COLUMN()+96) &amp; ROW()))</formula>
    </cfRule>
  </conditionalFormatting>
  <conditionalFormatting sqref="G26:G27">
    <cfRule type="expression" dxfId="583" priority="301">
      <formula>INDIRECT("A"&amp;3) = INDIRECT("A"&amp;ROW())</formula>
    </cfRule>
  </conditionalFormatting>
  <conditionalFormatting sqref="G26:G27">
    <cfRule type="colorScale" priority="302">
      <colorScale>
        <cfvo type="num" val="0"/>
        <cfvo type="num" val="0.5"/>
        <cfvo type="num" val="1"/>
        <color rgb="FFF8696B"/>
        <color rgb="FFFFEB84"/>
        <color rgb="FF63BE7B"/>
      </colorScale>
    </cfRule>
  </conditionalFormatting>
  <conditionalFormatting sqref="I24 I27">
    <cfRule type="expression" dxfId="582" priority="295">
      <formula xml:space="preserve"> INDIRECT(CHAR(COLUMN()+96) &amp; 4) = TODAY() * NOT(ISBLANK(INDIRECT(CHAR(COLUMN()+96) &amp; ROW())))</formula>
    </cfRule>
    <cfRule type="expression" dxfId="581" priority="296">
      <formula xml:space="preserve"> INDIRECT(CHAR(COLUMN()+96) &amp; 4) = TODAY() * ISBLANK(INDIRECT(CHAR(COLUMN()+96) &amp; ROW()))</formula>
    </cfRule>
  </conditionalFormatting>
  <conditionalFormatting sqref="I24 I27">
    <cfRule type="expression" dxfId="580" priority="293">
      <formula>INDIRECT("A"&amp;3) = INDIRECT("A"&amp;ROW())</formula>
    </cfRule>
  </conditionalFormatting>
  <conditionalFormatting sqref="I27 I24">
    <cfRule type="colorScale" priority="294">
      <colorScale>
        <cfvo type="num" val="0"/>
        <cfvo type="num" val="0.5"/>
        <cfvo type="num" val="1"/>
        <color rgb="FFF8696B"/>
        <color rgb="FFFFEB84"/>
        <color rgb="FF63BE7B"/>
      </colorScale>
    </cfRule>
  </conditionalFormatting>
  <conditionalFormatting sqref="I27">
    <cfRule type="expression" dxfId="579" priority="291">
      <formula xml:space="preserve"> INDIRECT(CHAR(COLUMN()+96) &amp; 4) = TODAY() * NOT(ISBLANK(INDIRECT(CHAR(COLUMN()+96) &amp; ROW())))</formula>
    </cfRule>
    <cfRule type="expression" dxfId="578" priority="292">
      <formula xml:space="preserve"> INDIRECT(CHAR(COLUMN()+96) &amp; 4) = TODAY() * ISBLANK(INDIRECT(CHAR(COLUMN()+96) &amp; ROW()))</formula>
    </cfRule>
  </conditionalFormatting>
  <conditionalFormatting sqref="I27">
    <cfRule type="expression" dxfId="577" priority="289">
      <formula>INDIRECT("A"&amp;3) = INDIRECT("A"&amp;ROW())</formula>
    </cfRule>
  </conditionalFormatting>
  <conditionalFormatting sqref="I27">
    <cfRule type="colorScale" priority="290">
      <colorScale>
        <cfvo type="num" val="0"/>
        <cfvo type="num" val="0.5"/>
        <cfvo type="num" val="1"/>
        <color rgb="FFF8696B"/>
        <color rgb="FFFFEB84"/>
        <color rgb="FF63BE7B"/>
      </colorScale>
    </cfRule>
  </conditionalFormatting>
  <conditionalFormatting sqref="G28">
    <cfRule type="expression" dxfId="576" priority="267">
      <formula xml:space="preserve"> INDIRECT(CHAR(COLUMN()+96) &amp; 4) = TODAY() * NOT(ISBLANK(INDIRECT(CHAR(COLUMN()+96) &amp; ROW())))</formula>
    </cfRule>
    <cfRule type="expression" dxfId="575" priority="268">
      <formula xml:space="preserve"> INDIRECT(CHAR(COLUMN()+96) &amp; 4) = TODAY() * ISBLANK(INDIRECT(CHAR(COLUMN()+96) &amp; ROW()))</formula>
    </cfRule>
  </conditionalFormatting>
  <conditionalFormatting sqref="G28">
    <cfRule type="expression" dxfId="574" priority="265">
      <formula>INDIRECT("A"&amp;3) = INDIRECT("A"&amp;ROW())</formula>
    </cfRule>
  </conditionalFormatting>
  <conditionalFormatting sqref="G28">
    <cfRule type="colorScale" priority="266">
      <colorScale>
        <cfvo type="num" val="0"/>
        <cfvo type="num" val="0.5"/>
        <cfvo type="num" val="1"/>
        <color rgb="FFF8696B"/>
        <color rgb="FFFFEB84"/>
        <color rgb="FF63BE7B"/>
      </colorScale>
    </cfRule>
  </conditionalFormatting>
  <conditionalFormatting sqref="I19:I21">
    <cfRule type="expression" dxfId="573" priority="263">
      <formula xml:space="preserve"> INDIRECT(CHAR(COLUMN()+96) &amp; 4) = TODAY() * NOT(ISBLANK(INDIRECT(CHAR(COLUMN()+96) &amp; ROW())))</formula>
    </cfRule>
    <cfRule type="expression" dxfId="572" priority="264">
      <formula xml:space="preserve"> INDIRECT(CHAR(COLUMN()+96) &amp; 4) = TODAY() * ISBLANK(INDIRECT(CHAR(COLUMN()+96) &amp; ROW()))</formula>
    </cfRule>
  </conditionalFormatting>
  <conditionalFormatting sqref="I19:I21">
    <cfRule type="expression" dxfId="571" priority="261">
      <formula>INDIRECT("A"&amp;3) = INDIRECT("A"&amp;ROW())</formula>
    </cfRule>
  </conditionalFormatting>
  <conditionalFormatting sqref="I19:I21">
    <cfRule type="colorScale" priority="262">
      <colorScale>
        <cfvo type="num" val="0"/>
        <cfvo type="num" val="0.5"/>
        <cfvo type="num" val="1"/>
        <color rgb="FFF8696B"/>
        <color rgb="FFFFEB84"/>
        <color rgb="FF63BE7B"/>
      </colorScale>
    </cfRule>
  </conditionalFormatting>
  <conditionalFormatting sqref="J23:J27">
    <cfRule type="expression" dxfId="570" priority="247">
      <formula xml:space="preserve"> INDIRECT(CHAR(COLUMN()+96) &amp; 4) = TODAY() * NOT(ISBLANK(INDIRECT(CHAR(COLUMN()+96) &amp; ROW())))</formula>
    </cfRule>
    <cfRule type="expression" dxfId="569" priority="248">
      <formula xml:space="preserve"> INDIRECT(CHAR(COLUMN()+96) &amp; 4) = TODAY() * ISBLANK(INDIRECT(CHAR(COLUMN()+96) &amp; ROW()))</formula>
    </cfRule>
  </conditionalFormatting>
  <conditionalFormatting sqref="J23:J27">
    <cfRule type="expression" dxfId="568" priority="245">
      <formula>INDIRECT("A"&amp;3) = INDIRECT("A"&amp;ROW())</formula>
    </cfRule>
  </conditionalFormatting>
  <conditionalFormatting sqref="J23:J27">
    <cfRule type="colorScale" priority="246">
      <colorScale>
        <cfvo type="num" val="0"/>
        <cfvo type="num" val="0.5"/>
        <cfvo type="num" val="1"/>
        <color rgb="FFF8696B"/>
        <color rgb="FFFFEB84"/>
        <color rgb="FF63BE7B"/>
      </colorScale>
    </cfRule>
  </conditionalFormatting>
  <conditionalFormatting sqref="I25:I27">
    <cfRule type="expression" dxfId="567" priority="243">
      <formula xml:space="preserve"> INDIRECT(CHAR(COLUMN()+96) &amp; 4) = TODAY() * NOT(ISBLANK(INDIRECT(CHAR(COLUMN()+96) &amp; ROW())))</formula>
    </cfRule>
    <cfRule type="expression" dxfId="566" priority="244">
      <formula xml:space="preserve"> INDIRECT(CHAR(COLUMN()+96) &amp; 4) = TODAY() * ISBLANK(INDIRECT(CHAR(COLUMN()+96) &amp; ROW()))</formula>
    </cfRule>
  </conditionalFormatting>
  <conditionalFormatting sqref="I25:I27">
    <cfRule type="expression" dxfId="565" priority="241">
      <formula>INDIRECT("A"&amp;3) = INDIRECT("A"&amp;ROW())</formula>
    </cfRule>
  </conditionalFormatting>
  <conditionalFormatting sqref="I25:I27">
    <cfRule type="colorScale" priority="242">
      <colorScale>
        <cfvo type="num" val="0"/>
        <cfvo type="num" val="0.5"/>
        <cfvo type="num" val="1"/>
        <color rgb="FFF8696B"/>
        <color rgb="FFFFEB84"/>
        <color rgb="FF63BE7B"/>
      </colorScale>
    </cfRule>
  </conditionalFormatting>
  <conditionalFormatting sqref="J28:J30">
    <cfRule type="expression" dxfId="564" priority="239">
      <formula xml:space="preserve"> INDIRECT(CHAR(COLUMN()+96) &amp; 4) = TODAY() * NOT(ISBLANK(INDIRECT(CHAR(COLUMN()+96) &amp; ROW())))</formula>
    </cfRule>
    <cfRule type="expression" dxfId="563" priority="240">
      <formula xml:space="preserve"> INDIRECT(CHAR(COLUMN()+96) &amp; 4) = TODAY() * ISBLANK(INDIRECT(CHAR(COLUMN()+96) &amp; ROW()))</formula>
    </cfRule>
  </conditionalFormatting>
  <conditionalFormatting sqref="J28:J30">
    <cfRule type="expression" dxfId="562" priority="237">
      <formula>INDIRECT("A"&amp;3) = INDIRECT("A"&amp;ROW())</formula>
    </cfRule>
  </conditionalFormatting>
  <conditionalFormatting sqref="J28:J30">
    <cfRule type="colorScale" priority="238">
      <colorScale>
        <cfvo type="num" val="0"/>
        <cfvo type="num" val="0.5"/>
        <cfvo type="num" val="1"/>
        <color rgb="FFF8696B"/>
        <color rgb="FFFFEB84"/>
        <color rgb="FF63BE7B"/>
      </colorScale>
    </cfRule>
  </conditionalFormatting>
  <conditionalFormatting sqref="I22:I24">
    <cfRule type="expression" dxfId="561" priority="235">
      <formula xml:space="preserve"> INDIRECT(CHAR(COLUMN()+96) &amp; 4) = TODAY() * NOT(ISBLANK(INDIRECT(CHAR(COLUMN()+96) &amp; ROW())))</formula>
    </cfRule>
    <cfRule type="expression" dxfId="560" priority="236">
      <formula xml:space="preserve"> INDIRECT(CHAR(COLUMN()+96) &amp; 4) = TODAY() * ISBLANK(INDIRECT(CHAR(COLUMN()+96) &amp; ROW()))</formula>
    </cfRule>
  </conditionalFormatting>
  <conditionalFormatting sqref="I22:I24">
    <cfRule type="expression" dxfId="559" priority="233">
      <formula>INDIRECT("A"&amp;3) = INDIRECT("A"&amp;ROW())</formula>
    </cfRule>
  </conditionalFormatting>
  <conditionalFormatting sqref="I22:I24">
    <cfRule type="colorScale" priority="234">
      <colorScale>
        <cfvo type="num" val="0"/>
        <cfvo type="num" val="0.5"/>
        <cfvo type="num" val="1"/>
        <color rgb="FFF8696B"/>
        <color rgb="FFFFEB84"/>
        <color rgb="FF63BE7B"/>
      </colorScale>
    </cfRule>
  </conditionalFormatting>
  <conditionalFormatting sqref="K23">
    <cfRule type="expression" dxfId="558" priority="231">
      <formula xml:space="preserve"> INDIRECT(CHAR(COLUMN()+96) &amp; 4) = TODAY() * NOT(ISBLANK(INDIRECT(CHAR(COLUMN()+96) &amp; ROW())))</formula>
    </cfRule>
    <cfRule type="expression" dxfId="557" priority="232">
      <formula xml:space="preserve"> INDIRECT(CHAR(COLUMN()+96) &amp; 4) = TODAY() * ISBLANK(INDIRECT(CHAR(COLUMN()+96) &amp; ROW()))</formula>
    </cfRule>
  </conditionalFormatting>
  <conditionalFormatting sqref="K23">
    <cfRule type="expression" dxfId="556" priority="229">
      <formula>INDIRECT("A"&amp;3) = INDIRECT("A"&amp;ROW())</formula>
    </cfRule>
  </conditionalFormatting>
  <conditionalFormatting sqref="K23">
    <cfRule type="colorScale" priority="230">
      <colorScale>
        <cfvo type="num" val="0"/>
        <cfvo type="num" val="0.5"/>
        <cfvo type="num" val="1"/>
        <color rgb="FFF8696B"/>
        <color rgb="FFFFEB84"/>
        <color rgb="FF63BE7B"/>
      </colorScale>
    </cfRule>
  </conditionalFormatting>
  <conditionalFormatting sqref="L23:L30">
    <cfRule type="expression" dxfId="555" priority="227">
      <formula xml:space="preserve"> INDIRECT(CHAR(COLUMN()+96) &amp; 4) = TODAY() * NOT(ISBLANK(INDIRECT(CHAR(COLUMN()+96) &amp; ROW())))</formula>
    </cfRule>
    <cfRule type="expression" dxfId="554" priority="228">
      <formula xml:space="preserve"> INDIRECT(CHAR(COLUMN()+96) &amp; 4) = TODAY() * ISBLANK(INDIRECT(CHAR(COLUMN()+96) &amp; ROW()))</formula>
    </cfRule>
  </conditionalFormatting>
  <conditionalFormatting sqref="L23:L30">
    <cfRule type="expression" dxfId="553" priority="225">
      <formula>INDIRECT("A"&amp;3) = INDIRECT("A"&amp;ROW())</formula>
    </cfRule>
  </conditionalFormatting>
  <conditionalFormatting sqref="L23:L30">
    <cfRule type="colorScale" priority="226">
      <colorScale>
        <cfvo type="num" val="0"/>
        <cfvo type="num" val="0.5"/>
        <cfvo type="num" val="1"/>
        <color rgb="FFF8696B"/>
        <color rgb="FFFFEB84"/>
        <color rgb="FF63BE7B"/>
      </colorScale>
    </cfRule>
  </conditionalFormatting>
  <conditionalFormatting sqref="R23:S23">
    <cfRule type="expression" dxfId="552" priority="211">
      <formula xml:space="preserve"> INDIRECT(CHAR(COLUMN()+96) &amp; 4) = TODAY() * NOT(ISBLANK(INDIRECT(CHAR(COLUMN()+96) &amp; ROW())))</formula>
    </cfRule>
    <cfRule type="expression" dxfId="551" priority="212">
      <formula xml:space="preserve"> INDIRECT(CHAR(COLUMN()+96) &amp; 4) = TODAY() * ISBLANK(INDIRECT(CHAR(COLUMN()+96) &amp; ROW()))</formula>
    </cfRule>
  </conditionalFormatting>
  <conditionalFormatting sqref="R23:S23">
    <cfRule type="expression" dxfId="550" priority="209">
      <formula>INDIRECT("A"&amp;3) = INDIRECT("A"&amp;ROW())</formula>
    </cfRule>
  </conditionalFormatting>
  <conditionalFormatting sqref="R23:S23">
    <cfRule type="colorScale" priority="210">
      <colorScale>
        <cfvo type="num" val="0"/>
        <cfvo type="num" val="0.5"/>
        <cfvo type="num" val="1"/>
        <color rgb="FFF8696B"/>
        <color rgb="FFFFEB84"/>
        <color rgb="FF63BE7B"/>
      </colorScale>
    </cfRule>
  </conditionalFormatting>
  <conditionalFormatting sqref="R23:S23">
    <cfRule type="expression" dxfId="549" priority="191">
      <formula xml:space="preserve"> INDIRECT(CHAR(COLUMN()+96) &amp; 4) = TODAY() * NOT(ISBLANK(INDIRECT(CHAR(COLUMN()+96) &amp; ROW())))</formula>
    </cfRule>
    <cfRule type="expression" dxfId="548" priority="192">
      <formula xml:space="preserve"> INDIRECT(CHAR(COLUMN()+96) &amp; 4) = TODAY() * ISBLANK(INDIRECT(CHAR(COLUMN()+96) &amp; ROW()))</formula>
    </cfRule>
  </conditionalFormatting>
  <conditionalFormatting sqref="R23:S23">
    <cfRule type="expression" dxfId="547" priority="189">
      <formula>INDIRECT("A"&amp;3) = INDIRECT("A"&amp;ROW())</formula>
    </cfRule>
  </conditionalFormatting>
  <conditionalFormatting sqref="R23:S23">
    <cfRule type="colorScale" priority="190">
      <colorScale>
        <cfvo type="num" val="0"/>
        <cfvo type="num" val="0.5"/>
        <cfvo type="num" val="1"/>
        <color rgb="FFF8696B"/>
        <color rgb="FFFFEB84"/>
        <color rgb="FF63BE7B"/>
      </colorScale>
    </cfRule>
  </conditionalFormatting>
  <conditionalFormatting sqref="R23:S23">
    <cfRule type="expression" dxfId="546" priority="187">
      <formula xml:space="preserve"> INDIRECT(CHAR(COLUMN()+96) &amp; 4) = TODAY() * NOT(ISBLANK(INDIRECT(CHAR(COLUMN()+96) &amp; ROW())))</formula>
    </cfRule>
    <cfRule type="expression" dxfId="545" priority="188">
      <formula xml:space="preserve"> INDIRECT(CHAR(COLUMN()+96) &amp; 4) = TODAY() * ISBLANK(INDIRECT(CHAR(COLUMN()+96) &amp; ROW()))</formula>
    </cfRule>
  </conditionalFormatting>
  <conditionalFormatting sqref="R23:S23">
    <cfRule type="expression" dxfId="544" priority="185">
      <formula>INDIRECT("A"&amp;3) = INDIRECT("A"&amp;ROW())</formula>
    </cfRule>
  </conditionalFormatting>
  <conditionalFormatting sqref="R23:S23">
    <cfRule type="colorScale" priority="186">
      <colorScale>
        <cfvo type="num" val="0"/>
        <cfvo type="num" val="0.5"/>
        <cfvo type="num" val="1"/>
        <color rgb="FFF8696B"/>
        <color rgb="FFFFEB84"/>
        <color rgb="FF63BE7B"/>
      </colorScale>
    </cfRule>
  </conditionalFormatting>
  <conditionalFormatting sqref="I18">
    <cfRule type="expression" dxfId="543" priority="179">
      <formula xml:space="preserve"> INDIRECT(CHAR(COLUMN()+96) &amp; 4) = TODAY() * NOT(ISBLANK(INDIRECT(CHAR(COLUMN()+96) &amp; ROW())))</formula>
    </cfRule>
    <cfRule type="expression" dxfId="542" priority="180">
      <formula xml:space="preserve"> INDIRECT(CHAR(COLUMN()+96) &amp; 4) = TODAY() * ISBLANK(INDIRECT(CHAR(COLUMN()+96) &amp; ROW()))</formula>
    </cfRule>
  </conditionalFormatting>
  <conditionalFormatting sqref="I18">
    <cfRule type="expression" dxfId="541" priority="177">
      <formula>INDIRECT("A"&amp;3) = INDIRECT("A"&amp;ROW())</formula>
    </cfRule>
  </conditionalFormatting>
  <conditionalFormatting sqref="I18">
    <cfRule type="colorScale" priority="178">
      <colorScale>
        <cfvo type="num" val="0"/>
        <cfvo type="num" val="0.5"/>
        <cfvo type="num" val="1"/>
        <color rgb="FFF8696B"/>
        <color rgb="FFFFEB84"/>
        <color rgb="FF63BE7B"/>
      </colorScale>
    </cfRule>
  </conditionalFormatting>
  <conditionalFormatting sqref="I28">
    <cfRule type="expression" dxfId="540" priority="171">
      <formula xml:space="preserve"> INDIRECT(CHAR(COLUMN()+96) &amp; 4) = TODAY() * NOT(ISBLANK(INDIRECT(CHAR(COLUMN()+96) &amp; ROW())))</formula>
    </cfRule>
    <cfRule type="expression" dxfId="539" priority="172">
      <formula xml:space="preserve"> INDIRECT(CHAR(COLUMN()+96) &amp; 4) = TODAY() * ISBLANK(INDIRECT(CHAR(COLUMN()+96) &amp; ROW()))</formula>
    </cfRule>
  </conditionalFormatting>
  <conditionalFormatting sqref="I28">
    <cfRule type="expression" dxfId="538" priority="169">
      <formula>INDIRECT("A"&amp;3) = INDIRECT("A"&amp;ROW())</formula>
    </cfRule>
  </conditionalFormatting>
  <conditionalFormatting sqref="I28">
    <cfRule type="colorScale" priority="170">
      <colorScale>
        <cfvo type="num" val="0"/>
        <cfvo type="num" val="0.5"/>
        <cfvo type="num" val="1"/>
        <color rgb="FFF8696B"/>
        <color rgb="FFFFEB84"/>
        <color rgb="FF63BE7B"/>
      </colorScale>
    </cfRule>
  </conditionalFormatting>
  <conditionalFormatting sqref="I25 I28">
    <cfRule type="expression" dxfId="537" priority="163">
      <formula xml:space="preserve"> INDIRECT(CHAR(COLUMN()+96) &amp; 4) = TODAY() * NOT(ISBLANK(INDIRECT(CHAR(COLUMN()+96) &amp; ROW())))</formula>
    </cfRule>
    <cfRule type="expression" dxfId="536" priority="164">
      <formula xml:space="preserve"> INDIRECT(CHAR(COLUMN()+96) &amp; 4) = TODAY() * ISBLANK(INDIRECT(CHAR(COLUMN()+96) &amp; ROW()))</formula>
    </cfRule>
  </conditionalFormatting>
  <conditionalFormatting sqref="I25 I28">
    <cfRule type="expression" dxfId="535" priority="161">
      <formula>INDIRECT("A"&amp;3) = INDIRECT("A"&amp;ROW())</formula>
    </cfRule>
  </conditionalFormatting>
  <conditionalFormatting sqref="I28 I25">
    <cfRule type="colorScale" priority="162">
      <colorScale>
        <cfvo type="num" val="0"/>
        <cfvo type="num" val="0.5"/>
        <cfvo type="num" val="1"/>
        <color rgb="FFF8696B"/>
        <color rgb="FFFFEB84"/>
        <color rgb="FF63BE7B"/>
      </colorScale>
    </cfRule>
  </conditionalFormatting>
  <conditionalFormatting sqref="I28">
    <cfRule type="expression" dxfId="534" priority="159">
      <formula xml:space="preserve"> INDIRECT(CHAR(COLUMN()+96) &amp; 4) = TODAY() * NOT(ISBLANK(INDIRECT(CHAR(COLUMN()+96) &amp; ROW())))</formula>
    </cfRule>
    <cfRule type="expression" dxfId="533" priority="160">
      <formula xml:space="preserve"> INDIRECT(CHAR(COLUMN()+96) &amp; 4) = TODAY() * ISBLANK(INDIRECT(CHAR(COLUMN()+96) &amp; ROW()))</formula>
    </cfRule>
  </conditionalFormatting>
  <conditionalFormatting sqref="I28">
    <cfRule type="expression" dxfId="532" priority="157">
      <formula>INDIRECT("A"&amp;3) = INDIRECT("A"&amp;ROW())</formula>
    </cfRule>
  </conditionalFormatting>
  <conditionalFormatting sqref="I28">
    <cfRule type="colorScale" priority="158">
      <colorScale>
        <cfvo type="num" val="0"/>
        <cfvo type="num" val="0.5"/>
        <cfvo type="num" val="1"/>
        <color rgb="FFF8696B"/>
        <color rgb="FFFFEB84"/>
        <color rgb="FF63BE7B"/>
      </colorScale>
    </cfRule>
  </conditionalFormatting>
  <conditionalFormatting sqref="I30">
    <cfRule type="expression" dxfId="531" priority="155">
      <formula xml:space="preserve"> INDIRECT(CHAR(COLUMN()+96) &amp; 4) = TODAY() * NOT(ISBLANK(INDIRECT(CHAR(COLUMN()+96) &amp; ROW())))</formula>
    </cfRule>
    <cfRule type="expression" dxfId="530" priority="156">
      <formula xml:space="preserve"> INDIRECT(CHAR(COLUMN()+96) &amp; 4) = TODAY() * ISBLANK(INDIRECT(CHAR(COLUMN()+96) &amp; ROW()))</formula>
    </cfRule>
  </conditionalFormatting>
  <conditionalFormatting sqref="I30">
    <cfRule type="expression" dxfId="529" priority="153">
      <formula>INDIRECT("A"&amp;3) = INDIRECT("A"&amp;ROW())</formula>
    </cfRule>
  </conditionalFormatting>
  <conditionalFormatting sqref="I30">
    <cfRule type="colorScale" priority="154">
      <colorScale>
        <cfvo type="num" val="0"/>
        <cfvo type="num" val="0.5"/>
        <cfvo type="num" val="1"/>
        <color rgb="FFF8696B"/>
        <color rgb="FFFFEB84"/>
        <color rgb="FF63BE7B"/>
      </colorScale>
    </cfRule>
  </conditionalFormatting>
  <conditionalFormatting sqref="I29:I30">
    <cfRule type="expression" dxfId="528" priority="151">
      <formula xml:space="preserve"> INDIRECT(CHAR(COLUMN()+96) &amp; 4) = TODAY() * NOT(ISBLANK(INDIRECT(CHAR(COLUMN()+96) &amp; ROW())))</formula>
    </cfRule>
    <cfRule type="expression" dxfId="527" priority="152">
      <formula xml:space="preserve"> INDIRECT(CHAR(COLUMN()+96) &amp; 4) = TODAY() * ISBLANK(INDIRECT(CHAR(COLUMN()+96) &amp; ROW()))</formula>
    </cfRule>
  </conditionalFormatting>
  <conditionalFormatting sqref="I29:I30">
    <cfRule type="expression" dxfId="526" priority="149">
      <formula>INDIRECT("A"&amp;3) = INDIRECT("A"&amp;ROW())</formula>
    </cfRule>
  </conditionalFormatting>
  <conditionalFormatting sqref="I29:I30">
    <cfRule type="colorScale" priority="150">
      <colorScale>
        <cfvo type="num" val="0"/>
        <cfvo type="num" val="0.5"/>
        <cfvo type="num" val="1"/>
        <color rgb="FFF8696B"/>
        <color rgb="FFFFEB84"/>
        <color rgb="FF63BE7B"/>
      </colorScale>
    </cfRule>
  </conditionalFormatting>
  <conditionalFormatting sqref="J9">
    <cfRule type="expression" dxfId="525" priority="147">
      <formula xml:space="preserve"> INDIRECT(CHAR(COLUMN()+96) &amp; 4) = TODAY() * NOT(ISBLANK(INDIRECT(CHAR(COLUMN()+96) &amp; ROW())))</formula>
    </cfRule>
    <cfRule type="expression" dxfId="524" priority="148">
      <formula xml:space="preserve"> INDIRECT(CHAR(COLUMN()+96) &amp; 4) = TODAY() * ISBLANK(INDIRECT(CHAR(COLUMN()+96) &amp; ROW()))</formula>
    </cfRule>
  </conditionalFormatting>
  <conditionalFormatting sqref="J9">
    <cfRule type="expression" dxfId="523" priority="145">
      <formula>INDIRECT("A"&amp;3) = INDIRECT("A"&amp;ROW())</formula>
    </cfRule>
  </conditionalFormatting>
  <conditionalFormatting sqref="J9">
    <cfRule type="colorScale" priority="146">
      <colorScale>
        <cfvo type="num" val="0"/>
        <cfvo type="num" val="0.5"/>
        <cfvo type="num" val="1"/>
        <color rgb="FFF8696B"/>
        <color rgb="FFFFEB84"/>
        <color rgb="FF63BE7B"/>
      </colorScale>
    </cfRule>
  </conditionalFormatting>
  <conditionalFormatting sqref="J9">
    <cfRule type="expression" dxfId="522" priority="143">
      <formula xml:space="preserve"> INDIRECT(CHAR(COLUMN()+96) &amp; 4) = TODAY() * NOT(ISBLANK(INDIRECT(CHAR(COLUMN()+96) &amp; ROW())))</formula>
    </cfRule>
    <cfRule type="expression" dxfId="521" priority="144">
      <formula xml:space="preserve"> INDIRECT(CHAR(COLUMN()+96) &amp; 4) = TODAY() * ISBLANK(INDIRECT(CHAR(COLUMN()+96) &amp; ROW()))</formula>
    </cfRule>
  </conditionalFormatting>
  <conditionalFormatting sqref="J9">
    <cfRule type="expression" dxfId="520" priority="141">
      <formula>INDIRECT("A"&amp;3) = INDIRECT("A"&amp;ROW())</formula>
    </cfRule>
  </conditionalFormatting>
  <conditionalFormatting sqref="J9">
    <cfRule type="colorScale" priority="142">
      <colorScale>
        <cfvo type="num" val="0"/>
        <cfvo type="num" val="0.5"/>
        <cfvo type="num" val="1"/>
        <color rgb="FFF8696B"/>
        <color rgb="FFFFEB84"/>
        <color rgb="FF63BE7B"/>
      </colorScale>
    </cfRule>
  </conditionalFormatting>
  <conditionalFormatting sqref="J7:J9">
    <cfRule type="expression" dxfId="519" priority="139">
      <formula xml:space="preserve"> INDIRECT(CHAR(COLUMN()+96) &amp; 4) = TODAY() * NOT(ISBLANK(INDIRECT(CHAR(COLUMN()+96) &amp; ROW())))</formula>
    </cfRule>
    <cfRule type="expression" dxfId="518" priority="140">
      <formula xml:space="preserve"> INDIRECT(CHAR(COLUMN()+96) &amp; 4) = TODAY() * ISBLANK(INDIRECT(CHAR(COLUMN()+96) &amp; ROW()))</formula>
    </cfRule>
  </conditionalFormatting>
  <conditionalFormatting sqref="J7:J9">
    <cfRule type="expression" dxfId="517" priority="137">
      <formula>INDIRECT("A"&amp;3) = INDIRECT("A"&amp;ROW())</formula>
    </cfRule>
  </conditionalFormatting>
  <conditionalFormatting sqref="J7:J9">
    <cfRule type="colorScale" priority="138">
      <colorScale>
        <cfvo type="num" val="0"/>
        <cfvo type="num" val="0.5"/>
        <cfvo type="num" val="1"/>
        <color rgb="FFF8696B"/>
        <color rgb="FFFFEB84"/>
        <color rgb="FF63BE7B"/>
      </colorScale>
    </cfRule>
  </conditionalFormatting>
  <conditionalFormatting sqref="J10">
    <cfRule type="expression" dxfId="516" priority="135">
      <formula xml:space="preserve"> INDIRECT(CHAR(COLUMN()+96) &amp; 4) = TODAY() * NOT(ISBLANK(INDIRECT(CHAR(COLUMN()+96) &amp; ROW())))</formula>
    </cfRule>
    <cfRule type="expression" dxfId="515" priority="136">
      <formula xml:space="preserve"> INDIRECT(CHAR(COLUMN()+96) &amp; 4) = TODAY() * ISBLANK(INDIRECT(CHAR(COLUMN()+96) &amp; ROW()))</formula>
    </cfRule>
  </conditionalFormatting>
  <conditionalFormatting sqref="J10">
    <cfRule type="expression" dxfId="514" priority="133">
      <formula>INDIRECT("A"&amp;3) = INDIRECT("A"&amp;ROW())</formula>
    </cfRule>
  </conditionalFormatting>
  <conditionalFormatting sqref="J10">
    <cfRule type="colorScale" priority="134">
      <colorScale>
        <cfvo type="num" val="0"/>
        <cfvo type="num" val="0.5"/>
        <cfvo type="num" val="1"/>
        <color rgb="FFF8696B"/>
        <color rgb="FFFFEB84"/>
        <color rgb="FF63BE7B"/>
      </colorScale>
    </cfRule>
  </conditionalFormatting>
  <conditionalFormatting sqref="J7 J10">
    <cfRule type="expression" dxfId="513" priority="131">
      <formula xml:space="preserve"> INDIRECT(CHAR(COLUMN()+96) &amp; 4) = TODAY() * NOT(ISBLANK(INDIRECT(CHAR(COLUMN()+96) &amp; ROW())))</formula>
    </cfRule>
    <cfRule type="expression" dxfId="512" priority="132">
      <formula xml:space="preserve"> INDIRECT(CHAR(COLUMN()+96) &amp; 4) = TODAY() * ISBLANK(INDIRECT(CHAR(COLUMN()+96) &amp; ROW()))</formula>
    </cfRule>
  </conditionalFormatting>
  <conditionalFormatting sqref="J7 J10">
    <cfRule type="expression" dxfId="511" priority="129">
      <formula>INDIRECT("A"&amp;3) = INDIRECT("A"&amp;ROW())</formula>
    </cfRule>
  </conditionalFormatting>
  <conditionalFormatting sqref="J7 J10">
    <cfRule type="colorScale" priority="130">
      <colorScale>
        <cfvo type="num" val="0"/>
        <cfvo type="num" val="0.5"/>
        <cfvo type="num" val="1"/>
        <color rgb="FFF8696B"/>
        <color rgb="FFFFEB84"/>
        <color rgb="FF63BE7B"/>
      </colorScale>
    </cfRule>
  </conditionalFormatting>
  <conditionalFormatting sqref="J10">
    <cfRule type="expression" dxfId="510" priority="127">
      <formula xml:space="preserve"> INDIRECT(CHAR(COLUMN()+96) &amp; 4) = TODAY() * NOT(ISBLANK(INDIRECT(CHAR(COLUMN()+96) &amp; ROW())))</formula>
    </cfRule>
    <cfRule type="expression" dxfId="509" priority="128">
      <formula xml:space="preserve"> INDIRECT(CHAR(COLUMN()+96) &amp; 4) = TODAY() * ISBLANK(INDIRECT(CHAR(COLUMN()+96) &amp; ROW()))</formula>
    </cfRule>
  </conditionalFormatting>
  <conditionalFormatting sqref="J10">
    <cfRule type="expression" dxfId="508" priority="125">
      <formula>INDIRECT("A"&amp;3) = INDIRECT("A"&amp;ROW())</formula>
    </cfRule>
  </conditionalFormatting>
  <conditionalFormatting sqref="J10">
    <cfRule type="colorScale" priority="126">
      <colorScale>
        <cfvo type="num" val="0"/>
        <cfvo type="num" val="0.5"/>
        <cfvo type="num" val="1"/>
        <color rgb="FFF8696B"/>
        <color rgb="FFFFEB84"/>
        <color rgb="FF63BE7B"/>
      </colorScale>
    </cfRule>
  </conditionalFormatting>
  <conditionalFormatting sqref="J29:J30">
    <cfRule type="expression" dxfId="507" priority="123">
      <formula xml:space="preserve"> INDIRECT(CHAR(COLUMN()+96) &amp; 4) = TODAY() * NOT(ISBLANK(INDIRECT(CHAR(COLUMN()+96) &amp; ROW())))</formula>
    </cfRule>
    <cfRule type="expression" dxfId="506" priority="124">
      <formula xml:space="preserve"> INDIRECT(CHAR(COLUMN()+96) &amp; 4) = TODAY() * ISBLANK(INDIRECT(CHAR(COLUMN()+96) &amp; ROW()))</formula>
    </cfRule>
  </conditionalFormatting>
  <conditionalFormatting sqref="J29:J30">
    <cfRule type="expression" dxfId="505" priority="121">
      <formula>INDIRECT("A"&amp;3) = INDIRECT("A"&amp;ROW())</formula>
    </cfRule>
  </conditionalFormatting>
  <conditionalFormatting sqref="J29:J30">
    <cfRule type="colorScale" priority="122">
      <colorScale>
        <cfvo type="num" val="0"/>
        <cfvo type="num" val="0.5"/>
        <cfvo type="num" val="1"/>
        <color rgb="FFF8696B"/>
        <color rgb="FFFFEB84"/>
        <color rgb="FF63BE7B"/>
      </colorScale>
    </cfRule>
  </conditionalFormatting>
  <conditionalFormatting sqref="M24:M27">
    <cfRule type="expression" dxfId="504" priority="111">
      <formula xml:space="preserve"> INDIRECT(CHAR(COLUMN()+96) &amp; 4) = TODAY() * NOT(ISBLANK(INDIRECT(CHAR(COLUMN()+96) &amp; ROW())))</formula>
    </cfRule>
    <cfRule type="expression" dxfId="503" priority="112">
      <formula xml:space="preserve"> INDIRECT(CHAR(COLUMN()+96) &amp; 4) = TODAY() * ISBLANK(INDIRECT(CHAR(COLUMN()+96) &amp; ROW()))</formula>
    </cfRule>
  </conditionalFormatting>
  <conditionalFormatting sqref="M24:M27">
    <cfRule type="expression" dxfId="502" priority="109">
      <formula>INDIRECT("A"&amp;3) = INDIRECT("A"&amp;ROW())</formula>
    </cfRule>
  </conditionalFormatting>
  <conditionalFormatting sqref="M24:M27">
    <cfRule type="colorScale" priority="110">
      <colorScale>
        <cfvo type="num" val="0"/>
        <cfvo type="num" val="0.5"/>
        <cfvo type="num" val="1"/>
        <color rgb="FFF8696B"/>
        <color rgb="FFFFEB84"/>
        <color rgb="FF63BE7B"/>
      </colorScale>
    </cfRule>
  </conditionalFormatting>
  <conditionalFormatting sqref="M28:M29">
    <cfRule type="expression" dxfId="501" priority="107">
      <formula xml:space="preserve"> INDIRECT(CHAR(COLUMN()+96) &amp; 4) = TODAY() * NOT(ISBLANK(INDIRECT(CHAR(COLUMN()+96) &amp; ROW())))</formula>
    </cfRule>
    <cfRule type="expression" dxfId="500" priority="108">
      <formula xml:space="preserve"> INDIRECT(CHAR(COLUMN()+96) &amp; 4) = TODAY() * ISBLANK(INDIRECT(CHAR(COLUMN()+96) &amp; ROW()))</formula>
    </cfRule>
  </conditionalFormatting>
  <conditionalFormatting sqref="M28:M29">
    <cfRule type="expression" dxfId="499" priority="105">
      <formula>INDIRECT("A"&amp;3) = INDIRECT("A"&amp;ROW())</formula>
    </cfRule>
  </conditionalFormatting>
  <conditionalFormatting sqref="M28:M29">
    <cfRule type="colorScale" priority="106">
      <colorScale>
        <cfvo type="num" val="0"/>
        <cfvo type="num" val="0.5"/>
        <cfvo type="num" val="1"/>
        <color rgb="FFF8696B"/>
        <color rgb="FFFFEB84"/>
        <color rgb="FF63BE7B"/>
      </colorScale>
    </cfRule>
  </conditionalFormatting>
  <conditionalFormatting sqref="M23">
    <cfRule type="expression" dxfId="498" priority="103">
      <formula xml:space="preserve"> INDIRECT(CHAR(COLUMN()+96) &amp; 4) = TODAY() * NOT(ISBLANK(INDIRECT(CHAR(COLUMN()+96) &amp; ROW())))</formula>
    </cfRule>
    <cfRule type="expression" dxfId="497" priority="104">
      <formula xml:space="preserve"> INDIRECT(CHAR(COLUMN()+96) &amp; 4) = TODAY() * ISBLANK(INDIRECT(CHAR(COLUMN()+96) &amp; ROW()))</formula>
    </cfRule>
  </conditionalFormatting>
  <conditionalFormatting sqref="M23">
    <cfRule type="expression" dxfId="496" priority="101">
      <formula>INDIRECT("A"&amp;3) = INDIRECT("A"&amp;ROW())</formula>
    </cfRule>
  </conditionalFormatting>
  <conditionalFormatting sqref="M23">
    <cfRule type="colorScale" priority="102">
      <colorScale>
        <cfvo type="num" val="0"/>
        <cfvo type="num" val="0.5"/>
        <cfvo type="num" val="1"/>
        <color rgb="FFF8696B"/>
        <color rgb="FFFFEB84"/>
        <color rgb="FF63BE7B"/>
      </colorScale>
    </cfRule>
  </conditionalFormatting>
  <conditionalFormatting sqref="M11:Q11">
    <cfRule type="expression" dxfId="495" priority="99">
      <formula xml:space="preserve"> INDIRECT(CHAR(COLUMN()+96) &amp; 4) = TODAY() * NOT(ISBLANK(INDIRECT(CHAR(COLUMN()+96) &amp; ROW())))</formula>
    </cfRule>
    <cfRule type="expression" dxfId="494" priority="100">
      <formula xml:space="preserve"> INDIRECT(CHAR(COLUMN()+96) &amp; 4) = TODAY() * ISBLANK(INDIRECT(CHAR(COLUMN()+96) &amp; ROW()))</formula>
    </cfRule>
  </conditionalFormatting>
  <conditionalFormatting sqref="M11:Q11">
    <cfRule type="expression" dxfId="493" priority="97">
      <formula>INDIRECT("A"&amp;3) = INDIRECT("A"&amp;ROW())</formula>
    </cfRule>
  </conditionalFormatting>
  <conditionalFormatting sqref="M11:Q11">
    <cfRule type="colorScale" priority="98">
      <colorScale>
        <cfvo type="num" val="0"/>
        <cfvo type="num" val="0.5"/>
        <cfvo type="num" val="1"/>
        <color rgb="FFF8696B"/>
        <color rgb="FFFFEB84"/>
        <color rgb="FF63BE7B"/>
      </colorScale>
    </cfRule>
  </conditionalFormatting>
  <conditionalFormatting sqref="M10:O10">
    <cfRule type="expression" dxfId="492" priority="95">
      <formula xml:space="preserve"> INDIRECT(CHAR(COLUMN()+96) &amp; 4) = TODAY() * NOT(ISBLANK(INDIRECT(CHAR(COLUMN()+96) &amp; ROW())))</formula>
    </cfRule>
    <cfRule type="expression" dxfId="491" priority="96">
      <formula xml:space="preserve"> INDIRECT(CHAR(COLUMN()+96) &amp; 4) = TODAY() * ISBLANK(INDIRECT(CHAR(COLUMN()+96) &amp; ROW()))</formula>
    </cfRule>
  </conditionalFormatting>
  <conditionalFormatting sqref="M10:O10">
    <cfRule type="expression" dxfId="490" priority="93">
      <formula>INDIRECT("A"&amp;3) = INDIRECT("A"&amp;ROW())</formula>
    </cfRule>
  </conditionalFormatting>
  <conditionalFormatting sqref="M10:O10">
    <cfRule type="colorScale" priority="94">
      <colorScale>
        <cfvo type="num" val="0"/>
        <cfvo type="num" val="0.5"/>
        <cfvo type="num" val="1"/>
        <color rgb="FFF8696B"/>
        <color rgb="FFFFEB84"/>
        <color rgb="FF63BE7B"/>
      </colorScale>
    </cfRule>
  </conditionalFormatting>
  <conditionalFormatting sqref="P27:P29">
    <cfRule type="expression" dxfId="489" priority="91">
      <formula xml:space="preserve"> INDIRECT(CHAR(COLUMN()+96) &amp; 4) = TODAY() * NOT(ISBLANK(INDIRECT(CHAR(COLUMN()+96) &amp; ROW())))</formula>
    </cfRule>
    <cfRule type="expression" dxfId="488" priority="92">
      <formula xml:space="preserve"> INDIRECT(CHAR(COLUMN()+96) &amp; 4) = TODAY() * ISBLANK(INDIRECT(CHAR(COLUMN()+96) &amp; ROW()))</formula>
    </cfRule>
  </conditionalFormatting>
  <conditionalFormatting sqref="P27:P29">
    <cfRule type="expression" dxfId="487" priority="89">
      <formula>INDIRECT("A"&amp;3) = INDIRECT("A"&amp;ROW())</formula>
    </cfRule>
  </conditionalFormatting>
  <conditionalFormatting sqref="P27:P29">
    <cfRule type="colorScale" priority="90">
      <colorScale>
        <cfvo type="num" val="0"/>
        <cfvo type="num" val="0.5"/>
        <cfvo type="num" val="1"/>
        <color rgb="FFF8696B"/>
        <color rgb="FFFFEB84"/>
        <color rgb="FF63BE7B"/>
      </colorScale>
    </cfRule>
  </conditionalFormatting>
  <conditionalFormatting sqref="P16">
    <cfRule type="expression" dxfId="486" priority="87">
      <formula xml:space="preserve"> INDIRECT(CHAR(COLUMN()+96) &amp; 4) = TODAY() * NOT(ISBLANK(INDIRECT(CHAR(COLUMN()+96) &amp; ROW())))</formula>
    </cfRule>
    <cfRule type="expression" dxfId="485" priority="88">
      <formula xml:space="preserve"> INDIRECT(CHAR(COLUMN()+96) &amp; 4) = TODAY() * ISBLANK(INDIRECT(CHAR(COLUMN()+96) &amp; ROW()))</formula>
    </cfRule>
  </conditionalFormatting>
  <conditionalFormatting sqref="P16">
    <cfRule type="expression" dxfId="484" priority="85">
      <formula>INDIRECT("A"&amp;3) = INDIRECT("A"&amp;ROW())</formula>
    </cfRule>
  </conditionalFormatting>
  <conditionalFormatting sqref="P16">
    <cfRule type="colorScale" priority="86">
      <colorScale>
        <cfvo type="num" val="0"/>
        <cfvo type="num" val="0.5"/>
        <cfvo type="num" val="1"/>
        <color rgb="FFF8696B"/>
        <color rgb="FFFFEB84"/>
        <color rgb="FF63BE7B"/>
      </colorScale>
    </cfRule>
  </conditionalFormatting>
  <conditionalFormatting sqref="N28">
    <cfRule type="expression" dxfId="483" priority="83">
      <formula xml:space="preserve"> INDIRECT(CHAR(COLUMN()+96) &amp; 4) = TODAY() * NOT(ISBLANK(INDIRECT(CHAR(COLUMN()+96) &amp; ROW())))</formula>
    </cfRule>
    <cfRule type="expression" dxfId="482" priority="84">
      <formula xml:space="preserve"> INDIRECT(CHAR(COLUMN()+96) &amp; 4) = TODAY() * ISBLANK(INDIRECT(CHAR(COLUMN()+96) &amp; ROW()))</formula>
    </cfRule>
  </conditionalFormatting>
  <conditionalFormatting sqref="N28">
    <cfRule type="expression" dxfId="481" priority="81">
      <formula>INDIRECT("A"&amp;3) = INDIRECT("A"&amp;ROW())</formula>
    </cfRule>
  </conditionalFormatting>
  <conditionalFormatting sqref="N28">
    <cfRule type="colorScale" priority="82">
      <colorScale>
        <cfvo type="num" val="0"/>
        <cfvo type="num" val="0.5"/>
        <cfvo type="num" val="1"/>
        <color rgb="FFF8696B"/>
        <color rgb="FFFFEB84"/>
        <color rgb="FF63BE7B"/>
      </colorScale>
    </cfRule>
  </conditionalFormatting>
  <conditionalFormatting sqref="N26">
    <cfRule type="expression" dxfId="480" priority="79">
      <formula xml:space="preserve"> INDIRECT(CHAR(COLUMN()+96) &amp; 4) = TODAY() * NOT(ISBLANK(INDIRECT(CHAR(COLUMN()+96) &amp; ROW())))</formula>
    </cfRule>
    <cfRule type="expression" dxfId="479" priority="80">
      <formula xml:space="preserve"> INDIRECT(CHAR(COLUMN()+96) &amp; 4) = TODAY() * ISBLANK(INDIRECT(CHAR(COLUMN()+96) &amp; ROW()))</formula>
    </cfRule>
  </conditionalFormatting>
  <conditionalFormatting sqref="N26">
    <cfRule type="expression" dxfId="478" priority="77">
      <formula>INDIRECT("A"&amp;3) = INDIRECT("A"&amp;ROW())</formula>
    </cfRule>
  </conditionalFormatting>
  <conditionalFormatting sqref="N26">
    <cfRule type="colorScale" priority="78">
      <colorScale>
        <cfvo type="num" val="0"/>
        <cfvo type="num" val="0.5"/>
        <cfvo type="num" val="1"/>
        <color rgb="FFF8696B"/>
        <color rgb="FFFFEB84"/>
        <color rgb="FF63BE7B"/>
      </colorScale>
    </cfRule>
  </conditionalFormatting>
  <conditionalFormatting sqref="N25">
    <cfRule type="expression" dxfId="477" priority="75">
      <formula xml:space="preserve"> INDIRECT(CHAR(COLUMN()+96) &amp; 4) = TODAY() * NOT(ISBLANK(INDIRECT(CHAR(COLUMN()+96) &amp; ROW())))</formula>
    </cfRule>
    <cfRule type="expression" dxfId="476" priority="76">
      <formula xml:space="preserve"> INDIRECT(CHAR(COLUMN()+96) &amp; 4) = TODAY() * ISBLANK(INDIRECT(CHAR(COLUMN()+96) &amp; ROW()))</formula>
    </cfRule>
  </conditionalFormatting>
  <conditionalFormatting sqref="N25">
    <cfRule type="expression" dxfId="475" priority="73">
      <formula>INDIRECT("A"&amp;3) = INDIRECT("A"&amp;ROW())</formula>
    </cfRule>
  </conditionalFormatting>
  <conditionalFormatting sqref="N25">
    <cfRule type="colorScale" priority="74">
      <colorScale>
        <cfvo type="num" val="0"/>
        <cfvo type="num" val="0.5"/>
        <cfvo type="num" val="1"/>
        <color rgb="FFF8696B"/>
        <color rgb="FFFFEB84"/>
        <color rgb="FF63BE7B"/>
      </colorScale>
    </cfRule>
  </conditionalFormatting>
  <conditionalFormatting sqref="N26">
    <cfRule type="expression" dxfId="474" priority="63">
      <formula xml:space="preserve"> INDIRECT(CHAR(COLUMN()+96) &amp; 4) = TODAY() * NOT(ISBLANK(INDIRECT(CHAR(COLUMN()+96) &amp; ROW())))</formula>
    </cfRule>
    <cfRule type="expression" dxfId="473" priority="64">
      <formula xml:space="preserve"> INDIRECT(CHAR(COLUMN()+96) &amp; 4) = TODAY() * ISBLANK(INDIRECT(CHAR(COLUMN()+96) &amp; ROW()))</formula>
    </cfRule>
  </conditionalFormatting>
  <conditionalFormatting sqref="N26">
    <cfRule type="expression" dxfId="472" priority="61">
      <formula>INDIRECT("A"&amp;3) = INDIRECT("A"&amp;ROW())</formula>
    </cfRule>
  </conditionalFormatting>
  <conditionalFormatting sqref="N26">
    <cfRule type="colorScale" priority="62">
      <colorScale>
        <cfvo type="num" val="0"/>
        <cfvo type="num" val="0.5"/>
        <cfvo type="num" val="1"/>
        <color rgb="FFF8696B"/>
        <color rgb="FFFFEB84"/>
        <color rgb="FF63BE7B"/>
      </colorScale>
    </cfRule>
  </conditionalFormatting>
  <conditionalFormatting sqref="N28">
    <cfRule type="expression" dxfId="471" priority="59">
      <formula xml:space="preserve"> INDIRECT(CHAR(COLUMN()+96) &amp; 4) = TODAY() * NOT(ISBLANK(INDIRECT(CHAR(COLUMN()+96) &amp; ROW())))</formula>
    </cfRule>
    <cfRule type="expression" dxfId="470" priority="60">
      <formula xml:space="preserve"> INDIRECT(CHAR(COLUMN()+96) &amp; 4) = TODAY() * ISBLANK(INDIRECT(CHAR(COLUMN()+96) &amp; ROW()))</formula>
    </cfRule>
  </conditionalFormatting>
  <conditionalFormatting sqref="N28">
    <cfRule type="expression" dxfId="469" priority="57">
      <formula>INDIRECT("A"&amp;3) = INDIRECT("A"&amp;ROW())</formula>
    </cfRule>
  </conditionalFormatting>
  <conditionalFormatting sqref="N28">
    <cfRule type="colorScale" priority="58">
      <colorScale>
        <cfvo type="num" val="0"/>
        <cfvo type="num" val="0.5"/>
        <cfvo type="num" val="1"/>
        <color rgb="FFF8696B"/>
        <color rgb="FFFFEB84"/>
        <color rgb="FF63BE7B"/>
      </colorScale>
    </cfRule>
  </conditionalFormatting>
  <conditionalFormatting sqref="N27">
    <cfRule type="expression" dxfId="468" priority="55">
      <formula xml:space="preserve"> INDIRECT(CHAR(COLUMN()+96) &amp; 4) = TODAY() * NOT(ISBLANK(INDIRECT(CHAR(COLUMN()+96) &amp; ROW())))</formula>
    </cfRule>
    <cfRule type="expression" dxfId="467" priority="56">
      <formula xml:space="preserve"> INDIRECT(CHAR(COLUMN()+96) &amp; 4) = TODAY() * ISBLANK(INDIRECT(CHAR(COLUMN()+96) &amp; ROW()))</formula>
    </cfRule>
  </conditionalFormatting>
  <conditionalFormatting sqref="N27">
    <cfRule type="expression" dxfId="466" priority="53">
      <formula>INDIRECT("A"&amp;3) = INDIRECT("A"&amp;ROW())</formula>
    </cfRule>
  </conditionalFormatting>
  <conditionalFormatting sqref="N27">
    <cfRule type="colorScale" priority="54">
      <colorScale>
        <cfvo type="num" val="0"/>
        <cfvo type="num" val="0.5"/>
        <cfvo type="num" val="1"/>
        <color rgb="FFF8696B"/>
        <color rgb="FFFFEB84"/>
        <color rgb="FF63BE7B"/>
      </colorScale>
    </cfRule>
  </conditionalFormatting>
  <conditionalFormatting sqref="N27">
    <cfRule type="expression" dxfId="465" priority="51">
      <formula xml:space="preserve"> INDIRECT(CHAR(COLUMN()+96) &amp; 4) = TODAY() * NOT(ISBLANK(INDIRECT(CHAR(COLUMN()+96) &amp; ROW())))</formula>
    </cfRule>
    <cfRule type="expression" dxfId="464" priority="52">
      <formula xml:space="preserve"> INDIRECT(CHAR(COLUMN()+96) &amp; 4) = TODAY() * ISBLANK(INDIRECT(CHAR(COLUMN()+96) &amp; ROW()))</formula>
    </cfRule>
  </conditionalFormatting>
  <conditionalFormatting sqref="N27">
    <cfRule type="expression" dxfId="463" priority="49">
      <formula>INDIRECT("A"&amp;3) = INDIRECT("A"&amp;ROW())</formula>
    </cfRule>
  </conditionalFormatting>
  <conditionalFormatting sqref="N27">
    <cfRule type="colorScale" priority="50">
      <colorScale>
        <cfvo type="num" val="0"/>
        <cfvo type="num" val="0.5"/>
        <cfvo type="num" val="1"/>
        <color rgb="FFF8696B"/>
        <color rgb="FFFFEB84"/>
        <color rgb="FF63BE7B"/>
      </colorScale>
    </cfRule>
  </conditionalFormatting>
  <conditionalFormatting sqref="O8">
    <cfRule type="expression" dxfId="462" priority="47">
      <formula xml:space="preserve"> INDIRECT(CHAR(COLUMN()+96) &amp; 4) = TODAY() * NOT(ISBLANK(INDIRECT(CHAR(COLUMN()+96) &amp; ROW())))</formula>
    </cfRule>
    <cfRule type="expression" dxfId="461" priority="48">
      <formula xml:space="preserve"> INDIRECT(CHAR(COLUMN()+96) &amp; 4) = TODAY() * ISBLANK(INDIRECT(CHAR(COLUMN()+96) &amp; ROW()))</formula>
    </cfRule>
  </conditionalFormatting>
  <conditionalFormatting sqref="O8">
    <cfRule type="expression" dxfId="460" priority="45">
      <formula>INDIRECT("A"&amp;3) = INDIRECT("A"&amp;ROW())</formula>
    </cfRule>
  </conditionalFormatting>
  <conditionalFormatting sqref="O8">
    <cfRule type="colorScale" priority="46">
      <colorScale>
        <cfvo type="num" val="0"/>
        <cfvo type="num" val="0.5"/>
        <cfvo type="num" val="1"/>
        <color rgb="FFF8696B"/>
        <color rgb="FFFFEB84"/>
        <color rgb="FF63BE7B"/>
      </colorScale>
    </cfRule>
  </conditionalFormatting>
  <conditionalFormatting sqref="O7">
    <cfRule type="expression" dxfId="459" priority="43">
      <formula xml:space="preserve"> INDIRECT(CHAR(COLUMN()+96) &amp; 4) = TODAY() * NOT(ISBLANK(INDIRECT(CHAR(COLUMN()+96) &amp; ROW())))</formula>
    </cfRule>
    <cfRule type="expression" dxfId="458" priority="44">
      <formula xml:space="preserve"> INDIRECT(CHAR(COLUMN()+96) &amp; 4) = TODAY() * ISBLANK(INDIRECT(CHAR(COLUMN()+96) &amp; ROW()))</formula>
    </cfRule>
  </conditionalFormatting>
  <conditionalFormatting sqref="O7">
    <cfRule type="expression" dxfId="457" priority="41">
      <formula>INDIRECT("A"&amp;3) = INDIRECT("A"&amp;ROW())</formula>
    </cfRule>
  </conditionalFormatting>
  <conditionalFormatting sqref="O7">
    <cfRule type="colorScale" priority="42">
      <colorScale>
        <cfvo type="num" val="0"/>
        <cfvo type="num" val="0.5"/>
        <cfvo type="num" val="1"/>
        <color rgb="FFF8696B"/>
        <color rgb="FFFFEB84"/>
        <color rgb="FF63BE7B"/>
      </colorScale>
    </cfRule>
  </conditionalFormatting>
  <conditionalFormatting sqref="P35:Q48">
    <cfRule type="expression" dxfId="456" priority="39">
      <formula xml:space="preserve"> INDIRECT(CHAR(COLUMN()+96) &amp; 4) = TODAY() * NOT(ISBLANK(INDIRECT(CHAR(COLUMN()+96) &amp; ROW())))</formula>
    </cfRule>
    <cfRule type="expression" dxfId="455" priority="40">
      <formula xml:space="preserve"> INDIRECT(CHAR(COLUMN()+96) &amp; 4) = TODAY() * ISBLANK(INDIRECT(CHAR(COLUMN()+96) &amp; ROW()))</formula>
    </cfRule>
  </conditionalFormatting>
  <conditionalFormatting sqref="P35:Q48">
    <cfRule type="expression" dxfId="454" priority="37">
      <formula>INDIRECT("A"&amp;3) = INDIRECT("A"&amp;ROW())</formula>
    </cfRule>
  </conditionalFormatting>
  <conditionalFormatting sqref="P35:Q48">
    <cfRule type="colorScale" priority="38">
      <colorScale>
        <cfvo type="num" val="0"/>
        <cfvo type="num" val="0.5"/>
        <cfvo type="num" val="1"/>
        <color rgb="FFF8696B"/>
        <color rgb="FFFFEB84"/>
        <color rgb="FF63BE7B"/>
      </colorScale>
    </cfRule>
  </conditionalFormatting>
  <conditionalFormatting sqref="P47:P48">
    <cfRule type="expression" dxfId="453" priority="35">
      <formula xml:space="preserve"> INDIRECT(CHAR(COLUMN()+96) &amp; 4) = TODAY() * NOT(ISBLANK(INDIRECT(CHAR(COLUMN()+96) &amp; ROW())))</formula>
    </cfRule>
    <cfRule type="expression" dxfId="452" priority="36">
      <formula xml:space="preserve"> INDIRECT(CHAR(COLUMN()+96) &amp; 4) = TODAY() * ISBLANK(INDIRECT(CHAR(COLUMN()+96) &amp; ROW()))</formula>
    </cfRule>
  </conditionalFormatting>
  <conditionalFormatting sqref="P47:P48">
    <cfRule type="expression" dxfId="451" priority="33">
      <formula>INDIRECT("A"&amp;3) = INDIRECT("A"&amp;ROW())</formula>
    </cfRule>
  </conditionalFormatting>
  <conditionalFormatting sqref="P47:P48">
    <cfRule type="colorScale" priority="34">
      <colorScale>
        <cfvo type="num" val="0"/>
        <cfvo type="num" val="0.5"/>
        <cfvo type="num" val="1"/>
        <color rgb="FFF8696B"/>
        <color rgb="FFFFEB84"/>
        <color rgb="FF63BE7B"/>
      </colorScale>
    </cfRule>
  </conditionalFormatting>
  <conditionalFormatting sqref="P36">
    <cfRule type="expression" dxfId="450" priority="31">
      <formula xml:space="preserve"> INDIRECT(CHAR(COLUMN()+96) &amp; 4) = TODAY() * NOT(ISBLANK(INDIRECT(CHAR(COLUMN()+96) &amp; ROW())))</formula>
    </cfRule>
    <cfRule type="expression" dxfId="449" priority="32">
      <formula xml:space="preserve"> INDIRECT(CHAR(COLUMN()+96) &amp; 4) = TODAY() * ISBLANK(INDIRECT(CHAR(COLUMN()+96) &amp; ROW()))</formula>
    </cfRule>
  </conditionalFormatting>
  <conditionalFormatting sqref="P36">
    <cfRule type="expression" dxfId="448" priority="29">
      <formula>INDIRECT("A"&amp;3) = INDIRECT("A"&amp;ROW())</formula>
    </cfRule>
  </conditionalFormatting>
  <conditionalFormatting sqref="P36">
    <cfRule type="colorScale" priority="30">
      <colorScale>
        <cfvo type="num" val="0"/>
        <cfvo type="num" val="0.5"/>
        <cfvo type="num" val="1"/>
        <color rgb="FFF8696B"/>
        <color rgb="FFFFEB84"/>
        <color rgb="FF63BE7B"/>
      </colorScale>
    </cfRule>
  </conditionalFormatting>
  <conditionalFormatting sqref="R27:R29">
    <cfRule type="expression" dxfId="447" priority="23">
      <formula xml:space="preserve"> INDIRECT(CHAR(COLUMN()+96) &amp; 4) = TODAY() * NOT(ISBLANK(INDIRECT(CHAR(COLUMN()+96) &amp; ROW())))</formula>
    </cfRule>
    <cfRule type="expression" dxfId="446" priority="24">
      <formula xml:space="preserve"> INDIRECT(CHAR(COLUMN()+96) &amp; 4) = TODAY() * ISBLANK(INDIRECT(CHAR(COLUMN()+96) &amp; ROW()))</formula>
    </cfRule>
  </conditionalFormatting>
  <conditionalFormatting sqref="R27:R29">
    <cfRule type="expression" dxfId="445" priority="21">
      <formula>INDIRECT("A"&amp;3) = INDIRECT("A"&amp;ROW())</formula>
    </cfRule>
  </conditionalFormatting>
  <conditionalFormatting sqref="R27:R29">
    <cfRule type="colorScale" priority="22">
      <colorScale>
        <cfvo type="num" val="0"/>
        <cfvo type="num" val="0.5"/>
        <cfvo type="num" val="1"/>
        <color rgb="FFF8696B"/>
        <color rgb="FFFFEB84"/>
        <color rgb="FF63BE7B"/>
      </colorScale>
    </cfRule>
  </conditionalFormatting>
  <conditionalFormatting sqref="R9">
    <cfRule type="expression" dxfId="444" priority="19">
      <formula xml:space="preserve"> INDIRECT(CHAR(COLUMN()+96) &amp; 4) = TODAY() * NOT(ISBLANK(INDIRECT(CHAR(COLUMN()+96) &amp; ROW())))</formula>
    </cfRule>
    <cfRule type="expression" dxfId="443" priority="20">
      <formula xml:space="preserve"> INDIRECT(CHAR(COLUMN()+96) &amp; 4) = TODAY() * ISBLANK(INDIRECT(CHAR(COLUMN()+96) &amp; ROW()))</formula>
    </cfRule>
  </conditionalFormatting>
  <conditionalFormatting sqref="R9">
    <cfRule type="expression" dxfId="442" priority="17">
      <formula>INDIRECT("A"&amp;3) = INDIRECT("A"&amp;ROW())</formula>
    </cfRule>
  </conditionalFormatting>
  <conditionalFormatting sqref="R9">
    <cfRule type="colorScale" priority="18">
      <colorScale>
        <cfvo type="num" val="0"/>
        <cfvo type="num" val="0.5"/>
        <cfvo type="num" val="1"/>
        <color rgb="FFF8696B"/>
        <color rgb="FFFFEB84"/>
        <color rgb="FF63BE7B"/>
      </colorScale>
    </cfRule>
  </conditionalFormatting>
  <conditionalFormatting sqref="R10">
    <cfRule type="expression" dxfId="441" priority="15">
      <formula xml:space="preserve"> INDIRECT(CHAR(COLUMN()+96) &amp; 4) = TODAY() * NOT(ISBLANK(INDIRECT(CHAR(COLUMN()+96) &amp; ROW())))</formula>
    </cfRule>
    <cfRule type="expression" dxfId="440" priority="16">
      <formula xml:space="preserve"> INDIRECT(CHAR(COLUMN()+96) &amp; 4) = TODAY() * ISBLANK(INDIRECT(CHAR(COLUMN()+96) &amp; ROW()))</formula>
    </cfRule>
  </conditionalFormatting>
  <conditionalFormatting sqref="R10">
    <cfRule type="expression" dxfId="439" priority="13">
      <formula>INDIRECT("A"&amp;3) = INDIRECT("A"&amp;ROW())</formula>
    </cfRule>
  </conditionalFormatting>
  <conditionalFormatting sqref="R10">
    <cfRule type="colorScale" priority="14">
      <colorScale>
        <cfvo type="num" val="0"/>
        <cfvo type="num" val="0.5"/>
        <cfvo type="num" val="1"/>
        <color rgb="FFF8696B"/>
        <color rgb="FFFFEB84"/>
        <color rgb="FF63BE7B"/>
      </colorScale>
    </cfRule>
  </conditionalFormatting>
  <conditionalFormatting sqref="R11">
    <cfRule type="expression" dxfId="438" priority="11">
      <formula xml:space="preserve"> INDIRECT(CHAR(COLUMN()+96) &amp; 4) = TODAY() * NOT(ISBLANK(INDIRECT(CHAR(COLUMN()+96) &amp; ROW())))</formula>
    </cfRule>
    <cfRule type="expression" dxfId="437" priority="12">
      <formula xml:space="preserve"> INDIRECT(CHAR(COLUMN()+96) &amp; 4) = TODAY() * ISBLANK(INDIRECT(CHAR(COLUMN()+96) &amp; ROW()))</formula>
    </cfRule>
  </conditionalFormatting>
  <conditionalFormatting sqref="R11">
    <cfRule type="expression" dxfId="436" priority="9">
      <formula>INDIRECT("A"&amp;3) = INDIRECT("A"&amp;ROW())</formula>
    </cfRule>
  </conditionalFormatting>
  <conditionalFormatting sqref="R11">
    <cfRule type="colorScale" priority="10">
      <colorScale>
        <cfvo type="num" val="0"/>
        <cfvo type="num" val="0.5"/>
        <cfvo type="num" val="1"/>
        <color rgb="FFF8696B"/>
        <color rgb="FFFFEB84"/>
        <color rgb="FF63BE7B"/>
      </colorScale>
    </cfRule>
  </conditionalFormatting>
  <conditionalFormatting sqref="S10">
    <cfRule type="expression" dxfId="435" priority="7">
      <formula xml:space="preserve"> INDIRECT(CHAR(COLUMN()+96) &amp; 4) = TODAY() * NOT(ISBLANK(INDIRECT(CHAR(COLUMN()+96) &amp; ROW())))</formula>
    </cfRule>
    <cfRule type="expression" dxfId="434" priority="8">
      <formula xml:space="preserve"> INDIRECT(CHAR(COLUMN()+96) &amp; 4) = TODAY() * ISBLANK(INDIRECT(CHAR(COLUMN()+96) &amp; ROW()))</formula>
    </cfRule>
  </conditionalFormatting>
  <conditionalFormatting sqref="S10">
    <cfRule type="expression" dxfId="433" priority="5">
      <formula>INDIRECT("A"&amp;3) = INDIRECT("A"&amp;ROW())</formula>
    </cfRule>
  </conditionalFormatting>
  <conditionalFormatting sqref="S10">
    <cfRule type="colorScale" priority="6">
      <colorScale>
        <cfvo type="num" val="0"/>
        <cfvo type="num" val="0.5"/>
        <cfvo type="num" val="1"/>
        <color rgb="FFF8696B"/>
        <color rgb="FFFFEB84"/>
        <color rgb="FF63BE7B"/>
      </colorScale>
    </cfRule>
  </conditionalFormatting>
  <conditionalFormatting sqref="S11">
    <cfRule type="expression" dxfId="432" priority="3">
      <formula xml:space="preserve"> INDIRECT(CHAR(COLUMN()+96) &amp; 4) = TODAY() * NOT(ISBLANK(INDIRECT(CHAR(COLUMN()+96) &amp; ROW())))</formula>
    </cfRule>
    <cfRule type="expression" dxfId="431" priority="4">
      <formula xml:space="preserve"> INDIRECT(CHAR(COLUMN()+96) &amp; 4) = TODAY() * ISBLANK(INDIRECT(CHAR(COLUMN()+96) &amp; ROW()))</formula>
    </cfRule>
  </conditionalFormatting>
  <conditionalFormatting sqref="S11">
    <cfRule type="expression" dxfId="430" priority="1">
      <formula>INDIRECT("A"&amp;3) = INDIRECT("A"&amp;ROW())</formula>
    </cfRule>
  </conditionalFormatting>
  <conditionalFormatting sqref="S11">
    <cfRule type="colorScale" priority="2">
      <colorScale>
        <cfvo type="num" val="0"/>
        <cfvo type="num" val="0.5"/>
        <cfvo type="num" val="1"/>
        <color rgb="FFF8696B"/>
        <color rgb="FFFFEB84"/>
        <color rgb="FF63BE7B"/>
      </colorScale>
    </cfRule>
  </conditionalFormatting>
  <hyperlinks>
    <hyperlink ref="O24" r:id="rId1"/>
    <hyperlink ref="O27" r:id="rId2"/>
  </hyperlinks>
  <pageMargins left="0.7" right="0.7" top="0.75" bottom="0.75" header="0.3" footer="0.3"/>
  <pageSetup paperSize="9" orientation="portrait" horizontalDpi="4294967293" verticalDpi="0"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J457"/>
  <sheetViews>
    <sheetView topLeftCell="C219" zoomScale="85" zoomScaleNormal="85" workbookViewId="0">
      <selection activeCell="D224" sqref="D224"/>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SUM(F9:F533)</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248</v>
      </c>
      <c r="D31" s="85" t="s">
        <v>250</v>
      </c>
      <c r="E31" s="85" t="s">
        <v>249</v>
      </c>
      <c r="F31" s="90">
        <v>16</v>
      </c>
      <c r="G31" s="91"/>
      <c r="H31" s="91"/>
      <c r="I31" s="91"/>
      <c r="J31" s="92"/>
    </row>
    <row r="32" spans="1:10" ht="162.75" customHeight="1" x14ac:dyDescent="0.25">
      <c r="A32" s="42">
        <v>24</v>
      </c>
      <c r="B32" s="79">
        <v>43156</v>
      </c>
      <c r="C32" s="89" t="s">
        <v>251</v>
      </c>
      <c r="D32" s="85" t="s">
        <v>253</v>
      </c>
      <c r="E32" s="85" t="s">
        <v>252</v>
      </c>
      <c r="F32" s="90"/>
      <c r="G32" s="91"/>
      <c r="H32" s="91"/>
      <c r="I32" s="91"/>
      <c r="J32" s="92"/>
    </row>
    <row r="33" spans="1:10" ht="108" x14ac:dyDescent="0.25">
      <c r="A33" s="42">
        <v>25</v>
      </c>
      <c r="B33" s="79">
        <v>43157</v>
      </c>
      <c r="C33" s="89"/>
      <c r="D33" s="85" t="s">
        <v>262</v>
      </c>
      <c r="E33" s="85"/>
      <c r="F33" s="90"/>
      <c r="G33" s="91"/>
      <c r="H33" s="91"/>
      <c r="I33" s="91"/>
      <c r="J33" s="92"/>
    </row>
    <row r="34" spans="1:10" ht="161.25" customHeight="1" x14ac:dyDescent="0.25">
      <c r="A34" s="42">
        <v>26</v>
      </c>
      <c r="B34" s="79">
        <v>43158</v>
      </c>
      <c r="C34" s="89"/>
      <c r="D34" s="85" t="s">
        <v>266</v>
      </c>
      <c r="E34" s="85" t="s">
        <v>267</v>
      </c>
      <c r="F34" s="90"/>
      <c r="G34" s="91"/>
      <c r="H34" s="91"/>
      <c r="I34" s="91"/>
      <c r="J34" s="92"/>
    </row>
    <row r="35" spans="1:10" ht="129" customHeight="1" x14ac:dyDescent="0.25">
      <c r="A35" s="42">
        <v>27</v>
      </c>
      <c r="B35" s="79">
        <v>43159</v>
      </c>
      <c r="C35" s="89"/>
      <c r="D35" s="85" t="s">
        <v>268</v>
      </c>
      <c r="E35" s="85" t="s">
        <v>269</v>
      </c>
      <c r="F35" s="90"/>
      <c r="G35" s="91"/>
      <c r="H35" s="91"/>
      <c r="I35" s="91"/>
      <c r="J35" s="92"/>
    </row>
    <row r="36" spans="1:10" ht="171.2" customHeight="1" x14ac:dyDescent="0.25">
      <c r="A36" s="42">
        <v>28</v>
      </c>
      <c r="B36" s="79">
        <v>43160</v>
      </c>
      <c r="C36" s="89"/>
      <c r="D36" s="85" t="s">
        <v>271</v>
      </c>
      <c r="E36" s="85" t="s">
        <v>270</v>
      </c>
      <c r="F36" s="90"/>
      <c r="G36" s="91"/>
      <c r="H36" s="91"/>
      <c r="I36" s="91"/>
      <c r="J36" s="92"/>
    </row>
    <row r="37" spans="1:10" ht="36" x14ac:dyDescent="0.25">
      <c r="A37" s="42">
        <v>29</v>
      </c>
      <c r="B37" s="79">
        <v>43161</v>
      </c>
      <c r="C37" s="89"/>
      <c r="D37" s="85" t="s">
        <v>272</v>
      </c>
      <c r="E37" s="85"/>
      <c r="F37" s="90"/>
      <c r="G37" s="91"/>
      <c r="H37" s="91"/>
      <c r="I37" s="91"/>
      <c r="J37" s="92"/>
    </row>
    <row r="38" spans="1:10" ht="114" customHeight="1" x14ac:dyDescent="0.25">
      <c r="A38" s="42">
        <v>30</v>
      </c>
      <c r="B38" s="79">
        <v>43162</v>
      </c>
      <c r="C38" s="89" t="s">
        <v>275</v>
      </c>
      <c r="D38" s="85" t="s">
        <v>273</v>
      </c>
      <c r="E38" s="94" t="s">
        <v>274</v>
      </c>
      <c r="F38" s="90"/>
      <c r="G38" s="91"/>
      <c r="H38" s="91"/>
      <c r="I38" s="91"/>
      <c r="J38" s="92"/>
    </row>
    <row r="39" spans="1:10" ht="189.95" customHeight="1" x14ac:dyDescent="0.25">
      <c r="A39" s="42">
        <v>31</v>
      </c>
      <c r="B39" s="79">
        <v>43163</v>
      </c>
      <c r="C39" s="89"/>
      <c r="D39" s="85" t="s">
        <v>276</v>
      </c>
      <c r="E39" s="94" t="s">
        <v>277</v>
      </c>
      <c r="F39" s="90"/>
      <c r="G39" s="91"/>
      <c r="H39" s="91"/>
      <c r="I39" s="91"/>
      <c r="J39" s="92"/>
    </row>
    <row r="40" spans="1:10" ht="209.45" customHeight="1" x14ac:dyDescent="0.25">
      <c r="A40" s="42">
        <v>32</v>
      </c>
      <c r="B40" s="79">
        <v>43164</v>
      </c>
      <c r="C40" s="89"/>
      <c r="D40" s="85" t="s">
        <v>278</v>
      </c>
      <c r="E40" s="94" t="s">
        <v>277</v>
      </c>
      <c r="F40" s="90"/>
      <c r="G40" s="91"/>
      <c r="H40" s="91"/>
      <c r="I40" s="91"/>
      <c r="J40" s="92"/>
    </row>
    <row r="41" spans="1:10" ht="123.75" customHeight="1" x14ac:dyDescent="0.25">
      <c r="A41" s="42">
        <v>33</v>
      </c>
      <c r="B41" s="79">
        <v>43165</v>
      </c>
      <c r="C41" s="89"/>
      <c r="D41" s="85" t="s">
        <v>300</v>
      </c>
      <c r="E41" s="94" t="s">
        <v>277</v>
      </c>
      <c r="F41" s="90"/>
      <c r="G41" s="91"/>
      <c r="H41" s="91"/>
      <c r="I41" s="91"/>
      <c r="J41" s="92"/>
    </row>
    <row r="42" spans="1:10" ht="60" customHeight="1" x14ac:dyDescent="0.25">
      <c r="A42" s="42">
        <v>34</v>
      </c>
      <c r="B42" s="79">
        <v>43166</v>
      </c>
      <c r="C42" s="89"/>
      <c r="D42" s="85" t="s">
        <v>301</v>
      </c>
      <c r="E42" s="94" t="s">
        <v>277</v>
      </c>
      <c r="F42" s="90"/>
      <c r="G42" s="91"/>
      <c r="H42" s="91"/>
      <c r="I42" s="91"/>
      <c r="J42" s="92"/>
    </row>
    <row r="43" spans="1:10" x14ac:dyDescent="0.25">
      <c r="A43" s="42">
        <v>35</v>
      </c>
      <c r="B43" s="79">
        <v>43167</v>
      </c>
      <c r="C43" s="89"/>
      <c r="D43" s="85" t="s">
        <v>306</v>
      </c>
      <c r="E43" s="94" t="s">
        <v>277</v>
      </c>
      <c r="F43" s="90"/>
      <c r="G43" s="91"/>
      <c r="H43" s="91"/>
      <c r="I43" s="91"/>
      <c r="J43" s="92"/>
    </row>
    <row r="44" spans="1:10" ht="85.5" customHeight="1" x14ac:dyDescent="0.25">
      <c r="A44" s="42">
        <v>36</v>
      </c>
      <c r="B44" s="79">
        <v>43168</v>
      </c>
      <c r="C44" s="89"/>
      <c r="D44" s="85" t="s">
        <v>307</v>
      </c>
      <c r="E44" s="94" t="s">
        <v>277</v>
      </c>
      <c r="F44" s="90"/>
      <c r="G44" s="91"/>
      <c r="H44" s="91"/>
      <c r="I44" s="91"/>
      <c r="J44" s="92"/>
    </row>
    <row r="45" spans="1:10" ht="120" x14ac:dyDescent="0.25">
      <c r="A45" s="42">
        <v>37</v>
      </c>
      <c r="B45" s="79">
        <v>43169</v>
      </c>
      <c r="C45" s="89"/>
      <c r="D45" s="85" t="s">
        <v>309</v>
      </c>
      <c r="E45" s="94" t="s">
        <v>277</v>
      </c>
      <c r="F45" s="90"/>
      <c r="G45" s="91"/>
      <c r="H45" s="91"/>
      <c r="I45" s="91"/>
      <c r="J45" s="92"/>
    </row>
    <row r="46" spans="1:10" ht="85.5" customHeight="1" x14ac:dyDescent="0.25">
      <c r="A46" s="42">
        <v>38</v>
      </c>
      <c r="B46" s="79">
        <v>43170</v>
      </c>
      <c r="C46" s="89"/>
      <c r="D46" s="85" t="s">
        <v>310</v>
      </c>
      <c r="E46" s="94" t="s">
        <v>311</v>
      </c>
      <c r="F46" s="90"/>
      <c r="G46" s="91"/>
      <c r="H46" s="91"/>
      <c r="I46" s="91"/>
      <c r="J46" s="92"/>
    </row>
    <row r="47" spans="1:10" ht="102.2" customHeight="1" x14ac:dyDescent="0.25">
      <c r="A47" s="42">
        <v>39</v>
      </c>
      <c r="B47" s="79">
        <v>43171</v>
      </c>
      <c r="C47" s="89"/>
      <c r="D47" s="85" t="s">
        <v>312</v>
      </c>
      <c r="E47" s="85"/>
      <c r="F47" s="90"/>
      <c r="G47" s="91"/>
      <c r="H47" s="91"/>
      <c r="I47" s="91"/>
      <c r="J47" s="92"/>
    </row>
    <row r="48" spans="1:10" ht="183" customHeight="1" x14ac:dyDescent="0.25">
      <c r="A48" s="42">
        <v>40</v>
      </c>
      <c r="B48" s="79">
        <v>43172</v>
      </c>
      <c r="C48" s="89"/>
      <c r="D48" s="85" t="s">
        <v>315</v>
      </c>
      <c r="E48" s="85" t="s">
        <v>313</v>
      </c>
      <c r="F48" s="90"/>
      <c r="G48" s="91"/>
      <c r="H48" s="91"/>
      <c r="I48" s="91"/>
      <c r="J48" s="92"/>
    </row>
    <row r="49" spans="1:10" ht="69" customHeight="1" x14ac:dyDescent="0.25">
      <c r="A49" s="42">
        <v>41</v>
      </c>
      <c r="B49" s="79">
        <v>43173</v>
      </c>
      <c r="C49" s="89"/>
      <c r="D49" s="85" t="s">
        <v>316</v>
      </c>
      <c r="E49" s="85"/>
      <c r="F49" s="90"/>
      <c r="G49" s="91"/>
      <c r="H49" s="91"/>
      <c r="I49" s="91"/>
      <c r="J49" s="92"/>
    </row>
    <row r="50" spans="1:10" s="150" customFormat="1" ht="174.75" customHeight="1" x14ac:dyDescent="0.25">
      <c r="A50" s="42">
        <v>42</v>
      </c>
      <c r="B50" s="151">
        <v>43174</v>
      </c>
      <c r="C50" s="152"/>
      <c r="D50" s="153" t="s">
        <v>317</v>
      </c>
      <c r="E50" s="157" t="s">
        <v>389</v>
      </c>
      <c r="F50" s="154"/>
      <c r="G50" s="155"/>
      <c r="H50" s="155"/>
      <c r="I50" s="155"/>
      <c r="J50" s="156"/>
    </row>
    <row r="51" spans="1:10" ht="108" customHeight="1" x14ac:dyDescent="0.25">
      <c r="A51" s="42">
        <v>43</v>
      </c>
      <c r="B51" s="79">
        <v>43175</v>
      </c>
      <c r="C51" s="89"/>
      <c r="D51" s="85" t="s">
        <v>318</v>
      </c>
      <c r="E51" s="85"/>
      <c r="F51" s="90"/>
      <c r="G51" s="91"/>
      <c r="H51" s="91"/>
      <c r="I51" s="91"/>
      <c r="J51" s="92"/>
    </row>
    <row r="52" spans="1:10" ht="120.2" customHeight="1" x14ac:dyDescent="0.25">
      <c r="A52" s="42">
        <v>44</v>
      </c>
      <c r="B52" s="79">
        <v>43176</v>
      </c>
      <c r="C52" s="89"/>
      <c r="D52" s="85" t="s">
        <v>319</v>
      </c>
      <c r="E52" s="85"/>
      <c r="F52" s="90"/>
      <c r="G52" s="91"/>
      <c r="H52" s="91"/>
      <c r="I52" s="91"/>
      <c r="J52" s="92"/>
    </row>
    <row r="53" spans="1:10" ht="139.5" customHeight="1" x14ac:dyDescent="0.25">
      <c r="A53" s="42">
        <v>45</v>
      </c>
      <c r="B53" s="79">
        <v>43177</v>
      </c>
      <c r="C53" s="89"/>
      <c r="D53" s="85" t="s">
        <v>320</v>
      </c>
      <c r="E53" s="85"/>
      <c r="F53" s="90"/>
      <c r="G53" s="91"/>
      <c r="H53" s="91"/>
      <c r="I53" s="91"/>
      <c r="J53" s="92"/>
    </row>
    <row r="54" spans="1:10" ht="24" x14ac:dyDescent="0.25">
      <c r="A54" s="42">
        <v>46</v>
      </c>
      <c r="B54" s="79">
        <v>43178</v>
      </c>
      <c r="C54" s="89"/>
      <c r="D54" s="85" t="s">
        <v>321</v>
      </c>
      <c r="E54" s="85"/>
      <c r="F54" s="90"/>
      <c r="G54" s="91"/>
      <c r="H54" s="91"/>
      <c r="I54" s="91"/>
      <c r="J54" s="92"/>
    </row>
    <row r="55" spans="1:10" ht="132" x14ac:dyDescent="0.25">
      <c r="A55" s="42">
        <v>47</v>
      </c>
      <c r="B55" s="79">
        <v>43179</v>
      </c>
      <c r="C55" s="89"/>
      <c r="D55" s="85" t="s">
        <v>322</v>
      </c>
      <c r="E55" s="85" t="s">
        <v>323</v>
      </c>
      <c r="F55" s="90"/>
      <c r="G55" s="91"/>
      <c r="H55" s="91"/>
      <c r="I55" s="91"/>
      <c r="J55" s="92"/>
    </row>
    <row r="56" spans="1:10" ht="227.45" customHeight="1" x14ac:dyDescent="0.25">
      <c r="A56" s="42">
        <v>48</v>
      </c>
      <c r="B56" s="79">
        <v>43180</v>
      </c>
      <c r="C56" s="89"/>
      <c r="D56" s="85" t="s">
        <v>324</v>
      </c>
      <c r="E56" s="85" t="s">
        <v>325</v>
      </c>
      <c r="F56" s="90"/>
      <c r="G56" s="91"/>
      <c r="H56" s="91"/>
      <c r="I56" s="91"/>
      <c r="J56" s="92"/>
    </row>
    <row r="57" spans="1:10" ht="151.5" customHeight="1" x14ac:dyDescent="0.25">
      <c r="A57" s="42">
        <v>49</v>
      </c>
      <c r="B57" s="79">
        <v>43181</v>
      </c>
      <c r="C57" s="89"/>
      <c r="D57" s="85" t="s">
        <v>326</v>
      </c>
      <c r="E57" s="85" t="s">
        <v>327</v>
      </c>
      <c r="F57" s="90"/>
      <c r="G57" s="91"/>
      <c r="H57" s="91"/>
      <c r="I57" s="91"/>
      <c r="J57" s="92"/>
    </row>
    <row r="58" spans="1:10" ht="409.5" customHeight="1" x14ac:dyDescent="0.25">
      <c r="A58" s="42">
        <v>50</v>
      </c>
      <c r="B58" s="79">
        <v>43182</v>
      </c>
      <c r="C58" s="89"/>
      <c r="D58" s="85" t="s">
        <v>328</v>
      </c>
      <c r="E58" s="85" t="s">
        <v>329</v>
      </c>
      <c r="F58" s="90"/>
      <c r="G58" s="91"/>
      <c r="H58" s="91"/>
      <c r="I58" s="91"/>
      <c r="J58" s="92"/>
    </row>
    <row r="59" spans="1:10" ht="146.25" customHeight="1" x14ac:dyDescent="0.25">
      <c r="A59" s="42">
        <v>51</v>
      </c>
      <c r="B59" s="79">
        <v>43183</v>
      </c>
      <c r="C59" s="89"/>
      <c r="D59" s="85" t="s">
        <v>330</v>
      </c>
      <c r="E59" s="85" t="s">
        <v>331</v>
      </c>
      <c r="F59" s="90"/>
      <c r="G59" s="91"/>
      <c r="H59" s="91"/>
      <c r="I59" s="91"/>
      <c r="J59" s="92"/>
    </row>
    <row r="60" spans="1:10" ht="147.75" customHeight="1" x14ac:dyDescent="0.25">
      <c r="A60" s="42">
        <v>52</v>
      </c>
      <c r="B60" s="79">
        <v>43184</v>
      </c>
      <c r="C60" s="89"/>
      <c r="D60" s="85" t="s">
        <v>340</v>
      </c>
      <c r="E60" s="85" t="s">
        <v>332</v>
      </c>
      <c r="F60" s="90"/>
      <c r="G60" s="91"/>
      <c r="H60" s="91"/>
      <c r="I60" s="91"/>
      <c r="J60" s="92"/>
    </row>
    <row r="61" spans="1:10" ht="63.2" customHeight="1" x14ac:dyDescent="0.25">
      <c r="A61" s="42">
        <v>53</v>
      </c>
      <c r="B61" s="79">
        <v>43185</v>
      </c>
      <c r="C61" s="89"/>
      <c r="D61" s="85" t="s">
        <v>333</v>
      </c>
      <c r="E61" s="85"/>
      <c r="F61" s="90"/>
      <c r="G61" s="91"/>
      <c r="H61" s="91"/>
      <c r="I61" s="91"/>
      <c r="J61" s="92"/>
    </row>
    <row r="62" spans="1:10" x14ac:dyDescent="0.25">
      <c r="A62" s="42">
        <v>54</v>
      </c>
      <c r="B62" s="79">
        <v>43186</v>
      </c>
      <c r="C62" s="146"/>
      <c r="D62" s="147"/>
      <c r="E62" s="147"/>
      <c r="F62" s="148"/>
      <c r="G62" s="91"/>
      <c r="H62" s="91"/>
      <c r="I62" s="91"/>
      <c r="J62" s="92"/>
    </row>
    <row r="63" spans="1:10" x14ac:dyDescent="0.25">
      <c r="A63" s="42">
        <v>55</v>
      </c>
      <c r="B63" s="79">
        <v>43187</v>
      </c>
      <c r="C63" s="146"/>
      <c r="D63" s="147" t="s">
        <v>342</v>
      </c>
      <c r="E63" s="147"/>
      <c r="F63" s="148"/>
      <c r="G63" s="91"/>
      <c r="H63" s="91"/>
      <c r="I63" s="91"/>
      <c r="J63" s="92"/>
    </row>
    <row r="64" spans="1:10" x14ac:dyDescent="0.25">
      <c r="A64" s="42">
        <v>56</v>
      </c>
      <c r="B64" s="79">
        <v>43188</v>
      </c>
      <c r="C64" s="146"/>
      <c r="D64" s="147"/>
      <c r="E64" s="147"/>
      <c r="F64" s="148"/>
      <c r="G64" s="91"/>
      <c r="H64" s="91"/>
      <c r="I64" s="91"/>
      <c r="J64" s="92"/>
    </row>
    <row r="65" spans="1:10" ht="204" customHeight="1" x14ac:dyDescent="0.25">
      <c r="A65" s="42">
        <v>57</v>
      </c>
      <c r="B65" s="79">
        <v>43189</v>
      </c>
      <c r="C65" s="89"/>
      <c r="D65" s="85" t="s">
        <v>334</v>
      </c>
      <c r="E65" s="85"/>
      <c r="F65" s="90"/>
      <c r="G65" s="91"/>
      <c r="H65" s="91"/>
      <c r="I65" s="91"/>
      <c r="J65" s="92"/>
    </row>
    <row r="66" spans="1:10" ht="181.5" customHeight="1" x14ac:dyDescent="0.25">
      <c r="A66" s="42">
        <v>58</v>
      </c>
      <c r="B66" s="79">
        <v>43190</v>
      </c>
      <c r="C66" s="89" t="s">
        <v>337</v>
      </c>
      <c r="D66" s="85" t="s">
        <v>335</v>
      </c>
      <c r="E66" s="85" t="s">
        <v>336</v>
      </c>
      <c r="F66" s="90"/>
      <c r="G66" s="91"/>
      <c r="H66" s="91"/>
      <c r="I66" s="91"/>
      <c r="J66" s="92"/>
    </row>
    <row r="67" spans="1:10" ht="299.45" customHeight="1" x14ac:dyDescent="0.25">
      <c r="A67" s="42">
        <v>59</v>
      </c>
      <c r="B67" s="79">
        <v>43191</v>
      </c>
      <c r="C67" s="89" t="s">
        <v>338</v>
      </c>
      <c r="D67" s="85" t="s">
        <v>339</v>
      </c>
      <c r="E67" s="85" t="s">
        <v>341</v>
      </c>
      <c r="F67" s="90"/>
      <c r="G67" s="91"/>
      <c r="H67" s="91"/>
      <c r="I67" s="91"/>
      <c r="J67" s="92"/>
    </row>
    <row r="68" spans="1:10" ht="24" x14ac:dyDescent="0.25">
      <c r="A68" s="42">
        <v>60</v>
      </c>
      <c r="B68" s="79">
        <v>43192</v>
      </c>
      <c r="C68" s="89"/>
      <c r="D68" s="85" t="s">
        <v>343</v>
      </c>
      <c r="E68" s="85"/>
      <c r="F68" s="90"/>
      <c r="G68" s="91"/>
      <c r="H68" s="91"/>
      <c r="I68" s="91"/>
      <c r="J68" s="92"/>
    </row>
    <row r="69" spans="1:10" ht="201.75" customHeight="1" x14ac:dyDescent="0.25">
      <c r="A69" s="42">
        <v>61</v>
      </c>
      <c r="B69" s="79">
        <v>43193</v>
      </c>
      <c r="C69" s="89" t="s">
        <v>346</v>
      </c>
      <c r="D69" s="85" t="s">
        <v>344</v>
      </c>
      <c r="E69" s="85" t="s">
        <v>345</v>
      </c>
      <c r="F69" s="90"/>
      <c r="G69" s="91"/>
      <c r="H69" s="91"/>
      <c r="I69" s="91"/>
      <c r="J69" s="92"/>
    </row>
    <row r="70" spans="1:10" ht="96" x14ac:dyDescent="0.25">
      <c r="A70" s="42">
        <v>62</v>
      </c>
      <c r="B70" s="79">
        <v>43194</v>
      </c>
      <c r="C70" s="89"/>
      <c r="D70" s="85"/>
      <c r="E70" s="85" t="s">
        <v>347</v>
      </c>
      <c r="F70" s="90"/>
      <c r="G70" s="91"/>
      <c r="H70" s="91"/>
      <c r="I70" s="91"/>
      <c r="J70" s="92"/>
    </row>
    <row r="71" spans="1:10" ht="48" x14ac:dyDescent="0.25">
      <c r="A71" s="42">
        <v>63</v>
      </c>
      <c r="B71" s="79">
        <v>43195</v>
      </c>
      <c r="C71" s="89"/>
      <c r="D71" s="85" t="s">
        <v>348</v>
      </c>
      <c r="E71" s="85"/>
      <c r="F71" s="90"/>
      <c r="G71" s="91"/>
      <c r="H71" s="91"/>
      <c r="I71" s="91"/>
      <c r="J71" s="92"/>
    </row>
    <row r="72" spans="1:10" ht="24" x14ac:dyDescent="0.25">
      <c r="A72" s="42">
        <v>64</v>
      </c>
      <c r="B72" s="79">
        <v>43196</v>
      </c>
      <c r="C72" s="89"/>
      <c r="D72" s="85" t="s">
        <v>349</v>
      </c>
      <c r="E72" s="85"/>
      <c r="F72" s="90"/>
      <c r="G72" s="91"/>
      <c r="H72" s="91"/>
      <c r="I72" s="91"/>
      <c r="J72" s="92"/>
    </row>
    <row r="73" spans="1:10" ht="36" x14ac:dyDescent="0.25">
      <c r="A73" s="42">
        <v>65</v>
      </c>
      <c r="B73" s="79">
        <v>43197</v>
      </c>
      <c r="C73" s="89"/>
      <c r="D73" s="85" t="s">
        <v>350</v>
      </c>
      <c r="E73" s="85"/>
      <c r="F73" s="90"/>
      <c r="G73" s="91"/>
      <c r="H73" s="91"/>
      <c r="I73" s="91"/>
      <c r="J73" s="92"/>
    </row>
    <row r="74" spans="1:10" ht="96" x14ac:dyDescent="0.25">
      <c r="A74" s="42">
        <v>66</v>
      </c>
      <c r="B74" s="79">
        <v>43198</v>
      </c>
      <c r="C74" s="89"/>
      <c r="D74" s="85" t="s">
        <v>351</v>
      </c>
      <c r="E74" s="85"/>
      <c r="F74" s="90"/>
      <c r="G74" s="91"/>
      <c r="H74" s="91"/>
      <c r="I74" s="91"/>
      <c r="J74" s="92"/>
    </row>
    <row r="75" spans="1:10" ht="408" x14ac:dyDescent="0.25">
      <c r="A75" s="42">
        <v>67</v>
      </c>
      <c r="B75" s="79">
        <v>43199</v>
      </c>
      <c r="C75" s="89" t="s">
        <v>352</v>
      </c>
      <c r="D75" s="85" t="s">
        <v>353</v>
      </c>
      <c r="E75" s="85" t="s">
        <v>354</v>
      </c>
      <c r="F75" s="90"/>
      <c r="G75" s="91"/>
      <c r="H75" s="91"/>
      <c r="I75" s="91"/>
      <c r="J75" s="92"/>
    </row>
    <row r="76" spans="1:10" ht="48" x14ac:dyDescent="0.25">
      <c r="A76" s="42">
        <v>68</v>
      </c>
      <c r="B76" s="79">
        <v>43200</v>
      </c>
      <c r="C76" s="89"/>
      <c r="D76" s="85" t="s">
        <v>355</v>
      </c>
      <c r="E76" s="85"/>
      <c r="F76" s="90"/>
      <c r="G76" s="91"/>
      <c r="H76" s="91"/>
      <c r="I76" s="91"/>
      <c r="J76" s="92"/>
    </row>
    <row r="77" spans="1:10" ht="132" x14ac:dyDescent="0.25">
      <c r="A77" s="42">
        <v>69</v>
      </c>
      <c r="B77" s="79">
        <v>43201</v>
      </c>
      <c r="C77" s="89"/>
      <c r="D77" s="85" t="s">
        <v>356</v>
      </c>
      <c r="E77" s="85" t="s">
        <v>357</v>
      </c>
      <c r="F77" s="90"/>
      <c r="G77" s="91"/>
      <c r="H77" s="91"/>
      <c r="I77" s="91"/>
      <c r="J77" s="92"/>
    </row>
    <row r="78" spans="1:10" ht="72" x14ac:dyDescent="0.25">
      <c r="A78" s="42">
        <v>70</v>
      </c>
      <c r="B78" s="79">
        <v>43202</v>
      </c>
      <c r="C78" s="89"/>
      <c r="D78" s="85" t="s">
        <v>358</v>
      </c>
      <c r="E78" s="85" t="s">
        <v>359</v>
      </c>
      <c r="F78" s="90"/>
      <c r="G78" s="91"/>
      <c r="H78" s="91"/>
      <c r="I78" s="91"/>
      <c r="J78" s="92"/>
    </row>
    <row r="79" spans="1:10" x14ac:dyDescent="0.25">
      <c r="A79" s="42">
        <v>71</v>
      </c>
      <c r="B79" s="79">
        <v>43203</v>
      </c>
      <c r="C79" s="89"/>
      <c r="D79" s="85"/>
      <c r="E79" s="85" t="s">
        <v>360</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361</v>
      </c>
      <c r="F81" s="90"/>
      <c r="G81" s="91"/>
      <c r="H81" s="91"/>
      <c r="I81" s="91"/>
      <c r="J81" s="92"/>
    </row>
    <row r="82" spans="1:10" ht="24" x14ac:dyDescent="0.25">
      <c r="A82" s="42">
        <v>74</v>
      </c>
      <c r="B82" s="79">
        <v>43206</v>
      </c>
      <c r="C82" s="89"/>
      <c r="D82" s="85"/>
      <c r="E82" s="85" t="s">
        <v>362</v>
      </c>
      <c r="F82" s="90"/>
      <c r="G82" s="91"/>
      <c r="H82" s="91"/>
      <c r="I82" s="91"/>
      <c r="J82" s="92"/>
    </row>
    <row r="83" spans="1:10" ht="162.6" customHeight="1" x14ac:dyDescent="0.25">
      <c r="A83" s="42">
        <v>75</v>
      </c>
      <c r="B83" s="79">
        <v>43207</v>
      </c>
      <c r="C83" s="89" t="s">
        <v>367</v>
      </c>
      <c r="D83" s="85" t="s">
        <v>365</v>
      </c>
      <c r="E83" s="85"/>
      <c r="F83" s="90"/>
      <c r="G83" s="91"/>
      <c r="H83" s="91"/>
      <c r="I83" s="91"/>
      <c r="J83" s="92"/>
    </row>
    <row r="84" spans="1:10" x14ac:dyDescent="0.25">
      <c r="A84" s="42">
        <v>76</v>
      </c>
      <c r="B84" s="79">
        <v>43208</v>
      </c>
      <c r="C84" s="89"/>
      <c r="D84" s="85" t="s">
        <v>372</v>
      </c>
      <c r="E84" s="85"/>
      <c r="F84" s="90"/>
      <c r="G84" s="91"/>
      <c r="H84" s="91"/>
      <c r="I84" s="91"/>
      <c r="J84" s="92"/>
    </row>
    <row r="85" spans="1:10" ht="96" x14ac:dyDescent="0.25">
      <c r="A85" s="42">
        <v>77</v>
      </c>
      <c r="B85" s="79">
        <v>43209</v>
      </c>
      <c r="C85" s="89" t="s">
        <v>374</v>
      </c>
      <c r="D85" s="85" t="s">
        <v>376</v>
      </c>
      <c r="E85" s="85" t="s">
        <v>375</v>
      </c>
      <c r="F85" s="90"/>
      <c r="G85" s="91"/>
      <c r="H85" s="91"/>
      <c r="I85" s="91"/>
      <c r="J85" s="92"/>
    </row>
    <row r="86" spans="1:10" ht="144" x14ac:dyDescent="0.25">
      <c r="A86" s="42">
        <v>78</v>
      </c>
      <c r="B86" s="79">
        <v>43210</v>
      </c>
      <c r="C86" s="89" t="s">
        <v>379</v>
      </c>
      <c r="D86" s="85" t="s">
        <v>377</v>
      </c>
      <c r="E86" s="85" t="s">
        <v>378</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49" t="s">
        <v>380</v>
      </c>
      <c r="F89" s="90"/>
      <c r="G89" s="91"/>
      <c r="H89" s="91"/>
      <c r="I89" s="91"/>
      <c r="J89" s="92"/>
    </row>
    <row r="90" spans="1:10" ht="409.5" x14ac:dyDescent="0.25">
      <c r="A90" s="42">
        <v>82</v>
      </c>
      <c r="B90" s="79">
        <v>43214</v>
      </c>
      <c r="C90" s="89" t="s">
        <v>382</v>
      </c>
      <c r="D90" s="85" t="s">
        <v>381</v>
      </c>
      <c r="E90" s="85" t="s">
        <v>383</v>
      </c>
      <c r="F90" s="90"/>
      <c r="G90" s="91"/>
      <c r="H90" s="91"/>
      <c r="I90" s="91"/>
      <c r="J90" s="92"/>
    </row>
    <row r="91" spans="1:10" ht="36" x14ac:dyDescent="0.25">
      <c r="A91" s="42">
        <v>83</v>
      </c>
      <c r="B91" s="79">
        <v>43215</v>
      </c>
      <c r="C91" s="89"/>
      <c r="D91" s="85"/>
      <c r="E91" s="85" t="s">
        <v>384</v>
      </c>
      <c r="F91" s="90"/>
      <c r="G91" s="91"/>
      <c r="H91" s="91"/>
      <c r="I91" s="91"/>
      <c r="J91" s="92"/>
    </row>
    <row r="92" spans="1:10" ht="74.25" customHeight="1" x14ac:dyDescent="0.25">
      <c r="A92" s="42">
        <v>84</v>
      </c>
      <c r="B92" s="79">
        <v>43216</v>
      </c>
      <c r="C92" s="89" t="s">
        <v>387</v>
      </c>
      <c r="D92" s="85" t="s">
        <v>386</v>
      </c>
      <c r="E92" s="85" t="s">
        <v>385</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388</v>
      </c>
      <c r="E94" s="85"/>
      <c r="F94" s="90"/>
      <c r="G94" s="91"/>
      <c r="H94" s="91"/>
      <c r="I94" s="91"/>
      <c r="J94" s="92"/>
    </row>
    <row r="95" spans="1:10" ht="144" x14ac:dyDescent="0.25">
      <c r="A95" s="42">
        <v>87</v>
      </c>
      <c r="B95" s="79">
        <v>43219</v>
      </c>
      <c r="C95" s="89"/>
      <c r="D95" s="85" t="s">
        <v>390</v>
      </c>
      <c r="E95" s="85" t="s">
        <v>391</v>
      </c>
      <c r="F95" s="90"/>
      <c r="G95" s="91"/>
      <c r="H95" s="91"/>
      <c r="I95" s="91"/>
      <c r="J95" s="92"/>
    </row>
    <row r="96" spans="1:10" ht="60" x14ac:dyDescent="0.25">
      <c r="A96" s="42">
        <v>88</v>
      </c>
      <c r="B96" s="79">
        <v>43220</v>
      </c>
      <c r="C96" s="89"/>
      <c r="D96" s="85" t="s">
        <v>392</v>
      </c>
      <c r="E96" s="85"/>
      <c r="F96" s="90"/>
      <c r="G96" s="91"/>
      <c r="H96" s="91"/>
      <c r="I96" s="91"/>
      <c r="J96" s="92"/>
    </row>
    <row r="97" spans="1:10" ht="48" x14ac:dyDescent="0.25">
      <c r="A97" s="42">
        <v>89</v>
      </c>
      <c r="B97" s="79">
        <v>43221</v>
      </c>
      <c r="C97" s="89"/>
      <c r="D97" s="85" t="s">
        <v>393</v>
      </c>
      <c r="E97" s="158" t="s">
        <v>394</v>
      </c>
      <c r="F97" s="90"/>
      <c r="G97" s="91"/>
      <c r="H97" s="91"/>
      <c r="I97" s="91"/>
      <c r="J97" s="92"/>
    </row>
    <row r="98" spans="1:10" ht="36" x14ac:dyDescent="0.25">
      <c r="A98" s="42">
        <v>90</v>
      </c>
      <c r="B98" s="79">
        <v>43222</v>
      </c>
      <c r="C98" s="89"/>
      <c r="D98" s="85" t="s">
        <v>395</v>
      </c>
      <c r="E98" s="85" t="s">
        <v>396</v>
      </c>
      <c r="F98" s="90"/>
      <c r="G98" s="91"/>
      <c r="H98" s="91"/>
      <c r="I98" s="91"/>
      <c r="J98" s="92"/>
    </row>
    <row r="99" spans="1:10" x14ac:dyDescent="0.25">
      <c r="A99" s="42">
        <v>91</v>
      </c>
      <c r="B99" s="79">
        <v>43223</v>
      </c>
      <c r="C99" s="89"/>
      <c r="D99" s="85" t="s">
        <v>397</v>
      </c>
      <c r="E99" s="85"/>
      <c r="F99" s="90"/>
      <c r="G99" s="91"/>
      <c r="H99" s="91"/>
      <c r="I99" s="91"/>
      <c r="J99" s="92"/>
    </row>
    <row r="100" spans="1:10" ht="36" x14ac:dyDescent="0.25">
      <c r="A100" s="42">
        <v>92</v>
      </c>
      <c r="B100" s="79">
        <v>43224</v>
      </c>
      <c r="C100" s="89"/>
      <c r="D100" s="85" t="s">
        <v>398</v>
      </c>
      <c r="E100" s="85"/>
      <c r="F100" s="90"/>
      <c r="G100" s="91"/>
      <c r="H100" s="91"/>
      <c r="I100" s="91"/>
      <c r="J100" s="92"/>
    </row>
    <row r="101" spans="1:10" ht="36" x14ac:dyDescent="0.25">
      <c r="A101" s="42">
        <v>93</v>
      </c>
      <c r="B101" s="79">
        <v>43225</v>
      </c>
      <c r="C101" s="89"/>
      <c r="D101" s="85" t="s">
        <v>399</v>
      </c>
      <c r="E101" s="85"/>
      <c r="F101" s="90"/>
      <c r="G101" s="91"/>
      <c r="H101" s="91"/>
      <c r="I101" s="91"/>
      <c r="J101" s="92"/>
    </row>
    <row r="102" spans="1:10" ht="240" x14ac:dyDescent="0.25">
      <c r="A102" s="42">
        <v>94</v>
      </c>
      <c r="B102" s="79">
        <v>43226</v>
      </c>
      <c r="C102" s="89" t="s">
        <v>402</v>
      </c>
      <c r="D102" s="85" t="s">
        <v>400</v>
      </c>
      <c r="E102" s="85" t="s">
        <v>401</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404</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405</v>
      </c>
      <c r="E108" s="85" t="s">
        <v>406</v>
      </c>
      <c r="F108" s="90"/>
      <c r="G108" s="91"/>
      <c r="H108" s="91"/>
      <c r="I108" s="91"/>
      <c r="J108" s="92"/>
    </row>
    <row r="109" spans="1:10" ht="240" x14ac:dyDescent="0.25">
      <c r="A109" s="42">
        <v>101</v>
      </c>
      <c r="B109" s="79">
        <v>43233</v>
      </c>
      <c r="C109" s="89" t="s">
        <v>408</v>
      </c>
      <c r="D109" s="85" t="s">
        <v>407</v>
      </c>
      <c r="E109" s="85" t="s">
        <v>409</v>
      </c>
      <c r="F109" s="90"/>
      <c r="G109" s="91"/>
      <c r="H109" s="91"/>
      <c r="I109" s="91"/>
      <c r="J109" s="92"/>
    </row>
    <row r="110" spans="1:10" ht="36" x14ac:dyDescent="0.25">
      <c r="A110" s="42">
        <v>102</v>
      </c>
      <c r="B110" s="79">
        <v>43234</v>
      </c>
      <c r="C110" s="89"/>
      <c r="D110" s="85" t="s">
        <v>410</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412</v>
      </c>
      <c r="D112" s="85" t="s">
        <v>411</v>
      </c>
      <c r="E112" s="85"/>
      <c r="F112" s="90"/>
      <c r="G112" s="91"/>
      <c r="H112" s="91"/>
      <c r="I112" s="91"/>
      <c r="J112" s="92"/>
    </row>
    <row r="113" spans="1:10" ht="72" x14ac:dyDescent="0.25">
      <c r="A113" s="42">
        <v>105</v>
      </c>
      <c r="B113" s="79">
        <v>43237</v>
      </c>
      <c r="C113" s="89"/>
      <c r="D113" s="85" t="s">
        <v>413</v>
      </c>
      <c r="E113" s="85" t="s">
        <v>414</v>
      </c>
      <c r="F113" s="90"/>
      <c r="G113" s="91"/>
      <c r="H113" s="91"/>
      <c r="I113" s="91"/>
      <c r="J113" s="92"/>
    </row>
    <row r="114" spans="1:10" ht="144" x14ac:dyDescent="0.25">
      <c r="A114" s="42">
        <v>106</v>
      </c>
      <c r="B114" s="79">
        <v>43238</v>
      </c>
      <c r="C114" s="89" t="s">
        <v>416</v>
      </c>
      <c r="D114" s="85" t="s">
        <v>415</v>
      </c>
      <c r="E114" s="85" t="s">
        <v>417</v>
      </c>
      <c r="F114" s="90" t="s">
        <v>418</v>
      </c>
      <c r="G114" s="91"/>
      <c r="H114" s="91"/>
      <c r="I114" s="91"/>
      <c r="J114" s="92"/>
    </row>
    <row r="115" spans="1:10" ht="132" x14ac:dyDescent="0.25">
      <c r="A115" s="42">
        <v>107</v>
      </c>
      <c r="B115" s="79">
        <v>43239</v>
      </c>
      <c r="C115" s="89"/>
      <c r="D115" s="85" t="s">
        <v>419</v>
      </c>
      <c r="E115" s="85" t="s">
        <v>420</v>
      </c>
      <c r="F115" s="90"/>
      <c r="G115" s="91"/>
      <c r="H115" s="91"/>
      <c r="I115" s="91"/>
      <c r="J115" s="92"/>
    </row>
    <row r="116" spans="1:10" ht="409.5" customHeight="1" x14ac:dyDescent="0.25">
      <c r="A116" s="42">
        <v>108</v>
      </c>
      <c r="B116" s="79">
        <v>43240</v>
      </c>
      <c r="C116" s="89" t="s">
        <v>423</v>
      </c>
      <c r="D116" s="85" t="s">
        <v>422</v>
      </c>
      <c r="E116" s="85" t="s">
        <v>421</v>
      </c>
      <c r="F116" s="90"/>
      <c r="G116" s="91"/>
      <c r="H116" s="91"/>
      <c r="I116" s="91"/>
      <c r="J116" s="92"/>
    </row>
    <row r="117" spans="1:10" x14ac:dyDescent="0.25">
      <c r="A117" s="42">
        <v>109</v>
      </c>
      <c r="B117" s="79">
        <v>43241</v>
      </c>
      <c r="C117" s="89"/>
      <c r="D117" s="85" t="s">
        <v>424</v>
      </c>
      <c r="E117" s="85"/>
      <c r="F117" s="90"/>
      <c r="G117" s="91"/>
      <c r="H117" s="91"/>
      <c r="I117" s="91"/>
      <c r="J117" s="92"/>
    </row>
    <row r="118" spans="1:10" ht="60" x14ac:dyDescent="0.25">
      <c r="A118" s="42">
        <v>110</v>
      </c>
      <c r="B118" s="79">
        <v>43242</v>
      </c>
      <c r="C118" s="89"/>
      <c r="D118" s="85" t="s">
        <v>425</v>
      </c>
      <c r="E118" s="85"/>
      <c r="F118" s="90"/>
      <c r="G118" s="91"/>
      <c r="H118" s="91"/>
      <c r="I118" s="91"/>
      <c r="J118" s="92"/>
    </row>
    <row r="119" spans="1:10" ht="24" x14ac:dyDescent="0.25">
      <c r="A119" s="42">
        <v>111</v>
      </c>
      <c r="B119" s="79">
        <v>43243</v>
      </c>
      <c r="C119" s="89"/>
      <c r="D119" s="85" t="s">
        <v>426</v>
      </c>
      <c r="E119" s="85" t="s">
        <v>427</v>
      </c>
      <c r="F119" s="90"/>
      <c r="G119" s="91"/>
      <c r="H119" s="91"/>
      <c r="I119" s="91"/>
      <c r="J119" s="92"/>
    </row>
    <row r="120" spans="1:10" ht="36" x14ac:dyDescent="0.25">
      <c r="A120" s="42">
        <v>112</v>
      </c>
      <c r="B120" s="79">
        <v>43244</v>
      </c>
      <c r="C120" s="89"/>
      <c r="D120" s="85"/>
      <c r="E120" s="85" t="s">
        <v>428</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431</v>
      </c>
      <c r="D122" s="85" t="s">
        <v>430</v>
      </c>
      <c r="E122" s="85" t="s">
        <v>429</v>
      </c>
      <c r="F122" s="90"/>
      <c r="G122" s="91"/>
      <c r="H122" s="91"/>
      <c r="I122" s="91"/>
      <c r="J122" s="92"/>
    </row>
    <row r="123" spans="1:10" ht="24" x14ac:dyDescent="0.25">
      <c r="A123" s="42">
        <v>115</v>
      </c>
      <c r="B123" s="79">
        <v>43247</v>
      </c>
      <c r="C123" s="89" t="s">
        <v>432</v>
      </c>
      <c r="D123" s="85" t="s">
        <v>433</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434</v>
      </c>
      <c r="E125" s="85" t="s">
        <v>435</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436</v>
      </c>
      <c r="D127" s="85" t="s">
        <v>437</v>
      </c>
      <c r="E127" s="85"/>
      <c r="F127" s="90"/>
      <c r="G127" s="91"/>
      <c r="H127" s="91"/>
      <c r="I127" s="91"/>
      <c r="J127" s="92"/>
    </row>
    <row r="128" spans="1:10" x14ac:dyDescent="0.25">
      <c r="A128" s="42">
        <v>120</v>
      </c>
      <c r="B128" s="79">
        <v>43252</v>
      </c>
      <c r="C128" s="89"/>
      <c r="D128" s="85"/>
      <c r="E128" s="85"/>
      <c r="F128" s="90"/>
      <c r="G128" s="91"/>
      <c r="H128" s="91"/>
      <c r="I128" s="91"/>
      <c r="J128" s="92"/>
    </row>
    <row r="129" spans="1:10" ht="84" x14ac:dyDescent="0.25">
      <c r="A129" s="42">
        <v>121</v>
      </c>
      <c r="B129" s="79">
        <v>43253</v>
      </c>
      <c r="C129" s="89" t="s">
        <v>439</v>
      </c>
      <c r="D129" s="85" t="s">
        <v>438</v>
      </c>
      <c r="E129" s="85" t="s">
        <v>440</v>
      </c>
      <c r="F129" s="90"/>
      <c r="G129" s="91"/>
      <c r="H129" s="91"/>
      <c r="I129" s="91"/>
      <c r="J129" s="92"/>
    </row>
    <row r="130" spans="1:10" ht="72" x14ac:dyDescent="0.25">
      <c r="A130" s="42">
        <v>122</v>
      </c>
      <c r="B130" s="79">
        <v>43254</v>
      </c>
      <c r="C130" s="89" t="s">
        <v>442</v>
      </c>
      <c r="D130" s="85" t="s">
        <v>441</v>
      </c>
      <c r="E130" s="85" t="s">
        <v>443</v>
      </c>
      <c r="F130" s="90"/>
      <c r="G130" s="91"/>
      <c r="H130" s="91"/>
      <c r="I130" s="91"/>
      <c r="J130" s="92"/>
    </row>
    <row r="131" spans="1:10" ht="36" x14ac:dyDescent="0.25">
      <c r="A131" s="42">
        <v>123</v>
      </c>
      <c r="B131" s="79">
        <v>43255</v>
      </c>
      <c r="C131" s="89"/>
      <c r="D131" s="85" t="s">
        <v>444</v>
      </c>
      <c r="E131" s="85"/>
      <c r="F131" s="90"/>
      <c r="G131" s="91"/>
      <c r="H131" s="91"/>
      <c r="I131" s="91"/>
      <c r="J131" s="92"/>
    </row>
    <row r="132" spans="1:10" ht="36" x14ac:dyDescent="0.25">
      <c r="A132" s="42">
        <v>124</v>
      </c>
      <c r="B132" s="79">
        <v>43256</v>
      </c>
      <c r="C132" s="89" t="s">
        <v>445</v>
      </c>
      <c r="D132" s="85" t="s">
        <v>446</v>
      </c>
      <c r="E132" s="85" t="s">
        <v>447</v>
      </c>
      <c r="F132" s="90"/>
      <c r="G132" s="91"/>
      <c r="H132" s="91"/>
      <c r="I132" s="91"/>
      <c r="J132" s="92"/>
    </row>
    <row r="133" spans="1:10" ht="24" x14ac:dyDescent="0.25">
      <c r="A133" s="42">
        <v>125</v>
      </c>
      <c r="B133" s="79">
        <v>43257</v>
      </c>
      <c r="C133" s="89"/>
      <c r="D133" s="85" t="s">
        <v>449</v>
      </c>
      <c r="E133" s="85" t="s">
        <v>448</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450</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452</v>
      </c>
      <c r="D137" s="94" t="s">
        <v>451</v>
      </c>
      <c r="E137" s="85" t="s">
        <v>453</v>
      </c>
      <c r="F137" s="90"/>
      <c r="G137" s="91"/>
      <c r="H137" s="91"/>
      <c r="I137" s="91"/>
      <c r="J137" s="92"/>
    </row>
    <row r="138" spans="1:10" ht="120" x14ac:dyDescent="0.25">
      <c r="A138" s="42">
        <v>130</v>
      </c>
      <c r="B138" s="79">
        <v>43262</v>
      </c>
      <c r="C138" s="89" t="s">
        <v>455</v>
      </c>
      <c r="D138" s="85" t="s">
        <v>454</v>
      </c>
      <c r="E138" s="94" t="s">
        <v>456</v>
      </c>
      <c r="F138" s="90"/>
      <c r="G138" s="91"/>
      <c r="H138" s="91"/>
      <c r="I138" s="91"/>
      <c r="J138" s="92"/>
    </row>
    <row r="139" spans="1:10" ht="48" x14ac:dyDescent="0.25">
      <c r="A139" s="42">
        <v>131</v>
      </c>
      <c r="B139" s="79">
        <v>43263</v>
      </c>
      <c r="C139" s="89"/>
      <c r="D139" s="85" t="s">
        <v>457</v>
      </c>
      <c r="E139" s="85"/>
      <c r="F139" s="90"/>
      <c r="G139" s="91"/>
      <c r="H139" s="91"/>
      <c r="I139" s="91"/>
      <c r="J139" s="92"/>
    </row>
    <row r="140" spans="1:10" x14ac:dyDescent="0.25">
      <c r="A140" s="42">
        <v>132</v>
      </c>
      <c r="B140" s="79">
        <v>43264</v>
      </c>
      <c r="C140" s="89"/>
      <c r="D140" s="85" t="s">
        <v>459</v>
      </c>
      <c r="E140" s="85"/>
      <c r="F140" s="90"/>
      <c r="G140" s="91"/>
      <c r="H140" s="91"/>
      <c r="I140" s="91"/>
      <c r="J140" s="92"/>
    </row>
    <row r="141" spans="1:10" x14ac:dyDescent="0.25">
      <c r="A141" s="42">
        <v>133</v>
      </c>
      <c r="B141" s="79">
        <v>43265</v>
      </c>
      <c r="C141" s="89"/>
      <c r="D141" s="85" t="s">
        <v>460</v>
      </c>
      <c r="E141" s="85"/>
      <c r="F141" s="90"/>
      <c r="G141" s="91"/>
      <c r="H141" s="91"/>
      <c r="I141" s="91"/>
      <c r="J141" s="92"/>
    </row>
    <row r="142" spans="1:10" ht="132" x14ac:dyDescent="0.25">
      <c r="A142" s="42">
        <v>134</v>
      </c>
      <c r="B142" s="79">
        <v>43266</v>
      </c>
      <c r="C142" s="89" t="s">
        <v>458</v>
      </c>
      <c r="D142" s="85" t="s">
        <v>461</v>
      </c>
      <c r="E142" s="85"/>
      <c r="F142" s="90"/>
      <c r="G142" s="91"/>
      <c r="H142" s="91"/>
      <c r="I142" s="91"/>
      <c r="J142" s="92"/>
    </row>
    <row r="143" spans="1:10" ht="156" x14ac:dyDescent="0.25">
      <c r="A143" s="42">
        <v>135</v>
      </c>
      <c r="B143" s="79">
        <v>43267</v>
      </c>
      <c r="C143" s="89" t="s">
        <v>465</v>
      </c>
      <c r="D143" s="94" t="s">
        <v>464</v>
      </c>
      <c r="E143" s="149" t="s">
        <v>463</v>
      </c>
      <c r="F143" s="90"/>
      <c r="G143" s="91"/>
      <c r="H143" s="91"/>
      <c r="I143" s="91"/>
      <c r="J143" s="92"/>
    </row>
    <row r="144" spans="1:10" x14ac:dyDescent="0.25">
      <c r="A144" s="42">
        <v>136</v>
      </c>
      <c r="B144" s="79">
        <v>43268</v>
      </c>
      <c r="C144" s="89"/>
      <c r="D144" s="94"/>
      <c r="E144" s="85"/>
      <c r="F144" s="90"/>
      <c r="G144" s="91"/>
      <c r="H144" s="91"/>
      <c r="I144" s="91"/>
      <c r="J144" s="92"/>
    </row>
    <row r="145" spans="1:10" ht="96" x14ac:dyDescent="0.25">
      <c r="A145" s="42">
        <v>137</v>
      </c>
      <c r="B145" s="79">
        <v>43269</v>
      </c>
      <c r="C145" s="89" t="s">
        <v>468</v>
      </c>
      <c r="D145" s="85" t="s">
        <v>466</v>
      </c>
      <c r="E145" s="85" t="s">
        <v>467</v>
      </c>
      <c r="F145" s="90"/>
      <c r="G145" s="91"/>
      <c r="H145" s="91"/>
      <c r="I145" s="91"/>
      <c r="J145" s="92"/>
    </row>
    <row r="146" spans="1:10" ht="120" x14ac:dyDescent="0.25">
      <c r="A146" s="42">
        <v>138</v>
      </c>
      <c r="B146" s="79">
        <v>43270</v>
      </c>
      <c r="C146" s="89" t="s">
        <v>471</v>
      </c>
      <c r="D146" s="85" t="s">
        <v>470</v>
      </c>
      <c r="E146" s="94" t="s">
        <v>469</v>
      </c>
      <c r="F146" s="90"/>
      <c r="G146" s="91"/>
      <c r="H146" s="91"/>
      <c r="I146" s="91"/>
      <c r="J146" s="92"/>
    </row>
    <row r="147" spans="1:10" x14ac:dyDescent="0.25">
      <c r="A147" s="42">
        <v>139</v>
      </c>
      <c r="B147" s="79">
        <v>43271</v>
      </c>
      <c r="C147" s="89" t="s">
        <v>475</v>
      </c>
      <c r="D147" s="85"/>
      <c r="E147" s="85"/>
      <c r="F147" s="90"/>
      <c r="G147" s="91"/>
      <c r="H147" s="91"/>
      <c r="I147" s="91"/>
      <c r="J147" s="92"/>
    </row>
    <row r="148" spans="1:10" ht="24" x14ac:dyDescent="0.25">
      <c r="A148" s="42">
        <v>140</v>
      </c>
      <c r="B148" s="79">
        <v>43272</v>
      </c>
      <c r="C148" s="89" t="s">
        <v>475</v>
      </c>
      <c r="D148" s="85" t="s">
        <v>476</v>
      </c>
      <c r="E148" s="85" t="s">
        <v>477</v>
      </c>
      <c r="F148" s="90"/>
      <c r="G148" s="91"/>
      <c r="H148" s="91"/>
      <c r="I148" s="91"/>
      <c r="J148" s="92"/>
    </row>
    <row r="149" spans="1:10" x14ac:dyDescent="0.25">
      <c r="A149" s="42">
        <v>141</v>
      </c>
      <c r="B149" s="79">
        <v>43273</v>
      </c>
      <c r="C149" s="89" t="s">
        <v>478</v>
      </c>
      <c r="D149" s="85"/>
      <c r="E149" s="85"/>
      <c r="F149" s="90"/>
      <c r="G149" s="91"/>
      <c r="H149" s="91"/>
      <c r="I149" s="91"/>
      <c r="J149" s="92"/>
    </row>
    <row r="150" spans="1:10" ht="108" x14ac:dyDescent="0.25">
      <c r="A150" s="42">
        <v>142</v>
      </c>
      <c r="B150" s="79">
        <v>43274</v>
      </c>
      <c r="C150" s="89" t="s">
        <v>478</v>
      </c>
      <c r="D150" s="85" t="s">
        <v>479</v>
      </c>
      <c r="E150" s="85" t="s">
        <v>480</v>
      </c>
      <c r="F150" s="90"/>
      <c r="G150" s="91"/>
      <c r="H150" s="91"/>
      <c r="I150" s="91"/>
      <c r="J150" s="92"/>
    </row>
    <row r="151" spans="1:10" ht="60" x14ac:dyDescent="0.25">
      <c r="A151" s="42">
        <v>143</v>
      </c>
      <c r="B151" s="79">
        <v>43275</v>
      </c>
      <c r="C151" s="89" t="s">
        <v>481</v>
      </c>
      <c r="D151" s="85" t="s">
        <v>482</v>
      </c>
      <c r="E151" s="85"/>
      <c r="F151" s="90"/>
      <c r="G151" s="91"/>
      <c r="H151" s="91"/>
      <c r="I151" s="91"/>
      <c r="J151" s="92"/>
    </row>
    <row r="152" spans="1:10" ht="24" x14ac:dyDescent="0.25">
      <c r="A152" s="42">
        <v>144</v>
      </c>
      <c r="B152" s="79">
        <v>43276</v>
      </c>
      <c r="C152" s="93" t="s">
        <v>483</v>
      </c>
      <c r="D152" s="85"/>
      <c r="E152" s="85"/>
      <c r="F152" s="90"/>
      <c r="G152" s="91"/>
      <c r="H152" s="91"/>
      <c r="I152" s="91"/>
      <c r="J152" s="92"/>
    </row>
    <row r="153" spans="1:10" ht="60" x14ac:dyDescent="0.25">
      <c r="A153" s="42">
        <v>145</v>
      </c>
      <c r="B153" s="79">
        <v>43277</v>
      </c>
      <c r="C153" s="89" t="s">
        <v>484</v>
      </c>
      <c r="D153" s="85" t="s">
        <v>485</v>
      </c>
      <c r="E153" s="85"/>
      <c r="F153" s="90"/>
      <c r="G153" s="91"/>
      <c r="H153" s="91"/>
      <c r="I153" s="91"/>
      <c r="J153" s="92"/>
    </row>
    <row r="154" spans="1:10" x14ac:dyDescent="0.25">
      <c r="A154" s="42">
        <v>146</v>
      </c>
      <c r="B154" s="79">
        <v>43278</v>
      </c>
      <c r="C154" s="89"/>
      <c r="D154" s="85"/>
      <c r="E154" s="85"/>
      <c r="F154" s="90"/>
      <c r="G154" s="91"/>
      <c r="H154" s="91"/>
      <c r="I154" s="91"/>
      <c r="J154" s="92"/>
    </row>
    <row r="155" spans="1:10" ht="132" x14ac:dyDescent="0.25">
      <c r="A155" s="42">
        <v>147</v>
      </c>
      <c r="B155" s="79">
        <v>43279</v>
      </c>
      <c r="C155" s="89" t="s">
        <v>488</v>
      </c>
      <c r="D155" s="85" t="s">
        <v>486</v>
      </c>
      <c r="E155" s="85" t="s">
        <v>487</v>
      </c>
      <c r="F155" s="90"/>
      <c r="G155" s="91"/>
      <c r="H155" s="91"/>
      <c r="I155" s="91"/>
      <c r="J155" s="92"/>
    </row>
    <row r="156" spans="1:10" ht="84" x14ac:dyDescent="0.25">
      <c r="A156" s="42">
        <v>148</v>
      </c>
      <c r="B156" s="79">
        <v>43280</v>
      </c>
      <c r="C156" s="89" t="s">
        <v>489</v>
      </c>
      <c r="D156" s="85" t="s">
        <v>490</v>
      </c>
      <c r="E156" s="85" t="s">
        <v>491</v>
      </c>
      <c r="F156" s="90"/>
      <c r="G156" s="91"/>
      <c r="H156" s="91"/>
      <c r="I156" s="91"/>
      <c r="J156" s="92"/>
    </row>
    <row r="157" spans="1:10" x14ac:dyDescent="0.25">
      <c r="A157" s="42">
        <v>149</v>
      </c>
      <c r="B157" s="79">
        <v>43281</v>
      </c>
      <c r="C157" s="85" t="s">
        <v>492</v>
      </c>
      <c r="D157" s="85" t="s">
        <v>493</v>
      </c>
      <c r="E157" s="85" t="s">
        <v>494</v>
      </c>
      <c r="F157" s="90"/>
      <c r="G157" s="91"/>
      <c r="H157" s="91"/>
      <c r="I157" s="91"/>
      <c r="J157" s="92"/>
    </row>
    <row r="158" spans="1:10" ht="192" x14ac:dyDescent="0.25">
      <c r="A158" s="42">
        <v>150</v>
      </c>
      <c r="B158" s="79">
        <v>43282</v>
      </c>
      <c r="C158" s="89" t="s">
        <v>496</v>
      </c>
      <c r="D158" s="85" t="s">
        <v>497</v>
      </c>
      <c r="E158" s="85" t="s">
        <v>495</v>
      </c>
      <c r="F158" s="90"/>
      <c r="G158" s="91"/>
      <c r="H158" s="91"/>
      <c r="I158" s="91"/>
      <c r="J158" s="92"/>
    </row>
    <row r="159" spans="1:10" ht="64.5" customHeight="1" x14ac:dyDescent="0.25">
      <c r="A159" s="42">
        <v>151</v>
      </c>
      <c r="B159" s="79">
        <v>43283</v>
      </c>
      <c r="C159" s="89" t="s">
        <v>499</v>
      </c>
      <c r="D159" s="85" t="s">
        <v>498</v>
      </c>
      <c r="E159" s="85"/>
      <c r="F159" s="90"/>
      <c r="G159" s="91"/>
      <c r="H159" s="91"/>
      <c r="I159" s="91"/>
      <c r="J159" s="92"/>
    </row>
    <row r="160" spans="1:10" ht="144" x14ac:dyDescent="0.25">
      <c r="A160" s="42">
        <v>152</v>
      </c>
      <c r="B160" s="79">
        <v>43284</v>
      </c>
      <c r="C160" s="89" t="s">
        <v>502</v>
      </c>
      <c r="D160" s="85" t="s">
        <v>500</v>
      </c>
      <c r="E160" s="85" t="s">
        <v>501</v>
      </c>
      <c r="F160" s="90"/>
      <c r="G160" s="91"/>
      <c r="H160" s="91"/>
      <c r="I160" s="91"/>
      <c r="J160" s="92"/>
    </row>
    <row r="161" spans="1:10" ht="96" x14ac:dyDescent="0.25">
      <c r="A161" s="42">
        <v>153</v>
      </c>
      <c r="B161" s="79">
        <v>43285</v>
      </c>
      <c r="C161" s="89" t="s">
        <v>504</v>
      </c>
      <c r="D161" s="85" t="s">
        <v>505</v>
      </c>
      <c r="E161" s="85" t="s">
        <v>503</v>
      </c>
      <c r="F161" s="90"/>
      <c r="G161" s="91"/>
      <c r="H161" s="91"/>
      <c r="I161" s="91"/>
      <c r="J161" s="92"/>
    </row>
    <row r="162" spans="1:10" ht="72" customHeight="1" x14ac:dyDescent="0.25">
      <c r="A162" s="42">
        <v>154</v>
      </c>
      <c r="B162" s="79">
        <v>43286</v>
      </c>
      <c r="C162" s="89" t="s">
        <v>506</v>
      </c>
      <c r="D162" s="147" t="s">
        <v>507</v>
      </c>
      <c r="E162" s="85"/>
      <c r="F162" s="90"/>
      <c r="G162" s="91"/>
      <c r="H162" s="91"/>
      <c r="I162" s="91"/>
      <c r="J162" s="92"/>
    </row>
    <row r="163" spans="1:10" ht="48" x14ac:dyDescent="0.25">
      <c r="A163" s="42">
        <v>155</v>
      </c>
      <c r="B163" s="79">
        <v>43287</v>
      </c>
      <c r="C163" s="89" t="s">
        <v>508</v>
      </c>
      <c r="D163" s="85" t="s">
        <v>510</v>
      </c>
      <c r="E163" s="85" t="s">
        <v>509</v>
      </c>
      <c r="F163" s="90"/>
      <c r="G163" s="91"/>
      <c r="H163" s="91"/>
      <c r="I163" s="91"/>
      <c r="J163" s="92"/>
    </row>
    <row r="164" spans="1:10" ht="276" x14ac:dyDescent="0.25">
      <c r="A164" s="42">
        <v>156</v>
      </c>
      <c r="B164" s="79">
        <v>43288</v>
      </c>
      <c r="C164" s="89" t="s">
        <v>513</v>
      </c>
      <c r="D164" s="85" t="s">
        <v>512</v>
      </c>
      <c r="E164" s="85" t="s">
        <v>511</v>
      </c>
      <c r="F164" s="90"/>
      <c r="G164" s="91"/>
      <c r="H164" s="91"/>
      <c r="I164" s="91"/>
      <c r="J164" s="92"/>
    </row>
    <row r="165" spans="1:10" ht="119.25" customHeight="1" x14ac:dyDescent="0.25">
      <c r="A165" s="42">
        <v>157</v>
      </c>
      <c r="B165" s="79">
        <v>43289</v>
      </c>
      <c r="C165" s="89" t="s">
        <v>514</v>
      </c>
      <c r="D165" s="85" t="s">
        <v>515</v>
      </c>
      <c r="E165" s="85" t="s">
        <v>516</v>
      </c>
      <c r="F165" s="90"/>
      <c r="G165" s="91"/>
      <c r="H165" s="91"/>
      <c r="I165" s="91"/>
      <c r="J165" s="92"/>
    </row>
    <row r="166" spans="1:10" ht="96" x14ac:dyDescent="0.25">
      <c r="A166" s="42">
        <v>158</v>
      </c>
      <c r="B166" s="79">
        <v>43290</v>
      </c>
      <c r="C166" s="89" t="s">
        <v>517</v>
      </c>
      <c r="D166" s="85" t="s">
        <v>519</v>
      </c>
      <c r="E166" s="85" t="s">
        <v>518</v>
      </c>
      <c r="F166" s="90"/>
      <c r="G166" s="91"/>
      <c r="H166" s="91"/>
      <c r="I166" s="91"/>
      <c r="J166" s="92"/>
    </row>
    <row r="167" spans="1:10" ht="169.5" customHeight="1" x14ac:dyDescent="0.25">
      <c r="B167" s="79">
        <v>43290</v>
      </c>
      <c r="C167" s="89" t="s">
        <v>520</v>
      </c>
      <c r="D167" s="85" t="s">
        <v>522</v>
      </c>
      <c r="E167" s="85" t="s">
        <v>521</v>
      </c>
      <c r="F167" s="90"/>
      <c r="G167" s="91"/>
      <c r="H167" s="91"/>
      <c r="I167" s="91"/>
      <c r="J167" s="92"/>
    </row>
    <row r="168" spans="1:10" ht="156" x14ac:dyDescent="0.25">
      <c r="A168" s="42">
        <v>159</v>
      </c>
      <c r="B168" s="79">
        <v>43291</v>
      </c>
      <c r="C168" s="89" t="s">
        <v>523</v>
      </c>
      <c r="D168" s="85" t="s">
        <v>524</v>
      </c>
      <c r="E168" s="85" t="s">
        <v>525</v>
      </c>
      <c r="F168" s="90"/>
      <c r="G168" s="91"/>
      <c r="H168" s="91"/>
      <c r="I168" s="91"/>
      <c r="J168" s="92"/>
    </row>
    <row r="169" spans="1:10" ht="129.75" customHeight="1" x14ac:dyDescent="0.25">
      <c r="B169" s="79">
        <v>43291</v>
      </c>
      <c r="C169" s="89" t="s">
        <v>528</v>
      </c>
      <c r="D169" s="85" t="s">
        <v>526</v>
      </c>
      <c r="E169" s="85" t="s">
        <v>527</v>
      </c>
      <c r="F169" s="90"/>
      <c r="G169" s="91"/>
      <c r="H169" s="91"/>
      <c r="I169" s="91"/>
      <c r="J169" s="92"/>
    </row>
    <row r="170" spans="1:10" ht="168" x14ac:dyDescent="0.25">
      <c r="A170" s="42">
        <v>160</v>
      </c>
      <c r="B170" s="79">
        <v>43292</v>
      </c>
      <c r="C170" s="89" t="s">
        <v>529</v>
      </c>
      <c r="D170" s="85" t="s">
        <v>530</v>
      </c>
      <c r="E170" s="85" t="s">
        <v>531</v>
      </c>
      <c r="F170" s="90"/>
      <c r="G170" s="91"/>
      <c r="H170" s="91"/>
      <c r="I170" s="91"/>
      <c r="J170" s="92"/>
    </row>
    <row r="171" spans="1:10" ht="276" x14ac:dyDescent="0.25">
      <c r="A171" s="42">
        <v>161</v>
      </c>
      <c r="B171" s="79">
        <v>43293</v>
      </c>
      <c r="C171" s="89" t="s">
        <v>554</v>
      </c>
      <c r="D171" s="85" t="s">
        <v>552</v>
      </c>
      <c r="E171" s="85" t="s">
        <v>553</v>
      </c>
      <c r="F171" s="90"/>
      <c r="G171" s="91"/>
      <c r="H171" s="91"/>
      <c r="I171" s="91"/>
      <c r="J171" s="92"/>
    </row>
    <row r="172" spans="1:10" ht="72" x14ac:dyDescent="0.25">
      <c r="A172" s="42">
        <v>162</v>
      </c>
      <c r="B172" s="79">
        <v>43294</v>
      </c>
      <c r="C172" s="89" t="s">
        <v>555</v>
      </c>
      <c r="D172" s="85" t="s">
        <v>556</v>
      </c>
      <c r="E172" s="85" t="s">
        <v>557</v>
      </c>
      <c r="F172" s="90"/>
      <c r="G172" s="91"/>
      <c r="H172" s="91"/>
      <c r="I172" s="91"/>
      <c r="J172" s="92"/>
    </row>
    <row r="173" spans="1:10" ht="48" x14ac:dyDescent="0.25">
      <c r="A173" s="42">
        <v>163</v>
      </c>
      <c r="B173" s="79">
        <v>43295</v>
      </c>
      <c r="C173" s="89" t="s">
        <v>558</v>
      </c>
      <c r="D173" s="85" t="s">
        <v>559</v>
      </c>
      <c r="E173" s="85"/>
      <c r="F173" s="90"/>
      <c r="G173" s="91"/>
      <c r="H173" s="91"/>
      <c r="I173" s="91"/>
      <c r="J173" s="92"/>
    </row>
    <row r="174" spans="1:10" ht="60" x14ac:dyDescent="0.25">
      <c r="A174" s="42">
        <v>164</v>
      </c>
      <c r="B174" s="79">
        <v>43296</v>
      </c>
      <c r="C174" s="89"/>
      <c r="D174" s="85" t="s">
        <v>570</v>
      </c>
      <c r="E174" s="85" t="s">
        <v>571</v>
      </c>
      <c r="F174" s="90"/>
      <c r="G174" s="91"/>
      <c r="H174" s="91"/>
      <c r="I174" s="91"/>
      <c r="J174" s="92"/>
    </row>
    <row r="175" spans="1:10" x14ac:dyDescent="0.25">
      <c r="A175" s="42">
        <v>165</v>
      </c>
      <c r="B175" s="79">
        <v>43297</v>
      </c>
      <c r="C175" s="89"/>
      <c r="D175" s="85" t="s">
        <v>570</v>
      </c>
      <c r="E175" s="85"/>
      <c r="F175" s="90"/>
      <c r="G175" s="91"/>
      <c r="H175" s="91"/>
      <c r="I175" s="91"/>
      <c r="J175" s="92"/>
    </row>
    <row r="176" spans="1:10" ht="156" x14ac:dyDescent="0.25">
      <c r="A176" s="42">
        <v>166</v>
      </c>
      <c r="B176" s="79">
        <v>43298</v>
      </c>
      <c r="C176" s="199" t="s">
        <v>574</v>
      </c>
      <c r="D176" s="85" t="s">
        <v>570</v>
      </c>
      <c r="E176" s="200" t="s">
        <v>575</v>
      </c>
      <c r="F176" s="201"/>
      <c r="G176" s="91"/>
      <c r="H176" s="91"/>
      <c r="I176" s="91"/>
      <c r="J176" s="92"/>
    </row>
    <row r="177" spans="1:10" ht="36" x14ac:dyDescent="0.25">
      <c r="A177" s="42">
        <v>167</v>
      </c>
      <c r="B177" s="79">
        <v>43299</v>
      </c>
      <c r="C177" s="89" t="s">
        <v>576</v>
      </c>
      <c r="D177" s="85"/>
      <c r="E177" s="85"/>
      <c r="F177" s="90"/>
      <c r="G177" s="91"/>
      <c r="H177" s="91"/>
      <c r="I177" s="91"/>
      <c r="J177" s="92"/>
    </row>
    <row r="178" spans="1:10" x14ac:dyDescent="0.25">
      <c r="A178" s="42">
        <v>168</v>
      </c>
      <c r="B178" s="79">
        <v>43300</v>
      </c>
      <c r="C178" s="89" t="s">
        <v>577</v>
      </c>
      <c r="D178" s="85"/>
      <c r="E178" s="85"/>
      <c r="F178" s="90"/>
      <c r="G178" s="91"/>
      <c r="H178" s="91"/>
      <c r="I178" s="91"/>
      <c r="J178" s="92"/>
    </row>
    <row r="179" spans="1:10" x14ac:dyDescent="0.25">
      <c r="A179" s="42">
        <v>169</v>
      </c>
      <c r="B179" s="79">
        <v>43301</v>
      </c>
      <c r="C179" s="89"/>
      <c r="D179" s="85"/>
      <c r="E179" s="85"/>
      <c r="F179" s="90"/>
      <c r="G179" s="91"/>
      <c r="H179" s="91"/>
      <c r="I179" s="91"/>
      <c r="J179" s="92"/>
    </row>
    <row r="180" spans="1:10" ht="60" x14ac:dyDescent="0.25">
      <c r="A180" s="42">
        <v>170</v>
      </c>
      <c r="B180" s="79">
        <v>43302</v>
      </c>
      <c r="C180" s="89" t="s">
        <v>578</v>
      </c>
      <c r="D180" s="85" t="s">
        <v>579</v>
      </c>
      <c r="E180" s="85"/>
      <c r="F180" s="90"/>
      <c r="G180" s="91"/>
      <c r="H180" s="91"/>
      <c r="I180" s="91"/>
      <c r="J180" s="92"/>
    </row>
    <row r="181" spans="1:10" ht="204" x14ac:dyDescent="0.25">
      <c r="A181" s="42">
        <v>171</v>
      </c>
      <c r="B181" s="79">
        <v>43303</v>
      </c>
      <c r="C181" s="89" t="s">
        <v>584</v>
      </c>
      <c r="D181" s="85" t="s">
        <v>586</v>
      </c>
      <c r="E181" s="85" t="s">
        <v>585</v>
      </c>
      <c r="F181" s="90"/>
      <c r="G181" s="91"/>
      <c r="H181" s="91"/>
      <c r="I181" s="91"/>
      <c r="J181" s="92"/>
    </row>
    <row r="182" spans="1:10" x14ac:dyDescent="0.25">
      <c r="A182" s="42">
        <v>172</v>
      </c>
      <c r="B182" s="79">
        <v>43304</v>
      </c>
      <c r="C182" s="89"/>
      <c r="D182" s="85"/>
      <c r="E182" s="85"/>
      <c r="F182" s="90"/>
      <c r="G182" s="91"/>
      <c r="H182" s="91"/>
      <c r="I182" s="91"/>
      <c r="J182" s="92"/>
    </row>
    <row r="183" spans="1:10" ht="96" x14ac:dyDescent="0.25">
      <c r="A183" s="42">
        <v>173</v>
      </c>
      <c r="B183" s="79">
        <v>43305</v>
      </c>
      <c r="C183" s="89"/>
      <c r="D183" s="85" t="s">
        <v>587</v>
      </c>
      <c r="E183" s="85"/>
      <c r="F183" s="90"/>
      <c r="G183" s="91"/>
      <c r="H183" s="91"/>
      <c r="I183" s="91"/>
      <c r="J183" s="92"/>
    </row>
    <row r="184" spans="1:10" x14ac:dyDescent="0.25">
      <c r="A184" s="42">
        <v>174</v>
      </c>
      <c r="B184" s="79">
        <v>43306</v>
      </c>
      <c r="C184" s="89"/>
      <c r="D184" s="85"/>
      <c r="E184" s="85"/>
      <c r="F184" s="90"/>
      <c r="G184" s="91"/>
      <c r="H184" s="91"/>
      <c r="I184" s="91"/>
      <c r="J184" s="92"/>
    </row>
    <row r="185" spans="1:10" x14ac:dyDescent="0.25">
      <c r="A185" s="42">
        <v>175</v>
      </c>
      <c r="B185" s="79">
        <v>43307</v>
      </c>
      <c r="C185" s="89"/>
      <c r="D185" s="85"/>
      <c r="E185" s="85"/>
      <c r="F185" s="90"/>
      <c r="G185" s="91"/>
      <c r="H185" s="91"/>
      <c r="I185" s="91"/>
      <c r="J185" s="92"/>
    </row>
    <row r="186" spans="1:10" ht="228" x14ac:dyDescent="0.25">
      <c r="A186" s="42">
        <v>176</v>
      </c>
      <c r="B186" s="79">
        <v>43308</v>
      </c>
      <c r="C186" s="89" t="s">
        <v>588</v>
      </c>
      <c r="D186" s="85" t="s">
        <v>590</v>
      </c>
      <c r="E186" s="85" t="s">
        <v>589</v>
      </c>
      <c r="F186" s="90"/>
      <c r="G186" s="91"/>
      <c r="H186" s="91"/>
      <c r="I186" s="91"/>
      <c r="J186" s="92"/>
    </row>
    <row r="187" spans="1:10" x14ac:dyDescent="0.25">
      <c r="A187" s="42">
        <v>177</v>
      </c>
      <c r="B187" s="79">
        <v>43309</v>
      </c>
      <c r="C187" s="89"/>
      <c r="D187" s="85"/>
      <c r="E187" s="85"/>
      <c r="F187" s="90"/>
      <c r="G187" s="91"/>
      <c r="H187" s="91"/>
      <c r="I187" s="91"/>
      <c r="J187" s="92"/>
    </row>
    <row r="188" spans="1:10" ht="60" x14ac:dyDescent="0.25">
      <c r="A188" s="42">
        <v>178</v>
      </c>
      <c r="B188" s="79">
        <v>43310</v>
      </c>
      <c r="C188" s="89"/>
      <c r="D188" s="85" t="s">
        <v>591</v>
      </c>
      <c r="E188" s="85"/>
      <c r="F188" s="90"/>
      <c r="G188" s="91"/>
      <c r="H188" s="91"/>
      <c r="I188" s="91"/>
      <c r="J188" s="92"/>
    </row>
    <row r="189" spans="1:10" ht="36" x14ac:dyDescent="0.25">
      <c r="A189" s="42">
        <v>179</v>
      </c>
      <c r="B189" s="79">
        <v>43311</v>
      </c>
      <c r="C189" s="89" t="s">
        <v>593</v>
      </c>
      <c r="D189" s="85" t="s">
        <v>592</v>
      </c>
      <c r="E189" s="85"/>
      <c r="F189" s="90"/>
      <c r="G189" s="91"/>
      <c r="H189" s="91"/>
      <c r="I189" s="91"/>
      <c r="J189" s="92"/>
    </row>
    <row r="190" spans="1:10" ht="84" x14ac:dyDescent="0.25">
      <c r="A190" s="42">
        <v>180</v>
      </c>
      <c r="B190" s="79">
        <v>43312</v>
      </c>
      <c r="C190" s="89" t="s">
        <v>594</v>
      </c>
      <c r="D190" s="85" t="s">
        <v>595</v>
      </c>
      <c r="E190" s="85" t="s">
        <v>596</v>
      </c>
      <c r="F190" s="90"/>
      <c r="G190" s="91"/>
      <c r="H190" s="91"/>
      <c r="I190" s="91"/>
      <c r="J190" s="92"/>
    </row>
    <row r="191" spans="1:10" ht="156" x14ac:dyDescent="0.25">
      <c r="A191" s="42">
        <v>181</v>
      </c>
      <c r="B191" s="79">
        <v>43313</v>
      </c>
      <c r="C191" s="89" t="s">
        <v>598</v>
      </c>
      <c r="D191" s="85" t="s">
        <v>597</v>
      </c>
      <c r="E191" s="85" t="s">
        <v>599</v>
      </c>
      <c r="F191" s="90"/>
      <c r="G191" s="91"/>
      <c r="H191" s="91"/>
      <c r="I191" s="91"/>
      <c r="J191" s="92"/>
    </row>
    <row r="192" spans="1:10" ht="24" x14ac:dyDescent="0.25">
      <c r="A192" s="42">
        <v>182</v>
      </c>
      <c r="B192" s="79">
        <v>43314</v>
      </c>
      <c r="C192" s="89"/>
      <c r="D192" s="85" t="s">
        <v>600</v>
      </c>
      <c r="E192" s="85"/>
      <c r="F192" s="90"/>
      <c r="G192" s="91"/>
      <c r="H192" s="91"/>
      <c r="I192" s="91"/>
      <c r="J192" s="92"/>
    </row>
    <row r="193" spans="1:10" ht="107.25" customHeight="1" x14ac:dyDescent="0.25">
      <c r="A193" s="42">
        <v>183</v>
      </c>
      <c r="B193" s="79">
        <v>43315</v>
      </c>
      <c r="C193" s="89" t="s">
        <v>601</v>
      </c>
      <c r="D193" s="85" t="s">
        <v>602</v>
      </c>
      <c r="E193" s="85"/>
      <c r="F193" s="90"/>
      <c r="G193" s="91"/>
      <c r="H193" s="91"/>
      <c r="I193" s="91"/>
      <c r="J193" s="92"/>
    </row>
    <row r="194" spans="1:10" x14ac:dyDescent="0.25">
      <c r="A194" s="42">
        <v>184</v>
      </c>
      <c r="B194" s="79">
        <v>43316</v>
      </c>
      <c r="C194" s="89"/>
      <c r="D194" s="85" t="s">
        <v>603</v>
      </c>
      <c r="E194" s="85"/>
      <c r="F194" s="90"/>
      <c r="G194" s="91"/>
      <c r="H194" s="91"/>
      <c r="I194" s="91"/>
      <c r="J194" s="92"/>
    </row>
    <row r="195" spans="1:10" ht="24" x14ac:dyDescent="0.25">
      <c r="A195" s="42">
        <v>185</v>
      </c>
      <c r="B195" s="79">
        <v>43317</v>
      </c>
      <c r="C195" s="89" t="s">
        <v>604</v>
      </c>
      <c r="D195" s="85" t="s">
        <v>605</v>
      </c>
      <c r="E195" s="85" t="s">
        <v>607</v>
      </c>
      <c r="F195" s="90"/>
      <c r="G195" s="91"/>
      <c r="H195" s="91"/>
      <c r="I195" s="91"/>
      <c r="J195" s="92"/>
    </row>
    <row r="196" spans="1:10" x14ac:dyDescent="0.25">
      <c r="A196" s="42">
        <v>186</v>
      </c>
      <c r="B196" s="79">
        <v>43318</v>
      </c>
      <c r="C196" s="89"/>
      <c r="D196" s="85" t="s">
        <v>606</v>
      </c>
      <c r="E196" s="85"/>
      <c r="F196" s="90"/>
      <c r="G196" s="91"/>
      <c r="H196" s="91"/>
      <c r="I196" s="91"/>
      <c r="J196" s="92"/>
    </row>
    <row r="197" spans="1:10" x14ac:dyDescent="0.25">
      <c r="A197" s="42">
        <v>187</v>
      </c>
      <c r="B197" s="79">
        <v>43319</v>
      </c>
      <c r="C197" s="89"/>
      <c r="D197" s="85" t="s">
        <v>606</v>
      </c>
      <c r="E197" s="85"/>
      <c r="F197" s="90"/>
      <c r="G197" s="91"/>
      <c r="H197" s="91"/>
      <c r="I197" s="91"/>
      <c r="J197" s="92"/>
    </row>
    <row r="198" spans="1:10" ht="48" x14ac:dyDescent="0.25">
      <c r="A198" s="42">
        <v>188</v>
      </c>
      <c r="B198" s="79">
        <v>43320</v>
      </c>
      <c r="C198" s="89" t="s">
        <v>609</v>
      </c>
      <c r="D198" s="85"/>
      <c r="E198" s="85"/>
      <c r="F198" s="90"/>
      <c r="G198" s="91"/>
      <c r="H198" s="91"/>
      <c r="I198" s="91"/>
      <c r="J198" s="92"/>
    </row>
    <row r="199" spans="1:10" ht="36" x14ac:dyDescent="0.25">
      <c r="A199" s="42">
        <v>189</v>
      </c>
      <c r="B199" s="79">
        <v>43321</v>
      </c>
      <c r="C199" s="89" t="s">
        <v>610</v>
      </c>
      <c r="D199" s="85" t="s">
        <v>611</v>
      </c>
      <c r="E199" s="85"/>
      <c r="F199" s="90"/>
      <c r="G199" s="91"/>
      <c r="H199" s="91"/>
      <c r="I199" s="91"/>
      <c r="J199" s="92"/>
    </row>
    <row r="200" spans="1:10" ht="48" x14ac:dyDescent="0.25">
      <c r="A200" s="42">
        <v>190</v>
      </c>
      <c r="B200" s="79">
        <v>43322</v>
      </c>
      <c r="C200" s="89"/>
      <c r="D200" s="85" t="s">
        <v>612</v>
      </c>
      <c r="E200" s="85"/>
      <c r="F200" s="90"/>
      <c r="G200" s="91"/>
      <c r="H200" s="91"/>
      <c r="I200" s="91"/>
      <c r="J200" s="92"/>
    </row>
    <row r="201" spans="1:10" ht="36" x14ac:dyDescent="0.25">
      <c r="A201" s="42">
        <v>191</v>
      </c>
      <c r="B201" s="79">
        <v>43323</v>
      </c>
      <c r="C201" s="89" t="s">
        <v>613</v>
      </c>
      <c r="D201" s="85"/>
      <c r="E201" s="85"/>
      <c r="F201" s="90"/>
      <c r="G201" s="91"/>
      <c r="H201" s="91"/>
      <c r="I201" s="91"/>
      <c r="J201" s="92"/>
    </row>
    <row r="202" spans="1:10" x14ac:dyDescent="0.25">
      <c r="A202" s="42">
        <v>192</v>
      </c>
      <c r="B202" s="79">
        <v>43324</v>
      </c>
      <c r="C202" s="89"/>
      <c r="D202" s="85"/>
      <c r="E202" s="85"/>
      <c r="F202" s="90"/>
      <c r="G202" s="91"/>
      <c r="H202" s="91"/>
      <c r="I202" s="91"/>
      <c r="J202" s="92"/>
    </row>
    <row r="203" spans="1:10" x14ac:dyDescent="0.25">
      <c r="A203" s="42">
        <v>193</v>
      </c>
      <c r="B203" s="79">
        <v>43325</v>
      </c>
      <c r="C203" s="89"/>
      <c r="D203" s="85"/>
      <c r="E203" s="85"/>
      <c r="F203" s="90"/>
      <c r="G203" s="91"/>
      <c r="H203" s="91"/>
      <c r="I203" s="91"/>
      <c r="J203" s="92"/>
    </row>
    <row r="204" spans="1:10" ht="36" x14ac:dyDescent="0.25">
      <c r="A204" s="42">
        <v>194</v>
      </c>
      <c r="B204" s="79">
        <v>43326</v>
      </c>
      <c r="C204" s="89" t="s">
        <v>616</v>
      </c>
      <c r="D204" s="85" t="s">
        <v>617</v>
      </c>
      <c r="E204" s="85"/>
      <c r="F204" s="90"/>
      <c r="G204" s="91"/>
      <c r="H204" s="91"/>
      <c r="I204" s="91"/>
      <c r="J204" s="92"/>
    </row>
    <row r="205" spans="1:10" ht="108" x14ac:dyDescent="0.25">
      <c r="A205" s="42">
        <v>195</v>
      </c>
      <c r="B205" s="79">
        <v>43327</v>
      </c>
      <c r="C205" s="89" t="s">
        <v>619</v>
      </c>
      <c r="D205" s="85" t="s">
        <v>620</v>
      </c>
      <c r="E205" s="85" t="s">
        <v>622</v>
      </c>
      <c r="F205" s="90"/>
      <c r="G205" s="91"/>
      <c r="H205" s="91"/>
      <c r="I205" s="91"/>
      <c r="J205" s="92"/>
    </row>
    <row r="206" spans="1:10" ht="96" x14ac:dyDescent="0.25">
      <c r="A206" s="42">
        <v>196</v>
      </c>
      <c r="B206" s="79">
        <v>43328</v>
      </c>
      <c r="C206" s="89"/>
      <c r="D206" s="85" t="s">
        <v>626</v>
      </c>
      <c r="E206" s="85" t="s">
        <v>628</v>
      </c>
      <c r="F206" s="90"/>
      <c r="G206" s="91"/>
      <c r="H206" s="91"/>
      <c r="I206" s="91"/>
      <c r="J206" s="92"/>
    </row>
    <row r="207" spans="1:10" ht="132" x14ac:dyDescent="0.25">
      <c r="A207" s="42">
        <v>197</v>
      </c>
      <c r="B207" s="79">
        <v>43329</v>
      </c>
      <c r="C207" s="89" t="s">
        <v>635</v>
      </c>
      <c r="D207" s="85" t="s">
        <v>634</v>
      </c>
      <c r="E207" s="85" t="s">
        <v>640</v>
      </c>
      <c r="F207" s="207" t="s">
        <v>641</v>
      </c>
      <c r="G207" s="91"/>
      <c r="H207" s="91"/>
      <c r="I207" s="91"/>
      <c r="J207" s="92"/>
    </row>
    <row r="208" spans="1:10" ht="108" x14ac:dyDescent="0.25">
      <c r="A208" s="42">
        <v>198</v>
      </c>
      <c r="B208" s="79">
        <v>43330</v>
      </c>
      <c r="C208" s="89" t="s">
        <v>645</v>
      </c>
      <c r="D208" s="85" t="s">
        <v>653</v>
      </c>
      <c r="E208" s="85"/>
      <c r="F208" s="90"/>
      <c r="G208" s="91"/>
      <c r="H208" s="91"/>
      <c r="I208" s="91"/>
      <c r="J208" s="92"/>
    </row>
    <row r="209" spans="1:10" ht="60" x14ac:dyDescent="0.25">
      <c r="A209" s="42">
        <v>199</v>
      </c>
      <c r="B209" s="79">
        <v>43331</v>
      </c>
      <c r="C209" s="89"/>
      <c r="D209" s="85" t="s">
        <v>667</v>
      </c>
      <c r="E209" s="85"/>
      <c r="F209" s="90"/>
      <c r="G209" s="91"/>
      <c r="H209" s="91"/>
      <c r="I209" s="91"/>
      <c r="J209" s="92"/>
    </row>
    <row r="210" spans="1:10" ht="108" x14ac:dyDescent="0.25">
      <c r="A210" s="42">
        <v>200</v>
      </c>
      <c r="B210" s="79">
        <v>43332</v>
      </c>
      <c r="C210" s="89" t="s">
        <v>671</v>
      </c>
      <c r="D210" s="85"/>
      <c r="E210" s="85"/>
      <c r="F210" s="90"/>
      <c r="G210" s="91"/>
      <c r="H210" s="91"/>
      <c r="I210" s="91"/>
      <c r="J210" s="92"/>
    </row>
    <row r="211" spans="1:10" ht="264" x14ac:dyDescent="0.25">
      <c r="A211" s="42">
        <v>201</v>
      </c>
      <c r="B211" s="79">
        <v>43333</v>
      </c>
      <c r="C211" s="89" t="s">
        <v>680</v>
      </c>
      <c r="D211" s="85" t="s">
        <v>677</v>
      </c>
      <c r="E211" s="89" t="s">
        <v>681</v>
      </c>
      <c r="F211" s="219" t="s">
        <v>682</v>
      </c>
      <c r="G211" s="91"/>
      <c r="H211" s="91"/>
      <c r="I211" s="91"/>
      <c r="J211" s="92"/>
    </row>
    <row r="212" spans="1:10" x14ac:dyDescent="0.25">
      <c r="A212" s="42">
        <v>202</v>
      </c>
      <c r="B212" s="79">
        <v>43334</v>
      </c>
      <c r="C212" s="240"/>
      <c r="D212" s="241"/>
      <c r="E212" s="241"/>
      <c r="F212" s="242"/>
      <c r="G212" s="243"/>
      <c r="H212" s="243"/>
      <c r="I212" s="243"/>
      <c r="J212" s="92"/>
    </row>
    <row r="213" spans="1:10" x14ac:dyDescent="0.25">
      <c r="A213" s="42">
        <v>203</v>
      </c>
      <c r="B213" s="79">
        <v>43335</v>
      </c>
      <c r="C213" s="240"/>
      <c r="D213" s="241"/>
      <c r="E213" s="241"/>
      <c r="F213" s="242"/>
      <c r="G213" s="243"/>
      <c r="H213" s="243"/>
      <c r="I213" s="243"/>
      <c r="J213" s="92"/>
    </row>
    <row r="214" spans="1:10" ht="409.5" x14ac:dyDescent="0.25">
      <c r="A214" s="42">
        <v>204</v>
      </c>
      <c r="B214" s="232">
        <v>43336</v>
      </c>
      <c r="C214" s="146" t="s">
        <v>722</v>
      </c>
      <c r="D214" s="147" t="s">
        <v>702</v>
      </c>
      <c r="E214" s="147" t="s">
        <v>712</v>
      </c>
      <c r="F214" s="148" t="s">
        <v>710</v>
      </c>
      <c r="G214" s="233" t="s">
        <v>711</v>
      </c>
      <c r="H214" s="91"/>
      <c r="I214" s="91"/>
      <c r="J214" s="92"/>
    </row>
    <row r="215" spans="1:10" ht="48" x14ac:dyDescent="0.25">
      <c r="A215" s="42">
        <v>205</v>
      </c>
      <c r="B215" s="79">
        <v>43337</v>
      </c>
      <c r="C215" s="89"/>
      <c r="D215" s="85" t="s">
        <v>717</v>
      </c>
      <c r="E215" s="85" t="s">
        <v>713</v>
      </c>
      <c r="F215" s="90"/>
      <c r="G215" s="91"/>
      <c r="H215" s="91"/>
      <c r="I215" s="91"/>
      <c r="J215" s="92"/>
    </row>
    <row r="216" spans="1:10" ht="48" x14ac:dyDescent="0.25">
      <c r="A216" s="42">
        <v>206</v>
      </c>
      <c r="B216" s="79">
        <v>43338</v>
      </c>
      <c r="C216" s="89" t="s">
        <v>719</v>
      </c>
      <c r="D216" s="85" t="s">
        <v>724</v>
      </c>
      <c r="E216" s="85" t="s">
        <v>725</v>
      </c>
      <c r="F216" s="90"/>
      <c r="G216" s="91"/>
      <c r="H216" s="91"/>
      <c r="I216" s="91"/>
      <c r="J216" s="92"/>
    </row>
    <row r="217" spans="1:10" ht="24" x14ac:dyDescent="0.25">
      <c r="A217" s="42">
        <v>207</v>
      </c>
      <c r="B217" s="79">
        <v>43339</v>
      </c>
      <c r="C217" s="89"/>
      <c r="D217" s="85" t="s">
        <v>732</v>
      </c>
      <c r="E217" s="85" t="s">
        <v>733</v>
      </c>
      <c r="F217" s="90"/>
      <c r="G217" s="91"/>
      <c r="H217" s="91"/>
      <c r="I217" s="91"/>
      <c r="J217" s="92"/>
    </row>
    <row r="218" spans="1:10" ht="84" x14ac:dyDescent="0.25">
      <c r="A218" s="42">
        <v>208</v>
      </c>
      <c r="B218" s="79">
        <v>43340</v>
      </c>
      <c r="C218" s="89" t="s">
        <v>747</v>
      </c>
      <c r="D218" s="85" t="s">
        <v>757</v>
      </c>
      <c r="E218" s="85" t="s">
        <v>758</v>
      </c>
      <c r="F218" s="90"/>
      <c r="G218" s="91"/>
      <c r="H218" s="91"/>
      <c r="I218" s="91"/>
      <c r="J218" s="92"/>
    </row>
    <row r="219" spans="1:10" x14ac:dyDescent="0.25">
      <c r="A219" s="42">
        <v>209</v>
      </c>
      <c r="B219" s="79">
        <v>43341</v>
      </c>
      <c r="C219" s="89" t="s">
        <v>771</v>
      </c>
      <c r="D219" s="85" t="s">
        <v>772</v>
      </c>
      <c r="E219" s="85"/>
      <c r="F219" s="90"/>
      <c r="G219" s="91"/>
      <c r="H219" s="91"/>
      <c r="I219" s="91"/>
      <c r="J219" s="92"/>
    </row>
    <row r="220" spans="1:10" ht="72" x14ac:dyDescent="0.25">
      <c r="A220" s="42">
        <v>210</v>
      </c>
      <c r="B220" s="79">
        <v>43342</v>
      </c>
      <c r="C220" s="89" t="s">
        <v>788</v>
      </c>
      <c r="D220" s="85"/>
      <c r="E220" s="85"/>
      <c r="F220" s="90"/>
      <c r="G220" s="91"/>
      <c r="H220" s="91"/>
      <c r="I220" s="91"/>
      <c r="J220" s="92"/>
    </row>
    <row r="221" spans="1:10" ht="72" x14ac:dyDescent="0.25">
      <c r="A221" s="42">
        <v>211</v>
      </c>
      <c r="B221" s="79">
        <v>43343</v>
      </c>
      <c r="C221" s="89"/>
      <c r="D221" s="85" t="s">
        <v>800</v>
      </c>
      <c r="E221" s="85"/>
      <c r="F221" s="90"/>
      <c r="G221" s="91"/>
      <c r="H221" s="91"/>
      <c r="I221" s="91"/>
      <c r="J221" s="92"/>
    </row>
    <row r="222" spans="1:10" x14ac:dyDescent="0.25">
      <c r="A222" s="42">
        <v>212</v>
      </c>
      <c r="B222" s="79">
        <v>43344</v>
      </c>
      <c r="C222" s="89" t="s">
        <v>806</v>
      </c>
      <c r="D222" s="85"/>
      <c r="E222" s="85"/>
      <c r="F222" s="90"/>
      <c r="G222" s="91"/>
      <c r="H222" s="91"/>
      <c r="I222" s="91"/>
      <c r="J222" s="92"/>
    </row>
    <row r="223" spans="1:10" ht="120" x14ac:dyDescent="0.25">
      <c r="A223" s="42">
        <v>213</v>
      </c>
      <c r="B223" s="79">
        <v>43345</v>
      </c>
      <c r="C223" s="89" t="s">
        <v>808</v>
      </c>
      <c r="D223" s="85" t="s">
        <v>812</v>
      </c>
      <c r="E223" s="85" t="s">
        <v>809</v>
      </c>
      <c r="F223" s="90"/>
      <c r="G223" s="91"/>
      <c r="H223" s="91"/>
      <c r="I223" s="91"/>
      <c r="J223" s="92"/>
    </row>
    <row r="224" spans="1:10" x14ac:dyDescent="0.25">
      <c r="A224" s="42">
        <v>214</v>
      </c>
      <c r="B224" s="79">
        <v>43346</v>
      </c>
      <c r="C224" s="89"/>
      <c r="D224" s="85"/>
      <c r="E224" s="85"/>
      <c r="F224" s="90"/>
      <c r="G224" s="91"/>
      <c r="H224" s="91"/>
      <c r="I224" s="91"/>
      <c r="J224" s="92"/>
    </row>
    <row r="225" spans="1:10" x14ac:dyDescent="0.25">
      <c r="A225" s="42">
        <v>215</v>
      </c>
      <c r="B225" s="79">
        <v>43347</v>
      </c>
      <c r="C225" s="89"/>
      <c r="D225" s="85"/>
      <c r="E225" s="85"/>
      <c r="F225" s="90"/>
      <c r="G225" s="91"/>
      <c r="H225" s="91"/>
      <c r="I225" s="91"/>
      <c r="J225" s="92"/>
    </row>
    <row r="226" spans="1:10" x14ac:dyDescent="0.25">
      <c r="A226" s="42">
        <v>216</v>
      </c>
      <c r="B226" s="79">
        <v>43348</v>
      </c>
      <c r="C226" s="89"/>
      <c r="D226" s="85"/>
      <c r="E226" s="85"/>
      <c r="F226" s="90"/>
      <c r="G226" s="91"/>
      <c r="H226" s="91"/>
      <c r="I226" s="91"/>
      <c r="J226" s="92"/>
    </row>
    <row r="227" spans="1:10" x14ac:dyDescent="0.25">
      <c r="A227" s="42">
        <v>217</v>
      </c>
      <c r="B227" s="79">
        <v>43349</v>
      </c>
      <c r="C227" s="89"/>
      <c r="D227" s="85"/>
      <c r="E227" s="85"/>
      <c r="F227" s="90"/>
      <c r="G227" s="91"/>
      <c r="H227" s="91"/>
      <c r="I227" s="91"/>
      <c r="J227" s="92"/>
    </row>
    <row r="228" spans="1:10" x14ac:dyDescent="0.25">
      <c r="A228" s="42">
        <v>218</v>
      </c>
      <c r="B228" s="79">
        <v>43350</v>
      </c>
      <c r="C228" s="89"/>
      <c r="D228" s="85"/>
      <c r="E228" s="85"/>
      <c r="F228" s="90"/>
      <c r="G228" s="91"/>
      <c r="H228" s="91"/>
      <c r="I228" s="91"/>
      <c r="J228" s="92"/>
    </row>
    <row r="229" spans="1:10" x14ac:dyDescent="0.25">
      <c r="A229" s="42">
        <v>219</v>
      </c>
      <c r="B229" s="79">
        <v>43351</v>
      </c>
      <c r="C229" s="89"/>
      <c r="D229" s="85"/>
      <c r="E229" s="85"/>
      <c r="F229" s="90"/>
      <c r="G229" s="91"/>
      <c r="H229" s="91"/>
      <c r="I229" s="91"/>
      <c r="J229" s="92"/>
    </row>
    <row r="230" spans="1:10" x14ac:dyDescent="0.25">
      <c r="A230" s="42">
        <v>220</v>
      </c>
      <c r="B230" s="79">
        <v>43352</v>
      </c>
      <c r="C230" s="89"/>
      <c r="D230" s="85"/>
      <c r="E230" s="85"/>
      <c r="F230" s="90"/>
      <c r="G230" s="91"/>
      <c r="H230" s="91"/>
      <c r="I230" s="91"/>
      <c r="J230" s="92"/>
    </row>
    <row r="231" spans="1:10" x14ac:dyDescent="0.25">
      <c r="A231" s="42">
        <v>221</v>
      </c>
      <c r="B231" s="79">
        <v>43353</v>
      </c>
      <c r="C231" s="89"/>
      <c r="D231" s="85"/>
      <c r="E231" s="85"/>
      <c r="F231" s="90"/>
      <c r="G231" s="91"/>
      <c r="H231" s="91"/>
      <c r="I231" s="91"/>
      <c r="J231" s="92"/>
    </row>
    <row r="232" spans="1:10" x14ac:dyDescent="0.25">
      <c r="A232" s="42">
        <v>222</v>
      </c>
      <c r="B232" s="79">
        <v>43354</v>
      </c>
      <c r="C232" s="89"/>
      <c r="D232" s="85"/>
      <c r="E232" s="85"/>
      <c r="F232" s="90"/>
      <c r="G232" s="91"/>
      <c r="H232" s="91"/>
      <c r="I232" s="91"/>
      <c r="J232" s="92"/>
    </row>
    <row r="233" spans="1:10" x14ac:dyDescent="0.25">
      <c r="A233" s="42">
        <v>223</v>
      </c>
      <c r="B233" s="79">
        <v>43355</v>
      </c>
      <c r="C233" s="89"/>
      <c r="D233" s="85"/>
      <c r="E233" s="85"/>
      <c r="F233" s="90"/>
      <c r="G233" s="91"/>
      <c r="H233" s="91"/>
      <c r="I233" s="91"/>
      <c r="J233" s="92"/>
    </row>
    <row r="234" spans="1:10" x14ac:dyDescent="0.25">
      <c r="A234" s="42">
        <v>224</v>
      </c>
      <c r="B234" s="79">
        <v>43356</v>
      </c>
      <c r="C234" s="89"/>
      <c r="D234" s="85"/>
      <c r="E234" s="85"/>
      <c r="F234" s="90"/>
      <c r="G234" s="91"/>
      <c r="H234" s="91"/>
      <c r="I234" s="91"/>
      <c r="J234" s="92"/>
    </row>
    <row r="235" spans="1:10" x14ac:dyDescent="0.25">
      <c r="A235" s="42">
        <v>225</v>
      </c>
      <c r="B235" s="79">
        <v>43357</v>
      </c>
      <c r="C235" s="89"/>
      <c r="D235" s="85"/>
      <c r="E235" s="85"/>
      <c r="F235" s="90"/>
      <c r="G235" s="91"/>
      <c r="H235" s="91"/>
      <c r="I235" s="91"/>
      <c r="J235" s="92"/>
    </row>
    <row r="236" spans="1:10" x14ac:dyDescent="0.25">
      <c r="A236" s="42">
        <v>226</v>
      </c>
      <c r="B236" s="79">
        <v>43358</v>
      </c>
      <c r="C236" s="89"/>
      <c r="D236" s="85"/>
      <c r="E236" s="85"/>
      <c r="F236" s="90"/>
      <c r="G236" s="91"/>
      <c r="H236" s="91"/>
      <c r="I236" s="91"/>
      <c r="J236" s="92"/>
    </row>
    <row r="237" spans="1:10" x14ac:dyDescent="0.25">
      <c r="A237" s="42">
        <v>227</v>
      </c>
      <c r="B237" s="79">
        <v>43359</v>
      </c>
      <c r="C237" s="89"/>
      <c r="D237" s="85"/>
      <c r="E237" s="85"/>
      <c r="F237" s="90"/>
      <c r="G237" s="91"/>
      <c r="H237" s="91"/>
      <c r="I237" s="91"/>
      <c r="J237" s="92"/>
    </row>
    <row r="238" spans="1:10" x14ac:dyDescent="0.25">
      <c r="A238" s="42">
        <v>228</v>
      </c>
      <c r="B238" s="79">
        <v>43360</v>
      </c>
      <c r="C238" s="89"/>
      <c r="D238" s="85"/>
      <c r="E238" s="85"/>
      <c r="F238" s="90"/>
      <c r="G238" s="91"/>
      <c r="H238" s="91"/>
      <c r="I238" s="91"/>
      <c r="J238" s="92"/>
    </row>
    <row r="239" spans="1:10" x14ac:dyDescent="0.25">
      <c r="A239" s="42">
        <v>229</v>
      </c>
      <c r="B239" s="79">
        <v>43361</v>
      </c>
      <c r="C239" s="89"/>
      <c r="D239" s="85"/>
      <c r="E239" s="85"/>
      <c r="F239" s="90"/>
      <c r="G239" s="91"/>
      <c r="H239" s="91"/>
      <c r="I239" s="91"/>
      <c r="J239" s="92"/>
    </row>
    <row r="240" spans="1:10" x14ac:dyDescent="0.25">
      <c r="A240" s="42">
        <v>230</v>
      </c>
      <c r="B240" s="79">
        <v>43362</v>
      </c>
      <c r="C240" s="89"/>
      <c r="D240" s="85"/>
      <c r="E240" s="85"/>
      <c r="F240" s="90"/>
      <c r="G240" s="91"/>
      <c r="H240" s="91"/>
      <c r="I240" s="91"/>
      <c r="J240" s="92"/>
    </row>
    <row r="241" spans="1:10" x14ac:dyDescent="0.25">
      <c r="A241" s="42">
        <v>231</v>
      </c>
      <c r="B241" s="79">
        <v>43363</v>
      </c>
      <c r="C241" s="89"/>
      <c r="D241" s="85"/>
      <c r="E241" s="85"/>
      <c r="F241" s="90"/>
      <c r="G241" s="91"/>
      <c r="H241" s="91"/>
      <c r="I241" s="91"/>
      <c r="J241" s="92"/>
    </row>
    <row r="242" spans="1:10" x14ac:dyDescent="0.25">
      <c r="A242" s="42">
        <v>232</v>
      </c>
      <c r="B242" s="79">
        <v>43364</v>
      </c>
      <c r="C242" s="89"/>
      <c r="D242" s="85"/>
      <c r="E242" s="85"/>
      <c r="F242" s="90"/>
      <c r="G242" s="91"/>
      <c r="H242" s="91"/>
      <c r="I242" s="91"/>
      <c r="J242" s="92"/>
    </row>
    <row r="243" spans="1:10" x14ac:dyDescent="0.25">
      <c r="A243" s="42">
        <v>233</v>
      </c>
      <c r="B243" s="79">
        <v>43365</v>
      </c>
      <c r="C243" s="89"/>
      <c r="D243" s="85"/>
      <c r="E243" s="85"/>
      <c r="F243" s="90"/>
      <c r="G243" s="91"/>
      <c r="H243" s="91"/>
      <c r="I243" s="91"/>
      <c r="J243" s="92"/>
    </row>
    <row r="244" spans="1:10" x14ac:dyDescent="0.25">
      <c r="A244" s="42">
        <v>234</v>
      </c>
      <c r="B244" s="79">
        <v>43366</v>
      </c>
      <c r="C244" s="89"/>
      <c r="D244" s="85"/>
      <c r="E244" s="85"/>
      <c r="F244" s="90"/>
      <c r="G244" s="91"/>
      <c r="H244" s="91"/>
      <c r="I244" s="91"/>
      <c r="J244" s="92"/>
    </row>
    <row r="245" spans="1:10" x14ac:dyDescent="0.25">
      <c r="A245" s="42">
        <v>235</v>
      </c>
      <c r="B245" s="79">
        <v>43367</v>
      </c>
      <c r="C245" s="89"/>
      <c r="D245" s="85"/>
      <c r="E245" s="85"/>
      <c r="F245" s="90"/>
      <c r="G245" s="91"/>
      <c r="H245" s="91"/>
      <c r="I245" s="91"/>
      <c r="J245" s="92"/>
    </row>
    <row r="246" spans="1:10" x14ac:dyDescent="0.25">
      <c r="A246" s="42">
        <v>236</v>
      </c>
      <c r="B246" s="79">
        <v>43368</v>
      </c>
      <c r="C246" s="89"/>
      <c r="D246" s="85"/>
      <c r="E246" s="85"/>
      <c r="F246" s="90"/>
      <c r="G246" s="91"/>
      <c r="H246" s="91"/>
      <c r="I246" s="91"/>
      <c r="J246" s="92"/>
    </row>
    <row r="247" spans="1:10" x14ac:dyDescent="0.25">
      <c r="A247" s="42">
        <v>237</v>
      </c>
      <c r="B247" s="79">
        <v>43369</v>
      </c>
      <c r="C247" s="89"/>
      <c r="D247" s="85"/>
      <c r="E247" s="85"/>
      <c r="F247" s="90"/>
      <c r="G247" s="91"/>
      <c r="H247" s="91"/>
      <c r="I247" s="91"/>
      <c r="J247" s="92"/>
    </row>
    <row r="248" spans="1:10" x14ac:dyDescent="0.25">
      <c r="A248" s="42">
        <v>238</v>
      </c>
      <c r="B248" s="79">
        <v>43370</v>
      </c>
      <c r="C248" s="89"/>
      <c r="D248" s="85"/>
      <c r="E248" s="85"/>
      <c r="F248" s="90"/>
      <c r="G248" s="91"/>
      <c r="H248" s="91"/>
      <c r="I248" s="91"/>
      <c r="J248" s="92"/>
    </row>
    <row r="249" spans="1:10" x14ac:dyDescent="0.25">
      <c r="A249" s="42">
        <v>239</v>
      </c>
      <c r="B249" s="79">
        <v>43371</v>
      </c>
      <c r="C249" s="89"/>
      <c r="D249" s="85"/>
      <c r="E249" s="85"/>
      <c r="F249" s="90"/>
      <c r="G249" s="91"/>
      <c r="H249" s="91"/>
      <c r="I249" s="91"/>
      <c r="J249" s="92"/>
    </row>
    <row r="250" spans="1:10" x14ac:dyDescent="0.25">
      <c r="A250" s="42">
        <v>240</v>
      </c>
      <c r="B250" s="79">
        <v>43372</v>
      </c>
      <c r="C250" s="89"/>
      <c r="D250" s="85"/>
      <c r="E250" s="85"/>
      <c r="F250" s="90"/>
      <c r="G250" s="91"/>
      <c r="H250" s="91"/>
      <c r="I250" s="91"/>
      <c r="J250" s="92"/>
    </row>
    <row r="251" spans="1:10" x14ac:dyDescent="0.25">
      <c r="A251" s="42">
        <v>241</v>
      </c>
      <c r="B251" s="79">
        <v>43373</v>
      </c>
      <c r="C251" s="89"/>
      <c r="D251" s="85"/>
      <c r="E251" s="85"/>
      <c r="F251" s="90"/>
      <c r="G251" s="91"/>
      <c r="H251" s="91"/>
      <c r="I251" s="91"/>
      <c r="J251" s="92"/>
    </row>
    <row r="252" spans="1:10" x14ac:dyDescent="0.25">
      <c r="A252" s="42">
        <v>242</v>
      </c>
      <c r="B252" s="79">
        <v>43374</v>
      </c>
      <c r="C252" s="89"/>
      <c r="D252" s="85"/>
      <c r="E252" s="85"/>
      <c r="F252" s="90"/>
      <c r="G252" s="91"/>
      <c r="H252" s="91"/>
      <c r="I252" s="91"/>
      <c r="J252" s="92"/>
    </row>
    <row r="253" spans="1:10" x14ac:dyDescent="0.25">
      <c r="A253" s="42">
        <v>243</v>
      </c>
      <c r="B253" s="79">
        <v>43375</v>
      </c>
      <c r="C253" s="89"/>
      <c r="D253" s="85"/>
      <c r="E253" s="85"/>
      <c r="F253" s="90"/>
      <c r="G253" s="91"/>
      <c r="H253" s="91"/>
      <c r="I253" s="91"/>
      <c r="J253" s="92"/>
    </row>
    <row r="254" spans="1:10" x14ac:dyDescent="0.25">
      <c r="A254" s="42">
        <v>244</v>
      </c>
      <c r="B254" s="79">
        <v>43376</v>
      </c>
      <c r="C254" s="89"/>
      <c r="D254" s="85"/>
      <c r="E254" s="85"/>
      <c r="F254" s="90"/>
      <c r="G254" s="91"/>
      <c r="H254" s="91"/>
      <c r="I254" s="91"/>
      <c r="J254" s="92"/>
    </row>
    <row r="255" spans="1:10" x14ac:dyDescent="0.25">
      <c r="A255" s="42">
        <v>245</v>
      </c>
      <c r="B255" s="79">
        <v>43377</v>
      </c>
      <c r="C255" s="89"/>
      <c r="D255" s="85"/>
      <c r="E255" s="85"/>
      <c r="F255" s="90"/>
      <c r="G255" s="91"/>
      <c r="H255" s="91"/>
      <c r="I255" s="91"/>
      <c r="J255" s="92"/>
    </row>
    <row r="256" spans="1:10" x14ac:dyDescent="0.25">
      <c r="A256" s="42">
        <v>246</v>
      </c>
      <c r="B256" s="79">
        <v>43378</v>
      </c>
      <c r="C256" s="89"/>
      <c r="D256" s="85"/>
      <c r="E256" s="85"/>
      <c r="F256" s="90"/>
      <c r="G256" s="91"/>
      <c r="H256" s="91"/>
      <c r="I256" s="91"/>
      <c r="J256" s="92"/>
    </row>
    <row r="257" spans="1:10" x14ac:dyDescent="0.25">
      <c r="A257" s="42">
        <v>247</v>
      </c>
      <c r="B257" s="79">
        <v>43379</v>
      </c>
      <c r="C257" s="89"/>
      <c r="D257" s="85"/>
      <c r="E257" s="85"/>
      <c r="F257" s="90"/>
      <c r="G257" s="91"/>
      <c r="H257" s="91"/>
      <c r="I257" s="91"/>
      <c r="J257" s="92"/>
    </row>
    <row r="258" spans="1:10" x14ac:dyDescent="0.25">
      <c r="A258" s="42">
        <v>248</v>
      </c>
      <c r="B258" s="79">
        <v>43380</v>
      </c>
      <c r="C258" s="89"/>
      <c r="D258" s="85"/>
      <c r="E258" s="85"/>
      <c r="F258" s="90"/>
      <c r="G258" s="91"/>
      <c r="H258" s="91"/>
      <c r="I258" s="91"/>
      <c r="J258" s="92"/>
    </row>
    <row r="259" spans="1:10" x14ac:dyDescent="0.25">
      <c r="A259" s="42">
        <v>249</v>
      </c>
      <c r="B259" s="79">
        <v>43381</v>
      </c>
      <c r="C259" s="89"/>
      <c r="D259" s="85"/>
      <c r="E259" s="85"/>
      <c r="F259" s="90"/>
      <c r="G259" s="91"/>
      <c r="H259" s="91"/>
      <c r="I259" s="91"/>
      <c r="J259" s="92"/>
    </row>
    <row r="260" spans="1:10" x14ac:dyDescent="0.25">
      <c r="A260" s="42">
        <v>250</v>
      </c>
      <c r="B260" s="79">
        <v>43382</v>
      </c>
      <c r="C260" s="89"/>
      <c r="D260" s="85"/>
      <c r="E260" s="85"/>
      <c r="F260" s="90"/>
      <c r="G260" s="91"/>
      <c r="H260" s="91"/>
      <c r="I260" s="91"/>
      <c r="J260" s="92"/>
    </row>
    <row r="261" spans="1:10" x14ac:dyDescent="0.25">
      <c r="A261" s="42">
        <v>251</v>
      </c>
      <c r="B261" s="79">
        <v>43383</v>
      </c>
      <c r="C261" s="89"/>
      <c r="D261" s="85"/>
      <c r="E261" s="85"/>
      <c r="F261" s="90"/>
      <c r="G261" s="91"/>
      <c r="H261" s="91"/>
      <c r="I261" s="91"/>
      <c r="J261" s="92"/>
    </row>
    <row r="262" spans="1:10" x14ac:dyDescent="0.25">
      <c r="A262" s="42">
        <v>252</v>
      </c>
      <c r="B262" s="79">
        <v>43384</v>
      </c>
      <c r="C262" s="89"/>
      <c r="D262" s="85"/>
      <c r="E262" s="85"/>
      <c r="F262" s="90"/>
      <c r="G262" s="91"/>
      <c r="H262" s="91"/>
      <c r="I262" s="91"/>
      <c r="J262" s="92"/>
    </row>
    <row r="263" spans="1:10" x14ac:dyDescent="0.25">
      <c r="A263" s="42">
        <v>253</v>
      </c>
      <c r="B263" s="79">
        <v>43385</v>
      </c>
      <c r="C263" s="89"/>
      <c r="D263" s="85"/>
      <c r="E263" s="85"/>
      <c r="F263" s="90"/>
      <c r="G263" s="91"/>
      <c r="H263" s="91"/>
      <c r="I263" s="91"/>
      <c r="J263" s="92"/>
    </row>
    <row r="264" spans="1:10" x14ac:dyDescent="0.25">
      <c r="A264" s="42">
        <v>254</v>
      </c>
      <c r="B264" s="79">
        <v>43386</v>
      </c>
      <c r="C264" s="89"/>
      <c r="D264" s="85"/>
      <c r="E264" s="85"/>
      <c r="F264" s="90"/>
      <c r="G264" s="91"/>
      <c r="H264" s="91"/>
      <c r="I264" s="91"/>
      <c r="J264" s="92"/>
    </row>
    <row r="265" spans="1:10" x14ac:dyDescent="0.25">
      <c r="A265" s="42">
        <v>255</v>
      </c>
      <c r="B265" s="79">
        <v>43387</v>
      </c>
      <c r="C265" s="89"/>
      <c r="D265" s="85"/>
      <c r="E265" s="85"/>
      <c r="F265" s="90"/>
      <c r="G265" s="91"/>
      <c r="H265" s="91"/>
      <c r="I265" s="91"/>
      <c r="J265" s="92"/>
    </row>
    <row r="266" spans="1:10" x14ac:dyDescent="0.25">
      <c r="A266" s="42">
        <v>256</v>
      </c>
      <c r="B266" s="79">
        <v>43388</v>
      </c>
      <c r="C266" s="89"/>
      <c r="D266" s="85"/>
      <c r="E266" s="85"/>
      <c r="F266" s="90"/>
      <c r="G266" s="91"/>
      <c r="H266" s="91"/>
      <c r="I266" s="91"/>
      <c r="J266" s="92"/>
    </row>
    <row r="267" spans="1:10" x14ac:dyDescent="0.25">
      <c r="A267" s="42">
        <v>257</v>
      </c>
      <c r="B267" s="79">
        <v>43389</v>
      </c>
      <c r="C267" s="89"/>
      <c r="D267" s="85"/>
      <c r="E267" s="85"/>
      <c r="F267" s="90"/>
      <c r="G267" s="91"/>
      <c r="H267" s="91"/>
      <c r="I267" s="91"/>
      <c r="J267" s="92"/>
    </row>
    <row r="268" spans="1:10" x14ac:dyDescent="0.25">
      <c r="A268" s="42">
        <v>258</v>
      </c>
      <c r="B268" s="79">
        <v>43390</v>
      </c>
      <c r="C268" s="89"/>
      <c r="D268" s="85"/>
      <c r="E268" s="85"/>
      <c r="F268" s="90"/>
      <c r="G268" s="91"/>
      <c r="H268" s="91"/>
      <c r="I268" s="91"/>
      <c r="J268" s="92"/>
    </row>
    <row r="269" spans="1:10" x14ac:dyDescent="0.25">
      <c r="A269" s="42">
        <v>259</v>
      </c>
      <c r="B269" s="79">
        <v>43391</v>
      </c>
      <c r="C269" s="89"/>
      <c r="D269" s="85"/>
      <c r="E269" s="85"/>
      <c r="F269" s="90"/>
      <c r="G269" s="91"/>
      <c r="H269" s="91"/>
      <c r="I269" s="91"/>
      <c r="J269" s="92"/>
    </row>
    <row r="270" spans="1:10" x14ac:dyDescent="0.25">
      <c r="A270" s="42">
        <v>260</v>
      </c>
      <c r="B270" s="79">
        <v>43392</v>
      </c>
      <c r="C270" s="89"/>
      <c r="D270" s="85"/>
      <c r="E270" s="85"/>
      <c r="F270" s="90"/>
      <c r="G270" s="91"/>
      <c r="H270" s="91"/>
      <c r="I270" s="91"/>
      <c r="J270" s="92"/>
    </row>
    <row r="271" spans="1:10" x14ac:dyDescent="0.25">
      <c r="A271" s="42">
        <v>261</v>
      </c>
      <c r="B271" s="79">
        <v>43393</v>
      </c>
      <c r="C271" s="89"/>
      <c r="D271" s="85"/>
      <c r="E271" s="85"/>
      <c r="F271" s="90"/>
      <c r="G271" s="91"/>
      <c r="H271" s="91"/>
      <c r="I271" s="91"/>
      <c r="J271" s="92"/>
    </row>
    <row r="272" spans="1:10" x14ac:dyDescent="0.25">
      <c r="A272" s="42">
        <v>262</v>
      </c>
      <c r="B272" s="79">
        <v>43394</v>
      </c>
      <c r="C272" s="89"/>
      <c r="D272" s="85"/>
      <c r="E272" s="85"/>
      <c r="F272" s="90"/>
      <c r="G272" s="91"/>
      <c r="H272" s="91"/>
      <c r="I272" s="91"/>
      <c r="J272" s="92"/>
    </row>
    <row r="273" spans="1:10" x14ac:dyDescent="0.25">
      <c r="A273" s="42">
        <v>263</v>
      </c>
      <c r="B273" s="79">
        <v>43395</v>
      </c>
      <c r="C273" s="89"/>
      <c r="D273" s="85"/>
      <c r="E273" s="85"/>
      <c r="F273" s="90"/>
      <c r="G273" s="91"/>
      <c r="H273" s="91"/>
      <c r="I273" s="91"/>
      <c r="J273" s="92"/>
    </row>
    <row r="274" spans="1:10" x14ac:dyDescent="0.25">
      <c r="A274" s="42">
        <v>264</v>
      </c>
      <c r="B274" s="79">
        <v>43396</v>
      </c>
      <c r="C274" s="89"/>
      <c r="D274" s="85"/>
      <c r="E274" s="85"/>
      <c r="F274" s="90"/>
      <c r="G274" s="91"/>
      <c r="H274" s="91"/>
      <c r="I274" s="91"/>
      <c r="J274" s="92"/>
    </row>
    <row r="275" spans="1:10" x14ac:dyDescent="0.25">
      <c r="A275" s="42">
        <v>265</v>
      </c>
      <c r="B275" s="79">
        <v>43397</v>
      </c>
      <c r="C275" s="89"/>
      <c r="D275" s="85"/>
      <c r="E275" s="85"/>
      <c r="F275" s="90"/>
      <c r="G275" s="91"/>
      <c r="H275" s="91"/>
      <c r="I275" s="91"/>
      <c r="J275" s="92"/>
    </row>
    <row r="276" spans="1:10" x14ac:dyDescent="0.25">
      <c r="A276" s="42">
        <v>266</v>
      </c>
      <c r="B276" s="79">
        <v>43398</v>
      </c>
      <c r="C276" s="89"/>
      <c r="D276" s="85"/>
      <c r="E276" s="85"/>
      <c r="F276" s="90"/>
      <c r="G276" s="91"/>
      <c r="H276" s="91"/>
      <c r="I276" s="91"/>
      <c r="J276" s="92"/>
    </row>
    <row r="277" spans="1:10" x14ac:dyDescent="0.25">
      <c r="A277" s="42">
        <v>267</v>
      </c>
      <c r="B277" s="79">
        <v>43399</v>
      </c>
      <c r="C277" s="89"/>
      <c r="D277" s="85"/>
      <c r="E277" s="85"/>
      <c r="F277" s="90"/>
      <c r="G277" s="91"/>
      <c r="H277" s="91"/>
      <c r="I277" s="91"/>
      <c r="J277" s="92"/>
    </row>
    <row r="278" spans="1:10" x14ac:dyDescent="0.25">
      <c r="A278" s="42">
        <v>268</v>
      </c>
      <c r="B278" s="79">
        <v>43400</v>
      </c>
      <c r="C278" s="89"/>
      <c r="D278" s="85"/>
      <c r="E278" s="85"/>
      <c r="F278" s="90"/>
      <c r="G278" s="91"/>
      <c r="H278" s="91"/>
      <c r="I278" s="91"/>
      <c r="J278" s="92"/>
    </row>
    <row r="279" spans="1:10" x14ac:dyDescent="0.25">
      <c r="A279" s="42">
        <v>269</v>
      </c>
      <c r="B279" s="79">
        <v>43401</v>
      </c>
      <c r="C279" s="89"/>
      <c r="D279" s="85"/>
      <c r="E279" s="85"/>
      <c r="F279" s="90"/>
      <c r="G279" s="91"/>
      <c r="H279" s="91"/>
      <c r="I279" s="91"/>
      <c r="J279" s="92"/>
    </row>
    <row r="280" spans="1:10" x14ac:dyDescent="0.25">
      <c r="A280" s="42">
        <v>270</v>
      </c>
      <c r="B280" s="79">
        <v>43402</v>
      </c>
      <c r="C280" s="89"/>
      <c r="D280" s="85"/>
      <c r="E280" s="85"/>
      <c r="F280" s="90"/>
      <c r="G280" s="91"/>
      <c r="H280" s="91"/>
      <c r="I280" s="91"/>
      <c r="J280" s="92"/>
    </row>
    <row r="281" spans="1:10" x14ac:dyDescent="0.25">
      <c r="A281" s="42">
        <v>271</v>
      </c>
      <c r="B281" s="79">
        <v>43403</v>
      </c>
      <c r="C281" s="89"/>
      <c r="D281" s="85"/>
      <c r="E281" s="85"/>
      <c r="F281" s="90"/>
      <c r="G281" s="91"/>
      <c r="H281" s="91"/>
      <c r="I281" s="91"/>
      <c r="J281" s="92"/>
    </row>
    <row r="282" spans="1:10" x14ac:dyDescent="0.25">
      <c r="A282" s="42">
        <v>272</v>
      </c>
      <c r="B282" s="79">
        <v>43404</v>
      </c>
      <c r="C282" s="89"/>
      <c r="D282" s="85"/>
      <c r="E282" s="85"/>
      <c r="F282" s="90"/>
      <c r="G282" s="91"/>
      <c r="H282" s="91"/>
      <c r="I282" s="91"/>
      <c r="J282" s="92"/>
    </row>
    <row r="283" spans="1:10" x14ac:dyDescent="0.25">
      <c r="A283" s="42">
        <v>273</v>
      </c>
      <c r="B283" s="79">
        <v>43405</v>
      </c>
      <c r="C283" s="89"/>
      <c r="D283" s="85"/>
      <c r="E283" s="85"/>
      <c r="F283" s="90"/>
      <c r="G283" s="91"/>
      <c r="H283" s="91"/>
      <c r="I283" s="91"/>
      <c r="J283" s="92"/>
    </row>
    <row r="284" spans="1:10" x14ac:dyDescent="0.25">
      <c r="A284" s="42">
        <v>274</v>
      </c>
      <c r="B284" s="79">
        <v>43406</v>
      </c>
      <c r="C284" s="89"/>
      <c r="D284" s="85"/>
      <c r="E284" s="85"/>
      <c r="F284" s="90"/>
      <c r="G284" s="91"/>
      <c r="H284" s="91"/>
      <c r="I284" s="91"/>
      <c r="J284" s="92"/>
    </row>
    <row r="285" spans="1:10" x14ac:dyDescent="0.25">
      <c r="A285" s="42">
        <v>275</v>
      </c>
      <c r="B285" s="79">
        <v>43407</v>
      </c>
      <c r="C285" s="89"/>
      <c r="D285" s="85"/>
      <c r="E285" s="85"/>
      <c r="F285" s="90"/>
      <c r="G285" s="91"/>
      <c r="H285" s="91"/>
      <c r="I285" s="91"/>
      <c r="J285" s="92"/>
    </row>
    <row r="286" spans="1:10" x14ac:dyDescent="0.25">
      <c r="A286" s="42">
        <v>276</v>
      </c>
      <c r="B286" s="79">
        <v>43408</v>
      </c>
      <c r="C286" s="89"/>
      <c r="D286" s="85"/>
      <c r="E286" s="85"/>
      <c r="F286" s="90"/>
      <c r="G286" s="91"/>
      <c r="H286" s="91"/>
      <c r="I286" s="91"/>
      <c r="J286" s="92"/>
    </row>
    <row r="287" spans="1:10" x14ac:dyDescent="0.25">
      <c r="A287" s="42">
        <v>277</v>
      </c>
      <c r="B287" s="79">
        <v>43409</v>
      </c>
      <c r="C287" s="89"/>
      <c r="D287" s="85"/>
      <c r="E287" s="85"/>
      <c r="F287" s="90"/>
      <c r="G287" s="91"/>
      <c r="H287" s="91"/>
      <c r="I287" s="91"/>
      <c r="J287" s="92"/>
    </row>
    <row r="288" spans="1:10" x14ac:dyDescent="0.25">
      <c r="A288" s="42">
        <v>278</v>
      </c>
      <c r="B288" s="79">
        <v>43410</v>
      </c>
      <c r="C288" s="89"/>
      <c r="D288" s="85"/>
      <c r="E288" s="85"/>
      <c r="F288" s="90"/>
      <c r="G288" s="91"/>
      <c r="H288" s="91"/>
      <c r="I288" s="91"/>
      <c r="J288" s="92"/>
    </row>
    <row r="289" spans="1:10" x14ac:dyDescent="0.25">
      <c r="A289" s="42">
        <v>279</v>
      </c>
      <c r="B289" s="79">
        <v>43411</v>
      </c>
      <c r="C289" s="89"/>
      <c r="D289" s="85"/>
      <c r="E289" s="85"/>
      <c r="F289" s="90"/>
      <c r="G289" s="91"/>
      <c r="H289" s="91"/>
      <c r="I289" s="91"/>
      <c r="J289" s="92"/>
    </row>
    <row r="290" spans="1:10" x14ac:dyDescent="0.25">
      <c r="A290" s="42">
        <v>280</v>
      </c>
      <c r="B290" s="79">
        <v>43412</v>
      </c>
      <c r="C290" s="89"/>
      <c r="D290" s="85"/>
      <c r="E290" s="85"/>
      <c r="F290" s="90"/>
      <c r="G290" s="91"/>
      <c r="H290" s="91"/>
      <c r="I290" s="91"/>
      <c r="J290" s="92"/>
    </row>
    <row r="291" spans="1:10" x14ac:dyDescent="0.25">
      <c r="A291" s="42">
        <v>281</v>
      </c>
      <c r="B291" s="79">
        <v>43413</v>
      </c>
      <c r="C291" s="89"/>
      <c r="D291" s="85"/>
      <c r="E291" s="85"/>
      <c r="F291" s="90"/>
      <c r="G291" s="91"/>
      <c r="H291" s="91"/>
      <c r="I291" s="91"/>
      <c r="J291" s="92"/>
    </row>
    <row r="292" spans="1:10" x14ac:dyDescent="0.25">
      <c r="A292" s="42">
        <v>282</v>
      </c>
      <c r="B292" s="79">
        <v>43414</v>
      </c>
      <c r="C292" s="89"/>
      <c r="D292" s="85"/>
      <c r="E292" s="85"/>
      <c r="F292" s="90"/>
      <c r="G292" s="91"/>
      <c r="H292" s="91"/>
      <c r="I292" s="91"/>
      <c r="J292" s="92"/>
    </row>
    <row r="293" spans="1:10" x14ac:dyDescent="0.25">
      <c r="A293" s="42">
        <v>283</v>
      </c>
      <c r="B293" s="79">
        <v>43415</v>
      </c>
      <c r="C293" s="89"/>
      <c r="D293" s="85"/>
      <c r="E293" s="85"/>
      <c r="F293" s="90"/>
      <c r="G293" s="91"/>
      <c r="H293" s="91"/>
      <c r="I293" s="91"/>
      <c r="J293" s="92"/>
    </row>
    <row r="294" spans="1:10" x14ac:dyDescent="0.25">
      <c r="A294" s="42">
        <v>284</v>
      </c>
      <c r="B294" s="79">
        <v>43416</v>
      </c>
      <c r="C294" s="89"/>
      <c r="D294" s="85"/>
      <c r="E294" s="85"/>
      <c r="F294" s="90"/>
      <c r="G294" s="91"/>
      <c r="H294" s="91"/>
      <c r="I294" s="91"/>
      <c r="J294" s="92"/>
    </row>
    <row r="295" spans="1:10" x14ac:dyDescent="0.25">
      <c r="A295" s="42">
        <v>285</v>
      </c>
      <c r="B295" s="79">
        <v>43417</v>
      </c>
      <c r="C295" s="89"/>
      <c r="D295" s="85"/>
      <c r="E295" s="85"/>
      <c r="F295" s="90"/>
      <c r="G295" s="91"/>
      <c r="H295" s="91"/>
      <c r="I295" s="91"/>
      <c r="J295" s="92"/>
    </row>
    <row r="296" spans="1:10" x14ac:dyDescent="0.25">
      <c r="A296" s="42">
        <v>286</v>
      </c>
      <c r="B296" s="79">
        <v>43418</v>
      </c>
      <c r="C296" s="89"/>
      <c r="D296" s="85"/>
      <c r="E296" s="85"/>
      <c r="F296" s="90"/>
      <c r="G296" s="91"/>
      <c r="H296" s="91"/>
      <c r="I296" s="91"/>
      <c r="J296" s="92"/>
    </row>
    <row r="297" spans="1:10" x14ac:dyDescent="0.25">
      <c r="A297" s="42">
        <v>287</v>
      </c>
      <c r="B297" s="79">
        <v>43419</v>
      </c>
      <c r="C297" s="89"/>
      <c r="D297" s="85"/>
      <c r="E297" s="85"/>
      <c r="F297" s="90"/>
      <c r="G297" s="91"/>
      <c r="H297" s="91"/>
      <c r="I297" s="91"/>
      <c r="J297" s="92"/>
    </row>
    <row r="298" spans="1:10" x14ac:dyDescent="0.25">
      <c r="A298" s="42">
        <v>288</v>
      </c>
      <c r="B298" s="79">
        <v>43420</v>
      </c>
      <c r="C298" s="89"/>
      <c r="D298" s="85"/>
      <c r="E298" s="85"/>
      <c r="F298" s="90"/>
      <c r="G298" s="91"/>
      <c r="H298" s="91"/>
      <c r="I298" s="91"/>
      <c r="J298" s="92"/>
    </row>
    <row r="299" spans="1:10" x14ac:dyDescent="0.25">
      <c r="A299" s="42">
        <v>289</v>
      </c>
      <c r="B299" s="79">
        <v>43421</v>
      </c>
      <c r="C299" s="89"/>
      <c r="D299" s="85"/>
      <c r="E299" s="85"/>
      <c r="F299" s="90"/>
      <c r="G299" s="91"/>
      <c r="H299" s="91"/>
      <c r="I299" s="91"/>
      <c r="J299" s="92"/>
    </row>
    <row r="300" spans="1:10" x14ac:dyDescent="0.25">
      <c r="A300" s="42">
        <v>290</v>
      </c>
      <c r="B300" s="79">
        <v>43422</v>
      </c>
      <c r="C300" s="89"/>
      <c r="D300" s="85"/>
      <c r="E300" s="85"/>
      <c r="F300" s="90"/>
      <c r="G300" s="91"/>
      <c r="H300" s="91"/>
      <c r="I300" s="91"/>
      <c r="J300" s="92"/>
    </row>
    <row r="301" spans="1:10" x14ac:dyDescent="0.25">
      <c r="A301" s="42">
        <v>291</v>
      </c>
      <c r="B301" s="79">
        <v>43423</v>
      </c>
      <c r="C301" s="89"/>
      <c r="D301" s="85"/>
      <c r="E301" s="85"/>
      <c r="F301" s="90"/>
      <c r="G301" s="91"/>
      <c r="H301" s="91"/>
      <c r="I301" s="91"/>
      <c r="J301" s="92"/>
    </row>
    <row r="302" spans="1:10" x14ac:dyDescent="0.25">
      <c r="A302" s="42">
        <v>292</v>
      </c>
      <c r="B302" s="79">
        <v>43424</v>
      </c>
      <c r="C302" s="89"/>
      <c r="D302" s="85"/>
      <c r="E302" s="85"/>
      <c r="F302" s="90"/>
      <c r="G302" s="91"/>
      <c r="H302" s="91"/>
      <c r="I302" s="91"/>
      <c r="J302" s="92"/>
    </row>
    <row r="303" spans="1:10" x14ac:dyDescent="0.25">
      <c r="A303" s="42">
        <v>293</v>
      </c>
      <c r="B303" s="79">
        <v>43425</v>
      </c>
      <c r="C303" s="89"/>
      <c r="D303" s="85"/>
      <c r="E303" s="85"/>
      <c r="F303" s="90"/>
      <c r="G303" s="91"/>
      <c r="H303" s="91"/>
      <c r="I303" s="91"/>
      <c r="J303" s="92"/>
    </row>
    <row r="304" spans="1:10" x14ac:dyDescent="0.25">
      <c r="A304" s="42">
        <v>294</v>
      </c>
      <c r="B304" s="79">
        <v>43426</v>
      </c>
      <c r="C304" s="89"/>
      <c r="D304" s="85"/>
      <c r="E304" s="85"/>
      <c r="F304" s="90"/>
      <c r="G304" s="91"/>
      <c r="H304" s="91"/>
      <c r="I304" s="91"/>
      <c r="J304" s="92"/>
    </row>
    <row r="305" spans="1:10" x14ac:dyDescent="0.25">
      <c r="A305" s="42">
        <v>295</v>
      </c>
      <c r="B305" s="79">
        <v>43427</v>
      </c>
      <c r="C305" s="89"/>
      <c r="D305" s="85"/>
      <c r="E305" s="85"/>
      <c r="F305" s="90"/>
      <c r="G305" s="91"/>
      <c r="H305" s="91"/>
      <c r="I305" s="91"/>
      <c r="J305" s="92"/>
    </row>
    <row r="306" spans="1:10" x14ac:dyDescent="0.25">
      <c r="A306" s="42">
        <v>296</v>
      </c>
      <c r="B306" s="79">
        <v>43428</v>
      </c>
      <c r="C306" s="89"/>
      <c r="D306" s="85"/>
      <c r="E306" s="85"/>
      <c r="F306" s="90"/>
      <c r="G306" s="91"/>
      <c r="H306" s="91"/>
      <c r="I306" s="91"/>
      <c r="J306" s="92"/>
    </row>
    <row r="307" spans="1:10" x14ac:dyDescent="0.25">
      <c r="A307" s="42">
        <v>297</v>
      </c>
      <c r="B307" s="79">
        <v>43429</v>
      </c>
      <c r="C307" s="89"/>
      <c r="D307" s="85"/>
      <c r="E307" s="85"/>
      <c r="F307" s="90"/>
      <c r="G307" s="91"/>
      <c r="H307" s="91"/>
      <c r="I307" s="91"/>
      <c r="J307" s="92"/>
    </row>
    <row r="308" spans="1:10" x14ac:dyDescent="0.25">
      <c r="A308" s="42">
        <v>298</v>
      </c>
      <c r="B308" s="79">
        <v>43430</v>
      </c>
      <c r="C308" s="89"/>
      <c r="D308" s="85"/>
      <c r="E308" s="85"/>
      <c r="F308" s="90"/>
      <c r="G308" s="91"/>
      <c r="H308" s="91"/>
      <c r="I308" s="91"/>
      <c r="J308" s="92"/>
    </row>
    <row r="309" spans="1:10" x14ac:dyDescent="0.25">
      <c r="A309" s="42">
        <v>299</v>
      </c>
      <c r="B309" s="79">
        <v>43431</v>
      </c>
      <c r="C309" s="89"/>
      <c r="D309" s="85"/>
      <c r="E309" s="85"/>
      <c r="F309" s="90"/>
      <c r="G309" s="91"/>
      <c r="H309" s="91"/>
      <c r="I309" s="91"/>
      <c r="J309" s="92"/>
    </row>
    <row r="310" spans="1:10" x14ac:dyDescent="0.25">
      <c r="A310" s="42">
        <v>300</v>
      </c>
      <c r="B310" s="79">
        <v>43432</v>
      </c>
      <c r="C310" s="89"/>
      <c r="D310" s="85"/>
      <c r="E310" s="85"/>
      <c r="F310" s="90"/>
      <c r="G310" s="91"/>
      <c r="H310" s="91"/>
      <c r="I310" s="91"/>
      <c r="J310" s="92"/>
    </row>
    <row r="311" spans="1:10" x14ac:dyDescent="0.25">
      <c r="A311" s="42">
        <v>301</v>
      </c>
      <c r="B311" s="79">
        <v>43433</v>
      </c>
      <c r="C311" s="89"/>
      <c r="D311" s="85"/>
      <c r="E311" s="85"/>
      <c r="F311" s="90"/>
      <c r="G311" s="91"/>
      <c r="H311" s="91"/>
      <c r="I311" s="91"/>
      <c r="J311" s="92"/>
    </row>
    <row r="312" spans="1:10" x14ac:dyDescent="0.25">
      <c r="A312" s="42">
        <v>302</v>
      </c>
      <c r="B312" s="79">
        <v>43434</v>
      </c>
      <c r="C312" s="89"/>
      <c r="D312" s="85"/>
      <c r="E312" s="85"/>
      <c r="F312" s="90"/>
      <c r="G312" s="91"/>
      <c r="H312" s="91"/>
      <c r="I312" s="91"/>
      <c r="J312" s="92"/>
    </row>
    <row r="313" spans="1:10" x14ac:dyDescent="0.25">
      <c r="A313" s="42">
        <v>303</v>
      </c>
      <c r="B313" s="79">
        <v>43435</v>
      </c>
      <c r="C313" s="89"/>
      <c r="D313" s="85"/>
      <c r="E313" s="85"/>
      <c r="F313" s="90"/>
      <c r="G313" s="91"/>
      <c r="H313" s="91"/>
      <c r="I313" s="91"/>
      <c r="J313" s="92"/>
    </row>
    <row r="314" spans="1:10" x14ac:dyDescent="0.25">
      <c r="A314" s="42">
        <v>304</v>
      </c>
      <c r="B314" s="79">
        <v>43436</v>
      </c>
      <c r="C314" s="89"/>
      <c r="D314" s="85"/>
      <c r="E314" s="85"/>
      <c r="F314" s="90"/>
      <c r="G314" s="91"/>
      <c r="H314" s="91"/>
      <c r="I314" s="91"/>
      <c r="J314" s="92"/>
    </row>
    <row r="315" spans="1:10" x14ac:dyDescent="0.25">
      <c r="A315" s="42">
        <v>305</v>
      </c>
      <c r="B315" s="79">
        <v>43437</v>
      </c>
      <c r="C315" s="89"/>
      <c r="D315" s="85"/>
      <c r="E315" s="85"/>
      <c r="F315" s="90"/>
      <c r="G315" s="91"/>
      <c r="H315" s="91"/>
      <c r="I315" s="91"/>
      <c r="J315" s="92"/>
    </row>
    <row r="316" spans="1:10" x14ac:dyDescent="0.25">
      <c r="A316" s="42">
        <v>306</v>
      </c>
      <c r="B316" s="79">
        <v>43438</v>
      </c>
      <c r="C316" s="89"/>
      <c r="D316" s="85"/>
      <c r="E316" s="85"/>
      <c r="F316" s="90"/>
      <c r="G316" s="91"/>
      <c r="H316" s="91"/>
      <c r="I316" s="91"/>
      <c r="J316" s="92"/>
    </row>
    <row r="317" spans="1:10" x14ac:dyDescent="0.25">
      <c r="A317" s="42">
        <v>307</v>
      </c>
      <c r="B317" s="79">
        <v>43439</v>
      </c>
      <c r="C317" s="89"/>
      <c r="D317" s="85"/>
      <c r="E317" s="85"/>
      <c r="F317" s="90"/>
      <c r="G317" s="91"/>
      <c r="H317" s="91"/>
      <c r="I317" s="91"/>
      <c r="J317" s="92"/>
    </row>
    <row r="318" spans="1:10" x14ac:dyDescent="0.25">
      <c r="A318" s="42">
        <v>308</v>
      </c>
      <c r="B318" s="79">
        <v>43440</v>
      </c>
      <c r="C318" s="89"/>
      <c r="D318" s="85"/>
      <c r="E318" s="85"/>
      <c r="F318" s="90"/>
      <c r="G318" s="91"/>
      <c r="H318" s="91"/>
      <c r="I318" s="91"/>
      <c r="J318" s="92"/>
    </row>
    <row r="319" spans="1:10" x14ac:dyDescent="0.25">
      <c r="A319" s="42">
        <v>309</v>
      </c>
      <c r="B319" s="79">
        <v>43441</v>
      </c>
      <c r="C319" s="89"/>
      <c r="D319" s="85"/>
      <c r="E319" s="85"/>
      <c r="F319" s="90"/>
      <c r="G319" s="91"/>
      <c r="H319" s="91"/>
      <c r="I319" s="91"/>
      <c r="J319" s="92"/>
    </row>
    <row r="320" spans="1:10" x14ac:dyDescent="0.25">
      <c r="A320" s="42">
        <v>310</v>
      </c>
      <c r="B320" s="79">
        <v>43442</v>
      </c>
      <c r="C320" s="89"/>
      <c r="D320" s="85"/>
      <c r="E320" s="85"/>
      <c r="F320" s="90"/>
      <c r="G320" s="91"/>
      <c r="H320" s="91"/>
      <c r="I320" s="91"/>
      <c r="J320" s="92"/>
    </row>
    <row r="321" spans="1:10" x14ac:dyDescent="0.25">
      <c r="A321" s="42">
        <v>311</v>
      </c>
      <c r="B321" s="79">
        <v>43443</v>
      </c>
      <c r="C321" s="89"/>
      <c r="D321" s="85"/>
      <c r="E321" s="85"/>
      <c r="F321" s="90"/>
      <c r="G321" s="91"/>
      <c r="H321" s="91"/>
      <c r="I321" s="91"/>
      <c r="J321" s="92"/>
    </row>
    <row r="322" spans="1:10" x14ac:dyDescent="0.25">
      <c r="A322" s="42">
        <v>312</v>
      </c>
      <c r="B322" s="79">
        <v>43444</v>
      </c>
      <c r="C322" s="89"/>
      <c r="D322" s="85"/>
      <c r="E322" s="85"/>
      <c r="F322" s="90"/>
      <c r="G322" s="91"/>
      <c r="H322" s="91"/>
      <c r="I322" s="91"/>
      <c r="J322" s="92"/>
    </row>
    <row r="323" spans="1:10" x14ac:dyDescent="0.25">
      <c r="A323" s="42">
        <v>313</v>
      </c>
      <c r="B323" s="79">
        <v>43445</v>
      </c>
      <c r="C323" s="89"/>
      <c r="D323" s="85"/>
      <c r="E323" s="85"/>
      <c r="F323" s="90"/>
      <c r="G323" s="91"/>
      <c r="H323" s="91"/>
      <c r="I323" s="91"/>
      <c r="J323" s="92"/>
    </row>
    <row r="324" spans="1:10" x14ac:dyDescent="0.25">
      <c r="A324" s="42">
        <v>314</v>
      </c>
      <c r="B324" s="79">
        <v>43446</v>
      </c>
      <c r="C324" s="89"/>
      <c r="D324" s="85"/>
      <c r="E324" s="85"/>
      <c r="F324" s="90"/>
      <c r="G324" s="91"/>
      <c r="H324" s="91"/>
      <c r="I324" s="91"/>
      <c r="J324" s="92"/>
    </row>
    <row r="325" spans="1:10" x14ac:dyDescent="0.25">
      <c r="A325" s="42">
        <v>315</v>
      </c>
      <c r="B325" s="79">
        <v>43447</v>
      </c>
      <c r="C325" s="89"/>
      <c r="D325" s="85"/>
      <c r="E325" s="85"/>
      <c r="F325" s="90"/>
      <c r="G325" s="91"/>
      <c r="H325" s="91"/>
      <c r="I325" s="91"/>
      <c r="J325" s="92"/>
    </row>
    <row r="326" spans="1:10" x14ac:dyDescent="0.25">
      <c r="A326" s="42">
        <v>316</v>
      </c>
      <c r="B326" s="79">
        <v>43448</v>
      </c>
      <c r="C326" s="89"/>
      <c r="D326" s="85"/>
      <c r="E326" s="85"/>
      <c r="F326" s="90"/>
      <c r="G326" s="91"/>
      <c r="H326" s="91"/>
      <c r="I326" s="91"/>
      <c r="J326" s="92"/>
    </row>
    <row r="327" spans="1:10" x14ac:dyDescent="0.25">
      <c r="A327" s="42">
        <v>317</v>
      </c>
      <c r="B327" s="79">
        <v>43449</v>
      </c>
      <c r="C327" s="89"/>
      <c r="D327" s="85"/>
      <c r="E327" s="85"/>
      <c r="F327" s="90"/>
      <c r="G327" s="91"/>
      <c r="H327" s="91"/>
      <c r="I327" s="91"/>
      <c r="J327" s="92"/>
    </row>
    <row r="328" spans="1:10" x14ac:dyDescent="0.25">
      <c r="A328" s="42">
        <v>318</v>
      </c>
      <c r="B328" s="79">
        <v>43450</v>
      </c>
      <c r="C328" s="89"/>
      <c r="D328" s="85"/>
      <c r="E328" s="85"/>
      <c r="F328" s="90"/>
      <c r="G328" s="91"/>
      <c r="H328" s="91"/>
      <c r="I328" s="91"/>
      <c r="J328" s="92"/>
    </row>
    <row r="329" spans="1:10" x14ac:dyDescent="0.25">
      <c r="A329" s="42">
        <v>319</v>
      </c>
      <c r="B329" s="79">
        <v>43451</v>
      </c>
      <c r="C329" s="89"/>
      <c r="D329" s="85"/>
      <c r="E329" s="85"/>
      <c r="F329" s="90"/>
      <c r="G329" s="91"/>
      <c r="H329" s="91"/>
      <c r="I329" s="91"/>
      <c r="J329" s="92"/>
    </row>
    <row r="330" spans="1:10" x14ac:dyDescent="0.25">
      <c r="A330" s="42">
        <v>320</v>
      </c>
      <c r="B330" s="79">
        <v>43452</v>
      </c>
      <c r="C330" s="89"/>
      <c r="D330" s="85"/>
      <c r="E330" s="85"/>
      <c r="F330" s="90"/>
      <c r="G330" s="91"/>
      <c r="H330" s="91"/>
      <c r="I330" s="91"/>
      <c r="J330" s="92"/>
    </row>
    <row r="331" spans="1:10" x14ac:dyDescent="0.25">
      <c r="A331" s="42">
        <v>321</v>
      </c>
      <c r="B331" s="79">
        <v>43453</v>
      </c>
      <c r="C331" s="89"/>
      <c r="D331" s="85"/>
      <c r="E331" s="85"/>
      <c r="F331" s="90"/>
      <c r="G331" s="91"/>
      <c r="H331" s="91"/>
      <c r="I331" s="91"/>
      <c r="J331" s="92"/>
    </row>
    <row r="332" spans="1:10" x14ac:dyDescent="0.25">
      <c r="A332" s="42">
        <v>322</v>
      </c>
      <c r="B332" s="79">
        <v>43454</v>
      </c>
      <c r="C332" s="89"/>
      <c r="D332" s="85"/>
      <c r="E332" s="85"/>
      <c r="F332" s="90"/>
      <c r="G332" s="91"/>
      <c r="H332" s="91"/>
      <c r="I332" s="91"/>
      <c r="J332" s="92"/>
    </row>
    <row r="333" spans="1:10" x14ac:dyDescent="0.25">
      <c r="A333" s="42">
        <v>323</v>
      </c>
      <c r="B333" s="79">
        <v>43455</v>
      </c>
      <c r="C333" s="89"/>
      <c r="D333" s="85"/>
      <c r="E333" s="85"/>
      <c r="F333" s="90"/>
      <c r="G333" s="91"/>
      <c r="H333" s="91"/>
      <c r="I333" s="91"/>
      <c r="J333" s="92"/>
    </row>
    <row r="334" spans="1:10" x14ac:dyDescent="0.25">
      <c r="A334" s="42">
        <v>324</v>
      </c>
      <c r="B334" s="79">
        <v>43456</v>
      </c>
      <c r="C334" s="89"/>
      <c r="D334" s="85"/>
      <c r="E334" s="85"/>
      <c r="F334" s="90"/>
      <c r="G334" s="91"/>
      <c r="H334" s="91"/>
      <c r="I334" s="91"/>
      <c r="J334" s="92"/>
    </row>
    <row r="335" spans="1:10" x14ac:dyDescent="0.25">
      <c r="A335" s="42">
        <v>325</v>
      </c>
      <c r="B335" s="79">
        <v>43457</v>
      </c>
      <c r="C335" s="89"/>
      <c r="D335" s="85"/>
      <c r="E335" s="85"/>
      <c r="F335" s="90"/>
      <c r="G335" s="91"/>
      <c r="H335" s="91"/>
      <c r="I335" s="91"/>
      <c r="J335" s="92"/>
    </row>
    <row r="336" spans="1:10" x14ac:dyDescent="0.25">
      <c r="A336" s="42">
        <v>326</v>
      </c>
      <c r="B336" s="79">
        <v>43458</v>
      </c>
      <c r="C336" s="89"/>
      <c r="D336" s="85"/>
      <c r="E336" s="85"/>
      <c r="F336" s="90"/>
      <c r="G336" s="91"/>
      <c r="H336" s="91"/>
      <c r="I336" s="91"/>
      <c r="J336" s="92"/>
    </row>
    <row r="337" spans="1:10" x14ac:dyDescent="0.25">
      <c r="A337" s="42">
        <v>327</v>
      </c>
      <c r="B337" s="79">
        <v>43459</v>
      </c>
      <c r="C337" s="89"/>
      <c r="D337" s="85"/>
      <c r="E337" s="85"/>
      <c r="F337" s="90"/>
      <c r="G337" s="91"/>
      <c r="H337" s="91"/>
      <c r="I337" s="91"/>
      <c r="J337" s="92"/>
    </row>
    <row r="338" spans="1:10" x14ac:dyDescent="0.25">
      <c r="A338" s="42">
        <v>328</v>
      </c>
      <c r="B338" s="79">
        <v>43460</v>
      </c>
      <c r="C338" s="89"/>
      <c r="D338" s="85"/>
      <c r="E338" s="85"/>
      <c r="F338" s="90"/>
      <c r="G338" s="91"/>
      <c r="H338" s="91"/>
      <c r="I338" s="91"/>
      <c r="J338" s="92"/>
    </row>
    <row r="339" spans="1:10" x14ac:dyDescent="0.25">
      <c r="A339" s="42">
        <v>329</v>
      </c>
      <c r="B339" s="79">
        <v>43461</v>
      </c>
      <c r="C339" s="89"/>
      <c r="D339" s="85"/>
      <c r="E339" s="85"/>
      <c r="F339" s="90"/>
      <c r="G339" s="91"/>
      <c r="H339" s="91"/>
      <c r="I339" s="91"/>
      <c r="J339" s="92"/>
    </row>
    <row r="340" spans="1:10" x14ac:dyDescent="0.25">
      <c r="A340" s="42">
        <v>330</v>
      </c>
      <c r="B340" s="79">
        <v>43462</v>
      </c>
      <c r="C340" s="89"/>
      <c r="D340" s="85"/>
      <c r="E340" s="85"/>
      <c r="F340" s="90"/>
      <c r="G340" s="91"/>
      <c r="H340" s="91"/>
      <c r="I340" s="91"/>
      <c r="J340" s="92"/>
    </row>
    <row r="341" spans="1:10" x14ac:dyDescent="0.25">
      <c r="A341" s="42">
        <v>331</v>
      </c>
      <c r="B341" s="79">
        <v>43463</v>
      </c>
      <c r="C341" s="89"/>
      <c r="D341" s="85"/>
      <c r="E341" s="85"/>
      <c r="F341" s="90"/>
      <c r="G341" s="91"/>
      <c r="H341" s="91"/>
      <c r="I341" s="91"/>
      <c r="J341" s="92"/>
    </row>
    <row r="342" spans="1:10" x14ac:dyDescent="0.25">
      <c r="A342" s="42">
        <v>332</v>
      </c>
      <c r="B342" s="79">
        <v>43464</v>
      </c>
      <c r="C342" s="89"/>
      <c r="D342" s="85"/>
      <c r="E342" s="85"/>
      <c r="F342" s="90"/>
      <c r="G342" s="91"/>
      <c r="H342" s="91"/>
      <c r="I342" s="91"/>
      <c r="J342" s="92"/>
    </row>
    <row r="343" spans="1:10" x14ac:dyDescent="0.25">
      <c r="A343" s="42">
        <v>333</v>
      </c>
      <c r="B343" s="79">
        <v>43465</v>
      </c>
      <c r="C343" s="89"/>
      <c r="D343" s="85"/>
      <c r="E343" s="85"/>
      <c r="F343" s="90"/>
      <c r="G343" s="91"/>
      <c r="H343" s="91"/>
      <c r="I343" s="91"/>
      <c r="J343" s="92"/>
    </row>
    <row r="344" spans="1:10" x14ac:dyDescent="0.25">
      <c r="A344" s="42">
        <v>334</v>
      </c>
      <c r="B344" s="79">
        <v>43466</v>
      </c>
      <c r="C344" s="89"/>
      <c r="D344" s="85"/>
      <c r="E344" s="85"/>
      <c r="F344" s="90"/>
      <c r="G344" s="91"/>
      <c r="H344" s="91"/>
      <c r="I344" s="91"/>
      <c r="J344" s="92"/>
    </row>
    <row r="345" spans="1:10" x14ac:dyDescent="0.25">
      <c r="A345" s="42">
        <v>335</v>
      </c>
      <c r="B345" s="79">
        <v>43467</v>
      </c>
      <c r="C345" s="89"/>
      <c r="D345" s="85"/>
      <c r="E345" s="85"/>
      <c r="F345" s="90"/>
      <c r="G345" s="91"/>
      <c r="H345" s="91"/>
      <c r="I345" s="91"/>
      <c r="J345" s="92"/>
    </row>
    <row r="346" spans="1:10" x14ac:dyDescent="0.25">
      <c r="A346" s="42">
        <v>336</v>
      </c>
      <c r="B346" s="79">
        <v>43468</v>
      </c>
      <c r="C346" s="89"/>
      <c r="D346" s="85"/>
      <c r="E346" s="85"/>
      <c r="F346" s="90"/>
      <c r="G346" s="91"/>
      <c r="H346" s="91"/>
      <c r="I346" s="91"/>
      <c r="J346" s="92"/>
    </row>
    <row r="347" spans="1:10" x14ac:dyDescent="0.25">
      <c r="A347" s="42">
        <v>337</v>
      </c>
      <c r="B347" s="79">
        <v>43469</v>
      </c>
      <c r="C347" s="89"/>
      <c r="D347" s="85"/>
      <c r="E347" s="85"/>
      <c r="F347" s="90"/>
      <c r="G347" s="91"/>
      <c r="H347" s="91"/>
      <c r="I347" s="91"/>
      <c r="J347" s="92"/>
    </row>
    <row r="348" spans="1:10" x14ac:dyDescent="0.25">
      <c r="A348" s="42">
        <v>338</v>
      </c>
      <c r="B348" s="79">
        <v>43470</v>
      </c>
      <c r="C348" s="89"/>
      <c r="D348" s="85"/>
      <c r="E348" s="85"/>
      <c r="F348" s="90"/>
      <c r="G348" s="91"/>
      <c r="H348" s="91"/>
      <c r="I348" s="91"/>
      <c r="J348" s="92"/>
    </row>
    <row r="349" spans="1:10" x14ac:dyDescent="0.25">
      <c r="A349" s="42">
        <v>339</v>
      </c>
      <c r="B349" s="79">
        <v>43471</v>
      </c>
      <c r="C349" s="89"/>
      <c r="D349" s="85"/>
      <c r="E349" s="85"/>
      <c r="F349" s="90"/>
      <c r="G349" s="91"/>
      <c r="H349" s="91"/>
      <c r="I349" s="91"/>
      <c r="J349" s="92"/>
    </row>
    <row r="350" spans="1:10" x14ac:dyDescent="0.25">
      <c r="A350" s="42">
        <v>340</v>
      </c>
      <c r="B350" s="79">
        <v>43472</v>
      </c>
      <c r="C350" s="89"/>
      <c r="D350" s="85"/>
      <c r="E350" s="85"/>
      <c r="F350" s="90"/>
      <c r="G350" s="91"/>
      <c r="H350" s="91"/>
      <c r="I350" s="91"/>
      <c r="J350" s="92"/>
    </row>
    <row r="351" spans="1:10" x14ac:dyDescent="0.25">
      <c r="A351" s="42">
        <v>341</v>
      </c>
      <c r="B351" s="79">
        <v>43473</v>
      </c>
      <c r="C351" s="89"/>
      <c r="D351" s="85"/>
      <c r="E351" s="85"/>
      <c r="F351" s="90"/>
      <c r="G351" s="91"/>
      <c r="H351" s="91"/>
      <c r="I351" s="91"/>
      <c r="J351" s="92"/>
    </row>
    <row r="352" spans="1:10" x14ac:dyDescent="0.25">
      <c r="A352" s="42">
        <v>342</v>
      </c>
      <c r="B352" s="79">
        <v>43474</v>
      </c>
      <c r="C352" s="89"/>
      <c r="D352" s="85"/>
      <c r="E352" s="85"/>
      <c r="F352" s="90"/>
      <c r="G352" s="91"/>
      <c r="H352" s="91"/>
      <c r="I352" s="91"/>
      <c r="J352" s="92"/>
    </row>
    <row r="353" spans="1:10" x14ac:dyDescent="0.25">
      <c r="A353" s="42">
        <v>343</v>
      </c>
      <c r="B353" s="79">
        <v>43475</v>
      </c>
      <c r="C353" s="89"/>
      <c r="D353" s="85"/>
      <c r="E353" s="85"/>
      <c r="F353" s="90"/>
      <c r="G353" s="91"/>
      <c r="H353" s="91"/>
      <c r="I353" s="91"/>
      <c r="J353" s="92"/>
    </row>
    <row r="354" spans="1:10" x14ac:dyDescent="0.25">
      <c r="A354" s="42">
        <v>344</v>
      </c>
      <c r="B354" s="79">
        <v>43476</v>
      </c>
      <c r="C354" s="89"/>
      <c r="D354" s="85"/>
      <c r="E354" s="85"/>
      <c r="F354" s="90"/>
      <c r="G354" s="91"/>
      <c r="H354" s="91"/>
      <c r="I354" s="91"/>
      <c r="J354" s="92"/>
    </row>
    <row r="355" spans="1:10" x14ac:dyDescent="0.25">
      <c r="A355" s="42">
        <v>345</v>
      </c>
      <c r="B355" s="79">
        <v>43477</v>
      </c>
      <c r="C355" s="89"/>
      <c r="D355" s="85"/>
      <c r="E355" s="85"/>
      <c r="F355" s="90"/>
      <c r="G355" s="91"/>
      <c r="H355" s="91"/>
      <c r="I355" s="91"/>
      <c r="J355" s="92"/>
    </row>
    <row r="356" spans="1:10" x14ac:dyDescent="0.25">
      <c r="A356" s="42">
        <v>346</v>
      </c>
      <c r="B356" s="79">
        <v>43478</v>
      </c>
      <c r="C356" s="89"/>
      <c r="D356" s="85"/>
      <c r="E356" s="85"/>
      <c r="F356" s="90"/>
      <c r="G356" s="91"/>
      <c r="H356" s="91"/>
      <c r="I356" s="91"/>
      <c r="J356" s="92"/>
    </row>
    <row r="357" spans="1:10" x14ac:dyDescent="0.25">
      <c r="A357" s="42">
        <v>347</v>
      </c>
      <c r="B357" s="79">
        <v>43479</v>
      </c>
      <c r="C357" s="89"/>
      <c r="D357" s="85"/>
      <c r="E357" s="85"/>
      <c r="F357" s="90"/>
      <c r="G357" s="91"/>
      <c r="H357" s="91"/>
      <c r="I357" s="91"/>
      <c r="J357" s="92"/>
    </row>
    <row r="358" spans="1:10" x14ac:dyDescent="0.25">
      <c r="A358" s="42">
        <v>348</v>
      </c>
      <c r="B358" s="79">
        <v>43480</v>
      </c>
      <c r="C358" s="89"/>
      <c r="D358" s="85"/>
      <c r="E358" s="85"/>
      <c r="F358" s="90"/>
      <c r="G358" s="91"/>
      <c r="H358" s="91"/>
      <c r="I358" s="91"/>
      <c r="J358" s="92"/>
    </row>
    <row r="359" spans="1:10" x14ac:dyDescent="0.25">
      <c r="A359" s="42">
        <v>349</v>
      </c>
      <c r="B359" s="79">
        <v>43481</v>
      </c>
      <c r="C359" s="89"/>
      <c r="D359" s="85"/>
      <c r="E359" s="85"/>
      <c r="F359" s="90"/>
      <c r="G359" s="91"/>
      <c r="H359" s="91"/>
      <c r="I359" s="91"/>
      <c r="J359" s="92"/>
    </row>
    <row r="360" spans="1:10" x14ac:dyDescent="0.25">
      <c r="A360" s="42">
        <v>350</v>
      </c>
      <c r="B360" s="79">
        <v>43482</v>
      </c>
      <c r="C360" s="89"/>
      <c r="D360" s="85"/>
      <c r="E360" s="85"/>
      <c r="F360" s="90"/>
      <c r="G360" s="91"/>
      <c r="H360" s="91"/>
      <c r="I360" s="91"/>
      <c r="J360" s="92"/>
    </row>
    <row r="361" spans="1:10" x14ac:dyDescent="0.25">
      <c r="A361" s="42">
        <v>351</v>
      </c>
      <c r="B361" s="79">
        <v>43483</v>
      </c>
      <c r="C361" s="89"/>
      <c r="D361" s="85"/>
      <c r="E361" s="85"/>
      <c r="F361" s="90"/>
      <c r="G361" s="91"/>
      <c r="H361" s="91"/>
      <c r="I361" s="91"/>
      <c r="J361" s="92"/>
    </row>
    <row r="362" spans="1:10" x14ac:dyDescent="0.25">
      <c r="A362" s="42">
        <v>352</v>
      </c>
      <c r="B362" s="79">
        <v>43484</v>
      </c>
      <c r="C362" s="89"/>
      <c r="D362" s="85"/>
      <c r="E362" s="85"/>
      <c r="F362" s="90"/>
      <c r="G362" s="91"/>
      <c r="H362" s="91"/>
      <c r="I362" s="91"/>
      <c r="J362" s="92"/>
    </row>
    <row r="363" spans="1:10" x14ac:dyDescent="0.25">
      <c r="A363" s="42">
        <v>353</v>
      </c>
      <c r="B363" s="79">
        <v>43485</v>
      </c>
      <c r="C363" s="89"/>
      <c r="D363" s="85"/>
      <c r="E363" s="85"/>
      <c r="F363" s="90"/>
      <c r="G363" s="91"/>
      <c r="H363" s="91"/>
      <c r="I363" s="91"/>
      <c r="J363" s="92"/>
    </row>
    <row r="364" spans="1:10" x14ac:dyDescent="0.25">
      <c r="A364" s="42">
        <v>354</v>
      </c>
      <c r="B364" s="79">
        <v>43486</v>
      </c>
      <c r="C364" s="89"/>
      <c r="D364" s="85"/>
      <c r="E364" s="85"/>
      <c r="F364" s="90"/>
      <c r="G364" s="91"/>
      <c r="H364" s="91"/>
      <c r="I364" s="91"/>
      <c r="J364" s="92"/>
    </row>
    <row r="365" spans="1:10" x14ac:dyDescent="0.25">
      <c r="A365" s="42">
        <v>355</v>
      </c>
      <c r="B365" s="79">
        <v>43487</v>
      </c>
      <c r="C365" s="89"/>
      <c r="D365" s="85"/>
      <c r="E365" s="85"/>
      <c r="F365" s="90"/>
      <c r="G365" s="91"/>
      <c r="H365" s="91"/>
      <c r="I365" s="91"/>
      <c r="J365" s="92"/>
    </row>
    <row r="366" spans="1:10" x14ac:dyDescent="0.25">
      <c r="A366" s="42">
        <v>356</v>
      </c>
      <c r="B366" s="79">
        <v>43488</v>
      </c>
      <c r="C366" s="89"/>
      <c r="D366" s="85"/>
      <c r="E366" s="85"/>
      <c r="F366" s="90"/>
      <c r="G366" s="91"/>
      <c r="H366" s="91"/>
      <c r="I366" s="91"/>
      <c r="J366" s="92"/>
    </row>
    <row r="367" spans="1:10" x14ac:dyDescent="0.25">
      <c r="A367" s="42">
        <v>357</v>
      </c>
      <c r="B367" s="79">
        <v>43489</v>
      </c>
      <c r="C367" s="89"/>
      <c r="D367" s="85"/>
      <c r="E367" s="85"/>
      <c r="F367" s="90"/>
      <c r="G367" s="91"/>
      <c r="H367" s="91"/>
      <c r="I367" s="91"/>
      <c r="J367" s="92"/>
    </row>
    <row r="368" spans="1:10" x14ac:dyDescent="0.25">
      <c r="A368" s="42">
        <v>358</v>
      </c>
      <c r="B368" s="79">
        <v>43490</v>
      </c>
      <c r="C368" s="89"/>
      <c r="D368" s="85"/>
      <c r="E368" s="85"/>
      <c r="F368" s="90"/>
      <c r="G368" s="91"/>
      <c r="H368" s="91"/>
      <c r="I368" s="91"/>
      <c r="J368" s="92"/>
    </row>
    <row r="369" spans="1:10" x14ac:dyDescent="0.25">
      <c r="A369" s="42">
        <v>359</v>
      </c>
      <c r="B369" s="79">
        <v>43491</v>
      </c>
      <c r="C369" s="89"/>
      <c r="D369" s="85"/>
      <c r="E369" s="85"/>
      <c r="F369" s="90"/>
      <c r="G369" s="91"/>
      <c r="H369" s="91"/>
      <c r="I369" s="91"/>
      <c r="J369" s="92"/>
    </row>
    <row r="370" spans="1:10" x14ac:dyDescent="0.25">
      <c r="A370" s="42">
        <v>360</v>
      </c>
      <c r="B370" s="79">
        <v>43492</v>
      </c>
      <c r="C370" s="89"/>
      <c r="D370" s="85"/>
      <c r="E370" s="85"/>
      <c r="F370" s="90"/>
      <c r="G370" s="91"/>
      <c r="H370" s="91"/>
      <c r="I370" s="91"/>
      <c r="J370" s="92"/>
    </row>
    <row r="371" spans="1:10" x14ac:dyDescent="0.25">
      <c r="A371" s="42">
        <v>361</v>
      </c>
      <c r="B371" s="79">
        <v>43493</v>
      </c>
      <c r="C371" s="89"/>
      <c r="D371" s="85"/>
      <c r="E371" s="85"/>
      <c r="F371" s="90"/>
      <c r="G371" s="91"/>
      <c r="H371" s="91"/>
      <c r="I371" s="91"/>
      <c r="J371" s="92"/>
    </row>
    <row r="372" spans="1:10" x14ac:dyDescent="0.25">
      <c r="A372" s="42">
        <v>362</v>
      </c>
      <c r="B372" s="79">
        <v>43494</v>
      </c>
      <c r="C372" s="89"/>
      <c r="D372" s="85"/>
      <c r="E372" s="85"/>
      <c r="F372" s="90"/>
      <c r="G372" s="91"/>
      <c r="H372" s="91"/>
      <c r="I372" s="91"/>
      <c r="J372" s="92"/>
    </row>
    <row r="373" spans="1:10" x14ac:dyDescent="0.25">
      <c r="A373" s="42">
        <v>363</v>
      </c>
      <c r="B373" s="79">
        <v>43495</v>
      </c>
      <c r="C373" s="89"/>
      <c r="D373" s="85"/>
      <c r="E373" s="85"/>
      <c r="F373" s="90"/>
      <c r="G373" s="91"/>
      <c r="H373" s="91"/>
      <c r="I373" s="91"/>
      <c r="J373" s="92"/>
    </row>
    <row r="374" spans="1:10" x14ac:dyDescent="0.25">
      <c r="A374" s="42">
        <v>364</v>
      </c>
      <c r="B374" s="79">
        <v>43496</v>
      </c>
      <c r="C374" s="89"/>
      <c r="D374" s="85"/>
      <c r="E374" s="85"/>
      <c r="F374" s="90"/>
      <c r="G374" s="91"/>
      <c r="H374" s="91"/>
      <c r="I374" s="91"/>
      <c r="J374" s="92"/>
    </row>
    <row r="375" spans="1:10" x14ac:dyDescent="0.25">
      <c r="A375" s="42">
        <v>365</v>
      </c>
      <c r="B375" s="79">
        <v>43497</v>
      </c>
      <c r="C375" s="89"/>
      <c r="D375" s="85"/>
      <c r="E375" s="85"/>
      <c r="F375" s="90"/>
      <c r="G375" s="91"/>
      <c r="H375" s="91"/>
      <c r="I375" s="91"/>
      <c r="J375" s="92"/>
    </row>
    <row r="376" spans="1:10" x14ac:dyDescent="0.25">
      <c r="A376" s="42">
        <v>366</v>
      </c>
      <c r="B376" s="79">
        <v>43498</v>
      </c>
      <c r="C376" s="89"/>
      <c r="D376" s="85"/>
      <c r="E376" s="85"/>
      <c r="F376" s="90"/>
      <c r="G376" s="91"/>
      <c r="H376" s="91"/>
      <c r="I376" s="91"/>
      <c r="J376" s="92"/>
    </row>
    <row r="377" spans="1:10" x14ac:dyDescent="0.25">
      <c r="A377" s="42">
        <v>367</v>
      </c>
      <c r="B377" s="79">
        <v>43499</v>
      </c>
      <c r="C377" s="89"/>
      <c r="D377" s="85"/>
      <c r="E377" s="85"/>
      <c r="F377" s="90"/>
      <c r="G377" s="91"/>
      <c r="H377" s="91"/>
      <c r="I377" s="91"/>
      <c r="J377" s="92"/>
    </row>
    <row r="378" spans="1:10" x14ac:dyDescent="0.25">
      <c r="A378" s="42">
        <v>368</v>
      </c>
      <c r="B378" s="79">
        <v>43500</v>
      </c>
      <c r="C378" s="89"/>
      <c r="D378" s="85"/>
      <c r="E378" s="85"/>
      <c r="F378" s="90"/>
      <c r="G378" s="91"/>
      <c r="H378" s="91"/>
      <c r="I378" s="91"/>
      <c r="J378" s="92"/>
    </row>
    <row r="379" spans="1:10" x14ac:dyDescent="0.25">
      <c r="A379" s="42">
        <v>369</v>
      </c>
      <c r="B379" s="79">
        <v>43501</v>
      </c>
      <c r="C379" s="89"/>
      <c r="D379" s="85"/>
      <c r="E379" s="85"/>
      <c r="F379" s="90"/>
      <c r="G379" s="91"/>
      <c r="H379" s="91"/>
      <c r="I379" s="91"/>
      <c r="J379" s="92"/>
    </row>
    <row r="380" spans="1:10" x14ac:dyDescent="0.25">
      <c r="A380" s="42">
        <v>370</v>
      </c>
      <c r="B380" s="79">
        <v>43502</v>
      </c>
      <c r="C380" s="89"/>
      <c r="D380" s="85"/>
      <c r="E380" s="85"/>
      <c r="F380" s="90"/>
      <c r="G380" s="91"/>
      <c r="H380" s="91"/>
      <c r="I380" s="91"/>
      <c r="J380" s="92"/>
    </row>
    <row r="381" spans="1:10" x14ac:dyDescent="0.25">
      <c r="A381" s="42">
        <v>371</v>
      </c>
      <c r="B381" s="79">
        <v>43503</v>
      </c>
      <c r="C381" s="89"/>
      <c r="D381" s="85"/>
      <c r="E381" s="85"/>
      <c r="F381" s="90"/>
      <c r="G381" s="91"/>
      <c r="H381" s="91"/>
      <c r="I381" s="91"/>
      <c r="J381" s="92"/>
    </row>
    <row r="382" spans="1:10" x14ac:dyDescent="0.25">
      <c r="A382" s="42">
        <v>372</v>
      </c>
      <c r="B382" s="79">
        <v>43504</v>
      </c>
      <c r="C382" s="89"/>
      <c r="D382" s="85"/>
      <c r="E382" s="85"/>
      <c r="F382" s="90"/>
      <c r="G382" s="91"/>
      <c r="H382" s="91"/>
      <c r="I382" s="91"/>
      <c r="J382" s="92"/>
    </row>
    <row r="383" spans="1:10" x14ac:dyDescent="0.25">
      <c r="A383" s="42">
        <v>373</v>
      </c>
      <c r="B383" s="79">
        <v>43505</v>
      </c>
      <c r="C383" s="89"/>
      <c r="D383" s="85"/>
      <c r="E383" s="85"/>
      <c r="F383" s="90"/>
      <c r="G383" s="91"/>
      <c r="H383" s="91"/>
      <c r="I383" s="91"/>
      <c r="J383" s="92"/>
    </row>
    <row r="384" spans="1:10" x14ac:dyDescent="0.25">
      <c r="A384" s="42">
        <v>374</v>
      </c>
      <c r="B384" s="79">
        <v>43506</v>
      </c>
      <c r="C384" s="89"/>
      <c r="D384" s="85"/>
      <c r="E384" s="85"/>
      <c r="F384" s="90"/>
      <c r="G384" s="91"/>
      <c r="H384" s="91"/>
      <c r="I384" s="91"/>
      <c r="J384" s="92"/>
    </row>
    <row r="385" spans="1:10" x14ac:dyDescent="0.25">
      <c r="A385" s="42">
        <v>375</v>
      </c>
      <c r="B385" s="79">
        <v>43507</v>
      </c>
      <c r="C385" s="89"/>
      <c r="D385" s="85"/>
      <c r="E385" s="85"/>
      <c r="F385" s="90"/>
      <c r="G385" s="91"/>
      <c r="H385" s="91"/>
      <c r="I385" s="91"/>
      <c r="J385" s="92"/>
    </row>
    <row r="386" spans="1:10" x14ac:dyDescent="0.25">
      <c r="A386" s="42">
        <v>376</v>
      </c>
      <c r="B386" s="79">
        <v>43508</v>
      </c>
      <c r="C386" s="89"/>
      <c r="D386" s="85"/>
      <c r="E386" s="85"/>
      <c r="F386" s="90"/>
      <c r="G386" s="91"/>
      <c r="H386" s="91"/>
      <c r="I386" s="91"/>
      <c r="J386" s="92"/>
    </row>
    <row r="387" spans="1:10" x14ac:dyDescent="0.25">
      <c r="A387" s="42">
        <v>377</v>
      </c>
      <c r="B387" s="79">
        <v>43509</v>
      </c>
      <c r="C387" s="89"/>
      <c r="D387" s="85"/>
      <c r="E387" s="85"/>
      <c r="F387" s="90"/>
      <c r="G387" s="91"/>
      <c r="H387" s="91"/>
      <c r="I387" s="91"/>
      <c r="J387" s="92"/>
    </row>
    <row r="388" spans="1:10" x14ac:dyDescent="0.25">
      <c r="A388" s="42">
        <v>378</v>
      </c>
      <c r="B388" s="79">
        <v>43510</v>
      </c>
      <c r="C388" s="89"/>
      <c r="D388" s="85"/>
      <c r="E388" s="85"/>
      <c r="F388" s="90"/>
      <c r="G388" s="91"/>
      <c r="H388" s="91"/>
      <c r="I388" s="91"/>
      <c r="J388" s="92"/>
    </row>
    <row r="389" spans="1:10" x14ac:dyDescent="0.25">
      <c r="A389" s="42">
        <v>379</v>
      </c>
      <c r="B389" s="79">
        <v>43511</v>
      </c>
      <c r="C389" s="89"/>
      <c r="D389" s="85"/>
      <c r="E389" s="85"/>
      <c r="F389" s="90"/>
      <c r="G389" s="91"/>
      <c r="H389" s="91"/>
      <c r="I389" s="91"/>
      <c r="J389" s="92"/>
    </row>
    <row r="390" spans="1:10" x14ac:dyDescent="0.25">
      <c r="A390" s="42">
        <v>380</v>
      </c>
      <c r="B390" s="79">
        <v>43512</v>
      </c>
      <c r="C390" s="89"/>
      <c r="D390" s="85"/>
      <c r="E390" s="85"/>
      <c r="F390" s="90"/>
      <c r="G390" s="91"/>
      <c r="H390" s="91"/>
      <c r="I390" s="91"/>
      <c r="J390" s="92"/>
    </row>
    <row r="391" spans="1:10" x14ac:dyDescent="0.25">
      <c r="A391" s="42">
        <v>381</v>
      </c>
      <c r="B391" s="79">
        <v>43513</v>
      </c>
      <c r="C391" s="89"/>
      <c r="D391" s="85"/>
      <c r="E391" s="85"/>
      <c r="F391" s="90"/>
      <c r="G391" s="91"/>
      <c r="H391" s="91"/>
      <c r="I391" s="91"/>
      <c r="J391" s="92"/>
    </row>
    <row r="392" spans="1:10" x14ac:dyDescent="0.25">
      <c r="A392" s="42">
        <v>382</v>
      </c>
      <c r="B392" s="79">
        <v>43514</v>
      </c>
      <c r="C392" s="89"/>
      <c r="D392" s="85"/>
      <c r="E392" s="85"/>
      <c r="F392" s="90"/>
      <c r="G392" s="91"/>
      <c r="H392" s="91"/>
      <c r="I392" s="91"/>
      <c r="J392" s="92"/>
    </row>
    <row r="393" spans="1:10" x14ac:dyDescent="0.25">
      <c r="A393" s="42">
        <v>383</v>
      </c>
      <c r="B393" s="79">
        <v>43515</v>
      </c>
      <c r="C393" s="89"/>
      <c r="D393" s="85"/>
      <c r="E393" s="85"/>
      <c r="F393" s="90"/>
      <c r="G393" s="91"/>
      <c r="H393" s="91"/>
      <c r="I393" s="91"/>
      <c r="J393" s="92"/>
    </row>
    <row r="394" spans="1:10" x14ac:dyDescent="0.25">
      <c r="A394" s="42">
        <v>384</v>
      </c>
      <c r="B394" s="79">
        <v>43516</v>
      </c>
      <c r="C394" s="89"/>
      <c r="D394" s="85"/>
      <c r="E394" s="85"/>
      <c r="F394" s="90"/>
      <c r="G394" s="91"/>
      <c r="H394" s="91"/>
      <c r="I394" s="91"/>
      <c r="J394" s="92"/>
    </row>
    <row r="395" spans="1:10" x14ac:dyDescent="0.25">
      <c r="A395" s="42">
        <v>385</v>
      </c>
      <c r="B395" s="79">
        <v>43517</v>
      </c>
      <c r="C395" s="89"/>
      <c r="D395" s="85"/>
      <c r="E395" s="85"/>
      <c r="F395" s="90"/>
      <c r="G395" s="91"/>
      <c r="H395" s="91"/>
      <c r="I395" s="91"/>
      <c r="J395" s="92"/>
    </row>
    <row r="396" spans="1:10" x14ac:dyDescent="0.25">
      <c r="A396" s="42">
        <v>386</v>
      </c>
      <c r="B396" s="79">
        <v>43518</v>
      </c>
      <c r="C396" s="89"/>
      <c r="D396" s="85"/>
      <c r="E396" s="85"/>
      <c r="F396" s="90"/>
      <c r="G396" s="91"/>
      <c r="H396" s="91"/>
      <c r="I396" s="91"/>
      <c r="J396" s="92"/>
    </row>
    <row r="397" spans="1:10" x14ac:dyDescent="0.25">
      <c r="A397" s="42">
        <v>387</v>
      </c>
      <c r="B397" s="79">
        <v>43519</v>
      </c>
      <c r="C397" s="89"/>
      <c r="D397" s="85"/>
      <c r="E397" s="85"/>
      <c r="F397" s="90"/>
      <c r="G397" s="91"/>
      <c r="H397" s="91"/>
      <c r="I397" s="91"/>
      <c r="J397" s="92"/>
    </row>
    <row r="398" spans="1:10" x14ac:dyDescent="0.25">
      <c r="A398" s="42">
        <v>388</v>
      </c>
      <c r="B398" s="79">
        <v>43520</v>
      </c>
      <c r="C398" s="89"/>
      <c r="D398" s="85"/>
      <c r="E398" s="85"/>
      <c r="F398" s="90"/>
      <c r="G398" s="91"/>
      <c r="H398" s="91"/>
      <c r="I398" s="91"/>
      <c r="J398" s="92"/>
    </row>
    <row r="399" spans="1:10" x14ac:dyDescent="0.25">
      <c r="A399" s="42">
        <v>389</v>
      </c>
      <c r="B399" s="79">
        <v>43521</v>
      </c>
      <c r="C399" s="89"/>
      <c r="D399" s="85"/>
      <c r="E399" s="85"/>
      <c r="F399" s="90"/>
      <c r="G399" s="91"/>
      <c r="H399" s="91"/>
      <c r="I399" s="91"/>
      <c r="J399" s="92"/>
    </row>
    <row r="400" spans="1:10" x14ac:dyDescent="0.25">
      <c r="A400" s="42">
        <v>390</v>
      </c>
      <c r="B400" s="79">
        <v>43522</v>
      </c>
      <c r="C400" s="89"/>
      <c r="D400" s="85"/>
      <c r="E400" s="85"/>
      <c r="F400" s="90"/>
      <c r="G400" s="91"/>
      <c r="H400" s="91"/>
      <c r="I400" s="91"/>
      <c r="J400" s="92"/>
    </row>
    <row r="401" spans="1:10" x14ac:dyDescent="0.25">
      <c r="A401" s="42">
        <v>391</v>
      </c>
      <c r="B401" s="79">
        <v>43523</v>
      </c>
      <c r="C401" s="89"/>
      <c r="D401" s="85"/>
      <c r="E401" s="85"/>
      <c r="F401" s="90"/>
      <c r="G401" s="91"/>
      <c r="H401" s="91"/>
      <c r="I401" s="91"/>
      <c r="J401" s="92"/>
    </row>
    <row r="402" spans="1:10" x14ac:dyDescent="0.25">
      <c r="A402" s="42">
        <v>392</v>
      </c>
      <c r="B402" s="79">
        <v>43524</v>
      </c>
      <c r="C402" s="89"/>
      <c r="D402" s="85"/>
      <c r="E402" s="85"/>
      <c r="F402" s="90"/>
      <c r="G402" s="91"/>
      <c r="H402" s="91"/>
      <c r="I402" s="91"/>
      <c r="J402" s="92"/>
    </row>
    <row r="403" spans="1:10" x14ac:dyDescent="0.25">
      <c r="A403" s="42">
        <v>393</v>
      </c>
      <c r="B403" s="79">
        <v>43525</v>
      </c>
      <c r="C403" s="89"/>
      <c r="D403" s="85"/>
      <c r="E403" s="85"/>
      <c r="F403" s="90"/>
      <c r="G403" s="91"/>
      <c r="H403" s="91"/>
      <c r="I403" s="91"/>
      <c r="J403" s="92"/>
    </row>
    <row r="404" spans="1:10" x14ac:dyDescent="0.25">
      <c r="A404" s="42">
        <v>394</v>
      </c>
      <c r="B404" s="79">
        <v>43526</v>
      </c>
      <c r="C404" s="89"/>
      <c r="D404" s="85"/>
      <c r="E404" s="85"/>
      <c r="F404" s="90"/>
      <c r="G404" s="91"/>
      <c r="H404" s="91"/>
      <c r="I404" s="91"/>
      <c r="J404" s="92"/>
    </row>
    <row r="405" spans="1:10" x14ac:dyDescent="0.25">
      <c r="A405" s="42">
        <v>395</v>
      </c>
      <c r="B405" s="79">
        <v>43527</v>
      </c>
      <c r="C405" s="89"/>
      <c r="D405" s="85"/>
      <c r="E405" s="85"/>
      <c r="F405" s="90"/>
      <c r="G405" s="91"/>
      <c r="H405" s="91"/>
      <c r="I405" s="91"/>
      <c r="J405" s="92"/>
    </row>
    <row r="406" spans="1:10" x14ac:dyDescent="0.25">
      <c r="A406" s="42">
        <v>396</v>
      </c>
      <c r="B406" s="79">
        <v>43528</v>
      </c>
      <c r="C406" s="89"/>
      <c r="D406" s="85"/>
      <c r="E406" s="85"/>
      <c r="F406" s="90"/>
      <c r="G406" s="91"/>
      <c r="H406" s="91"/>
      <c r="I406" s="91"/>
      <c r="J406" s="92"/>
    </row>
    <row r="407" spans="1:10" x14ac:dyDescent="0.25">
      <c r="A407" s="42">
        <v>397</v>
      </c>
      <c r="B407" s="79">
        <v>43529</v>
      </c>
      <c r="C407" s="89"/>
      <c r="D407" s="85"/>
      <c r="E407" s="85"/>
      <c r="F407" s="90"/>
      <c r="G407" s="91"/>
      <c r="H407" s="91"/>
      <c r="I407" s="91"/>
      <c r="J407" s="92"/>
    </row>
    <row r="408" spans="1:10" x14ac:dyDescent="0.25">
      <c r="A408" s="42">
        <v>398</v>
      </c>
      <c r="B408" s="79">
        <v>43530</v>
      </c>
      <c r="C408" s="89"/>
      <c r="D408" s="85"/>
      <c r="E408" s="85"/>
      <c r="F408" s="90"/>
      <c r="G408" s="91"/>
      <c r="H408" s="91"/>
      <c r="I408" s="91"/>
      <c r="J408" s="92"/>
    </row>
    <row r="409" spans="1:10" x14ac:dyDescent="0.25">
      <c r="A409" s="42">
        <v>399</v>
      </c>
      <c r="B409" s="79">
        <v>43531</v>
      </c>
      <c r="C409" s="89"/>
      <c r="D409" s="85"/>
      <c r="E409" s="85"/>
      <c r="F409" s="90"/>
      <c r="G409" s="91"/>
      <c r="H409" s="91"/>
      <c r="I409" s="91"/>
      <c r="J409" s="92"/>
    </row>
    <row r="410" spans="1:10" x14ac:dyDescent="0.25">
      <c r="A410" s="42">
        <v>400</v>
      </c>
      <c r="B410" s="79">
        <v>43532</v>
      </c>
      <c r="C410" s="89"/>
      <c r="D410" s="85"/>
      <c r="E410" s="85"/>
      <c r="F410" s="90"/>
      <c r="G410" s="91"/>
      <c r="H410" s="91"/>
      <c r="I410" s="91"/>
      <c r="J410" s="92"/>
    </row>
    <row r="411" spans="1:10" x14ac:dyDescent="0.25">
      <c r="A411" s="42">
        <v>401</v>
      </c>
      <c r="B411" s="79">
        <v>43533</v>
      </c>
      <c r="C411" s="89"/>
      <c r="D411" s="85"/>
      <c r="E411" s="85"/>
      <c r="F411" s="90"/>
      <c r="G411" s="91"/>
      <c r="H411" s="91"/>
      <c r="I411" s="91"/>
      <c r="J411" s="92"/>
    </row>
    <row r="412" spans="1:10" x14ac:dyDescent="0.25">
      <c r="A412" s="42">
        <v>402</v>
      </c>
      <c r="B412" s="79">
        <v>43534</v>
      </c>
      <c r="C412" s="89"/>
      <c r="D412" s="85"/>
      <c r="E412" s="85"/>
      <c r="F412" s="90"/>
      <c r="G412" s="91"/>
      <c r="H412" s="91"/>
      <c r="I412" s="91"/>
      <c r="J412" s="92"/>
    </row>
    <row r="413" spans="1:10" x14ac:dyDescent="0.25">
      <c r="A413" s="42">
        <v>403</v>
      </c>
      <c r="B413" s="79">
        <v>43535</v>
      </c>
      <c r="C413" s="89"/>
      <c r="D413" s="85"/>
      <c r="E413" s="85"/>
      <c r="F413" s="90"/>
      <c r="G413" s="91"/>
      <c r="H413" s="91"/>
      <c r="I413" s="91"/>
      <c r="J413" s="92"/>
    </row>
    <row r="414" spans="1:10" x14ac:dyDescent="0.25">
      <c r="A414" s="42">
        <v>404</v>
      </c>
      <c r="B414" s="79">
        <v>43536</v>
      </c>
      <c r="C414" s="89"/>
      <c r="D414" s="85"/>
      <c r="E414" s="85"/>
      <c r="F414" s="90"/>
      <c r="G414" s="91"/>
      <c r="H414" s="91"/>
      <c r="I414" s="91"/>
      <c r="J414" s="92"/>
    </row>
    <row r="415" spans="1:10" x14ac:dyDescent="0.25">
      <c r="A415" s="42">
        <v>405</v>
      </c>
      <c r="B415" s="79">
        <v>43537</v>
      </c>
      <c r="C415" s="89"/>
      <c r="D415" s="85"/>
      <c r="E415" s="85"/>
      <c r="F415" s="90"/>
      <c r="G415" s="91"/>
      <c r="H415" s="91"/>
      <c r="I415" s="91"/>
      <c r="J415" s="92"/>
    </row>
    <row r="416" spans="1:10" x14ac:dyDescent="0.25">
      <c r="A416" s="42">
        <v>406</v>
      </c>
      <c r="B416" s="79">
        <v>43538</v>
      </c>
      <c r="C416" s="89"/>
      <c r="D416" s="85"/>
      <c r="E416" s="85"/>
      <c r="F416" s="90"/>
      <c r="G416" s="91"/>
      <c r="H416" s="91"/>
      <c r="I416" s="91"/>
      <c r="J416" s="92"/>
    </row>
    <row r="417" spans="1:10" x14ac:dyDescent="0.25">
      <c r="A417" s="42">
        <v>407</v>
      </c>
      <c r="B417" s="79">
        <v>43539</v>
      </c>
      <c r="C417" s="89"/>
      <c r="D417" s="85"/>
      <c r="E417" s="85"/>
      <c r="F417" s="90"/>
      <c r="G417" s="91"/>
      <c r="H417" s="91"/>
      <c r="I417" s="91"/>
      <c r="J417" s="92"/>
    </row>
    <row r="418" spans="1:10" x14ac:dyDescent="0.25">
      <c r="A418" s="42">
        <v>408</v>
      </c>
      <c r="B418" s="79">
        <v>43540</v>
      </c>
      <c r="C418" s="89"/>
      <c r="D418" s="85"/>
      <c r="E418" s="85"/>
      <c r="F418" s="90"/>
      <c r="G418" s="91"/>
      <c r="H418" s="91"/>
      <c r="I418" s="91"/>
      <c r="J418" s="92"/>
    </row>
    <row r="419" spans="1:10" x14ac:dyDescent="0.25">
      <c r="A419" s="42">
        <v>409</v>
      </c>
      <c r="B419" s="79">
        <v>43541</v>
      </c>
      <c r="C419" s="89"/>
      <c r="D419" s="85"/>
      <c r="E419" s="85"/>
      <c r="F419" s="90"/>
      <c r="G419" s="91"/>
      <c r="H419" s="91"/>
      <c r="I419" s="91"/>
      <c r="J419" s="92"/>
    </row>
    <row r="420" spans="1:10" x14ac:dyDescent="0.25">
      <c r="A420" s="42">
        <v>410</v>
      </c>
      <c r="B420" s="79">
        <v>43542</v>
      </c>
      <c r="C420" s="89"/>
      <c r="D420" s="85"/>
      <c r="E420" s="85"/>
      <c r="F420" s="90"/>
      <c r="G420" s="91"/>
      <c r="H420" s="91"/>
      <c r="I420" s="91"/>
      <c r="J420" s="92"/>
    </row>
    <row r="421" spans="1:10" x14ac:dyDescent="0.25">
      <c r="A421" s="42">
        <v>411</v>
      </c>
      <c r="B421" s="79">
        <v>43543</v>
      </c>
      <c r="C421" s="89"/>
      <c r="D421" s="85"/>
      <c r="E421" s="85"/>
      <c r="F421" s="90"/>
      <c r="G421" s="91"/>
      <c r="H421" s="91"/>
      <c r="I421" s="91"/>
      <c r="J421" s="92"/>
    </row>
    <row r="422" spans="1:10" x14ac:dyDescent="0.25">
      <c r="A422" s="42">
        <v>412</v>
      </c>
      <c r="B422" s="79">
        <v>43544</v>
      </c>
      <c r="C422" s="89"/>
      <c r="D422" s="85"/>
      <c r="E422" s="85"/>
      <c r="F422" s="90"/>
      <c r="G422" s="91"/>
      <c r="H422" s="91"/>
      <c r="I422" s="91"/>
      <c r="J422" s="92"/>
    </row>
    <row r="423" spans="1:10" x14ac:dyDescent="0.25">
      <c r="A423" s="42">
        <v>413</v>
      </c>
      <c r="B423" s="79">
        <v>43545</v>
      </c>
      <c r="C423" s="89"/>
      <c r="D423" s="85"/>
      <c r="E423" s="85"/>
      <c r="F423" s="90"/>
      <c r="G423" s="91"/>
      <c r="H423" s="91"/>
      <c r="I423" s="91"/>
      <c r="J423" s="92"/>
    </row>
    <row r="424" spans="1:10" x14ac:dyDescent="0.25">
      <c r="A424" s="42">
        <v>414</v>
      </c>
      <c r="B424" s="79">
        <v>43546</v>
      </c>
      <c r="C424" s="89"/>
      <c r="D424" s="85"/>
      <c r="E424" s="85"/>
      <c r="F424" s="90"/>
      <c r="G424" s="91"/>
      <c r="H424" s="91"/>
      <c r="I424" s="91"/>
      <c r="J424" s="92"/>
    </row>
    <row r="425" spans="1:10" x14ac:dyDescent="0.25">
      <c r="A425" s="42">
        <v>415</v>
      </c>
      <c r="B425" s="79">
        <v>43547</v>
      </c>
      <c r="C425" s="89"/>
      <c r="D425" s="85"/>
      <c r="E425" s="85"/>
      <c r="F425" s="90"/>
      <c r="G425" s="91"/>
      <c r="H425" s="91"/>
      <c r="I425" s="91"/>
      <c r="J425" s="92"/>
    </row>
    <row r="426" spans="1:10" x14ac:dyDescent="0.25">
      <c r="A426" s="42">
        <v>416</v>
      </c>
      <c r="B426" s="79">
        <v>43548</v>
      </c>
      <c r="C426" s="89"/>
      <c r="D426" s="85"/>
      <c r="E426" s="85"/>
      <c r="F426" s="90"/>
      <c r="G426" s="91"/>
      <c r="H426" s="91"/>
      <c r="I426" s="91"/>
      <c r="J426" s="92"/>
    </row>
    <row r="427" spans="1:10" x14ac:dyDescent="0.25">
      <c r="A427" s="42">
        <v>417</v>
      </c>
      <c r="B427" s="79">
        <v>43549</v>
      </c>
      <c r="C427" s="89"/>
      <c r="D427" s="85"/>
      <c r="E427" s="85"/>
      <c r="F427" s="90"/>
      <c r="G427" s="91"/>
      <c r="H427" s="91"/>
      <c r="I427" s="91"/>
      <c r="J427" s="92"/>
    </row>
    <row r="428" spans="1:10" x14ac:dyDescent="0.25">
      <c r="A428" s="42">
        <v>418</v>
      </c>
      <c r="B428" s="79">
        <v>43550</v>
      </c>
      <c r="C428" s="89"/>
      <c r="D428" s="85"/>
      <c r="E428" s="85"/>
      <c r="F428" s="90"/>
      <c r="G428" s="91"/>
      <c r="H428" s="91"/>
      <c r="I428" s="91"/>
      <c r="J428" s="92"/>
    </row>
    <row r="429" spans="1:10" x14ac:dyDescent="0.25">
      <c r="A429" s="42">
        <v>419</v>
      </c>
      <c r="B429" s="79">
        <v>43551</v>
      </c>
      <c r="C429" s="89"/>
      <c r="D429" s="85"/>
      <c r="E429" s="85"/>
      <c r="F429" s="90"/>
      <c r="G429" s="91"/>
      <c r="H429" s="91"/>
      <c r="I429" s="91"/>
      <c r="J429" s="92"/>
    </row>
    <row r="430" spans="1:10" x14ac:dyDescent="0.25">
      <c r="A430" s="42">
        <v>420</v>
      </c>
      <c r="B430" s="79">
        <v>43552</v>
      </c>
      <c r="C430" s="89"/>
      <c r="D430" s="85"/>
      <c r="E430" s="85"/>
      <c r="F430" s="90"/>
      <c r="G430" s="91"/>
      <c r="H430" s="91"/>
      <c r="I430" s="91"/>
      <c r="J430" s="92"/>
    </row>
    <row r="431" spans="1:10" x14ac:dyDescent="0.25">
      <c r="A431" s="42">
        <v>421</v>
      </c>
      <c r="B431" s="79">
        <v>43553</v>
      </c>
      <c r="C431" s="89"/>
      <c r="D431" s="85"/>
      <c r="E431" s="85"/>
      <c r="F431" s="90"/>
      <c r="G431" s="91"/>
      <c r="H431" s="91"/>
      <c r="I431" s="91"/>
      <c r="J431" s="92"/>
    </row>
    <row r="432" spans="1:10" x14ac:dyDescent="0.25">
      <c r="A432" s="42">
        <v>422</v>
      </c>
      <c r="B432" s="79">
        <v>43554</v>
      </c>
      <c r="C432" s="89"/>
      <c r="D432" s="85"/>
      <c r="E432" s="85"/>
      <c r="F432" s="90"/>
      <c r="G432" s="91"/>
      <c r="H432" s="91"/>
      <c r="I432" s="91"/>
      <c r="J432" s="92"/>
    </row>
    <row r="433" spans="1:10" x14ac:dyDescent="0.25">
      <c r="A433" s="42">
        <v>423</v>
      </c>
      <c r="B433" s="79">
        <v>43555</v>
      </c>
      <c r="C433" s="89"/>
      <c r="D433" s="85"/>
      <c r="E433" s="85"/>
      <c r="F433" s="90"/>
      <c r="G433" s="91"/>
      <c r="H433" s="91"/>
      <c r="I433" s="91"/>
      <c r="J433" s="92"/>
    </row>
    <row r="434" spans="1:10" x14ac:dyDescent="0.25">
      <c r="A434" s="42">
        <v>424</v>
      </c>
      <c r="B434" s="79">
        <v>43556</v>
      </c>
      <c r="C434" s="89"/>
      <c r="D434" s="85"/>
      <c r="E434" s="85"/>
      <c r="F434" s="90"/>
      <c r="G434" s="91"/>
      <c r="H434" s="91"/>
      <c r="I434" s="91"/>
      <c r="J434" s="92"/>
    </row>
    <row r="435" spans="1:10" x14ac:dyDescent="0.25">
      <c r="A435" s="42">
        <v>425</v>
      </c>
      <c r="B435" s="79">
        <v>43557</v>
      </c>
      <c r="C435" s="89"/>
      <c r="D435" s="85"/>
      <c r="E435" s="85"/>
      <c r="F435" s="90"/>
      <c r="G435" s="91"/>
      <c r="H435" s="91"/>
      <c r="I435" s="91"/>
      <c r="J435" s="92"/>
    </row>
    <row r="436" spans="1:10" x14ac:dyDescent="0.25">
      <c r="A436" s="42">
        <v>426</v>
      </c>
      <c r="B436" s="79">
        <v>43558</v>
      </c>
      <c r="C436" s="89"/>
      <c r="D436" s="85"/>
      <c r="E436" s="85"/>
      <c r="F436" s="90"/>
      <c r="G436" s="91"/>
      <c r="H436" s="91"/>
      <c r="I436" s="91"/>
      <c r="J436" s="92"/>
    </row>
    <row r="437" spans="1:10" x14ac:dyDescent="0.25">
      <c r="A437" s="42">
        <v>427</v>
      </c>
      <c r="B437" s="79">
        <v>43559</v>
      </c>
      <c r="C437" s="89"/>
      <c r="D437" s="85"/>
      <c r="E437" s="85"/>
      <c r="F437" s="90"/>
      <c r="G437" s="91"/>
      <c r="H437" s="91"/>
      <c r="I437" s="91"/>
      <c r="J437" s="92"/>
    </row>
    <row r="438" spans="1:10" x14ac:dyDescent="0.25">
      <c r="A438" s="42">
        <v>428</v>
      </c>
      <c r="B438" s="79">
        <v>43560</v>
      </c>
      <c r="C438" s="89"/>
      <c r="D438" s="85"/>
      <c r="E438" s="85"/>
      <c r="F438" s="90"/>
      <c r="G438" s="91"/>
      <c r="H438" s="91"/>
      <c r="I438" s="91"/>
      <c r="J438" s="92"/>
    </row>
    <row r="439" spans="1:10" x14ac:dyDescent="0.25">
      <c r="A439" s="42">
        <v>429</v>
      </c>
      <c r="B439" s="79">
        <v>43561</v>
      </c>
      <c r="C439" s="89"/>
      <c r="D439" s="85"/>
      <c r="E439" s="85"/>
      <c r="F439" s="90"/>
      <c r="G439" s="91"/>
      <c r="H439" s="91"/>
      <c r="I439" s="91"/>
      <c r="J439" s="92"/>
    </row>
    <row r="440" spans="1:10" x14ac:dyDescent="0.25">
      <c r="A440" s="42">
        <v>430</v>
      </c>
      <c r="B440" s="79">
        <v>43562</v>
      </c>
      <c r="C440" s="89"/>
      <c r="D440" s="85"/>
      <c r="E440" s="85"/>
      <c r="F440" s="90"/>
      <c r="G440" s="91"/>
      <c r="H440" s="91"/>
      <c r="I440" s="91"/>
      <c r="J440" s="92"/>
    </row>
    <row r="441" spans="1:10" x14ac:dyDescent="0.25">
      <c r="A441" s="42">
        <v>431</v>
      </c>
      <c r="B441" s="79">
        <v>43563</v>
      </c>
      <c r="C441" s="89"/>
      <c r="D441" s="85"/>
      <c r="E441" s="85"/>
      <c r="F441" s="90"/>
      <c r="G441" s="91"/>
      <c r="H441" s="91"/>
      <c r="I441" s="91"/>
      <c r="J441" s="92"/>
    </row>
    <row r="442" spans="1:10" x14ac:dyDescent="0.25">
      <c r="A442" s="42">
        <v>432</v>
      </c>
      <c r="B442" s="79">
        <v>43564</v>
      </c>
      <c r="C442" s="89"/>
      <c r="D442" s="85"/>
      <c r="E442" s="85"/>
      <c r="F442" s="90"/>
      <c r="G442" s="91"/>
      <c r="H442" s="91"/>
      <c r="I442" s="91"/>
      <c r="J442" s="92"/>
    </row>
    <row r="443" spans="1:10" x14ac:dyDescent="0.25">
      <c r="A443" s="42">
        <v>433</v>
      </c>
      <c r="B443" s="79">
        <v>43565</v>
      </c>
      <c r="C443" s="89"/>
      <c r="D443" s="85"/>
      <c r="E443" s="85"/>
      <c r="F443" s="90"/>
      <c r="G443" s="91"/>
      <c r="H443" s="91"/>
      <c r="I443" s="91"/>
      <c r="J443" s="92"/>
    </row>
    <row r="444" spans="1:10" x14ac:dyDescent="0.25">
      <c r="A444" s="42">
        <v>434</v>
      </c>
      <c r="B444" s="79">
        <v>43566</v>
      </c>
      <c r="C444" s="89"/>
      <c r="D444" s="85"/>
      <c r="E444" s="85"/>
      <c r="F444" s="90"/>
      <c r="G444" s="91"/>
      <c r="H444" s="91"/>
      <c r="I444" s="91"/>
      <c r="J444" s="92"/>
    </row>
    <row r="445" spans="1:10" x14ac:dyDescent="0.25">
      <c r="A445" s="42">
        <v>435</v>
      </c>
      <c r="B445" s="79">
        <v>43567</v>
      </c>
      <c r="C445" s="89"/>
      <c r="D445" s="85"/>
      <c r="E445" s="85"/>
      <c r="F445" s="90"/>
      <c r="G445" s="91"/>
      <c r="H445" s="91"/>
      <c r="I445" s="91"/>
      <c r="J445" s="92"/>
    </row>
    <row r="446" spans="1:10" x14ac:dyDescent="0.25">
      <c r="A446" s="42">
        <v>436</v>
      </c>
      <c r="B446" s="79">
        <v>43568</v>
      </c>
      <c r="C446" s="89"/>
      <c r="D446" s="85"/>
      <c r="E446" s="85"/>
      <c r="F446" s="90"/>
      <c r="G446" s="91"/>
      <c r="H446" s="91"/>
      <c r="I446" s="91"/>
      <c r="J446" s="92"/>
    </row>
    <row r="447" spans="1:10" x14ac:dyDescent="0.25">
      <c r="A447" s="42">
        <v>437</v>
      </c>
      <c r="B447" s="79">
        <v>43569</v>
      </c>
      <c r="C447" s="89"/>
      <c r="D447" s="85"/>
      <c r="E447" s="85"/>
      <c r="F447" s="90"/>
      <c r="G447" s="91"/>
      <c r="H447" s="91"/>
      <c r="I447" s="91"/>
      <c r="J447" s="92"/>
    </row>
    <row r="448" spans="1:10" x14ac:dyDescent="0.25">
      <c r="A448" s="42">
        <v>438</v>
      </c>
      <c r="B448" s="79">
        <v>43570</v>
      </c>
      <c r="C448" s="89"/>
      <c r="D448" s="85"/>
      <c r="E448" s="85"/>
      <c r="F448" s="90"/>
      <c r="G448" s="91"/>
      <c r="H448" s="91"/>
      <c r="I448" s="91"/>
      <c r="J448" s="92"/>
    </row>
    <row r="449" spans="1:10" x14ac:dyDescent="0.25">
      <c r="A449" s="42">
        <v>439</v>
      </c>
      <c r="B449" s="79">
        <v>43571</v>
      </c>
      <c r="C449" s="89"/>
      <c r="D449" s="85"/>
      <c r="E449" s="85"/>
      <c r="F449" s="90"/>
      <c r="G449" s="91"/>
      <c r="H449" s="91"/>
      <c r="I449" s="91"/>
      <c r="J449" s="92"/>
    </row>
    <row r="450" spans="1:10" x14ac:dyDescent="0.25">
      <c r="A450" s="42">
        <v>440</v>
      </c>
      <c r="B450" s="79">
        <v>43572</v>
      </c>
      <c r="C450" s="89"/>
      <c r="D450" s="85"/>
      <c r="E450" s="85"/>
      <c r="F450" s="90"/>
      <c r="G450" s="91"/>
      <c r="H450" s="91"/>
      <c r="I450" s="91"/>
      <c r="J450" s="92"/>
    </row>
    <row r="451" spans="1:10" x14ac:dyDescent="0.25">
      <c r="A451" s="42">
        <v>441</v>
      </c>
      <c r="B451" s="79">
        <v>43573</v>
      </c>
      <c r="C451" s="89"/>
      <c r="D451" s="85"/>
      <c r="E451" s="85"/>
      <c r="F451" s="90"/>
      <c r="G451" s="91"/>
      <c r="H451" s="91"/>
      <c r="I451" s="91"/>
      <c r="J451" s="92"/>
    </row>
    <row r="452" spans="1:10" x14ac:dyDescent="0.25">
      <c r="A452" s="42">
        <v>442</v>
      </c>
      <c r="B452" s="79">
        <v>43574</v>
      </c>
      <c r="C452" s="89"/>
      <c r="D452" s="85"/>
      <c r="E452" s="85"/>
      <c r="F452" s="90"/>
      <c r="G452" s="91"/>
      <c r="H452" s="91"/>
      <c r="I452" s="91"/>
      <c r="J452" s="92"/>
    </row>
    <row r="453" spans="1:10" x14ac:dyDescent="0.25">
      <c r="A453" s="42">
        <v>443</v>
      </c>
      <c r="B453" s="79">
        <v>43575</v>
      </c>
      <c r="C453" s="89"/>
      <c r="D453" s="85"/>
      <c r="E453" s="85"/>
      <c r="F453" s="90"/>
      <c r="G453" s="91"/>
      <c r="H453" s="91"/>
      <c r="I453" s="91"/>
      <c r="J453" s="92"/>
    </row>
    <row r="454" spans="1:10" x14ac:dyDescent="0.25">
      <c r="A454" s="42">
        <v>444</v>
      </c>
      <c r="B454" s="79">
        <v>43576</v>
      </c>
      <c r="C454" s="89"/>
      <c r="D454" s="85"/>
      <c r="E454" s="85"/>
      <c r="F454" s="90"/>
      <c r="G454" s="91"/>
      <c r="H454" s="91"/>
      <c r="I454" s="91"/>
      <c r="J454" s="92"/>
    </row>
    <row r="455" spans="1:10" x14ac:dyDescent="0.25">
      <c r="A455" s="42">
        <v>445</v>
      </c>
      <c r="B455" s="79">
        <v>43577</v>
      </c>
      <c r="C455" s="89"/>
      <c r="D455" s="85"/>
      <c r="E455" s="85"/>
      <c r="F455" s="90"/>
      <c r="G455" s="91"/>
      <c r="H455" s="91"/>
      <c r="I455" s="91"/>
      <c r="J455" s="92"/>
    </row>
    <row r="456" spans="1:10" x14ac:dyDescent="0.25">
      <c r="A456" s="42">
        <v>446</v>
      </c>
      <c r="B456" s="79">
        <v>43578</v>
      </c>
      <c r="C456" s="89"/>
      <c r="D456" s="85"/>
      <c r="E456" s="85"/>
      <c r="F456" s="90"/>
      <c r="G456" s="91"/>
      <c r="H456" s="91"/>
      <c r="I456" s="91"/>
      <c r="J456" s="92"/>
    </row>
    <row r="457" spans="1:10" x14ac:dyDescent="0.25">
      <c r="A457" s="42">
        <v>447</v>
      </c>
      <c r="B457" s="79">
        <v>43579</v>
      </c>
      <c r="C457" s="89"/>
      <c r="D457" s="85"/>
      <c r="E457" s="85"/>
      <c r="F457" s="90"/>
      <c r="G457" s="91"/>
      <c r="H457" s="91"/>
      <c r="I457" s="91"/>
      <c r="J45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57">
    <cfRule type="expression" dxfId="429" priority="6">
      <formula>INDIRECT("B"&amp;ROW())=TODAY()</formula>
    </cfRule>
  </conditionalFormatting>
  <conditionalFormatting sqref="B9:B457">
    <cfRule type="timePeriod" dxfId="428"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L25"/>
  <sheetViews>
    <sheetView topLeftCell="A22" zoomScale="65" workbookViewId="0">
      <selection activeCell="C18" sqref="C18:D18"/>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43345</v>
      </c>
      <c r="B1" s="68"/>
    </row>
    <row r="2" spans="1:12" s="96" customFormat="1" ht="33.75" customHeight="1" x14ac:dyDescent="0.25">
      <c r="A2" s="95">
        <f ca="1">NOW()</f>
        <v>43345.82303634259</v>
      </c>
      <c r="B2" s="95"/>
      <c r="E2" s="97" t="s">
        <v>255</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279</v>
      </c>
      <c r="D7" s="133"/>
      <c r="E7" s="133"/>
      <c r="F7" s="133"/>
      <c r="G7" s="133"/>
      <c r="H7" s="133"/>
      <c r="I7" s="133" t="s">
        <v>52</v>
      </c>
      <c r="J7" s="132"/>
    </row>
    <row r="8" spans="1:12" x14ac:dyDescent="0.25">
      <c r="C8" s="132"/>
      <c r="D8" s="134" t="s">
        <v>280</v>
      </c>
      <c r="E8" s="134"/>
      <c r="F8" s="134"/>
      <c r="G8" s="134"/>
      <c r="H8" s="134" t="s">
        <v>281</v>
      </c>
      <c r="I8" s="132"/>
      <c r="J8" s="132"/>
    </row>
    <row r="9" spans="1:12" x14ac:dyDescent="0.25">
      <c r="C9" s="132"/>
      <c r="D9" s="132"/>
      <c r="E9" s="133" t="s">
        <v>282</v>
      </c>
      <c r="F9" s="133"/>
      <c r="G9" s="133" t="s">
        <v>283</v>
      </c>
      <c r="H9" s="132"/>
      <c r="I9" s="132"/>
      <c r="J9" s="132"/>
    </row>
    <row r="10" spans="1:12" x14ac:dyDescent="0.25">
      <c r="C10" s="132"/>
      <c r="D10" s="132"/>
      <c r="E10" s="132"/>
      <c r="F10" s="134"/>
      <c r="G10" s="132"/>
      <c r="H10" s="132"/>
      <c r="I10" s="132"/>
      <c r="J10" s="132"/>
    </row>
    <row r="11" spans="1:12" x14ac:dyDescent="0.25">
      <c r="C11" s="132"/>
      <c r="D11" s="132"/>
      <c r="E11" s="132"/>
      <c r="F11" s="134" t="s">
        <v>284</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290</v>
      </c>
      <c r="D15" s="76" t="s">
        <v>9</v>
      </c>
      <c r="E15" s="76" t="s">
        <v>285</v>
      </c>
      <c r="F15" s="131" t="s">
        <v>287</v>
      </c>
      <c r="G15" s="76" t="s">
        <v>295</v>
      </c>
    </row>
    <row r="16" spans="1:12" ht="58.5" customHeight="1" x14ac:dyDescent="0.25">
      <c r="C16" s="76" t="s">
        <v>302</v>
      </c>
      <c r="D16" s="77" t="s">
        <v>303</v>
      </c>
      <c r="E16" s="135">
        <v>0</v>
      </c>
      <c r="F16" s="136"/>
      <c r="G16" s="136"/>
    </row>
    <row r="17" spans="3:7" ht="58.5" customHeight="1" x14ac:dyDescent="0.25">
      <c r="C17" s="131" t="s">
        <v>304</v>
      </c>
      <c r="D17" s="77" t="s">
        <v>305</v>
      </c>
      <c r="E17" s="138">
        <v>0.1</v>
      </c>
      <c r="F17" s="136"/>
      <c r="G17" s="136"/>
    </row>
    <row r="18" spans="3:7" ht="136.69999999999999" customHeight="1" x14ac:dyDescent="0.25">
      <c r="C18" s="76" t="s">
        <v>279</v>
      </c>
      <c r="D18" s="77" t="s">
        <v>286</v>
      </c>
      <c r="E18" s="135">
        <v>0.1</v>
      </c>
      <c r="F18" s="136">
        <v>43226</v>
      </c>
      <c r="G18" s="136"/>
    </row>
    <row r="19" spans="3:7" ht="39" customHeight="1" x14ac:dyDescent="0.25">
      <c r="C19" s="76" t="s">
        <v>280</v>
      </c>
      <c r="D19" s="77" t="s">
        <v>288</v>
      </c>
      <c r="E19" s="135">
        <v>0.05</v>
      </c>
    </row>
    <row r="20" spans="3:7" ht="47.45" customHeight="1" x14ac:dyDescent="0.25">
      <c r="C20" s="76" t="s">
        <v>282</v>
      </c>
      <c r="D20" s="77" t="s">
        <v>289</v>
      </c>
      <c r="E20" s="135">
        <v>0.01</v>
      </c>
    </row>
    <row r="21" spans="3:7" ht="105" customHeight="1" x14ac:dyDescent="0.25">
      <c r="C21" s="76" t="s">
        <v>283</v>
      </c>
      <c r="D21" s="77" t="s">
        <v>291</v>
      </c>
      <c r="E21" s="135">
        <v>1.4999999999999999E-2</v>
      </c>
    </row>
    <row r="22" spans="3:7" ht="64.7" customHeight="1" x14ac:dyDescent="0.25">
      <c r="C22" s="76" t="s">
        <v>52</v>
      </c>
      <c r="D22" s="77" t="s">
        <v>292</v>
      </c>
      <c r="E22" s="135">
        <v>0.1</v>
      </c>
      <c r="F22" s="136">
        <v>43261</v>
      </c>
      <c r="G22" s="136"/>
    </row>
    <row r="23" spans="3:7" ht="84.2" customHeight="1" x14ac:dyDescent="0.25">
      <c r="C23" s="76" t="s">
        <v>293</v>
      </c>
      <c r="D23" s="77" t="s">
        <v>294</v>
      </c>
      <c r="E23" s="135">
        <v>0.02</v>
      </c>
      <c r="F23" s="137">
        <v>43558</v>
      </c>
      <c r="G23" s="137"/>
    </row>
    <row r="24" spans="3:7" ht="119.45" customHeight="1" x14ac:dyDescent="0.25">
      <c r="C24" s="131" t="s">
        <v>296</v>
      </c>
      <c r="D24" s="76" t="s">
        <v>298</v>
      </c>
      <c r="E24" s="135">
        <v>0.2</v>
      </c>
    </row>
    <row r="25" spans="3:7" ht="117.2" customHeight="1" x14ac:dyDescent="0.25">
      <c r="C25" s="131" t="s">
        <v>297</v>
      </c>
      <c r="D25" s="76" t="s">
        <v>299</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N28"/>
  <sheetViews>
    <sheetView topLeftCell="E1" zoomScale="103" zoomScaleNormal="100" workbookViewId="0">
      <selection activeCell="C16" sqref="C16"/>
    </sheetView>
  </sheetViews>
  <sheetFormatPr defaultRowHeight="15" x14ac:dyDescent="0.25"/>
  <cols>
    <col min="1" max="1" width="9.140625" style="65"/>
    <col min="2" max="2" width="16" style="1" customWidth="1"/>
    <col min="3" max="4" width="32.42578125" style="1" customWidth="1"/>
    <col min="5" max="5" width="13.140625" style="111" customWidth="1"/>
    <col min="6" max="7" width="30.42578125" style="1" customWidth="1"/>
    <col min="8" max="8" width="10.42578125" style="111" customWidth="1"/>
    <col min="9" max="9" width="23.7109375" style="1" customWidth="1"/>
    <col min="10" max="10" width="10.42578125" style="111" customWidth="1"/>
    <col min="11" max="11" width="23.5703125" style="1" customWidth="1"/>
    <col min="12" max="12" width="10.42578125" style="111" customWidth="1"/>
    <col min="13" max="13" width="28.7109375" style="1" customWidth="1"/>
    <col min="14" max="14" width="9.140625" style="111" customWidth="1"/>
    <col min="15" max="16384" width="9.140625" style="1"/>
  </cols>
  <sheetData>
    <row r="1" spans="2:14" s="65" customFormat="1" x14ac:dyDescent="0.25">
      <c r="E1" s="171"/>
      <c r="H1" s="171"/>
      <c r="I1" s="167"/>
      <c r="J1" s="171"/>
      <c r="L1" s="171"/>
      <c r="N1" s="171"/>
    </row>
    <row r="2" spans="2:14" s="65" customFormat="1" x14ac:dyDescent="0.25">
      <c r="E2" s="171"/>
      <c r="H2" s="171"/>
      <c r="I2" s="167"/>
      <c r="J2" s="171"/>
      <c r="L2" s="171"/>
      <c r="N2" s="171"/>
    </row>
    <row r="3" spans="2:14" s="172" customFormat="1" ht="3" customHeight="1" x14ac:dyDescent="0.25">
      <c r="E3" s="173"/>
      <c r="H3" s="173"/>
      <c r="J3" s="173"/>
      <c r="L3" s="173"/>
      <c r="N3" s="173"/>
    </row>
    <row r="4" spans="2:14" ht="20.25" customHeight="1" x14ac:dyDescent="0.25">
      <c r="B4" s="1" t="s">
        <v>265</v>
      </c>
      <c r="C4" s="1" t="s">
        <v>532</v>
      </c>
      <c r="D4" s="1" t="s">
        <v>537</v>
      </c>
      <c r="E4" s="111" t="s">
        <v>472</v>
      </c>
      <c r="F4" s="1" t="s">
        <v>533</v>
      </c>
      <c r="G4" s="1" t="s">
        <v>537</v>
      </c>
      <c r="H4" s="111" t="s">
        <v>472</v>
      </c>
      <c r="I4" s="1" t="s">
        <v>534</v>
      </c>
      <c r="J4" s="111" t="s">
        <v>472</v>
      </c>
      <c r="K4" s="1" t="s">
        <v>535</v>
      </c>
      <c r="L4" s="111" t="s">
        <v>472</v>
      </c>
      <c r="M4" s="1" t="s">
        <v>536</v>
      </c>
      <c r="N4" s="111" t="s">
        <v>472</v>
      </c>
    </row>
    <row r="5" spans="2:14" s="172" customFormat="1" ht="2.25" customHeight="1" x14ac:dyDescent="0.25">
      <c r="E5" s="173"/>
      <c r="H5" s="173"/>
      <c r="J5" s="173"/>
      <c r="L5" s="173"/>
      <c r="N5" s="173"/>
    </row>
    <row r="6" spans="2:14" ht="45" x14ac:dyDescent="0.25">
      <c r="C6" s="164" t="s">
        <v>538</v>
      </c>
      <c r="D6" s="164" t="s">
        <v>539</v>
      </c>
      <c r="E6" s="182">
        <v>0</v>
      </c>
      <c r="F6" s="164" t="s">
        <v>542</v>
      </c>
      <c r="G6" s="164"/>
      <c r="H6" s="182"/>
      <c r="I6" s="164"/>
      <c r="J6" s="182"/>
      <c r="K6" s="164"/>
      <c r="L6" s="182"/>
      <c r="M6" s="165"/>
    </row>
    <row r="7" spans="2:14" ht="45" x14ac:dyDescent="0.25">
      <c r="C7" s="164" t="s">
        <v>540</v>
      </c>
      <c r="D7" s="164" t="s">
        <v>541</v>
      </c>
      <c r="E7" s="182">
        <v>0</v>
      </c>
      <c r="F7" s="164" t="s">
        <v>543</v>
      </c>
      <c r="G7" s="164"/>
      <c r="H7" s="182"/>
      <c r="I7" s="165"/>
      <c r="J7" s="182"/>
      <c r="K7" s="165"/>
      <c r="L7" s="182"/>
      <c r="M7" s="165"/>
    </row>
    <row r="8" spans="2:14" x14ac:dyDescent="0.25">
      <c r="C8" s="165"/>
      <c r="D8" s="165"/>
      <c r="E8" s="182"/>
      <c r="F8" s="164" t="s">
        <v>544</v>
      </c>
      <c r="G8" s="164"/>
      <c r="H8" s="182"/>
      <c r="I8" s="164"/>
      <c r="J8" s="182"/>
      <c r="K8" s="165"/>
      <c r="L8" s="182"/>
      <c r="M8" s="165"/>
    </row>
    <row r="9" spans="2:14" x14ac:dyDescent="0.25">
      <c r="C9" s="164"/>
      <c r="D9" s="164"/>
      <c r="E9" s="182"/>
      <c r="F9" s="165" t="s">
        <v>545</v>
      </c>
      <c r="G9" s="165"/>
      <c r="H9" s="182"/>
      <c r="I9" s="166"/>
      <c r="J9" s="182"/>
      <c r="K9" s="165"/>
      <c r="L9" s="182"/>
      <c r="M9" s="165"/>
    </row>
    <row r="10" spans="2:14" x14ac:dyDescent="0.25">
      <c r="C10" s="166"/>
      <c r="D10" s="166"/>
      <c r="E10" s="182"/>
      <c r="F10" s="165" t="s">
        <v>546</v>
      </c>
      <c r="G10" s="165"/>
      <c r="H10" s="182"/>
      <c r="I10" s="165"/>
      <c r="J10" s="182"/>
      <c r="K10" s="164"/>
      <c r="L10" s="182"/>
      <c r="M10" s="106"/>
    </row>
    <row r="11" spans="2:14" x14ac:dyDescent="0.25">
      <c r="C11" s="165"/>
      <c r="D11" s="165"/>
      <c r="E11" s="182"/>
      <c r="F11" s="165" t="s">
        <v>547</v>
      </c>
      <c r="G11" s="165"/>
      <c r="H11" s="182"/>
      <c r="I11" s="165"/>
      <c r="J11" s="182"/>
      <c r="K11" s="164"/>
      <c r="L11" s="182"/>
      <c r="M11" s="106"/>
    </row>
    <row r="12" spans="2:14" x14ac:dyDescent="0.25">
      <c r="C12" s="165"/>
      <c r="D12" s="165"/>
      <c r="E12" s="182"/>
      <c r="F12" s="165"/>
      <c r="G12" s="165"/>
      <c r="H12" s="182"/>
      <c r="I12" s="164"/>
      <c r="J12" s="182"/>
      <c r="K12" s="106"/>
      <c r="L12" s="182"/>
      <c r="M12" s="106"/>
    </row>
    <row r="13" spans="2:14" x14ac:dyDescent="0.25">
      <c r="C13" s="166"/>
      <c r="D13" s="166"/>
      <c r="E13" s="182"/>
      <c r="F13" s="164" t="s">
        <v>548</v>
      </c>
      <c r="G13" s="164"/>
      <c r="H13" s="182"/>
      <c r="I13" s="166"/>
      <c r="J13" s="182"/>
      <c r="K13" s="106"/>
      <c r="L13" s="182"/>
      <c r="M13" s="106"/>
    </row>
    <row r="14" spans="2:14" x14ac:dyDescent="0.25">
      <c r="C14" s="164"/>
      <c r="D14" s="164"/>
      <c r="E14" s="182"/>
      <c r="F14" s="165" t="s">
        <v>549</v>
      </c>
      <c r="G14" s="165"/>
      <c r="H14" s="182"/>
      <c r="I14" s="166"/>
      <c r="J14" s="182"/>
      <c r="K14" s="106"/>
      <c r="L14" s="182"/>
      <c r="M14" s="106"/>
    </row>
    <row r="15" spans="2:14" x14ac:dyDescent="0.25">
      <c r="C15" s="165"/>
      <c r="D15" s="165"/>
      <c r="E15" s="182"/>
      <c r="F15" s="164"/>
      <c r="G15" s="164"/>
      <c r="H15" s="182"/>
      <c r="I15" s="165"/>
      <c r="J15" s="182"/>
      <c r="K15" s="106"/>
      <c r="L15" s="182"/>
      <c r="M15" s="106"/>
    </row>
    <row r="16" spans="2:14" x14ac:dyDescent="0.25">
      <c r="C16" s="165"/>
      <c r="D16" s="165"/>
      <c r="E16" s="182"/>
      <c r="F16" s="165" t="s">
        <v>550</v>
      </c>
      <c r="G16" s="165"/>
      <c r="H16" s="182"/>
      <c r="I16" s="165"/>
      <c r="J16" s="182"/>
      <c r="K16" s="106"/>
      <c r="L16" s="182"/>
      <c r="M16" s="106"/>
    </row>
    <row r="17" spans="2:14" x14ac:dyDescent="0.25">
      <c r="C17" s="166"/>
      <c r="D17" s="166"/>
      <c r="E17" s="182"/>
      <c r="F17" s="165"/>
      <c r="G17" s="165"/>
      <c r="H17" s="182"/>
      <c r="I17" s="165"/>
      <c r="J17" s="182"/>
      <c r="K17" s="106"/>
      <c r="L17" s="182"/>
      <c r="M17" s="106"/>
    </row>
    <row r="18" spans="2:14" x14ac:dyDescent="0.25">
      <c r="C18" s="165"/>
      <c r="D18" s="165"/>
      <c r="E18" s="182"/>
      <c r="F18" s="165" t="s">
        <v>551</v>
      </c>
      <c r="G18" s="165"/>
      <c r="H18" s="182"/>
      <c r="I18" s="165"/>
      <c r="J18" s="182"/>
      <c r="K18" s="106"/>
      <c r="L18" s="182"/>
      <c r="M18" s="106"/>
    </row>
    <row r="19" spans="2:14" x14ac:dyDescent="0.25">
      <c r="C19" s="165"/>
      <c r="D19" s="165"/>
      <c r="E19" s="182"/>
      <c r="F19" s="106"/>
      <c r="G19" s="106"/>
      <c r="H19" s="106"/>
      <c r="I19" s="166"/>
      <c r="J19" s="182"/>
      <c r="K19" s="106"/>
      <c r="L19" s="106"/>
      <c r="M19" s="106"/>
      <c r="N19" s="1"/>
    </row>
    <row r="20" spans="2:14" x14ac:dyDescent="0.25">
      <c r="C20" s="166"/>
      <c r="D20" s="166"/>
      <c r="E20" s="182"/>
      <c r="F20" s="106"/>
      <c r="G20" s="106"/>
      <c r="H20" s="106"/>
      <c r="I20" s="165"/>
      <c r="J20" s="182"/>
      <c r="K20" s="106"/>
      <c r="L20" s="182"/>
      <c r="M20" s="106"/>
    </row>
    <row r="21" spans="2:14" x14ac:dyDescent="0.25">
      <c r="C21" s="166"/>
      <c r="D21" s="166"/>
      <c r="E21" s="182"/>
      <c r="F21" s="106"/>
      <c r="G21" s="106"/>
      <c r="H21" s="106"/>
      <c r="I21" s="106"/>
      <c r="J21" s="106"/>
      <c r="K21" s="106"/>
      <c r="L21" s="182"/>
      <c r="M21" s="106"/>
    </row>
    <row r="22" spans="2:14" x14ac:dyDescent="0.25">
      <c r="C22" s="166"/>
      <c r="D22" s="166"/>
      <c r="E22" s="182"/>
      <c r="F22" s="106"/>
      <c r="G22" s="106"/>
      <c r="H22" s="182"/>
      <c r="I22" s="106"/>
      <c r="J22" s="182"/>
      <c r="K22" s="106"/>
      <c r="L22" s="182"/>
      <c r="M22" s="106"/>
    </row>
    <row r="23" spans="2:14" s="174" customFormat="1" ht="7.5" customHeight="1" x14ac:dyDescent="0.25">
      <c r="E23" s="175"/>
      <c r="H23" s="175"/>
      <c r="J23" s="175"/>
      <c r="L23" s="175"/>
      <c r="N23" s="175"/>
    </row>
    <row r="24" spans="2:14" x14ac:dyDescent="0.25">
      <c r="E24" s="111">
        <f>AVERAGE(E6:E23)</f>
        <v>0</v>
      </c>
      <c r="H24" s="111" t="e">
        <f>AVERAGE(H6:H23)</f>
        <v>#DIV/0!</v>
      </c>
      <c r="J24" s="111" t="e">
        <f>AVERAGE(J6:J23)</f>
        <v>#DIV/0!</v>
      </c>
      <c r="K24" s="1" t="s">
        <v>473</v>
      </c>
      <c r="L24" s="111" t="e">
        <f>AVERAGE(L6:L23)</f>
        <v>#DIV/0!</v>
      </c>
    </row>
    <row r="25" spans="2:14" s="176" customFormat="1" ht="62.25" customHeight="1" x14ac:dyDescent="0.25">
      <c r="B25" s="176" t="s">
        <v>474</v>
      </c>
      <c r="C25" s="178"/>
      <c r="D25" s="178"/>
      <c r="E25" s="176" t="s">
        <v>474</v>
      </c>
      <c r="F25" s="178"/>
      <c r="G25" s="178"/>
      <c r="H25" s="176" t="s">
        <v>474</v>
      </c>
      <c r="I25" s="178"/>
      <c r="J25" s="176" t="s">
        <v>474</v>
      </c>
      <c r="K25" s="178"/>
      <c r="L25" s="176" t="s">
        <v>474</v>
      </c>
      <c r="M25" s="178"/>
      <c r="N25" s="177"/>
    </row>
    <row r="27" spans="2:14" x14ac:dyDescent="0.25">
      <c r="C27" s="179"/>
      <c r="D27" s="179"/>
      <c r="F27" s="179"/>
      <c r="G27" s="179"/>
      <c r="I27" s="179"/>
      <c r="K27" s="179"/>
      <c r="M27" s="179"/>
    </row>
    <row r="28" spans="2:14" x14ac:dyDescent="0.25">
      <c r="C28" s="64"/>
      <c r="D28" s="64"/>
    </row>
  </sheetData>
  <conditionalFormatting sqref="J26:J1048576 E26:E1048576 E1:E23 H26:H1048576 L26:L1048576 N25:N1048576 H22:H23 J22:J23 H1:H17 L1:L12 N1:N12 L20:L23 L14:L18 N20:N23 N14:N18 J1:J20">
    <cfRule type="colorScale" priority="8">
      <colorScale>
        <cfvo type="num" val="0"/>
        <cfvo type="num" val="0.5"/>
        <cfvo type="num" val="1"/>
        <color rgb="FFF8696B"/>
        <color rgb="FFFFEB84"/>
        <color rgb="FF63BE7B"/>
      </colorScale>
    </cfRule>
  </conditionalFormatting>
  <conditionalFormatting sqref="L13">
    <cfRule type="colorScale" priority="6">
      <colorScale>
        <cfvo type="num" val="0"/>
        <cfvo type="num" val="0.5"/>
        <cfvo type="num" val="1"/>
        <color rgb="FFF8696B"/>
        <color rgb="FFFFEB84"/>
        <color rgb="FF63BE7B"/>
      </colorScale>
    </cfRule>
  </conditionalFormatting>
  <conditionalFormatting sqref="N13">
    <cfRule type="colorScale" priority="5">
      <colorScale>
        <cfvo type="num" val="0"/>
        <cfvo type="num" val="0.5"/>
        <cfvo type="num" val="1"/>
        <color rgb="FFF8696B"/>
        <color rgb="FFFFEB84"/>
        <color rgb="FF63BE7B"/>
      </colorScale>
    </cfRule>
  </conditionalFormatting>
  <conditionalFormatting sqref="E24">
    <cfRule type="colorScale" priority="4">
      <colorScale>
        <cfvo type="num" val="0"/>
        <cfvo type="num" val="0.5"/>
        <cfvo type="num" val="1"/>
        <color rgb="FFF8696B"/>
        <color rgb="FFFFEB84"/>
        <color rgb="FF63BE7B"/>
      </colorScale>
    </cfRule>
  </conditionalFormatting>
  <conditionalFormatting sqref="H24">
    <cfRule type="colorScale" priority="3">
      <colorScale>
        <cfvo type="num" val="0"/>
        <cfvo type="num" val="0.5"/>
        <cfvo type="num" val="1"/>
        <color rgb="FFF8696B"/>
        <color rgb="FFFFEB84"/>
        <color rgb="FF63BE7B"/>
      </colorScale>
    </cfRule>
  </conditionalFormatting>
  <conditionalFormatting sqref="J24 L24 N24">
    <cfRule type="colorScale" priority="2">
      <colorScale>
        <cfvo type="num" val="0"/>
        <cfvo type="num" val="0.5"/>
        <cfvo type="num" val="1"/>
        <color rgb="FFF8696B"/>
        <color rgb="FFFFEB84"/>
        <color rgb="FF63BE7B"/>
      </colorScale>
    </cfRule>
  </conditionalFormatting>
  <conditionalFormatting sqref="H1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AT11"/>
  <sheetViews>
    <sheetView zoomScale="79" zoomScaleNormal="96" zoomScalePageLayoutView="96" workbookViewId="0">
      <selection activeCell="E6" sqref="E6"/>
    </sheetView>
  </sheetViews>
  <sheetFormatPr defaultColWidth="8.85546875" defaultRowHeight="15" x14ac:dyDescent="0.25"/>
  <cols>
    <col min="1" max="1" width="12.7109375" style="65" customWidth="1"/>
    <col min="2" max="2" width="9.5703125" style="106" customWidth="1"/>
    <col min="3" max="3" width="20.7109375" style="106" customWidth="1"/>
    <col min="4" max="4" width="18.140625" style="1" customWidth="1"/>
    <col min="5" max="5" width="74"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43345</v>
      </c>
      <c r="B1" s="68"/>
      <c r="C1" s="68"/>
    </row>
    <row r="2" spans="1:46" s="96" customFormat="1" ht="26.25" customHeight="1" x14ac:dyDescent="0.25">
      <c r="A2" s="95">
        <f ca="1">NOW()</f>
        <v>43345.82303634259</v>
      </c>
      <c r="B2" s="95"/>
      <c r="C2" s="95" t="s">
        <v>371</v>
      </c>
      <c r="F2" s="97" t="s">
        <v>255</v>
      </c>
      <c r="G2" s="97"/>
      <c r="J2" s="97"/>
      <c r="K2" s="97"/>
      <c r="L2" s="97"/>
      <c r="M2" s="97"/>
      <c r="N2" s="97"/>
    </row>
    <row r="3" spans="1:46" s="110" customFormat="1" x14ac:dyDescent="0.25">
      <c r="A3" s="116"/>
      <c r="B3" s="127" t="s">
        <v>259</v>
      </c>
      <c r="H3" s="115"/>
      <c r="I3" s="115"/>
    </row>
    <row r="4" spans="1:46" s="109" customFormat="1" x14ac:dyDescent="0.25">
      <c r="A4" s="107"/>
      <c r="B4" s="108" t="s">
        <v>40</v>
      </c>
      <c r="C4" s="108" t="s">
        <v>370</v>
      </c>
      <c r="D4" s="109" t="s">
        <v>21</v>
      </c>
      <c r="E4" s="109" t="s">
        <v>263</v>
      </c>
      <c r="F4" s="109" t="s">
        <v>265</v>
      </c>
      <c r="G4" s="109" t="s">
        <v>257</v>
      </c>
      <c r="H4" s="109" t="s">
        <v>256</v>
      </c>
      <c r="I4" s="109" t="s">
        <v>260</v>
      </c>
      <c r="J4" s="109" t="s">
        <v>258</v>
      </c>
      <c r="K4" s="109" t="s">
        <v>264</v>
      </c>
    </row>
    <row r="5" spans="1:46" ht="67.5" customHeight="1" x14ac:dyDescent="0.25">
      <c r="B5" s="106">
        <v>20</v>
      </c>
      <c r="C5" s="106" t="s">
        <v>403</v>
      </c>
      <c r="D5" s="2" t="s">
        <v>363</v>
      </c>
      <c r="E5" s="1" t="s">
        <v>573</v>
      </c>
      <c r="F5" s="129"/>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364</v>
      </c>
      <c r="F6" s="129"/>
      <c r="G6" s="123"/>
      <c r="H6" s="111"/>
      <c r="I6" s="51"/>
      <c r="K6" s="113"/>
    </row>
    <row r="7" spans="1:46" ht="61.7" customHeight="1" x14ac:dyDescent="0.25">
      <c r="B7" s="106">
        <v>0</v>
      </c>
      <c r="D7" s="2" t="s">
        <v>366</v>
      </c>
      <c r="F7" s="128"/>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368</v>
      </c>
      <c r="F8" s="128"/>
      <c r="G8" s="2"/>
      <c r="H8" s="111"/>
      <c r="I8" s="51"/>
      <c r="K8" s="114"/>
    </row>
    <row r="9" spans="1:46" ht="106.5" customHeight="1" x14ac:dyDescent="0.25">
      <c r="B9" s="106">
        <v>0</v>
      </c>
      <c r="D9" s="117" t="s">
        <v>369</v>
      </c>
      <c r="E9" s="1" t="s">
        <v>572</v>
      </c>
      <c r="F9" s="128"/>
      <c r="G9" s="145"/>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373</v>
      </c>
      <c r="F10" s="112"/>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261</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U59"/>
  <sheetViews>
    <sheetView topLeftCell="A17" zoomScaleNormal="100" workbookViewId="0">
      <selection activeCell="F8" sqref="F8:F31"/>
    </sheetView>
  </sheetViews>
  <sheetFormatPr defaultColWidth="8.85546875" defaultRowHeight="15" x14ac:dyDescent="0.25"/>
  <cols>
    <col min="1" max="1" width="27.28515625" style="66" customWidth="1"/>
    <col min="2" max="2" width="25.5703125" style="69" bestFit="1" customWidth="1"/>
    <col min="3" max="226" width="20.7109375" style="73" customWidth="1"/>
    <col min="227" max="16384" width="8.85546875" style="73"/>
  </cols>
  <sheetData>
    <row r="1" spans="1:177" s="67" customFormat="1" x14ac:dyDescent="0.25">
      <c r="A1" s="68">
        <f ca="1">TODAY()</f>
        <v>43345</v>
      </c>
    </row>
    <row r="2" spans="1:177" s="96" customFormat="1" ht="66.75" customHeight="1" x14ac:dyDescent="0.25">
      <c r="A2" s="95">
        <f ca="1">NOW()</f>
        <v>43345.82303634259</v>
      </c>
      <c r="B2" s="97">
        <v>43157</v>
      </c>
    </row>
    <row r="3" spans="1:177" s="125" customFormat="1" ht="33" customHeight="1" x14ac:dyDescent="0.25">
      <c r="A3" s="170">
        <f ca="1">HOUR(A2)</f>
        <v>19</v>
      </c>
      <c r="B3" s="124"/>
    </row>
    <row r="4" spans="1:177" s="71" customFormat="1" ht="32.25" customHeight="1" x14ac:dyDescent="0.25">
      <c r="A4" s="70"/>
      <c r="C4" s="125" t="s">
        <v>72</v>
      </c>
      <c r="D4" s="125" t="s">
        <v>73</v>
      </c>
      <c r="E4" s="125" t="s">
        <v>74</v>
      </c>
      <c r="F4" s="125" t="s">
        <v>75</v>
      </c>
      <c r="G4" s="125" t="s">
        <v>76</v>
      </c>
      <c r="H4" s="125" t="s">
        <v>77</v>
      </c>
      <c r="I4" s="125" t="s">
        <v>78</v>
      </c>
      <c r="J4" s="125" t="s">
        <v>79</v>
      </c>
      <c r="K4" s="125" t="s">
        <v>80</v>
      </c>
      <c r="L4" s="125" t="s">
        <v>81</v>
      </c>
      <c r="M4" s="125" t="s">
        <v>82</v>
      </c>
      <c r="N4" s="125" t="s">
        <v>83</v>
      </c>
      <c r="O4" s="125" t="s">
        <v>84</v>
      </c>
      <c r="P4" s="125" t="s">
        <v>85</v>
      </c>
      <c r="Q4" s="125" t="s">
        <v>86</v>
      </c>
      <c r="R4" s="125" t="s">
        <v>87</v>
      </c>
      <c r="S4" s="125" t="s">
        <v>88</v>
      </c>
      <c r="T4" s="125" t="s">
        <v>89</v>
      </c>
      <c r="U4" s="125" t="s">
        <v>90</v>
      </c>
      <c r="V4" s="125" t="s">
        <v>91</v>
      </c>
      <c r="W4" s="125" t="s">
        <v>92</v>
      </c>
      <c r="X4" s="125" t="s">
        <v>93</v>
      </c>
      <c r="Y4" s="125" t="s">
        <v>94</v>
      </c>
      <c r="Z4" s="125" t="s">
        <v>95</v>
      </c>
      <c r="AA4" s="125" t="s">
        <v>96</v>
      </c>
      <c r="AB4" s="125" t="s">
        <v>97</v>
      </c>
      <c r="AC4" s="125" t="s">
        <v>98</v>
      </c>
      <c r="AD4" s="125" t="s">
        <v>99</v>
      </c>
      <c r="AE4" s="125" t="s">
        <v>100</v>
      </c>
      <c r="AF4" s="125" t="s">
        <v>101</v>
      </c>
      <c r="AG4" s="125" t="s">
        <v>102</v>
      </c>
      <c r="AH4" s="125" t="s">
        <v>103</v>
      </c>
      <c r="AI4" s="125" t="s">
        <v>104</v>
      </c>
      <c r="AJ4" s="125" t="s">
        <v>105</v>
      </c>
      <c r="AK4" s="125" t="s">
        <v>106</v>
      </c>
      <c r="AL4" s="125" t="s">
        <v>107</v>
      </c>
      <c r="AM4" s="125" t="s">
        <v>108</v>
      </c>
      <c r="AN4" s="125" t="s">
        <v>109</v>
      </c>
      <c r="AO4" s="125" t="s">
        <v>110</v>
      </c>
      <c r="AP4" s="125" t="s">
        <v>111</v>
      </c>
      <c r="AQ4" s="125" t="s">
        <v>112</v>
      </c>
      <c r="AR4" s="125" t="s">
        <v>113</v>
      </c>
      <c r="AS4" s="125" t="s">
        <v>114</v>
      </c>
      <c r="AT4" s="125" t="s">
        <v>115</v>
      </c>
      <c r="AU4" s="125" t="s">
        <v>116</v>
      </c>
      <c r="AV4" s="125" t="s">
        <v>117</v>
      </c>
      <c r="AW4" s="125" t="s">
        <v>118</v>
      </c>
      <c r="AX4" s="125" t="s">
        <v>119</v>
      </c>
      <c r="AY4" s="125" t="s">
        <v>120</v>
      </c>
      <c r="AZ4" s="125" t="s">
        <v>121</v>
      </c>
      <c r="BA4" s="125" t="s">
        <v>122</v>
      </c>
      <c r="BB4" s="125" t="s">
        <v>123</v>
      </c>
      <c r="BC4" s="125" t="s">
        <v>124</v>
      </c>
      <c r="BD4" s="125" t="s">
        <v>125</v>
      </c>
      <c r="BE4" s="125" t="s">
        <v>126</v>
      </c>
      <c r="BF4" s="125" t="s">
        <v>127</v>
      </c>
      <c r="BG4" s="125" t="s">
        <v>128</v>
      </c>
      <c r="BH4" s="125" t="s">
        <v>129</v>
      </c>
      <c r="BI4" s="125" t="s">
        <v>130</v>
      </c>
      <c r="BJ4" s="125" t="s">
        <v>131</v>
      </c>
      <c r="BK4" s="125" t="s">
        <v>132</v>
      </c>
      <c r="BL4" s="125" t="s">
        <v>133</v>
      </c>
      <c r="BM4" s="125" t="s">
        <v>134</v>
      </c>
      <c r="BN4" s="125" t="s">
        <v>135</v>
      </c>
      <c r="BO4" s="125" t="s">
        <v>136</v>
      </c>
      <c r="BP4" s="125" t="s">
        <v>137</v>
      </c>
      <c r="BQ4" s="125" t="s">
        <v>138</v>
      </c>
      <c r="BR4" s="125" t="s">
        <v>139</v>
      </c>
      <c r="BS4" s="125" t="s">
        <v>140</v>
      </c>
      <c r="BT4" s="125" t="s">
        <v>141</v>
      </c>
      <c r="BU4" s="125" t="s">
        <v>142</v>
      </c>
      <c r="BV4" s="125" t="s">
        <v>143</v>
      </c>
      <c r="BW4" s="125" t="s">
        <v>144</v>
      </c>
      <c r="BX4" s="125" t="s">
        <v>145</v>
      </c>
      <c r="BY4" s="125" t="s">
        <v>146</v>
      </c>
      <c r="BZ4" s="125" t="s">
        <v>147</v>
      </c>
      <c r="CA4" s="125" t="s">
        <v>148</v>
      </c>
      <c r="CB4" s="125" t="s">
        <v>149</v>
      </c>
      <c r="CC4" s="125" t="s">
        <v>150</v>
      </c>
      <c r="CD4" s="125" t="s">
        <v>151</v>
      </c>
      <c r="CE4" s="125" t="s">
        <v>152</v>
      </c>
      <c r="CF4" s="125" t="s">
        <v>153</v>
      </c>
      <c r="CG4" s="125" t="s">
        <v>154</v>
      </c>
      <c r="CH4" s="125" t="s">
        <v>155</v>
      </c>
      <c r="CI4" s="125" t="s">
        <v>156</v>
      </c>
      <c r="CJ4" s="125" t="s">
        <v>157</v>
      </c>
      <c r="CK4" s="125" t="s">
        <v>158</v>
      </c>
      <c r="CL4" s="125" t="s">
        <v>159</v>
      </c>
      <c r="CM4" s="125" t="s">
        <v>160</v>
      </c>
      <c r="CN4" s="125" t="s">
        <v>161</v>
      </c>
      <c r="CO4" s="125" t="s">
        <v>162</v>
      </c>
      <c r="CP4" s="125" t="s">
        <v>163</v>
      </c>
      <c r="CQ4" s="125" t="s">
        <v>164</v>
      </c>
      <c r="CR4" s="125" t="s">
        <v>165</v>
      </c>
      <c r="CS4" s="125" t="s">
        <v>166</v>
      </c>
      <c r="CT4" s="125" t="s">
        <v>167</v>
      </c>
      <c r="CU4" s="125" t="s">
        <v>168</v>
      </c>
      <c r="CV4" s="125" t="s">
        <v>169</v>
      </c>
      <c r="CW4" s="125" t="s">
        <v>170</v>
      </c>
      <c r="CX4" s="125" t="s">
        <v>171</v>
      </c>
      <c r="CY4" s="125" t="s">
        <v>172</v>
      </c>
      <c r="CZ4" s="125" t="s">
        <v>173</v>
      </c>
      <c r="DA4" s="125" t="s">
        <v>174</v>
      </c>
      <c r="DB4" s="125" t="s">
        <v>175</v>
      </c>
      <c r="DC4" s="125" t="s">
        <v>176</v>
      </c>
      <c r="DD4" s="125" t="s">
        <v>177</v>
      </c>
      <c r="DE4" s="125" t="s">
        <v>178</v>
      </c>
      <c r="DF4" s="125" t="s">
        <v>179</v>
      </c>
      <c r="DG4" s="125" t="s">
        <v>180</v>
      </c>
      <c r="DH4" s="125" t="s">
        <v>181</v>
      </c>
      <c r="DI4" s="125" t="s">
        <v>182</v>
      </c>
      <c r="DJ4" s="125" t="s">
        <v>183</v>
      </c>
      <c r="DK4" s="125" t="s">
        <v>184</v>
      </c>
      <c r="DL4" s="125" t="s">
        <v>185</v>
      </c>
      <c r="DM4" s="125" t="s">
        <v>186</v>
      </c>
      <c r="DN4" s="125" t="s">
        <v>187</v>
      </c>
      <c r="DO4" s="125" t="s">
        <v>188</v>
      </c>
      <c r="DP4" s="125" t="s">
        <v>189</v>
      </c>
      <c r="DQ4" s="125" t="s">
        <v>190</v>
      </c>
      <c r="DR4" s="125" t="s">
        <v>191</v>
      </c>
      <c r="DS4" s="125" t="s">
        <v>192</v>
      </c>
      <c r="DT4" s="125" t="s">
        <v>193</v>
      </c>
      <c r="DU4" s="125" t="s">
        <v>194</v>
      </c>
      <c r="DV4" s="125" t="s">
        <v>195</v>
      </c>
      <c r="DW4" s="125" t="s">
        <v>196</v>
      </c>
      <c r="DX4" s="125" t="s">
        <v>197</v>
      </c>
      <c r="DY4" s="125" t="s">
        <v>198</v>
      </c>
      <c r="DZ4" s="125" t="s">
        <v>199</v>
      </c>
      <c r="EA4" s="125" t="s">
        <v>200</v>
      </c>
      <c r="EB4" s="125" t="s">
        <v>201</v>
      </c>
      <c r="EC4" s="125" t="s">
        <v>202</v>
      </c>
      <c r="ED4" s="125" t="s">
        <v>203</v>
      </c>
      <c r="EE4" s="125" t="s">
        <v>204</v>
      </c>
      <c r="EF4" s="125" t="s">
        <v>205</v>
      </c>
      <c r="EG4" s="125" t="s">
        <v>206</v>
      </c>
      <c r="EH4" s="125" t="s">
        <v>207</v>
      </c>
      <c r="EI4" s="125" t="s">
        <v>208</v>
      </c>
      <c r="EJ4" s="125" t="s">
        <v>209</v>
      </c>
      <c r="EK4" s="125" t="s">
        <v>210</v>
      </c>
      <c r="EL4" s="125" t="s">
        <v>211</v>
      </c>
      <c r="EM4" s="125" t="s">
        <v>212</v>
      </c>
      <c r="EN4" s="125" t="s">
        <v>213</v>
      </c>
      <c r="EO4" s="125" t="s">
        <v>214</v>
      </c>
      <c r="EP4" s="125" t="s">
        <v>215</v>
      </c>
      <c r="EQ4" s="125" t="s">
        <v>216</v>
      </c>
      <c r="ER4" s="125" t="s">
        <v>217</v>
      </c>
      <c r="ES4" s="125" t="s">
        <v>218</v>
      </c>
      <c r="ET4" s="125" t="s">
        <v>219</v>
      </c>
      <c r="EU4" s="125" t="s">
        <v>220</v>
      </c>
      <c r="EV4" s="125" t="s">
        <v>221</v>
      </c>
      <c r="EW4" s="125" t="s">
        <v>222</v>
      </c>
      <c r="EX4" s="125" t="s">
        <v>223</v>
      </c>
      <c r="EY4" s="125" t="s">
        <v>224</v>
      </c>
      <c r="EZ4" s="125" t="s">
        <v>225</v>
      </c>
      <c r="FA4" s="125" t="s">
        <v>226</v>
      </c>
      <c r="FB4" s="125" t="s">
        <v>227</v>
      </c>
      <c r="FC4" s="125" t="s">
        <v>228</v>
      </c>
      <c r="FD4" s="125" t="s">
        <v>229</v>
      </c>
      <c r="FE4" s="125" t="s">
        <v>230</v>
      </c>
      <c r="FF4" s="125" t="s">
        <v>231</v>
      </c>
      <c r="FG4" s="125" t="s">
        <v>232</v>
      </c>
      <c r="FH4" s="125" t="s">
        <v>233</v>
      </c>
      <c r="FI4" s="125" t="s">
        <v>234</v>
      </c>
      <c r="FJ4" s="125" t="s">
        <v>235</v>
      </c>
      <c r="FK4" s="125" t="s">
        <v>236</v>
      </c>
      <c r="FL4" s="125" t="s">
        <v>237</v>
      </c>
      <c r="FM4" s="125" t="s">
        <v>238</v>
      </c>
      <c r="FN4" s="125" t="s">
        <v>239</v>
      </c>
      <c r="FO4" s="125" t="s">
        <v>240</v>
      </c>
      <c r="FP4" s="125" t="s">
        <v>241</v>
      </c>
      <c r="FQ4" s="125" t="s">
        <v>242</v>
      </c>
      <c r="FR4" s="125" t="s">
        <v>243</v>
      </c>
      <c r="FS4" s="125" t="s">
        <v>244</v>
      </c>
      <c r="FT4" s="125" t="s">
        <v>245</v>
      </c>
      <c r="FU4" s="125" t="s">
        <v>246</v>
      </c>
    </row>
    <row r="5" spans="1:177" s="71" customFormat="1" ht="32.25" customHeight="1" x14ac:dyDescent="0.25">
      <c r="A5" s="169">
        <f ca="1">NOW()</f>
        <v>43345.82303634259</v>
      </c>
      <c r="B5" s="139" t="s">
        <v>308</v>
      </c>
      <c r="C5" s="72">
        <v>43328</v>
      </c>
      <c r="D5" s="72">
        <v>43329</v>
      </c>
      <c r="E5" s="72">
        <v>43330</v>
      </c>
      <c r="F5" s="72">
        <v>43331</v>
      </c>
      <c r="G5" s="72">
        <v>43332</v>
      </c>
      <c r="H5" s="72">
        <v>43333</v>
      </c>
      <c r="I5" s="72">
        <v>43334</v>
      </c>
      <c r="J5" s="72">
        <v>43335</v>
      </c>
      <c r="K5" s="72">
        <v>43336</v>
      </c>
      <c r="L5" s="72">
        <v>43337</v>
      </c>
      <c r="M5" s="72">
        <v>43338</v>
      </c>
      <c r="N5" s="72">
        <v>43339</v>
      </c>
      <c r="O5" s="72">
        <v>43340</v>
      </c>
      <c r="P5" s="72">
        <v>43341</v>
      </c>
      <c r="Q5" s="72">
        <v>43342</v>
      </c>
      <c r="R5" s="72">
        <v>43343</v>
      </c>
      <c r="S5" s="72">
        <v>43344</v>
      </c>
      <c r="T5" s="72">
        <v>43345</v>
      </c>
      <c r="U5" s="72">
        <v>43346</v>
      </c>
      <c r="V5" s="72">
        <v>43347</v>
      </c>
      <c r="W5" s="72">
        <v>43348</v>
      </c>
      <c r="X5" s="72">
        <v>43349</v>
      </c>
      <c r="Y5" s="72">
        <v>43350</v>
      </c>
      <c r="Z5" s="72">
        <v>43351</v>
      </c>
      <c r="AA5" s="72">
        <v>43352</v>
      </c>
      <c r="AB5" s="72">
        <v>43353</v>
      </c>
      <c r="AC5" s="72">
        <v>43354</v>
      </c>
      <c r="AD5" s="72">
        <v>43355</v>
      </c>
      <c r="AE5" s="72">
        <v>43356</v>
      </c>
      <c r="AF5" s="72">
        <v>43357</v>
      </c>
      <c r="AG5" s="72">
        <v>43358</v>
      </c>
      <c r="AH5" s="72">
        <v>43359</v>
      </c>
      <c r="AI5" s="72">
        <v>43360</v>
      </c>
      <c r="AJ5" s="72">
        <v>43361</v>
      </c>
      <c r="AK5" s="72">
        <v>43362</v>
      </c>
      <c r="AL5" s="72">
        <v>43363</v>
      </c>
      <c r="AM5" s="72">
        <v>43364</v>
      </c>
      <c r="AN5" s="72">
        <v>43365</v>
      </c>
      <c r="AO5" s="72">
        <v>43366</v>
      </c>
      <c r="AP5" s="72">
        <v>43367</v>
      </c>
      <c r="AQ5" s="72">
        <v>43368</v>
      </c>
      <c r="AR5" s="72">
        <v>43369</v>
      </c>
      <c r="AS5" s="72">
        <v>43370</v>
      </c>
      <c r="AT5" s="72">
        <v>43371</v>
      </c>
      <c r="AU5" s="72">
        <v>43372</v>
      </c>
      <c r="AV5" s="72">
        <v>43373</v>
      </c>
      <c r="AW5" s="72">
        <v>43374</v>
      </c>
      <c r="AX5" s="72">
        <v>43375</v>
      </c>
      <c r="AY5" s="72">
        <v>43376</v>
      </c>
      <c r="AZ5" s="72">
        <v>43377</v>
      </c>
      <c r="BA5" s="72">
        <v>43378</v>
      </c>
      <c r="BB5" s="72">
        <v>43379</v>
      </c>
      <c r="BC5" s="72">
        <v>43380</v>
      </c>
      <c r="BD5" s="72">
        <v>43381</v>
      </c>
      <c r="BE5" s="72">
        <v>43382</v>
      </c>
      <c r="BF5" s="72">
        <v>43383</v>
      </c>
      <c r="BG5" s="72">
        <v>43384</v>
      </c>
      <c r="BH5" s="72">
        <v>43385</v>
      </c>
      <c r="BI5" s="72">
        <v>43386</v>
      </c>
      <c r="BJ5" s="72">
        <v>43387</v>
      </c>
      <c r="BK5" s="72">
        <v>43388</v>
      </c>
      <c r="BL5" s="72">
        <v>43389</v>
      </c>
      <c r="BM5" s="72">
        <v>43390</v>
      </c>
      <c r="BN5" s="72">
        <v>43391</v>
      </c>
      <c r="BO5" s="72">
        <v>43392</v>
      </c>
      <c r="BP5" s="72">
        <v>43393</v>
      </c>
      <c r="BQ5" s="72">
        <v>43394</v>
      </c>
      <c r="BR5" s="72">
        <v>43395</v>
      </c>
      <c r="BS5" s="72">
        <v>43396</v>
      </c>
      <c r="BT5" s="72">
        <v>43397</v>
      </c>
      <c r="BU5" s="72">
        <v>43398</v>
      </c>
      <c r="BV5" s="72">
        <v>43399</v>
      </c>
      <c r="BW5" s="72">
        <v>43400</v>
      </c>
      <c r="BX5" s="72">
        <v>43401</v>
      </c>
      <c r="BY5" s="72">
        <v>43402</v>
      </c>
      <c r="BZ5" s="72">
        <v>43403</v>
      </c>
      <c r="CA5" s="72">
        <v>43404</v>
      </c>
      <c r="CB5" s="72">
        <v>43405</v>
      </c>
      <c r="CC5" s="72">
        <v>43406</v>
      </c>
      <c r="CD5" s="72">
        <v>43407</v>
      </c>
      <c r="CE5" s="72">
        <v>43408</v>
      </c>
      <c r="CF5" s="72">
        <v>43409</v>
      </c>
      <c r="CG5" s="72">
        <v>43410</v>
      </c>
      <c r="CH5" s="72">
        <v>43411</v>
      </c>
      <c r="CI5" s="72">
        <v>43412</v>
      </c>
      <c r="CJ5" s="72">
        <v>43413</v>
      </c>
      <c r="CK5" s="72">
        <v>43414</v>
      </c>
      <c r="CL5" s="72">
        <v>43415</v>
      </c>
      <c r="CM5" s="72">
        <v>43416</v>
      </c>
      <c r="CN5" s="72">
        <v>43417</v>
      </c>
      <c r="CO5" s="72">
        <v>43418</v>
      </c>
      <c r="CP5" s="72">
        <v>43419</v>
      </c>
      <c r="CQ5" s="72">
        <v>43420</v>
      </c>
      <c r="CR5" s="72">
        <v>43421</v>
      </c>
      <c r="CS5" s="72">
        <v>43422</v>
      </c>
      <c r="CT5" s="72">
        <v>43423</v>
      </c>
      <c r="CU5" s="72">
        <v>43424</v>
      </c>
      <c r="CV5" s="72">
        <v>43425</v>
      </c>
      <c r="CW5" s="72">
        <v>43426</v>
      </c>
      <c r="CX5" s="72">
        <v>43427</v>
      </c>
      <c r="CY5" s="72">
        <v>43428</v>
      </c>
      <c r="CZ5" s="72">
        <v>43429</v>
      </c>
      <c r="DA5" s="72">
        <v>43430</v>
      </c>
      <c r="DB5" s="72">
        <v>43431</v>
      </c>
      <c r="DC5" s="72">
        <v>43432</v>
      </c>
      <c r="DD5" s="72">
        <v>43433</v>
      </c>
      <c r="DE5" s="72">
        <v>43434</v>
      </c>
      <c r="DF5" s="72">
        <v>43435</v>
      </c>
      <c r="DG5" s="72">
        <v>43436</v>
      </c>
      <c r="DH5" s="72">
        <v>43437</v>
      </c>
      <c r="DI5" s="72">
        <v>43438</v>
      </c>
      <c r="DJ5" s="72">
        <v>43439</v>
      </c>
      <c r="DK5" s="72">
        <v>43440</v>
      </c>
      <c r="DL5" s="72">
        <v>43441</v>
      </c>
      <c r="DM5" s="72">
        <v>43442</v>
      </c>
      <c r="DN5" s="72">
        <v>43443</v>
      </c>
      <c r="DO5" s="72">
        <v>43444</v>
      </c>
      <c r="DP5" s="72">
        <v>43445</v>
      </c>
      <c r="DQ5" s="72">
        <v>43446</v>
      </c>
      <c r="DR5" s="72">
        <v>43447</v>
      </c>
      <c r="DS5" s="72">
        <v>43448</v>
      </c>
      <c r="DT5" s="72">
        <v>43449</v>
      </c>
      <c r="DU5" s="72">
        <v>43450</v>
      </c>
      <c r="DV5" s="72">
        <v>43451</v>
      </c>
      <c r="DW5" s="72">
        <v>43452</v>
      </c>
      <c r="DX5" s="72">
        <v>43453</v>
      </c>
      <c r="DY5" s="72">
        <v>43454</v>
      </c>
      <c r="DZ5" s="72">
        <v>43455</v>
      </c>
      <c r="EA5" s="72">
        <v>43456</v>
      </c>
      <c r="EB5" s="72">
        <v>43457</v>
      </c>
      <c r="EC5" s="72">
        <v>43458</v>
      </c>
      <c r="ED5" s="72">
        <v>43459</v>
      </c>
      <c r="EE5" s="72">
        <v>43460</v>
      </c>
      <c r="EF5" s="72">
        <v>43461</v>
      </c>
      <c r="EG5" s="72">
        <v>43462</v>
      </c>
      <c r="EH5" s="72">
        <v>43463</v>
      </c>
      <c r="EI5" s="72">
        <v>43464</v>
      </c>
      <c r="EJ5" s="72">
        <v>43465</v>
      </c>
      <c r="EK5" s="72">
        <v>43466</v>
      </c>
      <c r="EL5" s="72">
        <v>43467</v>
      </c>
      <c r="EM5" s="72">
        <v>43468</v>
      </c>
      <c r="EN5" s="72">
        <v>43469</v>
      </c>
      <c r="EO5" s="72">
        <v>43470</v>
      </c>
      <c r="EP5" s="72">
        <v>43471</v>
      </c>
      <c r="EQ5" s="72">
        <v>43472</v>
      </c>
      <c r="ER5" s="72">
        <v>43473</v>
      </c>
      <c r="ES5" s="72">
        <v>43474</v>
      </c>
      <c r="ET5" s="72">
        <v>43475</v>
      </c>
      <c r="EU5" s="72">
        <v>43476</v>
      </c>
      <c r="EV5" s="72">
        <v>43477</v>
      </c>
      <c r="EW5" s="72">
        <v>43478</v>
      </c>
      <c r="EX5" s="72">
        <v>43479</v>
      </c>
      <c r="EY5" s="72">
        <v>43480</v>
      </c>
      <c r="EZ5" s="72">
        <v>43481</v>
      </c>
      <c r="FA5" s="72">
        <v>43482</v>
      </c>
      <c r="FB5" s="72">
        <v>43483</v>
      </c>
      <c r="FC5" s="72">
        <v>43484</v>
      </c>
      <c r="FD5" s="72">
        <v>43485</v>
      </c>
      <c r="FE5" s="72">
        <v>43486</v>
      </c>
      <c r="FF5" s="72">
        <v>43487</v>
      </c>
      <c r="FG5" s="72">
        <v>43488</v>
      </c>
      <c r="FH5" s="72">
        <v>43489</v>
      </c>
      <c r="FI5" s="72">
        <v>43490</v>
      </c>
      <c r="FJ5" s="72">
        <v>43491</v>
      </c>
      <c r="FK5" s="72">
        <v>43492</v>
      </c>
      <c r="FL5" s="72">
        <v>43493</v>
      </c>
      <c r="FM5" s="72">
        <v>43494</v>
      </c>
      <c r="FN5" s="72">
        <v>43495</v>
      </c>
      <c r="FO5" s="72">
        <v>43496</v>
      </c>
      <c r="FP5" s="72">
        <v>43497</v>
      </c>
      <c r="FQ5" s="72">
        <v>43498</v>
      </c>
      <c r="FR5" s="72">
        <v>43499</v>
      </c>
      <c r="FS5" s="72">
        <v>43500</v>
      </c>
      <c r="FT5" s="72">
        <v>43501</v>
      </c>
      <c r="FU5" s="72">
        <v>43502</v>
      </c>
    </row>
    <row r="6" spans="1:177" s="143" customFormat="1" ht="51" customHeight="1" x14ac:dyDescent="0.25">
      <c r="A6" s="141"/>
      <c r="B6" s="139" t="s">
        <v>462</v>
      </c>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40"/>
      <c r="DO6" s="140"/>
      <c r="DP6" s="140"/>
      <c r="DQ6" s="140"/>
      <c r="DR6" s="140"/>
      <c r="DS6" s="140"/>
      <c r="DT6" s="140"/>
      <c r="DU6" s="140"/>
      <c r="DV6" s="140"/>
      <c r="DW6" s="140"/>
      <c r="DX6" s="140"/>
      <c r="DY6" s="140"/>
      <c r="DZ6" s="140"/>
      <c r="EA6" s="140"/>
      <c r="EB6" s="140"/>
      <c r="EC6" s="140"/>
      <c r="ED6" s="140"/>
      <c r="EE6" s="140"/>
      <c r="EF6" s="140"/>
      <c r="EG6" s="140"/>
      <c r="EH6" s="140"/>
      <c r="EI6" s="140"/>
      <c r="EJ6" s="140"/>
      <c r="EK6" s="140"/>
      <c r="EL6" s="140"/>
      <c r="EM6" s="140"/>
      <c r="EN6" s="140"/>
      <c r="EO6" s="140"/>
      <c r="EP6" s="140"/>
      <c r="EQ6" s="140"/>
      <c r="ER6" s="140"/>
      <c r="ES6" s="140"/>
      <c r="ET6" s="140"/>
      <c r="EU6" s="140"/>
      <c r="EV6" s="140"/>
      <c r="EW6" s="140"/>
      <c r="EX6" s="140"/>
      <c r="EY6" s="140"/>
      <c r="EZ6" s="140"/>
      <c r="FA6" s="140"/>
      <c r="FB6" s="140"/>
      <c r="FC6" s="140"/>
      <c r="FD6" s="140"/>
      <c r="FE6" s="140"/>
      <c r="FF6" s="140"/>
      <c r="FG6" s="140"/>
      <c r="FH6" s="140"/>
      <c r="FI6" s="140"/>
      <c r="FJ6" s="140"/>
      <c r="FK6" s="140"/>
      <c r="FL6" s="140"/>
      <c r="FM6" s="140"/>
      <c r="FN6" s="140"/>
      <c r="FO6" s="140"/>
      <c r="FP6" s="140"/>
      <c r="FQ6" s="140"/>
      <c r="FR6" s="140"/>
      <c r="FS6" s="140"/>
      <c r="FT6" s="140"/>
      <c r="FU6" s="140"/>
    </row>
    <row r="7" spans="1:177" s="162" customFormat="1" ht="20.100000000000001" customHeight="1" thickBot="1" x14ac:dyDescent="0.3">
      <c r="A7" s="159">
        <f>HOUR(B7)</f>
        <v>0</v>
      </c>
      <c r="B7" s="160">
        <v>0</v>
      </c>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P7" s="142"/>
      <c r="AQ7" s="142"/>
      <c r="AR7" s="142"/>
      <c r="AS7" s="142"/>
      <c r="AT7" s="142"/>
      <c r="AU7" s="142"/>
      <c r="AV7" s="142"/>
      <c r="AW7" s="142"/>
      <c r="AX7" s="142"/>
      <c r="AY7" s="142"/>
      <c r="AZ7" s="142"/>
      <c r="BA7" s="142"/>
      <c r="BB7" s="142"/>
      <c r="BC7" s="142"/>
      <c r="BD7" s="142"/>
      <c r="BE7" s="142"/>
      <c r="BF7" s="142"/>
      <c r="BG7" s="142"/>
      <c r="BH7" s="142"/>
      <c r="BI7" s="142"/>
      <c r="BJ7" s="142"/>
      <c r="BK7" s="142"/>
      <c r="BL7" s="142"/>
      <c r="BM7" s="142"/>
      <c r="BN7" s="142"/>
      <c r="BO7" s="142"/>
      <c r="BP7" s="142"/>
      <c r="BQ7" s="142"/>
      <c r="BR7" s="142"/>
      <c r="BS7" s="142"/>
      <c r="BT7" s="142"/>
      <c r="BU7" s="142"/>
      <c r="BV7" s="142"/>
      <c r="BW7" s="142"/>
      <c r="BX7" s="142"/>
      <c r="BY7" s="142"/>
      <c r="BZ7" s="142"/>
      <c r="CA7" s="142"/>
      <c r="CB7" s="142"/>
      <c r="CC7" s="142"/>
      <c r="CD7" s="142"/>
      <c r="CE7" s="142"/>
      <c r="CF7" s="142"/>
      <c r="CG7" s="142"/>
      <c r="CH7" s="142"/>
      <c r="CI7" s="142"/>
      <c r="CJ7" s="142"/>
      <c r="CK7" s="142"/>
      <c r="CL7" s="142"/>
      <c r="CM7" s="142"/>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c r="EF7" s="142"/>
      <c r="EG7" s="142"/>
      <c r="EH7" s="142"/>
      <c r="EI7" s="142"/>
      <c r="EJ7" s="142"/>
      <c r="EK7" s="142"/>
      <c r="EL7" s="142"/>
      <c r="EM7" s="142"/>
      <c r="EN7" s="142"/>
      <c r="EO7" s="142"/>
      <c r="EP7" s="142"/>
      <c r="EQ7" s="142"/>
      <c r="ER7" s="142"/>
      <c r="ES7" s="142"/>
      <c r="ET7" s="142"/>
      <c r="EU7" s="142"/>
      <c r="EV7" s="142"/>
      <c r="EW7" s="142"/>
      <c r="EX7" s="142"/>
      <c r="EY7" s="142"/>
      <c r="EZ7" s="142"/>
      <c r="FA7" s="142"/>
      <c r="FB7" s="142"/>
      <c r="FC7" s="142"/>
      <c r="FD7" s="142"/>
      <c r="FE7" s="142"/>
      <c r="FF7" s="142"/>
      <c r="FG7" s="142"/>
      <c r="FH7" s="142"/>
      <c r="FI7" s="142"/>
      <c r="FJ7" s="142"/>
      <c r="FK7" s="142"/>
      <c r="FL7" s="142"/>
      <c r="FM7" s="142"/>
      <c r="FN7" s="142"/>
      <c r="FO7" s="142"/>
      <c r="FP7" s="142"/>
      <c r="FQ7" s="142"/>
      <c r="FR7" s="142"/>
      <c r="FS7" s="142"/>
      <c r="FT7" s="142"/>
      <c r="FU7" s="142"/>
    </row>
    <row r="8" spans="1:177" s="162" customFormat="1" ht="20.100000000000001" customHeight="1" thickTop="1" x14ac:dyDescent="0.25">
      <c r="A8" s="159">
        <f>HOUR(B8)</f>
        <v>1</v>
      </c>
      <c r="B8" s="160">
        <v>4.1666666666666699E-2</v>
      </c>
      <c r="C8" s="168"/>
      <c r="D8" s="168"/>
      <c r="E8" s="168"/>
      <c r="F8" s="168" t="s">
        <v>654</v>
      </c>
      <c r="G8" s="168" t="s">
        <v>650</v>
      </c>
      <c r="H8" s="168"/>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A8" s="168"/>
      <c r="BB8" s="168"/>
      <c r="BC8" s="168"/>
      <c r="BD8" s="168"/>
      <c r="BE8" s="168"/>
      <c r="BF8" s="168"/>
      <c r="BG8" s="168"/>
      <c r="BH8" s="168"/>
      <c r="BI8" s="168"/>
      <c r="BJ8" s="168"/>
      <c r="BK8" s="168"/>
      <c r="BL8" s="168"/>
      <c r="BM8" s="168"/>
      <c r="BN8" s="168"/>
      <c r="BO8" s="168"/>
      <c r="BP8" s="168"/>
      <c r="BQ8" s="168"/>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c r="DA8" s="168"/>
      <c r="DB8" s="168"/>
      <c r="DC8" s="168"/>
      <c r="DD8" s="168"/>
      <c r="DE8" s="168"/>
      <c r="DF8" s="168"/>
      <c r="DG8" s="168"/>
      <c r="DH8" s="168"/>
      <c r="DI8" s="168"/>
      <c r="DJ8" s="168"/>
      <c r="DK8" s="168"/>
      <c r="DL8" s="168"/>
      <c r="DM8" s="168"/>
      <c r="DN8" s="168"/>
      <c r="DO8" s="168"/>
      <c r="DP8" s="168"/>
      <c r="DQ8" s="168"/>
      <c r="DR8" s="168"/>
      <c r="DS8" s="168"/>
      <c r="DT8" s="168"/>
      <c r="DU8" s="168"/>
      <c r="DV8" s="168"/>
      <c r="DW8" s="168"/>
      <c r="DX8" s="168"/>
      <c r="DY8" s="168"/>
      <c r="DZ8" s="168"/>
      <c r="EA8" s="168"/>
      <c r="EB8" s="168"/>
      <c r="EC8" s="168"/>
      <c r="ED8" s="168"/>
      <c r="EE8" s="168"/>
      <c r="EF8" s="168"/>
      <c r="EG8" s="168"/>
      <c r="EH8" s="168"/>
      <c r="EI8" s="168"/>
      <c r="EJ8" s="168"/>
      <c r="EK8" s="168"/>
      <c r="EL8" s="168"/>
      <c r="EM8" s="168"/>
      <c r="EN8" s="168"/>
      <c r="EO8" s="168"/>
      <c r="EP8" s="168"/>
      <c r="EQ8" s="168"/>
      <c r="ER8" s="168"/>
      <c r="ES8" s="168"/>
      <c r="ET8" s="168"/>
      <c r="EU8" s="168"/>
      <c r="EV8" s="168"/>
      <c r="EW8" s="168"/>
      <c r="EX8" s="168"/>
      <c r="EY8" s="168"/>
      <c r="EZ8" s="168"/>
      <c r="FA8" s="168"/>
      <c r="FB8" s="168"/>
      <c r="FC8" s="168"/>
      <c r="FD8" s="168"/>
      <c r="FE8" s="168"/>
      <c r="FF8" s="168"/>
      <c r="FG8" s="168"/>
      <c r="FH8" s="168"/>
      <c r="FI8" s="168"/>
      <c r="FJ8" s="168"/>
      <c r="FK8" s="168"/>
      <c r="FL8" s="161"/>
      <c r="FM8" s="161"/>
      <c r="FN8" s="161"/>
      <c r="FO8" s="161"/>
      <c r="FP8" s="161"/>
      <c r="FQ8" s="161"/>
      <c r="FR8" s="161"/>
      <c r="FS8" s="161"/>
      <c r="FT8" s="161"/>
      <c r="FU8" s="161"/>
    </row>
    <row r="9" spans="1:177" s="162" customFormat="1" x14ac:dyDescent="0.25">
      <c r="A9" s="159">
        <f t="shared" ref="A9:A30" si="0">HOUR(B9)</f>
        <v>2</v>
      </c>
      <c r="B9" s="160">
        <v>8.3333333333333301E-2</v>
      </c>
      <c r="C9" s="168"/>
      <c r="D9" s="168"/>
      <c r="E9" s="168"/>
      <c r="F9" s="168"/>
      <c r="G9" s="168" t="s">
        <v>650</v>
      </c>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c r="BS9" s="168"/>
      <c r="BT9" s="168"/>
      <c r="BU9" s="168"/>
      <c r="BV9" s="168"/>
      <c r="BW9" s="168"/>
      <c r="BX9" s="168"/>
      <c r="BY9" s="168"/>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c r="DA9" s="168"/>
      <c r="DB9" s="168"/>
      <c r="DC9" s="168"/>
      <c r="DD9" s="168"/>
      <c r="DE9" s="168"/>
      <c r="DF9" s="168"/>
      <c r="DG9" s="168"/>
      <c r="DH9" s="168"/>
      <c r="DI9" s="168"/>
      <c r="DJ9" s="168"/>
      <c r="DK9" s="168"/>
      <c r="DL9" s="168"/>
      <c r="DM9" s="168"/>
      <c r="DN9" s="168"/>
      <c r="DO9" s="168"/>
      <c r="DP9" s="168"/>
      <c r="DQ9" s="168"/>
      <c r="DR9" s="168"/>
      <c r="DS9" s="168"/>
      <c r="DT9" s="168"/>
      <c r="DU9" s="168"/>
      <c r="DV9" s="168"/>
      <c r="DW9" s="168"/>
      <c r="DX9" s="168"/>
      <c r="DY9" s="168"/>
      <c r="DZ9" s="168"/>
      <c r="EA9" s="168"/>
      <c r="EB9" s="168"/>
      <c r="EC9" s="168"/>
      <c r="ED9" s="168"/>
      <c r="EE9" s="168"/>
      <c r="EF9" s="168"/>
      <c r="EG9" s="168"/>
      <c r="EH9" s="168"/>
      <c r="EI9" s="168"/>
      <c r="EJ9" s="168"/>
      <c r="EK9" s="168"/>
      <c r="EL9" s="168"/>
      <c r="EM9" s="168"/>
      <c r="EN9" s="168"/>
      <c r="EO9" s="168"/>
      <c r="EP9" s="168"/>
      <c r="EQ9" s="168"/>
      <c r="ER9" s="168"/>
      <c r="ES9" s="168"/>
      <c r="ET9" s="168"/>
      <c r="EU9" s="168"/>
      <c r="EV9" s="168"/>
      <c r="EW9" s="168"/>
      <c r="EX9" s="168"/>
      <c r="EY9" s="168"/>
      <c r="EZ9" s="168"/>
      <c r="FA9" s="168"/>
      <c r="FB9" s="168"/>
      <c r="FC9" s="168"/>
      <c r="FD9" s="168"/>
      <c r="FE9" s="168"/>
      <c r="FF9" s="168"/>
      <c r="FG9" s="168"/>
      <c r="FH9" s="168"/>
      <c r="FI9" s="168"/>
      <c r="FJ9" s="168"/>
      <c r="FK9" s="168"/>
      <c r="FL9" s="168"/>
      <c r="FM9" s="168"/>
      <c r="FN9" s="168"/>
      <c r="FO9" s="168"/>
      <c r="FP9" s="168"/>
      <c r="FQ9" s="168"/>
      <c r="FR9" s="168"/>
      <c r="FS9" s="168"/>
      <c r="FT9" s="168"/>
      <c r="FU9" s="168"/>
    </row>
    <row r="10" spans="1:177" s="163" customFormat="1" x14ac:dyDescent="0.25">
      <c r="A10" s="159">
        <f t="shared" si="0"/>
        <v>3</v>
      </c>
      <c r="B10" s="160">
        <v>0.125</v>
      </c>
      <c r="C10" s="168"/>
      <c r="D10" s="168"/>
      <c r="E10" s="168"/>
      <c r="F10" s="168" t="s">
        <v>615</v>
      </c>
      <c r="G10" s="168" t="s">
        <v>650</v>
      </c>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c r="DA10" s="168"/>
      <c r="DB10" s="168"/>
      <c r="DC10" s="168"/>
      <c r="DD10" s="168"/>
      <c r="DE10" s="168"/>
      <c r="DF10" s="168"/>
      <c r="DG10" s="168"/>
      <c r="DH10" s="168"/>
      <c r="DI10" s="168"/>
      <c r="DJ10" s="168"/>
      <c r="DK10" s="168"/>
      <c r="DL10" s="168"/>
      <c r="DM10" s="168"/>
      <c r="DN10" s="168"/>
      <c r="DO10" s="168"/>
      <c r="DP10" s="168"/>
      <c r="DQ10" s="168"/>
      <c r="DR10" s="168"/>
      <c r="DS10" s="168"/>
      <c r="DT10" s="168"/>
      <c r="DU10" s="168"/>
      <c r="DV10" s="168"/>
      <c r="DW10" s="168"/>
      <c r="DX10" s="168"/>
      <c r="DY10" s="168"/>
      <c r="DZ10" s="168"/>
      <c r="EA10" s="168"/>
      <c r="EB10" s="168"/>
      <c r="EC10" s="168"/>
      <c r="ED10" s="168"/>
      <c r="EE10" s="168"/>
      <c r="EF10" s="168"/>
      <c r="EG10" s="168"/>
      <c r="EH10" s="168"/>
      <c r="EI10" s="168"/>
      <c r="EJ10" s="168"/>
      <c r="EK10" s="168"/>
      <c r="EL10" s="168"/>
      <c r="EM10" s="168"/>
      <c r="EN10" s="168"/>
      <c r="EO10" s="168"/>
      <c r="EP10" s="168"/>
      <c r="EQ10" s="168"/>
      <c r="ER10" s="168"/>
      <c r="ES10" s="168"/>
      <c r="ET10" s="168"/>
      <c r="EU10" s="168"/>
      <c r="EV10" s="168"/>
      <c r="EW10" s="168"/>
      <c r="EX10" s="168"/>
      <c r="EY10" s="168"/>
      <c r="EZ10" s="168"/>
      <c r="FA10" s="168"/>
      <c r="FB10" s="168"/>
      <c r="FC10" s="168"/>
      <c r="FD10" s="168"/>
      <c r="FE10" s="168"/>
      <c r="FF10" s="168"/>
      <c r="FG10" s="168"/>
      <c r="FH10" s="168"/>
      <c r="FI10" s="168"/>
      <c r="FJ10" s="168"/>
      <c r="FK10" s="168"/>
      <c r="FL10" s="168"/>
      <c r="FM10" s="168"/>
      <c r="FN10" s="168"/>
      <c r="FO10" s="168"/>
      <c r="FP10" s="168"/>
      <c r="FQ10" s="168"/>
      <c r="FR10" s="168"/>
      <c r="FS10" s="168"/>
      <c r="FT10" s="168"/>
      <c r="FU10" s="168"/>
    </row>
    <row r="11" spans="1:177" s="162" customFormat="1" x14ac:dyDescent="0.25">
      <c r="A11" s="159">
        <f t="shared" si="0"/>
        <v>4</v>
      </c>
      <c r="B11" s="160">
        <v>0.16666666666666699</v>
      </c>
      <c r="C11" s="168" t="s">
        <v>615</v>
      </c>
      <c r="D11" s="168" t="s">
        <v>615</v>
      </c>
      <c r="E11" s="168" t="s">
        <v>615</v>
      </c>
      <c r="F11" s="168" t="s">
        <v>650</v>
      </c>
      <c r="G11" s="168" t="s">
        <v>651</v>
      </c>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68"/>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row>
    <row r="12" spans="1:177" s="162" customFormat="1" ht="20.100000000000001" customHeight="1" x14ac:dyDescent="0.25">
      <c r="A12" s="159">
        <f t="shared" si="0"/>
        <v>5</v>
      </c>
      <c r="B12" s="160">
        <v>0.20833333333333301</v>
      </c>
      <c r="C12" s="168" t="s">
        <v>615</v>
      </c>
      <c r="D12" s="168" t="s">
        <v>615</v>
      </c>
      <c r="E12" s="168" t="s">
        <v>615</v>
      </c>
      <c r="F12" s="168" t="s">
        <v>650</v>
      </c>
      <c r="G12" s="168" t="s">
        <v>651</v>
      </c>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c r="DA12" s="168"/>
      <c r="DB12" s="168"/>
      <c r="DC12" s="168"/>
      <c r="DD12" s="168"/>
      <c r="DE12" s="168"/>
      <c r="DF12" s="168"/>
      <c r="DG12" s="168"/>
      <c r="DH12" s="168"/>
      <c r="DI12" s="168"/>
      <c r="DJ12" s="168"/>
      <c r="DK12" s="168"/>
      <c r="DL12" s="168"/>
      <c r="DM12" s="168"/>
      <c r="DN12" s="168"/>
      <c r="DO12" s="168"/>
      <c r="DP12" s="168"/>
      <c r="DQ12" s="168"/>
      <c r="DR12" s="168"/>
      <c r="DS12" s="168"/>
      <c r="DT12" s="168"/>
      <c r="DU12" s="168"/>
      <c r="DV12" s="168"/>
      <c r="DW12" s="168"/>
      <c r="DX12" s="168"/>
      <c r="DY12" s="168"/>
      <c r="DZ12" s="168"/>
      <c r="EA12" s="168"/>
      <c r="EB12" s="168"/>
      <c r="EC12" s="168"/>
      <c r="ED12" s="168"/>
      <c r="EE12" s="168"/>
      <c r="EF12" s="168"/>
      <c r="EG12" s="168"/>
      <c r="EH12" s="168"/>
      <c r="EI12" s="168"/>
      <c r="EJ12" s="168"/>
      <c r="EK12" s="168"/>
      <c r="EL12" s="168"/>
      <c r="EM12" s="168"/>
      <c r="EN12" s="168"/>
      <c r="EO12" s="168"/>
      <c r="EP12" s="168"/>
      <c r="EQ12" s="168"/>
      <c r="ER12" s="168"/>
      <c r="ES12" s="168"/>
      <c r="ET12" s="168"/>
      <c r="EU12" s="168"/>
      <c r="EV12" s="168"/>
      <c r="EW12" s="168"/>
      <c r="EX12" s="168"/>
      <c r="EY12" s="168"/>
      <c r="EZ12" s="168"/>
      <c r="FA12" s="168"/>
      <c r="FB12" s="168"/>
      <c r="FC12" s="168"/>
      <c r="FD12" s="168"/>
      <c r="FE12" s="168"/>
      <c r="FF12" s="168"/>
      <c r="FG12" s="168"/>
      <c r="FH12" s="168"/>
      <c r="FI12" s="168"/>
      <c r="FJ12" s="168"/>
      <c r="FK12" s="168"/>
      <c r="FL12" s="168"/>
      <c r="FM12" s="168"/>
      <c r="FN12" s="168"/>
      <c r="FO12" s="168"/>
      <c r="FP12" s="168"/>
      <c r="FQ12" s="168"/>
      <c r="FR12" s="168"/>
      <c r="FS12" s="168"/>
      <c r="FT12" s="168"/>
      <c r="FU12" s="168"/>
    </row>
    <row r="13" spans="1:177" s="162" customFormat="1" x14ac:dyDescent="0.25">
      <c r="A13" s="159">
        <f t="shared" si="0"/>
        <v>6</v>
      </c>
      <c r="B13" s="160">
        <v>0.25</v>
      </c>
      <c r="C13" s="168" t="s">
        <v>615</v>
      </c>
      <c r="D13" s="168" t="s">
        <v>615</v>
      </c>
      <c r="E13" s="168" t="s">
        <v>615</v>
      </c>
      <c r="F13" s="168" t="s">
        <v>650</v>
      </c>
      <c r="G13" s="168" t="s">
        <v>651</v>
      </c>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c r="EI13" s="168"/>
      <c r="EJ13" s="168"/>
      <c r="EK13" s="168"/>
      <c r="EL13" s="168"/>
      <c r="EM13" s="168"/>
      <c r="EN13" s="168"/>
      <c r="EO13" s="168"/>
      <c r="EP13" s="168"/>
      <c r="EQ13" s="168"/>
      <c r="ER13" s="168"/>
      <c r="ES13" s="168"/>
      <c r="ET13" s="168"/>
      <c r="EU13" s="168"/>
      <c r="EV13" s="168"/>
      <c r="EW13" s="168"/>
      <c r="EX13" s="168"/>
      <c r="EY13" s="168"/>
      <c r="EZ13" s="168"/>
      <c r="FA13" s="168"/>
      <c r="FB13" s="168"/>
      <c r="FC13" s="168"/>
      <c r="FD13" s="168"/>
      <c r="FE13" s="168"/>
      <c r="FF13" s="168"/>
      <c r="FG13" s="168"/>
      <c r="FH13" s="168"/>
      <c r="FI13" s="168"/>
      <c r="FJ13" s="168"/>
      <c r="FK13" s="168"/>
      <c r="FL13" s="168"/>
      <c r="FM13" s="168"/>
      <c r="FN13" s="168"/>
      <c r="FO13" s="168"/>
      <c r="FP13" s="168"/>
      <c r="FQ13" s="168"/>
      <c r="FR13" s="168"/>
      <c r="FS13" s="168"/>
      <c r="FT13" s="168"/>
      <c r="FU13" s="168"/>
    </row>
    <row r="14" spans="1:177" s="162" customFormat="1" x14ac:dyDescent="0.25">
      <c r="A14" s="159">
        <f t="shared" si="0"/>
        <v>7</v>
      </c>
      <c r="B14" s="160">
        <v>0.29166666666666702</v>
      </c>
      <c r="C14" s="168" t="s">
        <v>615</v>
      </c>
      <c r="D14" s="168" t="s">
        <v>615</v>
      </c>
      <c r="E14" s="168" t="s">
        <v>615</v>
      </c>
      <c r="F14" s="208" t="s">
        <v>648</v>
      </c>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c r="FN14" s="168"/>
      <c r="FO14" s="168"/>
      <c r="FP14" s="168"/>
      <c r="FQ14" s="168"/>
      <c r="FR14" s="168"/>
      <c r="FS14" s="168"/>
      <c r="FT14" s="168"/>
      <c r="FU14" s="168"/>
    </row>
    <row r="15" spans="1:177" s="162" customFormat="1" x14ac:dyDescent="0.25">
      <c r="A15" s="159">
        <f t="shared" si="0"/>
        <v>8</v>
      </c>
      <c r="B15" s="160">
        <v>0.33333333333333298</v>
      </c>
      <c r="C15" s="168"/>
      <c r="D15" s="168"/>
      <c r="E15" s="168"/>
      <c r="F15" s="208" t="s">
        <v>648</v>
      </c>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68"/>
      <c r="AI15" s="168"/>
      <c r="AJ15" s="168"/>
      <c r="AK15" s="168"/>
      <c r="AL15" s="168"/>
      <c r="AM15" s="168"/>
      <c r="AN15" s="168"/>
      <c r="AO15" s="168"/>
      <c r="AP15" s="168"/>
      <c r="AQ15" s="168"/>
      <c r="AR15" s="168"/>
      <c r="AS15" s="168"/>
      <c r="AT15" s="168"/>
      <c r="AU15" s="168"/>
      <c r="AV15" s="168"/>
      <c r="AW15" s="168"/>
      <c r="AX15" s="168"/>
      <c r="AY15" s="168"/>
      <c r="AZ15" s="168"/>
      <c r="BA15" s="168"/>
      <c r="BB15" s="168"/>
      <c r="BC15" s="168"/>
      <c r="BD15" s="168"/>
      <c r="BE15" s="168"/>
      <c r="BF15" s="168"/>
      <c r="BG15" s="168"/>
      <c r="BH15" s="168"/>
      <c r="BI15" s="168"/>
      <c r="BJ15" s="168"/>
      <c r="BK15" s="168"/>
      <c r="BL15" s="168"/>
      <c r="BM15" s="168"/>
      <c r="BN15" s="168"/>
      <c r="BO15" s="168"/>
      <c r="BP15" s="168"/>
      <c r="BQ15" s="168"/>
      <c r="BR15" s="168"/>
      <c r="BS15" s="168"/>
      <c r="BT15" s="168"/>
      <c r="BU15" s="168"/>
      <c r="BV15" s="168"/>
      <c r="BW15" s="168"/>
      <c r="BX15" s="168"/>
      <c r="BY15" s="168"/>
      <c r="BZ15" s="168"/>
      <c r="CA15" s="168"/>
      <c r="CB15" s="168"/>
      <c r="CC15" s="168"/>
      <c r="CD15" s="168"/>
      <c r="CE15" s="168"/>
      <c r="CF15" s="168"/>
      <c r="CG15" s="168"/>
      <c r="CH15" s="168"/>
      <c r="CI15" s="168"/>
      <c r="CJ15" s="168"/>
      <c r="CK15" s="168"/>
      <c r="CL15" s="168"/>
      <c r="CM15" s="168"/>
      <c r="CN15" s="168"/>
      <c r="CO15" s="168"/>
      <c r="CP15" s="168"/>
      <c r="CQ15" s="168"/>
      <c r="CR15" s="168"/>
      <c r="CS15" s="168"/>
      <c r="CT15" s="168"/>
      <c r="CU15" s="168"/>
      <c r="CV15" s="168"/>
      <c r="CW15" s="168"/>
      <c r="CX15" s="168"/>
      <c r="CY15" s="168"/>
      <c r="CZ15" s="168"/>
      <c r="DA15" s="168"/>
      <c r="DB15" s="168"/>
      <c r="DC15" s="168"/>
      <c r="DD15" s="168"/>
      <c r="DE15" s="168"/>
      <c r="DF15" s="168"/>
      <c r="DG15" s="168"/>
      <c r="DH15" s="168"/>
      <c r="DI15" s="168"/>
      <c r="DJ15" s="168"/>
      <c r="DK15" s="168"/>
      <c r="DL15" s="168"/>
      <c r="DM15" s="168"/>
      <c r="DN15" s="168"/>
      <c r="DO15" s="168"/>
      <c r="DP15" s="168"/>
      <c r="DQ15" s="168"/>
      <c r="DR15" s="168"/>
      <c r="DS15" s="168"/>
      <c r="DT15" s="168"/>
      <c r="DU15" s="168"/>
      <c r="DV15" s="168"/>
      <c r="DW15" s="168"/>
      <c r="DX15" s="168"/>
      <c r="DY15" s="168"/>
      <c r="DZ15" s="168"/>
      <c r="EA15" s="168"/>
      <c r="EB15" s="168"/>
      <c r="EC15" s="168"/>
      <c r="ED15" s="168"/>
      <c r="EE15" s="168"/>
      <c r="EF15" s="168"/>
      <c r="EG15" s="168"/>
      <c r="EH15" s="168"/>
      <c r="EI15" s="168"/>
      <c r="EJ15" s="168"/>
      <c r="EK15" s="168"/>
      <c r="EL15" s="168"/>
      <c r="EM15" s="168"/>
      <c r="EN15" s="168"/>
      <c r="EO15" s="168"/>
      <c r="EP15" s="168"/>
      <c r="EQ15" s="168"/>
      <c r="ER15" s="168"/>
      <c r="ES15" s="168"/>
      <c r="ET15" s="168"/>
      <c r="EU15" s="168"/>
      <c r="EV15" s="168"/>
      <c r="EW15" s="168"/>
      <c r="EX15" s="168"/>
      <c r="EY15" s="168"/>
      <c r="EZ15" s="168"/>
      <c r="FA15" s="168"/>
      <c r="FB15" s="168"/>
      <c r="FC15" s="168"/>
      <c r="FD15" s="168"/>
      <c r="FE15" s="168"/>
      <c r="FF15" s="168"/>
      <c r="FG15" s="168"/>
      <c r="FH15" s="168"/>
      <c r="FI15" s="168"/>
      <c r="FJ15" s="168"/>
      <c r="FK15" s="168"/>
      <c r="FL15" s="168"/>
      <c r="FM15" s="168"/>
      <c r="FN15" s="168"/>
      <c r="FO15" s="168"/>
      <c r="FP15" s="168"/>
      <c r="FQ15" s="168"/>
      <c r="FR15" s="168"/>
      <c r="FS15" s="168"/>
      <c r="FT15" s="168"/>
      <c r="FU15" s="168"/>
    </row>
    <row r="16" spans="1:177" s="162" customFormat="1" x14ac:dyDescent="0.25">
      <c r="A16" s="159">
        <f t="shared" si="0"/>
        <v>9</v>
      </c>
      <c r="B16" s="160">
        <v>0.375</v>
      </c>
      <c r="C16" s="168"/>
      <c r="D16" s="168"/>
      <c r="E16" s="168" t="s">
        <v>643</v>
      </c>
      <c r="F16" s="168" t="s">
        <v>261</v>
      </c>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8"/>
      <c r="BD16" s="168"/>
      <c r="BE16" s="168"/>
      <c r="BF16" s="168"/>
      <c r="BG16" s="168"/>
      <c r="BH16" s="168"/>
      <c r="BI16" s="168"/>
      <c r="BJ16" s="168"/>
      <c r="BK16" s="168"/>
      <c r="BL16" s="168"/>
      <c r="BM16" s="168"/>
      <c r="BN16" s="168"/>
      <c r="BO16" s="168"/>
      <c r="BP16" s="168"/>
      <c r="BQ16" s="168"/>
      <c r="BR16" s="168"/>
      <c r="BS16" s="168"/>
      <c r="BT16" s="168"/>
      <c r="BU16" s="168"/>
      <c r="BV16" s="168"/>
      <c r="BW16" s="168"/>
      <c r="BX16" s="168"/>
      <c r="BY16" s="168"/>
      <c r="BZ16" s="168"/>
      <c r="CA16" s="168"/>
      <c r="CB16" s="168"/>
      <c r="CC16" s="168"/>
      <c r="CD16" s="168"/>
      <c r="CE16" s="168"/>
      <c r="CF16" s="168"/>
      <c r="CG16" s="168"/>
      <c r="CH16" s="168"/>
      <c r="CI16" s="168"/>
      <c r="CJ16" s="168"/>
      <c r="CK16" s="168"/>
      <c r="CL16" s="168"/>
      <c r="CM16" s="168"/>
      <c r="CN16" s="168"/>
      <c r="CO16" s="168"/>
      <c r="CP16" s="168"/>
      <c r="CQ16" s="168"/>
      <c r="CR16" s="168"/>
      <c r="CS16" s="168"/>
      <c r="CT16" s="168"/>
      <c r="CU16" s="168"/>
      <c r="CV16" s="168"/>
      <c r="CW16" s="168"/>
      <c r="CX16" s="168"/>
      <c r="CY16" s="168"/>
      <c r="CZ16" s="168"/>
      <c r="DA16" s="168"/>
      <c r="DB16" s="168"/>
      <c r="DC16" s="168"/>
      <c r="DD16" s="168"/>
      <c r="DE16" s="168"/>
      <c r="DF16" s="168"/>
      <c r="DG16" s="168"/>
      <c r="DH16" s="168"/>
      <c r="DI16" s="168"/>
      <c r="DJ16" s="168"/>
      <c r="DK16" s="168"/>
      <c r="DL16" s="168"/>
      <c r="DM16" s="168"/>
      <c r="DN16" s="168"/>
      <c r="DO16" s="168"/>
      <c r="DP16" s="168"/>
      <c r="DQ16" s="168"/>
      <c r="DR16" s="168"/>
      <c r="DS16" s="168"/>
      <c r="DT16" s="168"/>
      <c r="DU16" s="168"/>
      <c r="DV16" s="168"/>
      <c r="DW16" s="168"/>
      <c r="DX16" s="168"/>
      <c r="DY16" s="168"/>
      <c r="DZ16" s="168"/>
      <c r="EA16" s="168"/>
      <c r="EB16" s="168"/>
      <c r="EC16" s="168"/>
      <c r="ED16" s="168"/>
      <c r="EE16" s="168"/>
      <c r="EF16" s="168"/>
      <c r="EG16" s="168"/>
      <c r="EH16" s="168"/>
      <c r="EI16" s="168"/>
      <c r="EJ16" s="168"/>
      <c r="EK16" s="168"/>
      <c r="EL16" s="168"/>
      <c r="EM16" s="168"/>
      <c r="EN16" s="168"/>
      <c r="EO16" s="168"/>
      <c r="EP16" s="168"/>
      <c r="EQ16" s="168"/>
      <c r="ER16" s="168"/>
      <c r="ES16" s="168"/>
      <c r="ET16" s="168"/>
      <c r="EU16" s="168"/>
      <c r="EV16" s="168"/>
      <c r="EW16" s="168"/>
      <c r="EX16" s="168"/>
      <c r="EY16" s="168"/>
      <c r="EZ16" s="168"/>
      <c r="FA16" s="168"/>
      <c r="FB16" s="168"/>
      <c r="FC16" s="168"/>
      <c r="FD16" s="168"/>
      <c r="FE16" s="168"/>
      <c r="FF16" s="168"/>
      <c r="FG16" s="168"/>
      <c r="FH16" s="168"/>
      <c r="FI16" s="168"/>
      <c r="FJ16" s="168"/>
      <c r="FK16" s="168"/>
      <c r="FL16" s="168"/>
      <c r="FM16" s="168"/>
      <c r="FN16" s="168"/>
      <c r="FO16" s="168"/>
      <c r="FP16" s="168"/>
      <c r="FQ16" s="168"/>
      <c r="FR16" s="168"/>
      <c r="FS16" s="168"/>
      <c r="FT16" s="168"/>
      <c r="FU16" s="168"/>
    </row>
    <row r="17" spans="1:177" s="162" customFormat="1" x14ac:dyDescent="0.25">
      <c r="A17" s="159">
        <f t="shared" si="0"/>
        <v>10</v>
      </c>
      <c r="B17" s="160">
        <v>0.41666666666666702</v>
      </c>
      <c r="C17" s="168"/>
      <c r="D17" s="168"/>
      <c r="E17" s="198" t="s">
        <v>644</v>
      </c>
      <c r="F17" s="168" t="s">
        <v>651</v>
      </c>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8"/>
      <c r="AI17" s="168"/>
      <c r="AJ17" s="168"/>
      <c r="AK17" s="168"/>
      <c r="AL17" s="168"/>
      <c r="AM17" s="168"/>
      <c r="AN17" s="168"/>
      <c r="AO17" s="168"/>
      <c r="AP17" s="168"/>
      <c r="AQ17" s="168"/>
      <c r="AR17" s="168"/>
      <c r="AS17" s="168"/>
      <c r="AT17" s="168"/>
      <c r="AU17" s="168"/>
      <c r="AV17" s="168"/>
      <c r="AW17" s="168"/>
      <c r="AX17" s="168"/>
      <c r="AY17" s="168"/>
      <c r="AZ17" s="168"/>
      <c r="BA17" s="168"/>
      <c r="BB17" s="168"/>
      <c r="BC17" s="168"/>
      <c r="BD17" s="168"/>
      <c r="BE17" s="168"/>
      <c r="BF17" s="168"/>
      <c r="BG17" s="168"/>
      <c r="BH17" s="168"/>
      <c r="BI17" s="168"/>
      <c r="BJ17" s="168"/>
      <c r="BK17" s="168"/>
      <c r="BL17" s="168"/>
      <c r="BM17" s="168"/>
      <c r="BN17" s="168"/>
      <c r="BO17" s="168"/>
      <c r="BP17" s="168"/>
      <c r="BQ17" s="168"/>
      <c r="BR17" s="168"/>
      <c r="BS17" s="168"/>
      <c r="BT17" s="168"/>
      <c r="BU17" s="168"/>
      <c r="BV17" s="168"/>
      <c r="BW17" s="168"/>
      <c r="BX17" s="168"/>
      <c r="BY17" s="168"/>
      <c r="BZ17" s="168"/>
      <c r="CA17" s="168"/>
      <c r="CB17" s="168"/>
      <c r="CC17" s="168"/>
      <c r="CD17" s="168"/>
      <c r="CE17" s="168"/>
      <c r="CF17" s="168"/>
      <c r="CG17" s="168"/>
      <c r="CH17" s="168"/>
      <c r="CI17" s="168"/>
      <c r="CJ17" s="168"/>
      <c r="CK17" s="168"/>
      <c r="CL17" s="168"/>
      <c r="CM17" s="168"/>
      <c r="CN17" s="168"/>
      <c r="CO17" s="168"/>
      <c r="CP17" s="168"/>
      <c r="CQ17" s="168"/>
      <c r="CR17" s="168"/>
      <c r="CS17" s="168"/>
      <c r="CT17" s="168"/>
      <c r="CU17" s="168"/>
      <c r="CV17" s="168"/>
      <c r="CW17" s="168"/>
      <c r="CX17" s="168"/>
      <c r="CY17" s="168"/>
      <c r="CZ17" s="168"/>
      <c r="DA17" s="168"/>
      <c r="DB17" s="168"/>
      <c r="DC17" s="168"/>
      <c r="DD17" s="168"/>
      <c r="DE17" s="168"/>
      <c r="DF17" s="168"/>
      <c r="DG17" s="168"/>
      <c r="DH17" s="168"/>
      <c r="DI17" s="168"/>
      <c r="DJ17" s="168"/>
      <c r="DK17" s="168"/>
      <c r="DL17" s="168"/>
      <c r="DM17" s="168"/>
      <c r="DN17" s="168"/>
      <c r="DO17" s="168"/>
      <c r="DP17" s="168"/>
      <c r="DQ17" s="168"/>
      <c r="DR17" s="168"/>
      <c r="DS17" s="168"/>
      <c r="DT17" s="168"/>
      <c r="DU17" s="168"/>
      <c r="DV17" s="168"/>
      <c r="DW17" s="168"/>
      <c r="DX17" s="168"/>
      <c r="DY17" s="168"/>
      <c r="DZ17" s="168"/>
      <c r="EA17" s="168"/>
      <c r="EB17" s="168"/>
      <c r="EC17" s="168"/>
      <c r="ED17" s="168"/>
      <c r="EE17" s="168"/>
      <c r="EF17" s="168"/>
      <c r="EG17" s="168"/>
      <c r="EH17" s="168"/>
      <c r="EI17" s="168"/>
      <c r="EJ17" s="168"/>
      <c r="EK17" s="168"/>
      <c r="EL17" s="168"/>
      <c r="EM17" s="168"/>
      <c r="EN17" s="168"/>
      <c r="EO17" s="168"/>
      <c r="EP17" s="168"/>
      <c r="EQ17" s="168"/>
      <c r="ER17" s="168"/>
      <c r="ES17" s="168"/>
      <c r="ET17" s="168"/>
      <c r="EU17" s="168"/>
      <c r="EV17" s="168"/>
      <c r="EW17" s="168"/>
      <c r="EX17" s="168"/>
      <c r="EY17" s="168"/>
      <c r="EZ17" s="168"/>
      <c r="FA17" s="168"/>
      <c r="FB17" s="168"/>
      <c r="FC17" s="168"/>
      <c r="FD17" s="168"/>
      <c r="FE17" s="168"/>
      <c r="FF17" s="168"/>
      <c r="FG17" s="168"/>
      <c r="FH17" s="168"/>
      <c r="FI17" s="168"/>
      <c r="FJ17" s="168"/>
      <c r="FK17" s="168"/>
      <c r="FL17" s="168"/>
      <c r="FM17" s="168"/>
      <c r="FN17" s="168"/>
      <c r="FO17" s="168"/>
      <c r="FP17" s="168"/>
      <c r="FQ17" s="168"/>
      <c r="FR17" s="168"/>
      <c r="FS17" s="168"/>
      <c r="FT17" s="168"/>
      <c r="FU17" s="168"/>
    </row>
    <row r="18" spans="1:177" s="162" customFormat="1" x14ac:dyDescent="0.25">
      <c r="A18" s="159">
        <f t="shared" si="0"/>
        <v>11</v>
      </c>
      <c r="B18" s="160">
        <v>0.45833333333333298</v>
      </c>
      <c r="C18" s="168" t="s">
        <v>621</v>
      </c>
      <c r="D18" s="168"/>
      <c r="E18" s="198" t="s">
        <v>644</v>
      </c>
      <c r="F18" s="168" t="s">
        <v>618</v>
      </c>
      <c r="G18" s="168"/>
      <c r="H18" s="168"/>
      <c r="I18" s="168"/>
      <c r="J18" s="168"/>
      <c r="K18" s="168"/>
      <c r="L18" s="168"/>
      <c r="M18" s="168"/>
      <c r="N18" s="168"/>
      <c r="O18" s="168"/>
      <c r="P18" s="168"/>
      <c r="Q18" s="168"/>
      <c r="R18" s="168"/>
      <c r="S18" s="168"/>
      <c r="T18" s="168"/>
      <c r="U18" s="168"/>
      <c r="V18" s="168"/>
      <c r="W18" s="168"/>
      <c r="X18" s="168"/>
      <c r="Y18" s="168"/>
      <c r="Z18" s="168"/>
      <c r="AA18" s="168"/>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c r="BS18" s="168"/>
      <c r="BT18" s="168"/>
      <c r="BU18" s="168"/>
      <c r="BV18" s="168"/>
      <c r="BW18" s="168"/>
      <c r="BX18" s="168"/>
      <c r="BY18" s="168"/>
      <c r="BZ18" s="168"/>
      <c r="CA18" s="168"/>
      <c r="CB18" s="168"/>
      <c r="CC18" s="168"/>
      <c r="CD18" s="168"/>
      <c r="CE18" s="168"/>
      <c r="CF18" s="168"/>
      <c r="CG18" s="168"/>
      <c r="CH18" s="168"/>
      <c r="CI18" s="168"/>
      <c r="CJ18" s="168"/>
      <c r="CK18" s="168"/>
      <c r="CL18" s="168"/>
      <c r="CM18" s="168"/>
      <c r="CN18" s="168"/>
      <c r="CO18" s="168"/>
      <c r="CP18" s="168"/>
      <c r="CQ18" s="168"/>
      <c r="CR18" s="168"/>
      <c r="CS18" s="168"/>
      <c r="CT18" s="168"/>
      <c r="CU18" s="168"/>
      <c r="CV18" s="168"/>
      <c r="CW18" s="168"/>
      <c r="CX18" s="168"/>
      <c r="CY18" s="168"/>
      <c r="CZ18" s="168"/>
      <c r="DA18" s="168"/>
      <c r="DB18" s="168"/>
      <c r="DC18" s="168"/>
      <c r="DD18" s="168"/>
      <c r="DE18" s="168"/>
      <c r="DF18" s="168"/>
      <c r="DG18" s="168"/>
      <c r="DH18" s="168"/>
      <c r="DI18" s="168"/>
      <c r="DJ18" s="168"/>
      <c r="DK18" s="168"/>
      <c r="DL18" s="168"/>
      <c r="DM18" s="168"/>
      <c r="DN18" s="168"/>
      <c r="DO18" s="168"/>
      <c r="DP18" s="168"/>
      <c r="DQ18" s="168"/>
      <c r="DR18" s="168"/>
      <c r="DS18" s="168"/>
      <c r="DT18" s="168"/>
      <c r="DU18" s="168"/>
      <c r="DV18" s="168"/>
      <c r="DW18" s="168"/>
      <c r="DX18" s="168"/>
      <c r="DY18" s="168"/>
      <c r="DZ18" s="168"/>
      <c r="EA18" s="168"/>
      <c r="EB18" s="168"/>
      <c r="EC18" s="168"/>
      <c r="ED18" s="168"/>
      <c r="EE18" s="168"/>
      <c r="EF18" s="168"/>
      <c r="EG18" s="168"/>
      <c r="EH18" s="168"/>
      <c r="EI18" s="168"/>
      <c r="EJ18" s="168"/>
      <c r="EK18" s="168"/>
      <c r="EL18" s="168"/>
      <c r="EM18" s="168"/>
      <c r="EN18" s="168"/>
      <c r="EO18" s="168"/>
      <c r="EP18" s="168"/>
      <c r="EQ18" s="168"/>
      <c r="ER18" s="168"/>
      <c r="ES18" s="168"/>
      <c r="ET18" s="168"/>
      <c r="EU18" s="168"/>
      <c r="EV18" s="168"/>
      <c r="EW18" s="168"/>
      <c r="EX18" s="168"/>
      <c r="EY18" s="168"/>
      <c r="EZ18" s="168"/>
      <c r="FA18" s="168"/>
      <c r="FB18" s="168"/>
      <c r="FC18" s="168"/>
      <c r="FD18" s="168"/>
      <c r="FE18" s="168"/>
      <c r="FF18" s="168"/>
      <c r="FG18" s="168"/>
      <c r="FH18" s="168"/>
      <c r="FI18" s="168"/>
      <c r="FJ18" s="168"/>
      <c r="FK18" s="168"/>
      <c r="FL18" s="168"/>
      <c r="FM18" s="168"/>
      <c r="FN18" s="168"/>
      <c r="FO18" s="168"/>
      <c r="FP18" s="168"/>
      <c r="FQ18" s="168"/>
      <c r="FR18" s="168"/>
      <c r="FS18" s="168"/>
      <c r="FT18" s="168"/>
      <c r="FU18" s="168"/>
    </row>
    <row r="19" spans="1:177" s="162" customFormat="1" ht="24" customHeight="1" x14ac:dyDescent="0.25">
      <c r="A19" s="159">
        <f t="shared" si="0"/>
        <v>12</v>
      </c>
      <c r="B19" s="160">
        <v>0.5</v>
      </c>
      <c r="C19" s="168" t="s">
        <v>623</v>
      </c>
      <c r="D19" s="168" t="s">
        <v>629</v>
      </c>
      <c r="E19" s="208" t="s">
        <v>648</v>
      </c>
      <c r="F19" s="168" t="s">
        <v>652</v>
      </c>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68"/>
      <c r="AF19" s="168"/>
      <c r="AG19" s="168"/>
      <c r="AH19" s="168"/>
      <c r="AI19" s="168"/>
      <c r="AJ19" s="168"/>
      <c r="AK19" s="168"/>
      <c r="AL19" s="168"/>
      <c r="AM19" s="168"/>
      <c r="AN19" s="168"/>
      <c r="AO19" s="168"/>
      <c r="AP19" s="168"/>
      <c r="AQ19" s="168"/>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8"/>
      <c r="BR19" s="168"/>
      <c r="BS19" s="168"/>
      <c r="BT19" s="168"/>
      <c r="BU19" s="168"/>
      <c r="BV19" s="168"/>
      <c r="BW19" s="168"/>
      <c r="BX19" s="168"/>
      <c r="BY19" s="168"/>
      <c r="BZ19" s="168"/>
      <c r="CA19" s="168"/>
      <c r="CB19" s="168"/>
      <c r="CC19" s="168"/>
      <c r="CD19" s="168"/>
      <c r="CE19" s="168"/>
      <c r="CF19" s="168"/>
      <c r="CG19" s="168"/>
      <c r="CH19" s="168"/>
      <c r="CI19" s="168"/>
      <c r="CJ19" s="168"/>
      <c r="CK19" s="168"/>
      <c r="CL19" s="168"/>
      <c r="CM19" s="168"/>
      <c r="CN19" s="168"/>
      <c r="CO19" s="168"/>
      <c r="CP19" s="168"/>
      <c r="CQ19" s="168"/>
      <c r="CR19" s="168"/>
      <c r="CS19" s="168"/>
      <c r="CT19" s="168"/>
      <c r="CU19" s="168"/>
      <c r="CV19" s="168"/>
      <c r="CW19" s="168"/>
      <c r="CX19" s="168"/>
      <c r="CY19" s="168"/>
      <c r="CZ19" s="168"/>
      <c r="DA19" s="168"/>
      <c r="DB19" s="168"/>
      <c r="DC19" s="168"/>
      <c r="DD19" s="168"/>
      <c r="DE19" s="168"/>
      <c r="DF19" s="168"/>
      <c r="DG19" s="168"/>
      <c r="DH19" s="168"/>
      <c r="DI19" s="168"/>
      <c r="DJ19" s="168"/>
      <c r="DK19" s="168"/>
      <c r="DL19" s="168"/>
      <c r="DM19" s="168"/>
      <c r="DN19" s="168"/>
      <c r="DO19" s="168"/>
      <c r="DP19" s="168"/>
      <c r="DQ19" s="168"/>
      <c r="DR19" s="168"/>
      <c r="DS19" s="168"/>
      <c r="DT19" s="168"/>
      <c r="DU19" s="168"/>
      <c r="DV19" s="168"/>
      <c r="DW19" s="168"/>
      <c r="DX19" s="168"/>
      <c r="DY19" s="168"/>
      <c r="DZ19" s="168"/>
      <c r="EA19" s="168"/>
      <c r="EB19" s="168"/>
      <c r="EC19" s="168"/>
      <c r="ED19" s="168"/>
      <c r="EE19" s="168"/>
      <c r="EF19" s="168"/>
      <c r="EG19" s="168"/>
      <c r="EH19" s="168"/>
      <c r="EI19" s="168"/>
      <c r="EJ19" s="168"/>
      <c r="EK19" s="168"/>
      <c r="EL19" s="168"/>
      <c r="EM19" s="168"/>
      <c r="EN19" s="168"/>
      <c r="EO19" s="168"/>
      <c r="EP19" s="168"/>
      <c r="EQ19" s="168"/>
      <c r="ER19" s="168"/>
      <c r="ES19" s="168"/>
      <c r="ET19" s="168"/>
      <c r="EU19" s="168"/>
      <c r="EV19" s="168"/>
      <c r="EW19" s="168"/>
      <c r="EX19" s="168"/>
      <c r="EY19" s="168"/>
      <c r="EZ19" s="168"/>
      <c r="FA19" s="168"/>
      <c r="FB19" s="168"/>
      <c r="FC19" s="168"/>
      <c r="FD19" s="168"/>
      <c r="FE19" s="168"/>
      <c r="FF19" s="168"/>
      <c r="FG19" s="168"/>
      <c r="FH19" s="168"/>
      <c r="FI19" s="168"/>
      <c r="FJ19" s="168"/>
      <c r="FK19" s="168"/>
      <c r="FL19" s="168"/>
      <c r="FM19" s="168"/>
      <c r="FN19" s="168"/>
      <c r="FO19" s="168"/>
      <c r="FP19" s="168"/>
      <c r="FQ19" s="168"/>
      <c r="FR19" s="168"/>
      <c r="FS19" s="168"/>
      <c r="FT19" s="168"/>
      <c r="FU19" s="168"/>
    </row>
    <row r="20" spans="1:177" s="162" customFormat="1" x14ac:dyDescent="0.25">
      <c r="A20" s="159">
        <f t="shared" si="0"/>
        <v>13</v>
      </c>
      <c r="B20" s="160">
        <v>0.54166666666666696</v>
      </c>
      <c r="C20" s="168"/>
      <c r="D20" s="168"/>
      <c r="E20" s="208" t="s">
        <v>648</v>
      </c>
      <c r="F20" s="180" t="s">
        <v>657</v>
      </c>
      <c r="G20" s="168"/>
      <c r="H20" s="168"/>
      <c r="I20" s="168"/>
      <c r="J20" s="168"/>
      <c r="K20" s="168"/>
      <c r="L20" s="168"/>
      <c r="M20" s="168"/>
      <c r="N20" s="168"/>
      <c r="O20" s="168"/>
      <c r="P20" s="168"/>
      <c r="Q20" s="168"/>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c r="EI20" s="168"/>
      <c r="EJ20" s="168"/>
      <c r="EK20" s="168"/>
      <c r="EL20" s="168"/>
      <c r="EM20" s="168"/>
      <c r="EN20" s="168"/>
      <c r="EO20" s="168"/>
      <c r="EP20" s="168"/>
      <c r="EQ20" s="168"/>
      <c r="ER20" s="168"/>
      <c r="ES20" s="168"/>
      <c r="ET20" s="168"/>
      <c r="EU20" s="168"/>
      <c r="EV20" s="168"/>
      <c r="EW20" s="168"/>
      <c r="EX20" s="168"/>
      <c r="EY20" s="168"/>
      <c r="EZ20" s="168"/>
      <c r="FA20" s="168"/>
      <c r="FB20" s="168"/>
      <c r="FC20" s="168"/>
      <c r="FD20" s="168"/>
      <c r="FE20" s="168"/>
      <c r="FF20" s="168"/>
      <c r="FG20" s="168"/>
      <c r="FH20" s="168"/>
      <c r="FI20" s="168"/>
      <c r="FJ20" s="168"/>
      <c r="FK20" s="168"/>
      <c r="FL20" s="168"/>
      <c r="FM20" s="168"/>
      <c r="FN20" s="168"/>
      <c r="FO20" s="168"/>
      <c r="FP20" s="168"/>
      <c r="FQ20" s="168"/>
      <c r="FR20" s="168"/>
      <c r="FS20" s="168"/>
      <c r="FT20" s="168"/>
      <c r="FU20" s="168"/>
    </row>
    <row r="21" spans="1:177" s="162" customFormat="1" x14ac:dyDescent="0.25">
      <c r="A21" s="159">
        <f t="shared" si="0"/>
        <v>14</v>
      </c>
      <c r="B21" s="160">
        <v>0.58333333333333304</v>
      </c>
      <c r="C21" s="168"/>
      <c r="D21" s="206" t="s">
        <v>633</v>
      </c>
      <c r="E21" s="209" t="s">
        <v>646</v>
      </c>
      <c r="F21" s="168" t="s">
        <v>618</v>
      </c>
      <c r="G21" s="168"/>
      <c r="H21" s="168"/>
      <c r="I21" s="168"/>
      <c r="J21" s="168"/>
      <c r="K21" s="168"/>
      <c r="L21" s="168"/>
      <c r="M21" s="168"/>
      <c r="N21" s="168"/>
      <c r="O21" s="168"/>
      <c r="P21" s="168"/>
      <c r="Q21" s="168"/>
      <c r="R21" s="168"/>
      <c r="S21" s="168"/>
      <c r="T21" s="168"/>
      <c r="U21" s="168"/>
      <c r="V21" s="168"/>
      <c r="W21" s="168"/>
      <c r="X21" s="168"/>
      <c r="Y21" s="168"/>
      <c r="Z21" s="168"/>
      <c r="AA21" s="168"/>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c r="BQ21" s="168"/>
      <c r="BR21" s="168"/>
      <c r="BS21" s="168"/>
      <c r="BT21" s="168"/>
      <c r="BU21" s="168"/>
      <c r="BV21" s="168"/>
      <c r="BW21" s="168"/>
      <c r="BX21" s="168"/>
      <c r="BY21" s="168"/>
      <c r="BZ21" s="168"/>
      <c r="CA21" s="168"/>
      <c r="CB21" s="168"/>
      <c r="CC21" s="168"/>
      <c r="CD21" s="168"/>
      <c r="CE21" s="168"/>
      <c r="CF21" s="168"/>
      <c r="CG21" s="168"/>
      <c r="CH21" s="168"/>
      <c r="CI21" s="168"/>
      <c r="CJ21" s="168"/>
      <c r="CK21" s="168"/>
      <c r="CL21" s="168"/>
      <c r="CM21" s="168"/>
      <c r="CN21" s="168"/>
      <c r="CO21" s="168"/>
      <c r="CP21" s="168"/>
      <c r="CQ21" s="168"/>
      <c r="CR21" s="168"/>
      <c r="CS21" s="168"/>
      <c r="CT21" s="168"/>
      <c r="CU21" s="168"/>
      <c r="CV21" s="168"/>
      <c r="CW21" s="168"/>
      <c r="CX21" s="168"/>
      <c r="CY21" s="168"/>
      <c r="CZ21" s="168"/>
      <c r="DA21" s="168"/>
      <c r="DB21" s="168"/>
      <c r="DC21" s="168"/>
      <c r="DD21" s="168"/>
      <c r="DE21" s="168"/>
      <c r="DF21" s="168"/>
      <c r="DG21" s="168"/>
      <c r="DH21" s="168"/>
      <c r="DI21" s="168"/>
      <c r="DJ21" s="168"/>
      <c r="DK21" s="168"/>
      <c r="DL21" s="168"/>
      <c r="DM21" s="168"/>
      <c r="DN21" s="168"/>
      <c r="DO21" s="168"/>
      <c r="DP21" s="168"/>
      <c r="DQ21" s="168"/>
      <c r="DR21" s="168"/>
      <c r="DS21" s="168"/>
      <c r="DT21" s="168"/>
      <c r="DU21" s="168"/>
      <c r="DV21" s="168"/>
      <c r="DW21" s="168"/>
      <c r="DX21" s="168"/>
      <c r="DY21" s="168"/>
      <c r="DZ21" s="168"/>
      <c r="EA21" s="168"/>
      <c r="EB21" s="168"/>
      <c r="EC21" s="168"/>
      <c r="ED21" s="168"/>
      <c r="EE21" s="168"/>
      <c r="EF21" s="168"/>
      <c r="EG21" s="168"/>
      <c r="EH21" s="168"/>
      <c r="EI21" s="168"/>
      <c r="EJ21" s="168"/>
      <c r="EK21" s="168"/>
      <c r="EL21" s="168"/>
      <c r="EM21" s="168"/>
      <c r="EN21" s="168"/>
      <c r="EO21" s="168"/>
      <c r="EP21" s="168"/>
      <c r="EQ21" s="168"/>
      <c r="ER21" s="168"/>
      <c r="ES21" s="168"/>
      <c r="ET21" s="168"/>
      <c r="EU21" s="168"/>
      <c r="EV21" s="168"/>
      <c r="EW21" s="168"/>
      <c r="EX21" s="168"/>
      <c r="EY21" s="168"/>
      <c r="EZ21" s="168"/>
      <c r="FA21" s="168"/>
      <c r="FB21" s="168"/>
      <c r="FC21" s="168"/>
      <c r="FD21" s="168"/>
      <c r="FE21" s="168"/>
      <c r="FF21" s="168"/>
      <c r="FG21" s="168"/>
      <c r="FH21" s="168"/>
      <c r="FI21" s="168"/>
      <c r="FJ21" s="168"/>
      <c r="FK21" s="168"/>
      <c r="FL21" s="168"/>
      <c r="FM21" s="168"/>
      <c r="FN21" s="168"/>
      <c r="FO21" s="168"/>
      <c r="FP21" s="168"/>
      <c r="FQ21" s="168"/>
      <c r="FR21" s="168"/>
      <c r="FS21" s="168"/>
      <c r="FT21" s="168"/>
      <c r="FU21" s="168"/>
    </row>
    <row r="22" spans="1:177" s="162" customFormat="1" x14ac:dyDescent="0.25">
      <c r="A22" s="159">
        <f t="shared" si="0"/>
        <v>15</v>
      </c>
      <c r="B22" s="160">
        <v>0.625</v>
      </c>
      <c r="C22" s="168"/>
      <c r="D22" s="206" t="s">
        <v>633</v>
      </c>
      <c r="E22" s="210" t="s">
        <v>647</v>
      </c>
      <c r="F22" s="180" t="s">
        <v>658</v>
      </c>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168"/>
      <c r="AF22" s="168"/>
      <c r="AG22" s="168"/>
      <c r="AH22" s="168"/>
      <c r="AI22" s="168"/>
      <c r="AJ22" s="168"/>
      <c r="AK22" s="168"/>
      <c r="AL22" s="168"/>
      <c r="AM22" s="168"/>
      <c r="AN22" s="168"/>
      <c r="AO22" s="168"/>
      <c r="AP22" s="168"/>
      <c r="AQ22" s="168"/>
      <c r="AR22" s="168"/>
      <c r="AS22" s="168"/>
      <c r="AT22" s="168"/>
      <c r="AU22" s="168"/>
      <c r="AV22" s="168"/>
      <c r="AW22" s="168"/>
      <c r="AX22" s="168"/>
      <c r="AY22" s="168"/>
      <c r="AZ22" s="168"/>
      <c r="BA22" s="168"/>
      <c r="BB22" s="168"/>
      <c r="BC22" s="168"/>
      <c r="BD22" s="168"/>
      <c r="BE22" s="168"/>
      <c r="BF22" s="168"/>
      <c r="BG22" s="168"/>
      <c r="BH22" s="168"/>
      <c r="BI22" s="168"/>
      <c r="BJ22" s="168"/>
      <c r="BK22" s="168"/>
      <c r="BL22" s="168"/>
      <c r="BM22" s="168"/>
      <c r="BN22" s="168"/>
      <c r="BO22" s="168"/>
      <c r="BP22" s="168"/>
      <c r="BQ22" s="168"/>
      <c r="BR22" s="168"/>
      <c r="BS22" s="168"/>
      <c r="BT22" s="168"/>
      <c r="BU22" s="168"/>
      <c r="BV22" s="168"/>
      <c r="BW22" s="168"/>
      <c r="BX22" s="168"/>
      <c r="BY22" s="168"/>
      <c r="BZ22" s="168"/>
      <c r="CA22" s="168"/>
      <c r="CB22" s="168"/>
      <c r="CC22" s="168"/>
      <c r="CD22" s="168"/>
      <c r="CE22" s="168"/>
      <c r="CF22" s="168"/>
      <c r="CG22" s="168"/>
      <c r="CH22" s="168"/>
      <c r="CI22" s="168"/>
      <c r="CJ22" s="168"/>
      <c r="CK22" s="168"/>
      <c r="CL22" s="168"/>
      <c r="CM22" s="168"/>
      <c r="CN22" s="168"/>
      <c r="CO22" s="168"/>
      <c r="CP22" s="168"/>
      <c r="CQ22" s="168"/>
      <c r="CR22" s="168"/>
      <c r="CS22" s="168"/>
      <c r="CT22" s="168"/>
      <c r="CU22" s="168"/>
      <c r="CV22" s="168"/>
      <c r="CW22" s="168"/>
      <c r="CX22" s="168"/>
      <c r="CY22" s="168"/>
      <c r="CZ22" s="168"/>
      <c r="DA22" s="168"/>
      <c r="DB22" s="168"/>
      <c r="DC22" s="168"/>
      <c r="DD22" s="168"/>
      <c r="DE22" s="168"/>
      <c r="DF22" s="168"/>
      <c r="DG22" s="168"/>
      <c r="DH22" s="168"/>
      <c r="DI22" s="168"/>
      <c r="DJ22" s="168"/>
      <c r="DK22" s="168"/>
      <c r="DL22" s="168"/>
      <c r="DM22" s="168"/>
      <c r="DN22" s="168"/>
      <c r="DO22" s="168"/>
      <c r="DP22" s="168"/>
      <c r="DQ22" s="168"/>
      <c r="DR22" s="168"/>
      <c r="DS22" s="168"/>
      <c r="DT22" s="168"/>
      <c r="DU22" s="168"/>
      <c r="DV22" s="168"/>
      <c r="DW22" s="168"/>
      <c r="DX22" s="168"/>
      <c r="DY22" s="168"/>
      <c r="DZ22" s="168"/>
      <c r="EA22" s="168"/>
      <c r="EB22" s="168"/>
      <c r="EC22" s="168"/>
      <c r="ED22" s="168"/>
      <c r="EE22" s="168"/>
      <c r="EF22" s="168"/>
      <c r="EG22" s="168"/>
      <c r="EH22" s="168"/>
      <c r="EI22" s="168"/>
      <c r="EJ22" s="168"/>
      <c r="EK22" s="168"/>
      <c r="EL22" s="168"/>
      <c r="EM22" s="168"/>
      <c r="EN22" s="168"/>
      <c r="EO22" s="168"/>
      <c r="EP22" s="168"/>
      <c r="EQ22" s="168"/>
      <c r="ER22" s="168"/>
      <c r="ES22" s="168"/>
      <c r="ET22" s="168"/>
      <c r="EU22" s="168"/>
      <c r="EV22" s="168"/>
      <c r="EW22" s="168"/>
      <c r="EX22" s="168"/>
      <c r="EY22" s="168"/>
      <c r="EZ22" s="168"/>
      <c r="FA22" s="168"/>
      <c r="FB22" s="168"/>
      <c r="FC22" s="168"/>
      <c r="FD22" s="168"/>
      <c r="FE22" s="168"/>
      <c r="FF22" s="168"/>
      <c r="FG22" s="168"/>
      <c r="FH22" s="168"/>
      <c r="FI22" s="168"/>
      <c r="FJ22" s="168"/>
      <c r="FK22" s="168"/>
      <c r="FL22" s="168"/>
      <c r="FM22" s="168"/>
      <c r="FN22" s="168"/>
      <c r="FO22" s="168"/>
      <c r="FP22" s="168"/>
      <c r="FQ22" s="168"/>
      <c r="FR22" s="168"/>
      <c r="FS22" s="168"/>
      <c r="FT22" s="168"/>
      <c r="FU22" s="168"/>
    </row>
    <row r="23" spans="1:177" s="162" customFormat="1" x14ac:dyDescent="0.25">
      <c r="A23" s="159">
        <f t="shared" si="0"/>
        <v>16</v>
      </c>
      <c r="B23" s="160">
        <v>0.66666666666666696</v>
      </c>
      <c r="C23" s="168"/>
      <c r="D23" s="206" t="s">
        <v>630</v>
      </c>
      <c r="E23" s="210" t="s">
        <v>647</v>
      </c>
      <c r="F23" s="168" t="s">
        <v>638</v>
      </c>
      <c r="G23" s="168"/>
      <c r="H23" s="168"/>
      <c r="I23" s="168"/>
      <c r="J23" s="168"/>
      <c r="K23" s="168"/>
      <c r="L23" s="168"/>
      <c r="M23" s="168"/>
      <c r="N23" s="168"/>
      <c r="O23" s="168"/>
      <c r="P23" s="168"/>
      <c r="Q23" s="168"/>
      <c r="R23" s="168"/>
      <c r="S23" s="168"/>
      <c r="T23" s="168"/>
      <c r="U23" s="168"/>
      <c r="V23" s="168"/>
      <c r="W23" s="168"/>
      <c r="X23" s="168"/>
      <c r="Y23" s="168"/>
      <c r="Z23" s="168"/>
      <c r="AA23" s="168"/>
      <c r="AB23" s="168"/>
      <c r="AC23" s="168"/>
      <c r="AD23" s="168"/>
      <c r="AE23" s="168"/>
      <c r="AF23" s="168"/>
      <c r="AG23" s="168"/>
      <c r="AH23" s="168"/>
      <c r="AI23" s="168"/>
      <c r="AJ23" s="168"/>
      <c r="AK23" s="168"/>
      <c r="AL23" s="168"/>
      <c r="AM23" s="168"/>
      <c r="AN23" s="168"/>
      <c r="AO23" s="168"/>
      <c r="AP23" s="168"/>
      <c r="AQ23" s="168"/>
      <c r="AR23" s="168"/>
      <c r="AS23" s="168"/>
      <c r="AT23" s="168"/>
      <c r="AU23" s="168"/>
      <c r="AV23" s="168"/>
      <c r="AW23" s="168"/>
      <c r="AX23" s="168"/>
      <c r="AY23" s="168"/>
      <c r="AZ23" s="168"/>
      <c r="BA23" s="168"/>
      <c r="BB23" s="168"/>
      <c r="BC23" s="168"/>
      <c r="BD23" s="168"/>
      <c r="BE23" s="168"/>
      <c r="BF23" s="168"/>
      <c r="BG23" s="168"/>
      <c r="BH23" s="168"/>
      <c r="BI23" s="168"/>
      <c r="BJ23" s="168"/>
      <c r="BK23" s="168"/>
      <c r="BL23" s="168"/>
      <c r="BM23" s="168"/>
      <c r="BN23" s="168"/>
      <c r="BO23" s="168"/>
      <c r="BP23" s="168"/>
      <c r="BQ23" s="168"/>
      <c r="BR23" s="168"/>
      <c r="BS23" s="168"/>
      <c r="BT23" s="168"/>
      <c r="BU23" s="168"/>
      <c r="BV23" s="168"/>
      <c r="BW23" s="168"/>
      <c r="BX23" s="168"/>
      <c r="BY23" s="168"/>
      <c r="BZ23" s="168"/>
      <c r="CA23" s="168"/>
      <c r="CB23" s="168"/>
      <c r="CC23" s="168"/>
      <c r="CD23" s="168"/>
      <c r="CE23" s="168"/>
      <c r="CF23" s="168"/>
      <c r="CG23" s="168"/>
      <c r="CH23" s="168"/>
      <c r="CI23" s="168"/>
      <c r="CJ23" s="168"/>
      <c r="CK23" s="168"/>
      <c r="CL23" s="168"/>
      <c r="CM23" s="168"/>
      <c r="CN23" s="168"/>
      <c r="CO23" s="168"/>
      <c r="CP23" s="168"/>
      <c r="CQ23" s="168"/>
      <c r="CR23" s="168"/>
      <c r="CS23" s="168"/>
      <c r="CT23" s="168"/>
      <c r="CU23" s="168"/>
      <c r="CV23" s="168"/>
      <c r="CW23" s="168"/>
      <c r="CX23" s="168"/>
      <c r="CY23" s="168"/>
      <c r="CZ23" s="168"/>
      <c r="DA23" s="168"/>
      <c r="DB23" s="168"/>
      <c r="DC23" s="168"/>
      <c r="DD23" s="168"/>
      <c r="DE23" s="168"/>
      <c r="DF23" s="168"/>
      <c r="DG23" s="168"/>
      <c r="DH23" s="168"/>
      <c r="DI23" s="168"/>
      <c r="DJ23" s="168"/>
      <c r="DK23" s="168"/>
      <c r="DL23" s="168"/>
      <c r="DM23" s="168"/>
      <c r="DN23" s="168"/>
      <c r="DO23" s="168"/>
      <c r="DP23" s="168"/>
      <c r="DQ23" s="168"/>
      <c r="DR23" s="168"/>
      <c r="DS23" s="168"/>
      <c r="DT23" s="168"/>
      <c r="DU23" s="168"/>
      <c r="DV23" s="168"/>
      <c r="DW23" s="168"/>
      <c r="DX23" s="168"/>
      <c r="DY23" s="168"/>
      <c r="DZ23" s="168"/>
      <c r="EA23" s="168"/>
      <c r="EB23" s="168"/>
      <c r="EC23" s="168"/>
      <c r="ED23" s="168"/>
      <c r="EE23" s="168"/>
      <c r="EF23" s="168"/>
      <c r="EG23" s="168"/>
      <c r="EH23" s="168"/>
      <c r="EI23" s="168"/>
      <c r="EJ23" s="168"/>
      <c r="EK23" s="168"/>
      <c r="EL23" s="168"/>
      <c r="EM23" s="168"/>
      <c r="EN23" s="168"/>
      <c r="EO23" s="168"/>
      <c r="EP23" s="168"/>
      <c r="EQ23" s="168"/>
      <c r="ER23" s="168"/>
      <c r="ES23" s="168"/>
      <c r="ET23" s="168"/>
      <c r="EU23" s="168"/>
      <c r="EV23" s="168"/>
      <c r="EW23" s="168"/>
      <c r="EX23" s="168"/>
      <c r="EY23" s="168"/>
      <c r="EZ23" s="168"/>
      <c r="FA23" s="168"/>
      <c r="FB23" s="168"/>
      <c r="FC23" s="168"/>
      <c r="FD23" s="168"/>
      <c r="FE23" s="168"/>
      <c r="FF23" s="168"/>
      <c r="FG23" s="168"/>
      <c r="FH23" s="168"/>
      <c r="FI23" s="168"/>
      <c r="FJ23" s="168"/>
      <c r="FK23" s="168"/>
      <c r="FL23" s="168"/>
      <c r="FM23" s="168"/>
      <c r="FN23" s="168"/>
      <c r="FO23" s="168"/>
      <c r="FP23" s="168"/>
      <c r="FQ23" s="168"/>
      <c r="FR23" s="168"/>
      <c r="FS23" s="168"/>
      <c r="FT23" s="168"/>
      <c r="FU23" s="168"/>
    </row>
    <row r="24" spans="1:177" s="162" customFormat="1" x14ac:dyDescent="0.25">
      <c r="A24" s="159">
        <f t="shared" si="0"/>
        <v>17</v>
      </c>
      <c r="B24" s="160">
        <v>0.70833333333333304</v>
      </c>
      <c r="C24" s="168"/>
      <c r="D24" s="168" t="s">
        <v>637</v>
      </c>
      <c r="E24" s="210" t="s">
        <v>647</v>
      </c>
      <c r="F24" s="168" t="s">
        <v>659</v>
      </c>
      <c r="G24" s="168"/>
      <c r="H24" s="168"/>
      <c r="I24" s="168"/>
      <c r="J24" s="168"/>
      <c r="K24" s="168"/>
      <c r="L24" s="168"/>
      <c r="M24" s="168"/>
      <c r="N24" s="168"/>
      <c r="O24" s="168"/>
      <c r="P24" s="168"/>
      <c r="Q24" s="168"/>
      <c r="R24" s="168"/>
      <c r="S24" s="168"/>
      <c r="T24" s="168"/>
      <c r="U24" s="168"/>
      <c r="V24" s="168"/>
      <c r="W24" s="168"/>
      <c r="X24" s="168"/>
      <c r="Y24" s="168"/>
      <c r="Z24" s="168"/>
      <c r="AA24" s="16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8"/>
      <c r="CP24" s="168"/>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c r="FN24" s="168"/>
      <c r="FO24" s="168"/>
      <c r="FP24" s="168"/>
      <c r="FQ24" s="168"/>
      <c r="FR24" s="168"/>
      <c r="FS24" s="168"/>
      <c r="FT24" s="168"/>
      <c r="FU24" s="168"/>
    </row>
    <row r="25" spans="1:177" s="162" customFormat="1" x14ac:dyDescent="0.25">
      <c r="A25" s="159">
        <f t="shared" si="0"/>
        <v>18</v>
      </c>
      <c r="B25" s="160">
        <v>0.75</v>
      </c>
      <c r="C25" s="205" t="s">
        <v>625</v>
      </c>
      <c r="D25" s="168" t="s">
        <v>631</v>
      </c>
      <c r="E25" s="180" t="s">
        <v>638</v>
      </c>
      <c r="F25" s="168" t="s">
        <v>659</v>
      </c>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c r="BS25" s="168"/>
      <c r="BT25" s="168"/>
      <c r="BU25" s="168"/>
      <c r="BV25" s="168"/>
      <c r="BW25" s="168"/>
      <c r="BX25" s="168"/>
      <c r="BY25" s="168"/>
      <c r="BZ25" s="168"/>
      <c r="CA25" s="168"/>
      <c r="CB25" s="168"/>
      <c r="CC25" s="168"/>
      <c r="CD25" s="168"/>
      <c r="CE25" s="168"/>
      <c r="CF25" s="168"/>
      <c r="CG25" s="168"/>
      <c r="CH25" s="168"/>
      <c r="CI25" s="168"/>
      <c r="CJ25" s="168"/>
      <c r="CK25" s="168"/>
      <c r="CL25" s="168"/>
      <c r="CM25" s="168"/>
      <c r="CN25" s="168"/>
      <c r="CO25" s="168"/>
      <c r="CP25" s="168"/>
      <c r="CQ25" s="168"/>
      <c r="CR25" s="168"/>
      <c r="CS25" s="168"/>
      <c r="CT25" s="168"/>
      <c r="CU25" s="168"/>
      <c r="CV25" s="168"/>
      <c r="CW25" s="168"/>
      <c r="CX25" s="168"/>
      <c r="CY25" s="168"/>
      <c r="CZ25" s="168"/>
      <c r="DA25" s="168"/>
      <c r="DB25" s="168"/>
      <c r="DC25" s="168"/>
      <c r="DD25" s="168"/>
      <c r="DE25" s="168"/>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168"/>
      <c r="EC25" s="168"/>
      <c r="ED25" s="168"/>
      <c r="EE25" s="168"/>
      <c r="EF25" s="168"/>
      <c r="EG25" s="168"/>
      <c r="EH25" s="168"/>
      <c r="EI25" s="168"/>
      <c r="EJ25" s="168"/>
      <c r="EK25" s="168"/>
      <c r="EL25" s="168"/>
      <c r="EM25" s="168"/>
      <c r="EN25" s="168"/>
      <c r="EO25" s="168"/>
      <c r="EP25" s="168"/>
      <c r="EQ25" s="168"/>
      <c r="ER25" s="168"/>
      <c r="ES25" s="168"/>
      <c r="ET25" s="168"/>
      <c r="EU25" s="168"/>
      <c r="EV25" s="168"/>
      <c r="EW25" s="168"/>
      <c r="EX25" s="168"/>
      <c r="EY25" s="168"/>
      <c r="EZ25" s="168"/>
      <c r="FA25" s="168"/>
      <c r="FB25" s="168"/>
      <c r="FC25" s="168"/>
      <c r="FD25" s="168"/>
      <c r="FE25" s="168"/>
      <c r="FF25" s="168"/>
      <c r="FG25" s="168"/>
      <c r="FH25" s="168"/>
      <c r="FI25" s="168"/>
      <c r="FJ25" s="168"/>
      <c r="FK25" s="168"/>
      <c r="FL25" s="168"/>
      <c r="FM25" s="168"/>
      <c r="FN25" s="168"/>
      <c r="FO25" s="168"/>
      <c r="FP25" s="168"/>
      <c r="FQ25" s="168"/>
      <c r="FR25" s="168"/>
      <c r="FS25" s="168"/>
      <c r="FT25" s="168"/>
      <c r="FU25" s="168"/>
    </row>
    <row r="26" spans="1:177" s="162" customFormat="1" ht="45" x14ac:dyDescent="0.25">
      <c r="A26" s="159">
        <f t="shared" si="0"/>
        <v>19</v>
      </c>
      <c r="B26" s="160">
        <v>0.79166666666666696</v>
      </c>
      <c r="C26" s="168" t="s">
        <v>624</v>
      </c>
      <c r="D26" s="168" t="s">
        <v>632</v>
      </c>
      <c r="E26" s="180" t="s">
        <v>642</v>
      </c>
      <c r="F26" s="168" t="s">
        <v>659</v>
      </c>
      <c r="G26" s="168"/>
      <c r="H26" s="168"/>
      <c r="I26" s="168"/>
      <c r="J26" s="168"/>
      <c r="K26" s="168"/>
      <c r="L26" s="168"/>
      <c r="M26" s="168"/>
      <c r="N26" s="168"/>
      <c r="O26" s="168"/>
      <c r="P26" s="168"/>
      <c r="Q26" s="168"/>
      <c r="R26" s="168"/>
      <c r="S26" s="168"/>
      <c r="T26" s="168"/>
      <c r="U26" s="168"/>
      <c r="V26" s="168"/>
      <c r="W26" s="168"/>
      <c r="X26" s="168"/>
      <c r="Y26" s="168"/>
      <c r="Z26" s="168"/>
      <c r="AA26" s="168"/>
      <c r="AB26" s="168"/>
      <c r="AC26" s="168"/>
      <c r="AD26" s="168"/>
      <c r="AE26" s="168"/>
      <c r="AF26" s="168"/>
      <c r="AG26" s="168"/>
      <c r="AH26" s="168"/>
      <c r="AI26" s="168"/>
      <c r="AJ26" s="168"/>
      <c r="AK26" s="168"/>
      <c r="AL26" s="168"/>
      <c r="AM26" s="168"/>
      <c r="AN26" s="168"/>
      <c r="AO26" s="168"/>
      <c r="AP26" s="168"/>
      <c r="AQ26" s="168"/>
      <c r="AR26" s="168"/>
      <c r="AS26" s="168"/>
      <c r="AT26" s="168"/>
      <c r="AU26" s="168"/>
      <c r="AV26" s="168"/>
      <c r="AW26" s="168"/>
      <c r="AX26" s="168"/>
      <c r="AY26" s="168"/>
      <c r="AZ26" s="168"/>
      <c r="BA26" s="168"/>
      <c r="BB26" s="168"/>
      <c r="BC26" s="168"/>
      <c r="BD26" s="168"/>
      <c r="BE26" s="168"/>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O26" s="168"/>
      <c r="CP26" s="168"/>
      <c r="CQ26" s="168"/>
      <c r="CR26" s="168"/>
      <c r="CS26" s="168"/>
      <c r="CT26" s="168"/>
      <c r="CU26" s="168"/>
      <c r="CV26" s="168"/>
      <c r="CW26" s="168"/>
      <c r="CX26" s="168"/>
      <c r="CY26" s="168"/>
      <c r="CZ26" s="168"/>
      <c r="DA26" s="168"/>
      <c r="DB26" s="168"/>
      <c r="DC26" s="168"/>
      <c r="DD26" s="168"/>
      <c r="DE26" s="168"/>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168"/>
      <c r="EC26" s="168"/>
      <c r="ED26" s="168"/>
      <c r="EE26" s="168"/>
      <c r="EF26" s="168"/>
      <c r="EG26" s="168"/>
      <c r="EH26" s="168"/>
      <c r="EI26" s="168"/>
      <c r="EJ26" s="168"/>
      <c r="EK26" s="168"/>
      <c r="EL26" s="168"/>
      <c r="EM26" s="168"/>
      <c r="EN26" s="168"/>
      <c r="EO26" s="168"/>
      <c r="EP26" s="168"/>
      <c r="EQ26" s="168"/>
      <c r="ER26" s="168"/>
      <c r="ES26" s="168"/>
      <c r="ET26" s="168"/>
      <c r="EU26" s="168"/>
      <c r="EV26" s="168"/>
      <c r="EW26" s="168"/>
      <c r="EX26" s="168"/>
      <c r="EY26" s="168"/>
      <c r="EZ26" s="168"/>
      <c r="FA26" s="168"/>
      <c r="FB26" s="168"/>
      <c r="FC26" s="168"/>
      <c r="FD26" s="168"/>
      <c r="FE26" s="168"/>
      <c r="FF26" s="168"/>
      <c r="FG26" s="168"/>
      <c r="FH26" s="168"/>
      <c r="FI26" s="168"/>
      <c r="FJ26" s="168"/>
      <c r="FK26" s="168"/>
      <c r="FL26" s="168"/>
      <c r="FM26" s="168"/>
      <c r="FN26" s="168"/>
      <c r="FO26" s="168"/>
      <c r="FP26" s="168"/>
      <c r="FQ26" s="168"/>
      <c r="FR26" s="168"/>
      <c r="FS26" s="168"/>
      <c r="FT26" s="168"/>
      <c r="FU26" s="168"/>
    </row>
    <row r="27" spans="1:177" s="162" customFormat="1" ht="60" x14ac:dyDescent="0.25">
      <c r="A27" s="159">
        <f t="shared" si="0"/>
        <v>20</v>
      </c>
      <c r="B27" s="160">
        <v>0.83333333333333304</v>
      </c>
      <c r="C27" s="168" t="s">
        <v>624</v>
      </c>
      <c r="D27" s="168" t="s">
        <v>632</v>
      </c>
      <c r="E27" s="180" t="s">
        <v>639</v>
      </c>
      <c r="F27" s="168" t="s">
        <v>655</v>
      </c>
      <c r="G27" s="211" t="s">
        <v>656</v>
      </c>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c r="BS27" s="168"/>
      <c r="BT27" s="168"/>
      <c r="BU27" s="168"/>
      <c r="BV27" s="168"/>
      <c r="BW27" s="168"/>
      <c r="BX27" s="168"/>
      <c r="BY27" s="168"/>
      <c r="BZ27" s="168"/>
      <c r="CA27" s="168"/>
      <c r="CB27" s="168"/>
      <c r="CC27" s="168"/>
      <c r="CD27" s="168"/>
      <c r="CE27" s="168"/>
      <c r="CF27" s="168"/>
      <c r="CG27" s="168"/>
      <c r="CH27" s="168"/>
      <c r="CI27" s="168"/>
      <c r="CJ27" s="168"/>
      <c r="CK27" s="168"/>
      <c r="CL27" s="168"/>
      <c r="CM27" s="168"/>
      <c r="CN27" s="168"/>
      <c r="CO27" s="168"/>
      <c r="CP27" s="168"/>
      <c r="CQ27" s="168"/>
      <c r="CR27" s="168"/>
      <c r="CS27" s="168"/>
      <c r="CT27" s="168"/>
      <c r="CU27" s="168"/>
      <c r="CV27" s="168"/>
      <c r="CW27" s="168"/>
      <c r="CX27" s="168"/>
      <c r="CY27" s="168"/>
      <c r="CZ27" s="168"/>
      <c r="DA27" s="168"/>
      <c r="DB27" s="168"/>
      <c r="DC27" s="168"/>
      <c r="DD27" s="168"/>
      <c r="DE27" s="168"/>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168"/>
      <c r="EC27" s="168"/>
      <c r="ED27" s="168"/>
      <c r="EE27" s="168"/>
      <c r="EF27" s="168"/>
      <c r="EG27" s="168"/>
      <c r="EH27" s="168"/>
      <c r="EI27" s="168"/>
      <c r="EJ27" s="168"/>
      <c r="EK27" s="168"/>
      <c r="EL27" s="168"/>
      <c r="EM27" s="168"/>
      <c r="EN27" s="168"/>
      <c r="EO27" s="168"/>
      <c r="EP27" s="168"/>
      <c r="EQ27" s="168"/>
      <c r="ER27" s="168"/>
      <c r="ES27" s="168"/>
      <c r="ET27" s="168"/>
      <c r="EU27" s="168"/>
      <c r="EV27" s="168"/>
      <c r="EW27" s="168"/>
      <c r="EX27" s="168"/>
      <c r="EY27" s="168"/>
      <c r="EZ27" s="168"/>
      <c r="FA27" s="168"/>
      <c r="FB27" s="168"/>
      <c r="FC27" s="168"/>
      <c r="FD27" s="168"/>
      <c r="FE27" s="168"/>
      <c r="FF27" s="168"/>
      <c r="FG27" s="168"/>
      <c r="FH27" s="168"/>
      <c r="FI27" s="168"/>
      <c r="FJ27" s="168"/>
      <c r="FK27" s="168"/>
      <c r="FL27" s="168"/>
      <c r="FM27" s="168"/>
      <c r="FN27" s="168"/>
      <c r="FO27" s="168"/>
      <c r="FP27" s="168"/>
      <c r="FQ27" s="168"/>
      <c r="FR27" s="168"/>
      <c r="FS27" s="168"/>
      <c r="FT27" s="168"/>
      <c r="FU27" s="168"/>
    </row>
    <row r="28" spans="1:177" s="163" customFormat="1" ht="60" x14ac:dyDescent="0.25">
      <c r="A28" s="159">
        <f t="shared" si="0"/>
        <v>21</v>
      </c>
      <c r="B28" s="160">
        <v>0.875</v>
      </c>
      <c r="C28" s="168" t="s">
        <v>627</v>
      </c>
      <c r="D28" s="168" t="s">
        <v>614</v>
      </c>
      <c r="E28" s="168" t="s">
        <v>649</v>
      </c>
      <c r="F28" s="168" t="s">
        <v>660</v>
      </c>
      <c r="G28" s="168"/>
      <c r="H28" s="168"/>
      <c r="I28" s="168"/>
      <c r="J28" s="168"/>
      <c r="K28" s="168"/>
      <c r="L28" s="168"/>
      <c r="M28" s="168"/>
      <c r="N28" s="168"/>
      <c r="O28" s="168"/>
      <c r="P28" s="168"/>
      <c r="Q28" s="168"/>
      <c r="R28" s="168"/>
      <c r="S28" s="168"/>
      <c r="T28" s="168"/>
      <c r="U28" s="168"/>
      <c r="V28" s="168"/>
      <c r="W28" s="168"/>
      <c r="X28" s="168"/>
      <c r="Y28" s="168"/>
      <c r="Z28" s="168"/>
      <c r="AA28" s="168"/>
      <c r="AB28" s="168"/>
      <c r="AC28" s="168"/>
      <c r="AD28" s="168"/>
      <c r="AE28" s="168"/>
      <c r="AF28" s="168"/>
      <c r="AG28" s="168"/>
      <c r="AH28" s="168"/>
      <c r="AI28" s="168"/>
      <c r="AJ28" s="168"/>
      <c r="AK28" s="168"/>
      <c r="AL28" s="168"/>
      <c r="AM28" s="168"/>
      <c r="AN28" s="168"/>
      <c r="AO28" s="168"/>
      <c r="AP28" s="168"/>
      <c r="AQ28" s="168"/>
      <c r="AR28" s="168"/>
      <c r="AS28" s="168"/>
      <c r="AT28" s="168"/>
      <c r="AU28" s="168"/>
      <c r="AV28" s="168"/>
      <c r="AW28" s="168"/>
      <c r="AX28" s="168"/>
      <c r="AY28" s="168"/>
      <c r="AZ28" s="168"/>
      <c r="BA28" s="168"/>
      <c r="BB28" s="168"/>
      <c r="BC28" s="168"/>
      <c r="BD28" s="168"/>
      <c r="BE28" s="168"/>
      <c r="BF28" s="168"/>
      <c r="BG28" s="168"/>
      <c r="BH28" s="168"/>
      <c r="BI28" s="168"/>
      <c r="BJ28" s="168"/>
      <c r="BK28" s="168"/>
      <c r="BL28" s="168"/>
      <c r="BM28" s="168"/>
      <c r="BN28" s="168"/>
      <c r="BO28" s="168"/>
      <c r="BP28" s="168"/>
      <c r="BQ28" s="168"/>
      <c r="BR28" s="168"/>
      <c r="BS28" s="168"/>
      <c r="BT28" s="168"/>
      <c r="BU28" s="168"/>
      <c r="BV28" s="168"/>
      <c r="BW28" s="168"/>
      <c r="BX28" s="168"/>
      <c r="BY28" s="168"/>
      <c r="BZ28" s="168"/>
      <c r="CA28" s="168"/>
      <c r="CB28" s="168"/>
      <c r="CC28" s="168"/>
      <c r="CD28" s="168"/>
      <c r="CE28" s="168"/>
      <c r="CF28" s="168"/>
      <c r="CG28" s="168"/>
      <c r="CH28" s="168"/>
      <c r="CI28" s="168"/>
      <c r="CJ28" s="168"/>
      <c r="CK28" s="168"/>
      <c r="CL28" s="168"/>
      <c r="CM28" s="168"/>
      <c r="CN28" s="168"/>
      <c r="CO28" s="168"/>
      <c r="CP28" s="168"/>
      <c r="CQ28" s="168"/>
      <c r="CR28" s="168"/>
      <c r="CS28" s="168"/>
      <c r="CT28" s="168"/>
      <c r="CU28" s="168"/>
      <c r="CV28" s="168"/>
      <c r="CW28" s="168"/>
      <c r="CX28" s="168"/>
      <c r="CY28" s="168"/>
      <c r="CZ28" s="168"/>
      <c r="DA28" s="168"/>
      <c r="DB28" s="168"/>
      <c r="DC28" s="168"/>
      <c r="DD28" s="168"/>
      <c r="DE28" s="168"/>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168"/>
      <c r="EC28" s="168"/>
      <c r="ED28" s="168"/>
      <c r="EE28" s="168"/>
      <c r="EF28" s="168"/>
      <c r="EG28" s="168"/>
      <c r="EH28" s="168"/>
      <c r="EI28" s="168"/>
      <c r="EJ28" s="168"/>
      <c r="EK28" s="168"/>
      <c r="EL28" s="168"/>
      <c r="EM28" s="168"/>
      <c r="EN28" s="168"/>
      <c r="EO28" s="168"/>
      <c r="EP28" s="168"/>
      <c r="EQ28" s="168"/>
      <c r="ER28" s="168"/>
      <c r="ES28" s="168"/>
      <c r="ET28" s="168"/>
      <c r="EU28" s="168"/>
      <c r="EV28" s="168"/>
      <c r="EW28" s="168"/>
      <c r="EX28" s="168"/>
      <c r="EY28" s="168"/>
      <c r="EZ28" s="168"/>
      <c r="FA28" s="168"/>
      <c r="FB28" s="168"/>
      <c r="FC28" s="168"/>
      <c r="FD28" s="168"/>
      <c r="FE28" s="168"/>
      <c r="FF28" s="168"/>
      <c r="FG28" s="168"/>
      <c r="FH28" s="168"/>
      <c r="FI28" s="168"/>
      <c r="FJ28" s="168"/>
      <c r="FK28" s="168"/>
      <c r="FL28" s="168"/>
      <c r="FM28" s="168"/>
      <c r="FN28" s="168"/>
      <c r="FO28" s="168"/>
      <c r="FP28" s="168"/>
      <c r="FQ28" s="168"/>
      <c r="FR28" s="168"/>
      <c r="FS28" s="168"/>
      <c r="FT28" s="168"/>
      <c r="FU28" s="168"/>
    </row>
    <row r="29" spans="1:177" s="162" customFormat="1" ht="30" x14ac:dyDescent="0.25">
      <c r="A29" s="159">
        <f t="shared" si="0"/>
        <v>22</v>
      </c>
      <c r="B29" s="160">
        <v>0.91666666666666696</v>
      </c>
      <c r="C29" s="168"/>
      <c r="D29" s="168" t="s">
        <v>636</v>
      </c>
      <c r="E29" s="168"/>
      <c r="F29" s="168" t="s">
        <v>650</v>
      </c>
      <c r="G29" s="168"/>
      <c r="H29" s="168"/>
      <c r="I29" s="168"/>
      <c r="J29" s="168"/>
      <c r="K29" s="168"/>
      <c r="L29" s="168"/>
      <c r="M29" s="168"/>
      <c r="N29" s="168"/>
      <c r="O29" s="168"/>
      <c r="P29" s="168"/>
      <c r="Q29" s="168"/>
      <c r="R29" s="168"/>
      <c r="S29" s="168"/>
      <c r="T29" s="168"/>
      <c r="U29" s="168"/>
      <c r="V29" s="168"/>
      <c r="W29" s="168"/>
      <c r="X29" s="168"/>
      <c r="Y29" s="168"/>
      <c r="Z29" s="168"/>
      <c r="AA29" s="168"/>
      <c r="AB29" s="168"/>
      <c r="AC29" s="168"/>
      <c r="AD29" s="168"/>
      <c r="AE29" s="168"/>
      <c r="AF29" s="168"/>
      <c r="AG29" s="168"/>
      <c r="AH29" s="168"/>
      <c r="AI29" s="168"/>
      <c r="AJ29" s="168"/>
      <c r="AK29" s="168"/>
      <c r="AL29" s="168"/>
      <c r="AM29" s="168"/>
      <c r="AN29" s="168"/>
      <c r="AO29" s="168"/>
      <c r="AP29" s="168"/>
      <c r="AQ29" s="168"/>
      <c r="AR29" s="168"/>
      <c r="AS29" s="168"/>
      <c r="AT29" s="168"/>
      <c r="AU29" s="168"/>
      <c r="AV29" s="168"/>
      <c r="AW29" s="168"/>
      <c r="AX29" s="168"/>
      <c r="AY29" s="168"/>
      <c r="AZ29" s="168"/>
      <c r="BA29" s="168"/>
      <c r="BB29" s="168"/>
      <c r="BC29" s="168"/>
      <c r="BD29" s="168"/>
      <c r="BE29" s="168"/>
      <c r="BF29" s="168"/>
      <c r="BG29" s="168"/>
      <c r="BH29" s="168"/>
      <c r="BI29" s="168"/>
      <c r="BJ29" s="168"/>
      <c r="BK29" s="168"/>
      <c r="BL29" s="168"/>
      <c r="BM29" s="168"/>
      <c r="BN29" s="168"/>
      <c r="BO29" s="168"/>
      <c r="BP29" s="168"/>
      <c r="BQ29" s="168"/>
      <c r="BR29" s="168"/>
      <c r="BS29" s="168"/>
      <c r="BT29" s="168"/>
      <c r="BU29" s="168"/>
      <c r="BV29" s="168"/>
      <c r="BW29" s="168"/>
      <c r="BX29" s="168"/>
      <c r="BY29" s="168"/>
      <c r="BZ29" s="168"/>
      <c r="CA29" s="168"/>
      <c r="CB29" s="168"/>
      <c r="CC29" s="168"/>
      <c r="CD29" s="168"/>
      <c r="CE29" s="168"/>
      <c r="CF29" s="168"/>
      <c r="CG29" s="168"/>
      <c r="CH29" s="168"/>
      <c r="CI29" s="168"/>
      <c r="CJ29" s="168"/>
      <c r="CK29" s="168"/>
      <c r="CL29" s="168"/>
      <c r="CM29" s="168"/>
      <c r="CN29" s="168"/>
      <c r="CO29" s="168"/>
      <c r="CP29" s="168"/>
      <c r="CQ29" s="168"/>
      <c r="CR29" s="168"/>
      <c r="CS29" s="168"/>
      <c r="CT29" s="168"/>
      <c r="CU29" s="168"/>
      <c r="CV29" s="168"/>
      <c r="CW29" s="168"/>
      <c r="CX29" s="168"/>
      <c r="CY29" s="168"/>
      <c r="CZ29" s="168"/>
      <c r="DA29" s="168"/>
      <c r="DB29" s="168"/>
      <c r="DC29" s="168"/>
      <c r="DD29" s="168"/>
      <c r="DE29" s="168"/>
      <c r="DF29" s="168"/>
      <c r="DG29" s="168"/>
      <c r="DH29" s="168"/>
      <c r="DI29" s="168"/>
      <c r="DJ29" s="168"/>
      <c r="DK29" s="168"/>
      <c r="DL29" s="168"/>
      <c r="DM29" s="168"/>
      <c r="DN29" s="168"/>
      <c r="DO29" s="168"/>
      <c r="DP29" s="168"/>
      <c r="DQ29" s="168"/>
      <c r="DR29" s="168"/>
      <c r="DS29" s="168"/>
      <c r="DT29" s="168"/>
      <c r="DU29" s="168"/>
      <c r="DV29" s="168"/>
      <c r="DW29" s="168"/>
      <c r="DX29" s="168"/>
      <c r="DY29" s="168"/>
      <c r="DZ29" s="168"/>
      <c r="EA29" s="168"/>
      <c r="EB29" s="168"/>
      <c r="EC29" s="168"/>
      <c r="ED29" s="168"/>
      <c r="EE29" s="168"/>
      <c r="EF29" s="168"/>
      <c r="EG29" s="168"/>
      <c r="EH29" s="168"/>
      <c r="EI29" s="168"/>
      <c r="EJ29" s="168"/>
      <c r="EK29" s="168"/>
      <c r="EL29" s="168"/>
      <c r="EM29" s="168"/>
      <c r="EN29" s="168"/>
      <c r="EO29" s="168"/>
      <c r="EP29" s="168"/>
      <c r="EQ29" s="168"/>
      <c r="ER29" s="168"/>
      <c r="ES29" s="168"/>
      <c r="ET29" s="168"/>
      <c r="EU29" s="168"/>
      <c r="EV29" s="168"/>
      <c r="EW29" s="168"/>
      <c r="EX29" s="168"/>
      <c r="EY29" s="168"/>
      <c r="EZ29" s="168"/>
      <c r="FA29" s="168"/>
      <c r="FB29" s="168"/>
      <c r="FC29" s="168"/>
      <c r="FD29" s="168"/>
      <c r="FE29" s="168"/>
      <c r="FF29" s="168"/>
      <c r="FG29" s="168"/>
      <c r="FH29" s="168"/>
      <c r="FI29" s="168"/>
      <c r="FJ29" s="168"/>
      <c r="FK29" s="168"/>
      <c r="FL29" s="168"/>
      <c r="FM29" s="168"/>
      <c r="FN29" s="168"/>
      <c r="FO29" s="168"/>
      <c r="FP29" s="168"/>
      <c r="FQ29" s="168"/>
      <c r="FR29" s="168"/>
      <c r="FS29" s="168"/>
      <c r="FT29" s="168"/>
      <c r="FU29" s="168"/>
    </row>
    <row r="30" spans="1:177" s="162" customFormat="1" x14ac:dyDescent="0.25">
      <c r="A30" s="159">
        <f t="shared" si="0"/>
        <v>23</v>
      </c>
      <c r="B30" s="160">
        <v>0.95833333333333304</v>
      </c>
      <c r="C30" s="168" t="s">
        <v>627</v>
      </c>
      <c r="D30" s="168"/>
      <c r="E30" s="168"/>
      <c r="F30" s="168" t="s">
        <v>650</v>
      </c>
      <c r="G30" s="168"/>
      <c r="H30" s="168"/>
      <c r="I30" s="168"/>
      <c r="J30" s="168"/>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8"/>
      <c r="BF30" s="168"/>
      <c r="BG30" s="168"/>
      <c r="BH30" s="168"/>
      <c r="BI30" s="168"/>
      <c r="BJ30" s="168"/>
      <c r="BK30" s="168"/>
      <c r="BL30" s="168"/>
      <c r="BM30" s="168"/>
      <c r="BN30" s="168"/>
      <c r="BO30" s="168"/>
      <c r="BP30" s="168"/>
      <c r="BQ30" s="168"/>
      <c r="BR30" s="168"/>
      <c r="BS30" s="168"/>
      <c r="BT30" s="168"/>
      <c r="BU30" s="168"/>
      <c r="BV30" s="168"/>
      <c r="BW30" s="168"/>
      <c r="BX30" s="168"/>
      <c r="BY30" s="161"/>
      <c r="BZ30" s="161"/>
      <c r="CA30" s="161"/>
      <c r="CB30" s="161"/>
      <c r="CC30" s="161"/>
      <c r="CD30" s="161"/>
      <c r="CE30" s="161"/>
      <c r="CF30" s="161"/>
      <c r="CG30" s="161"/>
      <c r="CH30" s="161"/>
      <c r="CI30" s="161"/>
      <c r="CJ30" s="161"/>
      <c r="CK30" s="161"/>
      <c r="CL30" s="161"/>
      <c r="CM30" s="161"/>
      <c r="CN30" s="161"/>
      <c r="CO30" s="161"/>
      <c r="CP30" s="161"/>
      <c r="CQ30" s="161"/>
      <c r="CR30" s="161"/>
      <c r="CS30" s="161"/>
      <c r="CT30" s="161"/>
      <c r="CU30" s="161"/>
      <c r="CV30" s="161"/>
      <c r="CW30" s="161"/>
      <c r="CX30" s="161"/>
      <c r="CY30" s="161"/>
      <c r="CZ30" s="161"/>
      <c r="DA30" s="161"/>
      <c r="DB30" s="161"/>
      <c r="DC30" s="161"/>
      <c r="DD30" s="161"/>
      <c r="DE30" s="161"/>
      <c r="DF30" s="161"/>
      <c r="DG30" s="161"/>
      <c r="DH30" s="161"/>
      <c r="DI30" s="161"/>
      <c r="DJ30" s="161"/>
      <c r="DK30" s="161"/>
      <c r="DL30" s="161"/>
      <c r="DM30" s="161"/>
      <c r="DN30" s="161"/>
      <c r="DO30" s="161"/>
      <c r="DP30" s="161"/>
      <c r="DQ30" s="161"/>
      <c r="DR30" s="161"/>
      <c r="DS30" s="161"/>
      <c r="DT30" s="161"/>
      <c r="DU30" s="161"/>
      <c r="DV30" s="161"/>
      <c r="DW30" s="161"/>
      <c r="DX30" s="161"/>
      <c r="DY30" s="161"/>
      <c r="DZ30" s="161"/>
      <c r="EA30" s="161"/>
      <c r="EB30" s="161"/>
      <c r="EC30" s="161"/>
      <c r="ED30" s="161"/>
      <c r="EE30" s="161"/>
      <c r="EF30" s="161"/>
      <c r="EG30" s="161"/>
      <c r="EH30" s="161"/>
      <c r="EI30" s="161"/>
      <c r="EJ30" s="161"/>
      <c r="EK30" s="161"/>
      <c r="EL30" s="161"/>
      <c r="EM30" s="161"/>
      <c r="EN30" s="161"/>
      <c r="EO30" s="161"/>
      <c r="EP30" s="161"/>
      <c r="EQ30" s="161"/>
      <c r="ER30" s="161"/>
      <c r="ES30" s="161"/>
      <c r="ET30" s="161"/>
      <c r="EU30" s="161"/>
      <c r="EV30" s="161"/>
      <c r="EW30" s="161"/>
      <c r="EX30" s="161"/>
      <c r="EY30" s="161"/>
      <c r="EZ30" s="161"/>
      <c r="FA30" s="161"/>
      <c r="FB30" s="161"/>
      <c r="FC30" s="161"/>
      <c r="FD30" s="161"/>
      <c r="FE30" s="161"/>
      <c r="FF30" s="161"/>
      <c r="FG30" s="161"/>
      <c r="FH30" s="161"/>
      <c r="FI30" s="161"/>
      <c r="FJ30" s="161"/>
      <c r="FK30" s="161"/>
      <c r="FL30" s="161"/>
      <c r="FM30" s="161"/>
      <c r="FN30" s="161"/>
      <c r="FO30" s="161"/>
      <c r="FP30" s="161"/>
      <c r="FQ30" s="161"/>
      <c r="FR30" s="161"/>
      <c r="FS30" s="161"/>
      <c r="FT30" s="161"/>
      <c r="FU30" s="161"/>
    </row>
    <row r="31" spans="1:177" s="75" customFormat="1" ht="37.5" customHeight="1" x14ac:dyDescent="0.25">
      <c r="B31" s="144" t="s">
        <v>314</v>
      </c>
      <c r="C31" s="168"/>
      <c r="D31" s="168"/>
      <c r="E31" s="168"/>
      <c r="F31" s="168" t="s">
        <v>650</v>
      </c>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c r="BS31" s="168"/>
      <c r="BT31" s="168"/>
      <c r="BU31" s="168"/>
      <c r="BV31" s="168"/>
      <c r="BW31" s="168"/>
      <c r="BX31" s="168"/>
      <c r="BY31" s="161"/>
      <c r="BZ31" s="161"/>
      <c r="CA31" s="161"/>
      <c r="CB31" s="161"/>
      <c r="CC31" s="161"/>
      <c r="CD31" s="161"/>
      <c r="CE31" s="161"/>
      <c r="CF31" s="161"/>
      <c r="CG31" s="161"/>
      <c r="CH31" s="161"/>
      <c r="CI31" s="161"/>
      <c r="CJ31" s="161"/>
      <c r="CK31" s="161"/>
      <c r="CL31" s="161"/>
      <c r="CM31" s="161"/>
      <c r="CN31" s="161"/>
      <c r="CO31" s="161"/>
      <c r="CP31" s="161"/>
      <c r="CQ31" s="161"/>
      <c r="CR31" s="161"/>
      <c r="CS31" s="161"/>
      <c r="CT31" s="161"/>
      <c r="CU31" s="161"/>
      <c r="CV31" s="161"/>
      <c r="CW31" s="161"/>
      <c r="CX31" s="161"/>
      <c r="CY31" s="161"/>
      <c r="CZ31" s="161"/>
      <c r="DA31" s="161"/>
      <c r="DB31" s="161"/>
      <c r="DC31" s="161"/>
      <c r="DD31" s="161"/>
      <c r="DE31" s="161"/>
      <c r="DF31" s="161"/>
      <c r="DG31" s="161"/>
      <c r="DH31" s="161"/>
      <c r="DI31" s="161"/>
      <c r="DJ31" s="161"/>
      <c r="DK31" s="161"/>
      <c r="DL31" s="161"/>
      <c r="DM31" s="161"/>
      <c r="DN31" s="161"/>
      <c r="DO31" s="161"/>
      <c r="DP31" s="161"/>
      <c r="DQ31" s="161"/>
      <c r="DR31" s="161"/>
      <c r="DS31" s="161"/>
      <c r="DT31" s="161"/>
      <c r="DU31" s="161"/>
      <c r="DV31" s="161"/>
      <c r="DW31" s="161"/>
      <c r="DX31" s="161"/>
      <c r="DY31" s="161"/>
      <c r="DZ31" s="161"/>
      <c r="EA31" s="161"/>
      <c r="EB31" s="161"/>
      <c r="EC31" s="161"/>
      <c r="ED31" s="161"/>
      <c r="EE31" s="161"/>
      <c r="EF31" s="161"/>
      <c r="EG31" s="161"/>
      <c r="EH31" s="161"/>
      <c r="EI31" s="161"/>
      <c r="EJ31" s="161"/>
      <c r="EK31" s="161"/>
      <c r="EL31" s="161"/>
      <c r="EM31" s="161"/>
      <c r="EN31" s="161"/>
      <c r="EO31" s="161"/>
      <c r="EP31" s="161"/>
      <c r="EQ31" s="161"/>
      <c r="ER31" s="161"/>
      <c r="ES31" s="161"/>
      <c r="ET31" s="161"/>
      <c r="EU31" s="161"/>
      <c r="EV31" s="161"/>
      <c r="EW31" s="161"/>
      <c r="EX31" s="161"/>
      <c r="EY31" s="161"/>
      <c r="EZ31" s="161"/>
      <c r="FA31" s="161"/>
      <c r="FB31" s="161"/>
      <c r="FC31" s="161"/>
      <c r="FD31" s="161"/>
      <c r="FE31" s="161"/>
      <c r="FF31" s="161"/>
      <c r="FG31" s="161"/>
      <c r="FH31" s="161"/>
      <c r="FI31" s="161"/>
      <c r="FJ31" s="161"/>
      <c r="FK31" s="161"/>
      <c r="FL31" s="161"/>
      <c r="FM31" s="161"/>
      <c r="FN31" s="161"/>
      <c r="FO31" s="161"/>
      <c r="FP31" s="161"/>
      <c r="FQ31" s="161"/>
      <c r="FR31" s="161"/>
      <c r="FS31" s="161"/>
      <c r="FT31" s="161"/>
      <c r="FU31" s="161"/>
    </row>
    <row r="32" spans="1:177" s="74" customFormat="1" x14ac:dyDescent="0.25">
      <c r="A32" s="75"/>
      <c r="C32" s="181">
        <f t="shared" ref="C32:H32" si="1">SUM(C8:C31)</f>
        <v>0</v>
      </c>
      <c r="D32" s="181">
        <f t="shared" si="1"/>
        <v>0</v>
      </c>
      <c r="E32" s="181">
        <f t="shared" si="1"/>
        <v>0</v>
      </c>
      <c r="F32" s="181">
        <f t="shared" si="1"/>
        <v>0</v>
      </c>
      <c r="G32" s="181">
        <f t="shared" si="1"/>
        <v>0</v>
      </c>
      <c r="H32" s="181">
        <f t="shared" si="1"/>
        <v>0</v>
      </c>
      <c r="I32" s="181">
        <f t="shared" ref="I32:AN32" si="2">SUM(I8:I31)</f>
        <v>0</v>
      </c>
      <c r="J32" s="181">
        <f t="shared" si="2"/>
        <v>0</v>
      </c>
      <c r="K32" s="181">
        <f t="shared" si="2"/>
        <v>0</v>
      </c>
      <c r="L32" s="181">
        <f t="shared" si="2"/>
        <v>0</v>
      </c>
      <c r="M32" s="181">
        <f t="shared" si="2"/>
        <v>0</v>
      </c>
      <c r="N32" s="181">
        <f t="shared" si="2"/>
        <v>0</v>
      </c>
      <c r="O32" s="181">
        <f t="shared" si="2"/>
        <v>0</v>
      </c>
      <c r="P32" s="181">
        <f t="shared" si="2"/>
        <v>0</v>
      </c>
      <c r="Q32" s="181">
        <f t="shared" si="2"/>
        <v>0</v>
      </c>
      <c r="R32" s="181">
        <f t="shared" si="2"/>
        <v>0</v>
      </c>
      <c r="S32" s="181">
        <f t="shared" si="2"/>
        <v>0</v>
      </c>
      <c r="T32" s="181">
        <f t="shared" si="2"/>
        <v>0</v>
      </c>
      <c r="U32" s="181">
        <f t="shared" si="2"/>
        <v>0</v>
      </c>
      <c r="V32" s="181">
        <f t="shared" si="2"/>
        <v>0</v>
      </c>
      <c r="W32" s="181">
        <f t="shared" si="2"/>
        <v>0</v>
      </c>
      <c r="X32" s="181">
        <f t="shared" si="2"/>
        <v>0</v>
      </c>
      <c r="Y32" s="181">
        <f t="shared" si="2"/>
        <v>0</v>
      </c>
      <c r="Z32" s="181">
        <f t="shared" si="2"/>
        <v>0</v>
      </c>
      <c r="AA32" s="181">
        <f t="shared" si="2"/>
        <v>0</v>
      </c>
      <c r="AB32" s="181">
        <f t="shared" si="2"/>
        <v>0</v>
      </c>
      <c r="AC32" s="181">
        <f t="shared" si="2"/>
        <v>0</v>
      </c>
      <c r="AD32" s="181">
        <f t="shared" si="2"/>
        <v>0</v>
      </c>
      <c r="AE32" s="181">
        <f t="shared" si="2"/>
        <v>0</v>
      </c>
      <c r="AF32" s="181">
        <f t="shared" si="2"/>
        <v>0</v>
      </c>
      <c r="AG32" s="181">
        <f t="shared" si="2"/>
        <v>0</v>
      </c>
      <c r="AH32" s="181">
        <f t="shared" si="2"/>
        <v>0</v>
      </c>
      <c r="AI32" s="181">
        <f t="shared" si="2"/>
        <v>0</v>
      </c>
      <c r="AJ32" s="181">
        <f t="shared" si="2"/>
        <v>0</v>
      </c>
      <c r="AK32" s="181">
        <f t="shared" si="2"/>
        <v>0</v>
      </c>
      <c r="AL32" s="181">
        <f t="shared" si="2"/>
        <v>0</v>
      </c>
      <c r="AM32" s="181">
        <f t="shared" si="2"/>
        <v>0</v>
      </c>
      <c r="AN32" s="181">
        <f t="shared" si="2"/>
        <v>0</v>
      </c>
      <c r="AO32" s="181">
        <f t="shared" ref="AO32:BT32" si="3">SUM(AO8:AO31)</f>
        <v>0</v>
      </c>
      <c r="AP32" s="181">
        <f t="shared" si="3"/>
        <v>0</v>
      </c>
      <c r="AQ32" s="181">
        <f t="shared" si="3"/>
        <v>0</v>
      </c>
      <c r="AR32" s="181">
        <f t="shared" si="3"/>
        <v>0</v>
      </c>
      <c r="AS32" s="181">
        <f t="shared" si="3"/>
        <v>0</v>
      </c>
      <c r="AT32" s="181">
        <f t="shared" si="3"/>
        <v>0</v>
      </c>
      <c r="AU32" s="181">
        <f t="shared" si="3"/>
        <v>0</v>
      </c>
      <c r="AV32" s="181">
        <f t="shared" si="3"/>
        <v>0</v>
      </c>
      <c r="AW32" s="181">
        <f t="shared" si="3"/>
        <v>0</v>
      </c>
      <c r="AX32" s="181">
        <f t="shared" si="3"/>
        <v>0</v>
      </c>
      <c r="AY32" s="181">
        <f t="shared" si="3"/>
        <v>0</v>
      </c>
      <c r="AZ32" s="181">
        <f t="shared" si="3"/>
        <v>0</v>
      </c>
      <c r="BA32" s="181">
        <f t="shared" si="3"/>
        <v>0</v>
      </c>
      <c r="BB32" s="181">
        <f t="shared" si="3"/>
        <v>0</v>
      </c>
      <c r="BC32" s="181">
        <f t="shared" si="3"/>
        <v>0</v>
      </c>
      <c r="BD32" s="181">
        <f t="shared" si="3"/>
        <v>0</v>
      </c>
      <c r="BE32" s="181">
        <f t="shared" si="3"/>
        <v>0</v>
      </c>
      <c r="BF32" s="181">
        <f t="shared" si="3"/>
        <v>0</v>
      </c>
      <c r="BG32" s="181">
        <f t="shared" si="3"/>
        <v>0</v>
      </c>
      <c r="BH32" s="181">
        <f t="shared" si="3"/>
        <v>0</v>
      </c>
      <c r="BI32" s="181">
        <f t="shared" si="3"/>
        <v>0</v>
      </c>
      <c r="BJ32" s="181">
        <f t="shared" si="3"/>
        <v>0</v>
      </c>
      <c r="BK32" s="181">
        <f t="shared" si="3"/>
        <v>0</v>
      </c>
      <c r="BL32" s="181">
        <f t="shared" si="3"/>
        <v>0</v>
      </c>
      <c r="BM32" s="181">
        <f t="shared" si="3"/>
        <v>0</v>
      </c>
      <c r="BN32" s="181">
        <f t="shared" si="3"/>
        <v>0</v>
      </c>
      <c r="BO32" s="181">
        <f t="shared" si="3"/>
        <v>0</v>
      </c>
      <c r="BP32" s="181">
        <f t="shared" si="3"/>
        <v>0</v>
      </c>
      <c r="BQ32" s="181">
        <f t="shared" si="3"/>
        <v>0</v>
      </c>
      <c r="BR32" s="181">
        <f t="shared" si="3"/>
        <v>0</v>
      </c>
      <c r="BS32" s="181">
        <f t="shared" si="3"/>
        <v>0</v>
      </c>
      <c r="BT32" s="181">
        <f t="shared" si="3"/>
        <v>0</v>
      </c>
      <c r="BU32" s="181">
        <f t="shared" ref="BU32:BX32" si="4">SUM(BU8:BU31)</f>
        <v>0</v>
      </c>
      <c r="BV32" s="181">
        <f t="shared" si="4"/>
        <v>0</v>
      </c>
      <c r="BW32" s="181">
        <f t="shared" si="4"/>
        <v>0</v>
      </c>
      <c r="BX32" s="181">
        <f t="shared" si="4"/>
        <v>0</v>
      </c>
      <c r="BY32" s="181"/>
      <c r="BZ32" s="181"/>
      <c r="CA32" s="181"/>
      <c r="CB32" s="181"/>
      <c r="CC32" s="181"/>
      <c r="CD32" s="181"/>
      <c r="CE32" s="181"/>
      <c r="CF32" s="181"/>
      <c r="CG32" s="181"/>
      <c r="CH32" s="181"/>
      <c r="CI32" s="181"/>
      <c r="CJ32" s="181"/>
      <c r="CK32" s="181"/>
      <c r="CL32" s="181"/>
      <c r="CM32" s="181"/>
      <c r="CN32" s="181"/>
      <c r="CO32" s="181"/>
      <c r="CP32" s="181"/>
      <c r="CQ32" s="181"/>
      <c r="CR32" s="181"/>
      <c r="CS32" s="181"/>
      <c r="CT32" s="181"/>
      <c r="CU32" s="181"/>
      <c r="CV32" s="181"/>
      <c r="CW32" s="181"/>
      <c r="CX32" s="181"/>
      <c r="CY32" s="181"/>
      <c r="CZ32" s="181"/>
      <c r="DA32" s="181"/>
      <c r="DB32" s="181"/>
      <c r="DC32" s="181"/>
      <c r="DD32" s="181"/>
      <c r="DE32" s="181"/>
      <c r="DF32" s="181"/>
      <c r="DG32" s="181"/>
      <c r="DH32" s="181"/>
      <c r="DI32" s="181"/>
      <c r="DJ32" s="181"/>
      <c r="DK32" s="181"/>
      <c r="DL32" s="181"/>
      <c r="DM32" s="181"/>
      <c r="DN32" s="181"/>
      <c r="DO32" s="181"/>
      <c r="DP32" s="181"/>
      <c r="DQ32" s="181"/>
      <c r="DR32" s="181"/>
      <c r="DS32" s="181"/>
      <c r="DT32" s="181"/>
      <c r="DU32" s="181"/>
      <c r="DV32" s="181"/>
      <c r="DW32" s="181"/>
      <c r="DX32" s="181"/>
      <c r="DY32" s="181"/>
      <c r="DZ32" s="181"/>
      <c r="EA32" s="181"/>
      <c r="EB32" s="181"/>
      <c r="EC32" s="181"/>
      <c r="ED32" s="181"/>
      <c r="EE32" s="181"/>
      <c r="EF32" s="181"/>
      <c r="EG32" s="181"/>
      <c r="EH32" s="181"/>
      <c r="EI32" s="181"/>
      <c r="EJ32" s="181"/>
      <c r="EK32" s="181"/>
      <c r="EL32" s="181"/>
      <c r="EM32" s="181"/>
      <c r="EN32" s="181"/>
      <c r="EO32" s="181"/>
      <c r="EP32" s="181"/>
      <c r="EQ32" s="181"/>
      <c r="ER32" s="181"/>
      <c r="ES32" s="181"/>
      <c r="ET32" s="181"/>
      <c r="EU32" s="181"/>
      <c r="EV32" s="181"/>
      <c r="EW32" s="181"/>
      <c r="EX32" s="181"/>
      <c r="EY32" s="181"/>
      <c r="EZ32" s="181"/>
      <c r="FA32" s="181"/>
      <c r="FB32" s="181"/>
      <c r="FC32" s="181"/>
      <c r="FD32" s="181"/>
      <c r="FE32" s="181"/>
      <c r="FF32" s="181"/>
      <c r="FG32" s="181"/>
      <c r="FH32" s="181"/>
      <c r="FI32" s="181"/>
      <c r="FJ32" s="181"/>
      <c r="FK32" s="181"/>
      <c r="FL32" s="181"/>
      <c r="FM32" s="181"/>
      <c r="FN32" s="181"/>
      <c r="FO32" s="181"/>
      <c r="FP32" s="181"/>
      <c r="FQ32" s="181"/>
      <c r="FR32" s="181"/>
      <c r="FS32" s="181"/>
      <c r="FT32" s="181"/>
      <c r="FU32" s="181"/>
    </row>
    <row r="33" spans="1:177" s="74" customFormat="1" x14ac:dyDescent="0.25">
      <c r="A33" s="75"/>
    </row>
    <row r="34" spans="1:177" ht="48" customHeight="1" thickBot="1" x14ac:dyDescent="0.3">
      <c r="B34" s="204">
        <f ca="1">TODAY()</f>
        <v>43345</v>
      </c>
      <c r="C34" s="72">
        <v>43328</v>
      </c>
      <c r="D34" s="72">
        <v>43329</v>
      </c>
      <c r="E34" s="72">
        <v>43330</v>
      </c>
      <c r="F34" s="72">
        <v>43331</v>
      </c>
      <c r="G34" s="72">
        <v>43332</v>
      </c>
      <c r="H34" s="72">
        <v>43333</v>
      </c>
      <c r="I34" s="72">
        <v>43334</v>
      </c>
      <c r="J34" s="72">
        <v>43335</v>
      </c>
      <c r="K34" s="72">
        <v>43336</v>
      </c>
      <c r="L34" s="72">
        <v>43337</v>
      </c>
      <c r="M34" s="72">
        <v>43338</v>
      </c>
      <c r="N34" s="72">
        <v>43339</v>
      </c>
      <c r="O34" s="72">
        <v>43340</v>
      </c>
      <c r="P34" s="72">
        <v>43341</v>
      </c>
      <c r="Q34" s="72">
        <v>43342</v>
      </c>
      <c r="R34" s="72">
        <v>43343</v>
      </c>
      <c r="S34" s="72">
        <v>43344</v>
      </c>
      <c r="T34" s="72">
        <v>43345</v>
      </c>
      <c r="U34" s="72">
        <v>43346</v>
      </c>
      <c r="V34" s="72">
        <v>43347</v>
      </c>
      <c r="W34" s="72">
        <v>43348</v>
      </c>
      <c r="X34" s="72">
        <v>43349</v>
      </c>
      <c r="Y34" s="72">
        <v>43350</v>
      </c>
      <c r="Z34" s="72">
        <v>43351</v>
      </c>
      <c r="AA34" s="72">
        <v>43352</v>
      </c>
      <c r="AB34" s="72">
        <v>43353</v>
      </c>
      <c r="AC34" s="72">
        <v>43354</v>
      </c>
      <c r="AD34" s="72">
        <v>43355</v>
      </c>
      <c r="AE34" s="72">
        <v>43356</v>
      </c>
      <c r="AF34" s="72">
        <v>43357</v>
      </c>
      <c r="AG34" s="72">
        <v>43358</v>
      </c>
      <c r="AH34" s="72">
        <v>43359</v>
      </c>
      <c r="AI34" s="72">
        <v>43360</v>
      </c>
      <c r="AJ34" s="72">
        <v>43361</v>
      </c>
      <c r="AK34" s="72">
        <v>43362</v>
      </c>
      <c r="AL34" s="72">
        <v>43363</v>
      </c>
      <c r="AM34" s="72">
        <v>43364</v>
      </c>
      <c r="AN34" s="72">
        <v>43365</v>
      </c>
      <c r="AO34" s="72">
        <v>43366</v>
      </c>
      <c r="AP34" s="72">
        <v>43367</v>
      </c>
      <c r="AQ34" s="72">
        <v>43368</v>
      </c>
      <c r="AR34" s="72">
        <v>43369</v>
      </c>
      <c r="AS34" s="72">
        <v>43370</v>
      </c>
      <c r="AT34" s="72">
        <v>43371</v>
      </c>
      <c r="AU34" s="72">
        <v>43372</v>
      </c>
      <c r="AV34" s="72">
        <v>43373</v>
      </c>
      <c r="AW34" s="72">
        <v>43374</v>
      </c>
      <c r="AX34" s="72">
        <v>43375</v>
      </c>
      <c r="AY34" s="72">
        <v>43376</v>
      </c>
      <c r="AZ34" s="72">
        <v>43377</v>
      </c>
      <c r="BA34" s="72">
        <v>43378</v>
      </c>
      <c r="BB34" s="72">
        <v>43379</v>
      </c>
      <c r="BC34" s="72">
        <v>43380</v>
      </c>
      <c r="BD34" s="72">
        <v>43381</v>
      </c>
      <c r="BE34" s="72">
        <v>43382</v>
      </c>
      <c r="BF34" s="72">
        <v>43383</v>
      </c>
      <c r="BG34" s="72">
        <v>43384</v>
      </c>
      <c r="BH34" s="72">
        <v>43385</v>
      </c>
      <c r="BI34" s="72">
        <v>43386</v>
      </c>
      <c r="BJ34" s="72">
        <v>43387</v>
      </c>
      <c r="BK34" s="72">
        <v>43388</v>
      </c>
      <c r="BL34" s="72">
        <v>43389</v>
      </c>
      <c r="BM34" s="72">
        <v>43390</v>
      </c>
      <c r="BN34" s="72">
        <v>43391</v>
      </c>
      <c r="BO34" s="72">
        <v>43392</v>
      </c>
      <c r="BP34" s="72">
        <v>43393</v>
      </c>
      <c r="BQ34" s="72">
        <v>43394</v>
      </c>
      <c r="BR34" s="72">
        <v>43395</v>
      </c>
      <c r="BS34" s="72">
        <v>43396</v>
      </c>
      <c r="BT34" s="72">
        <v>43397</v>
      </c>
      <c r="BU34" s="72">
        <v>43398</v>
      </c>
      <c r="BV34" s="72">
        <v>43399</v>
      </c>
      <c r="BW34" s="72">
        <v>43400</v>
      </c>
      <c r="BX34" s="72">
        <v>43401</v>
      </c>
      <c r="BY34" s="72">
        <v>43402</v>
      </c>
      <c r="BZ34" s="72">
        <v>43403</v>
      </c>
      <c r="CA34" s="72">
        <v>43404</v>
      </c>
      <c r="CB34" s="72">
        <v>43405</v>
      </c>
      <c r="CC34" s="72">
        <v>43406</v>
      </c>
      <c r="CD34" s="72">
        <v>43407</v>
      </c>
      <c r="CE34" s="72">
        <v>43408</v>
      </c>
      <c r="CF34" s="72">
        <v>43409</v>
      </c>
      <c r="CG34" s="72">
        <v>43410</v>
      </c>
      <c r="CH34" s="72">
        <v>43411</v>
      </c>
      <c r="CI34" s="72">
        <v>43412</v>
      </c>
      <c r="CJ34" s="72">
        <v>43413</v>
      </c>
      <c r="CK34" s="72">
        <v>43414</v>
      </c>
      <c r="CL34" s="72">
        <v>43415</v>
      </c>
      <c r="CM34" s="72">
        <v>43416</v>
      </c>
      <c r="CN34" s="72">
        <v>43417</v>
      </c>
      <c r="CO34" s="72">
        <v>43418</v>
      </c>
      <c r="CP34" s="72">
        <v>43419</v>
      </c>
      <c r="CQ34" s="72">
        <v>43420</v>
      </c>
      <c r="CR34" s="72">
        <v>43421</v>
      </c>
      <c r="CS34" s="72">
        <v>43422</v>
      </c>
      <c r="CT34" s="72">
        <v>43423</v>
      </c>
      <c r="CU34" s="72">
        <v>43424</v>
      </c>
      <c r="CV34" s="72">
        <v>43425</v>
      </c>
      <c r="CW34" s="72">
        <v>43426</v>
      </c>
      <c r="CX34" s="72">
        <v>43427</v>
      </c>
      <c r="CY34" s="72">
        <v>43428</v>
      </c>
      <c r="CZ34" s="72">
        <v>43429</v>
      </c>
      <c r="DA34" s="72">
        <v>43430</v>
      </c>
      <c r="DB34" s="72">
        <v>43431</v>
      </c>
      <c r="DC34" s="72">
        <v>43432</v>
      </c>
      <c r="DD34" s="72">
        <v>43433</v>
      </c>
      <c r="DE34" s="72">
        <v>43434</v>
      </c>
      <c r="DF34" s="72">
        <v>43435</v>
      </c>
      <c r="DG34" s="72">
        <v>43436</v>
      </c>
      <c r="DH34" s="72">
        <v>43437</v>
      </c>
      <c r="DI34" s="72">
        <v>43438</v>
      </c>
      <c r="DJ34" s="72">
        <v>43439</v>
      </c>
      <c r="DK34" s="72">
        <v>43440</v>
      </c>
      <c r="DL34" s="72">
        <v>43441</v>
      </c>
      <c r="DM34" s="72">
        <v>43442</v>
      </c>
      <c r="DN34" s="72">
        <v>43443</v>
      </c>
      <c r="DO34" s="72">
        <v>43444</v>
      </c>
      <c r="DP34" s="72">
        <v>43445</v>
      </c>
      <c r="DQ34" s="72">
        <v>43446</v>
      </c>
      <c r="DR34" s="72">
        <v>43447</v>
      </c>
      <c r="DS34" s="72">
        <v>43448</v>
      </c>
      <c r="DT34" s="72">
        <v>43449</v>
      </c>
      <c r="DU34" s="72">
        <v>43450</v>
      </c>
      <c r="DV34" s="72">
        <v>43451</v>
      </c>
      <c r="DW34" s="72">
        <v>43452</v>
      </c>
      <c r="DX34" s="72">
        <v>43453</v>
      </c>
      <c r="DY34" s="72">
        <v>43454</v>
      </c>
      <c r="DZ34" s="72">
        <v>43455</v>
      </c>
      <c r="EA34" s="72">
        <v>43456</v>
      </c>
      <c r="EB34" s="72">
        <v>43457</v>
      </c>
      <c r="EC34" s="72">
        <v>43458</v>
      </c>
      <c r="ED34" s="72">
        <v>43459</v>
      </c>
      <c r="EE34" s="72">
        <v>43460</v>
      </c>
      <c r="EF34" s="72">
        <v>43461</v>
      </c>
      <c r="EG34" s="72">
        <v>43462</v>
      </c>
      <c r="EH34" s="72">
        <v>43463</v>
      </c>
      <c r="EI34" s="72">
        <v>43464</v>
      </c>
      <c r="EJ34" s="72">
        <v>43465</v>
      </c>
      <c r="EK34" s="72">
        <v>43466</v>
      </c>
      <c r="EL34" s="72">
        <v>43467</v>
      </c>
      <c r="EM34" s="72">
        <v>43468</v>
      </c>
      <c r="EN34" s="72">
        <v>43469</v>
      </c>
      <c r="EO34" s="72">
        <v>43470</v>
      </c>
      <c r="EP34" s="72">
        <v>43471</v>
      </c>
      <c r="EQ34" s="72">
        <v>43472</v>
      </c>
      <c r="ER34" s="72">
        <v>43473</v>
      </c>
      <c r="ES34" s="72">
        <v>43474</v>
      </c>
      <c r="ET34" s="72">
        <v>43475</v>
      </c>
      <c r="EU34" s="72">
        <v>43476</v>
      </c>
      <c r="EV34" s="72">
        <v>43477</v>
      </c>
      <c r="EW34" s="72">
        <v>43478</v>
      </c>
      <c r="EX34" s="72">
        <v>43479</v>
      </c>
      <c r="EY34" s="72">
        <v>43480</v>
      </c>
      <c r="EZ34" s="72">
        <v>43481</v>
      </c>
      <c r="FA34" s="72">
        <v>43482</v>
      </c>
      <c r="FB34" s="72">
        <v>43483</v>
      </c>
      <c r="FC34" s="72">
        <v>43484</v>
      </c>
      <c r="FD34" s="72">
        <v>43485</v>
      </c>
      <c r="FE34" s="72">
        <v>43486</v>
      </c>
      <c r="FF34" s="72">
        <v>43487</v>
      </c>
      <c r="FG34" s="72">
        <v>43488</v>
      </c>
      <c r="FH34" s="72">
        <v>43489</v>
      </c>
      <c r="FI34" s="72">
        <v>43490</v>
      </c>
      <c r="FJ34" s="72">
        <v>43491</v>
      </c>
      <c r="FK34" s="72">
        <v>43492</v>
      </c>
      <c r="FL34" s="72">
        <v>43493</v>
      </c>
      <c r="FM34" s="72">
        <v>43494</v>
      </c>
      <c r="FN34" s="72">
        <v>43495</v>
      </c>
      <c r="FO34" s="72">
        <v>43496</v>
      </c>
      <c r="FP34" s="72">
        <v>43497</v>
      </c>
      <c r="FQ34" s="72">
        <v>43498</v>
      </c>
      <c r="FR34" s="72">
        <v>43499</v>
      </c>
      <c r="FS34" s="72">
        <v>43500</v>
      </c>
      <c r="FT34" s="72">
        <v>43501</v>
      </c>
      <c r="FU34" s="72">
        <v>43502</v>
      </c>
    </row>
    <row r="35" spans="1:177" ht="20.100000000000001" customHeight="1" thickTop="1" x14ac:dyDescent="0.25">
      <c r="B35" s="160">
        <v>0</v>
      </c>
      <c r="C35" s="203"/>
      <c r="D35" s="203"/>
      <c r="E35" s="203"/>
      <c r="F35" s="203"/>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c r="CM35" s="203"/>
      <c r="CN35" s="203"/>
      <c r="CO35" s="203"/>
      <c r="CP35" s="203"/>
      <c r="CQ35" s="203"/>
      <c r="CR35" s="203"/>
      <c r="CS35" s="203"/>
      <c r="CT35" s="203"/>
      <c r="CU35" s="203"/>
      <c r="CV35" s="203"/>
      <c r="CW35" s="203"/>
      <c r="CX35" s="203"/>
      <c r="CY35" s="203"/>
      <c r="CZ35" s="203"/>
      <c r="DA35" s="203"/>
      <c r="DB35" s="203"/>
      <c r="DC35" s="203"/>
      <c r="DD35" s="203"/>
      <c r="DE35" s="203"/>
      <c r="DF35" s="203"/>
      <c r="DG35" s="203"/>
      <c r="DH35" s="203"/>
      <c r="DI35" s="203"/>
      <c r="DJ35" s="203"/>
      <c r="DK35" s="203"/>
      <c r="DL35" s="203"/>
      <c r="DM35" s="203"/>
      <c r="DN35" s="203"/>
      <c r="DO35" s="203"/>
      <c r="DP35" s="203"/>
      <c r="DQ35" s="203"/>
      <c r="DR35" s="203"/>
      <c r="DS35" s="203"/>
      <c r="DT35" s="203"/>
      <c r="DU35" s="203"/>
      <c r="DV35" s="203"/>
      <c r="DW35" s="203"/>
      <c r="DX35" s="203"/>
      <c r="DY35" s="203"/>
      <c r="DZ35" s="203"/>
      <c r="EA35" s="203"/>
      <c r="EB35" s="203"/>
      <c r="EC35" s="203"/>
      <c r="ED35" s="203"/>
      <c r="EE35" s="203"/>
      <c r="EF35" s="203"/>
      <c r="EG35" s="203"/>
      <c r="EH35" s="203"/>
      <c r="EI35" s="203"/>
      <c r="EJ35" s="203"/>
      <c r="EK35" s="203"/>
      <c r="EL35" s="203"/>
      <c r="EM35" s="203"/>
      <c r="EN35" s="203"/>
      <c r="EO35" s="203"/>
      <c r="EP35" s="203"/>
      <c r="EQ35" s="203"/>
      <c r="ER35" s="203"/>
      <c r="ES35" s="203"/>
      <c r="ET35" s="203"/>
      <c r="EU35" s="203"/>
      <c r="EV35" s="203"/>
      <c r="EW35" s="203"/>
      <c r="EX35" s="203"/>
      <c r="EY35" s="203"/>
      <c r="EZ35" s="203"/>
      <c r="FA35" s="203"/>
      <c r="FB35" s="203"/>
      <c r="FC35" s="203"/>
      <c r="FD35" s="203"/>
      <c r="FE35" s="203"/>
      <c r="FF35" s="203"/>
      <c r="FG35" s="203"/>
      <c r="FH35" s="203"/>
      <c r="FI35" s="203"/>
      <c r="FJ35" s="203"/>
      <c r="FK35" s="203"/>
      <c r="FL35" s="203"/>
      <c r="FM35" s="203"/>
      <c r="FN35" s="203"/>
      <c r="FO35" s="203"/>
      <c r="FP35" s="203"/>
      <c r="FQ35" s="203"/>
      <c r="FR35" s="203"/>
      <c r="FS35" s="203"/>
      <c r="FT35" s="203"/>
      <c r="FU35" s="203"/>
    </row>
    <row r="36" spans="1:177" ht="20.100000000000001" customHeight="1" x14ac:dyDescent="0.25">
      <c r="B36" s="160">
        <v>4.1666666666666699E-2</v>
      </c>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c r="CM36" s="203"/>
      <c r="CN36" s="203"/>
      <c r="CO36" s="203"/>
      <c r="CP36" s="203"/>
      <c r="CQ36" s="203"/>
      <c r="CR36" s="203"/>
      <c r="CS36" s="203"/>
      <c r="CT36" s="203"/>
      <c r="CU36" s="203"/>
      <c r="CV36" s="203"/>
      <c r="CW36" s="203"/>
      <c r="CX36" s="203"/>
      <c r="CY36" s="203"/>
      <c r="CZ36" s="203"/>
      <c r="DA36" s="203"/>
      <c r="DB36" s="203"/>
      <c r="DC36" s="203"/>
      <c r="DD36" s="203"/>
      <c r="DE36" s="203"/>
      <c r="DF36" s="203"/>
      <c r="DG36" s="203"/>
      <c r="DH36" s="203"/>
      <c r="DI36" s="203"/>
      <c r="DJ36" s="203"/>
      <c r="DK36" s="203"/>
      <c r="DL36" s="203"/>
      <c r="DM36" s="203"/>
      <c r="DN36" s="203"/>
      <c r="DO36" s="203"/>
      <c r="DP36" s="203"/>
      <c r="DQ36" s="203"/>
      <c r="DR36" s="203"/>
      <c r="DS36" s="203"/>
      <c r="DT36" s="203"/>
      <c r="DU36" s="203"/>
      <c r="DV36" s="203"/>
      <c r="DW36" s="203"/>
      <c r="DX36" s="203"/>
      <c r="DY36" s="203"/>
      <c r="DZ36" s="203"/>
      <c r="EA36" s="203"/>
      <c r="EB36" s="203"/>
      <c r="EC36" s="203"/>
      <c r="ED36" s="203"/>
      <c r="EE36" s="203"/>
      <c r="EF36" s="203"/>
      <c r="EG36" s="203"/>
      <c r="EH36" s="203"/>
      <c r="EI36" s="203"/>
      <c r="EJ36" s="203"/>
      <c r="EK36" s="203"/>
      <c r="EL36" s="203"/>
      <c r="EM36" s="203"/>
      <c r="EN36" s="203"/>
      <c r="EO36" s="203"/>
      <c r="EP36" s="203"/>
      <c r="EQ36" s="203"/>
      <c r="ER36" s="203"/>
      <c r="ES36" s="203"/>
      <c r="ET36" s="203"/>
      <c r="EU36" s="203"/>
      <c r="EV36" s="203"/>
      <c r="EW36" s="203"/>
      <c r="EX36" s="203"/>
      <c r="EY36" s="203"/>
      <c r="EZ36" s="203"/>
      <c r="FA36" s="203"/>
      <c r="FB36" s="203"/>
      <c r="FC36" s="203"/>
      <c r="FD36" s="203"/>
      <c r="FE36" s="203"/>
      <c r="FF36" s="203"/>
      <c r="FG36" s="203"/>
      <c r="FH36" s="203"/>
      <c r="FI36" s="203"/>
      <c r="FJ36" s="203"/>
      <c r="FK36" s="203"/>
      <c r="FL36" s="203"/>
      <c r="FM36" s="203"/>
      <c r="FN36" s="203"/>
      <c r="FO36" s="203"/>
      <c r="FP36" s="203"/>
      <c r="FQ36" s="203"/>
      <c r="FR36" s="203"/>
      <c r="FS36" s="203"/>
      <c r="FT36" s="203"/>
      <c r="FU36" s="203"/>
    </row>
    <row r="37" spans="1:177" ht="20.100000000000001" customHeight="1" x14ac:dyDescent="0.25">
      <c r="B37" s="160">
        <v>8.3333333333333301E-2</v>
      </c>
      <c r="C37" s="203"/>
      <c r="D37" s="203"/>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c r="CM37" s="203"/>
      <c r="CN37" s="203"/>
      <c r="CO37" s="203"/>
      <c r="CP37" s="203"/>
      <c r="CQ37" s="203"/>
      <c r="CR37" s="203"/>
      <c r="CS37" s="203"/>
      <c r="CT37" s="203"/>
      <c r="CU37" s="203"/>
      <c r="CV37" s="203"/>
      <c r="CW37" s="203"/>
      <c r="CX37" s="203"/>
      <c r="CY37" s="203"/>
      <c r="CZ37" s="203"/>
      <c r="DA37" s="203"/>
      <c r="DB37" s="203"/>
      <c r="DC37" s="203"/>
      <c r="DD37" s="203"/>
      <c r="DE37" s="203"/>
      <c r="DF37" s="203"/>
      <c r="DG37" s="203"/>
      <c r="DH37" s="203"/>
      <c r="DI37" s="203"/>
      <c r="DJ37" s="203"/>
      <c r="DK37" s="203"/>
      <c r="DL37" s="203"/>
      <c r="DM37" s="203"/>
      <c r="DN37" s="203"/>
      <c r="DO37" s="203"/>
      <c r="DP37" s="203"/>
      <c r="DQ37" s="203"/>
      <c r="DR37" s="203"/>
      <c r="DS37" s="203"/>
      <c r="DT37" s="203"/>
      <c r="DU37" s="203"/>
      <c r="DV37" s="203"/>
      <c r="DW37" s="203"/>
      <c r="DX37" s="203"/>
      <c r="DY37" s="203"/>
      <c r="DZ37" s="203"/>
      <c r="EA37" s="203"/>
      <c r="EB37" s="203"/>
      <c r="EC37" s="203"/>
      <c r="ED37" s="203"/>
      <c r="EE37" s="203"/>
      <c r="EF37" s="203"/>
      <c r="EG37" s="203"/>
      <c r="EH37" s="203"/>
      <c r="EI37" s="203"/>
      <c r="EJ37" s="203"/>
      <c r="EK37" s="203"/>
      <c r="EL37" s="203"/>
      <c r="EM37" s="203"/>
      <c r="EN37" s="203"/>
      <c r="EO37" s="203"/>
      <c r="EP37" s="203"/>
      <c r="EQ37" s="203"/>
      <c r="ER37" s="203"/>
      <c r="ES37" s="203"/>
      <c r="ET37" s="203"/>
      <c r="EU37" s="203"/>
      <c r="EV37" s="203"/>
      <c r="EW37" s="203"/>
      <c r="EX37" s="203"/>
      <c r="EY37" s="203"/>
      <c r="EZ37" s="203"/>
      <c r="FA37" s="203"/>
      <c r="FB37" s="203"/>
      <c r="FC37" s="203"/>
      <c r="FD37" s="203"/>
      <c r="FE37" s="203"/>
      <c r="FF37" s="203"/>
      <c r="FG37" s="203"/>
      <c r="FH37" s="203"/>
      <c r="FI37" s="203"/>
      <c r="FJ37" s="203"/>
      <c r="FK37" s="203"/>
      <c r="FL37" s="203"/>
      <c r="FM37" s="203"/>
      <c r="FN37" s="203"/>
      <c r="FO37" s="203"/>
      <c r="FP37" s="203"/>
      <c r="FQ37" s="203"/>
      <c r="FR37" s="203"/>
      <c r="FS37" s="203"/>
      <c r="FT37" s="203"/>
      <c r="FU37" s="203"/>
    </row>
    <row r="38" spans="1:177" ht="20.100000000000001" customHeight="1" x14ac:dyDescent="0.25">
      <c r="B38" s="160">
        <v>0.125</v>
      </c>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c r="CM38" s="203"/>
      <c r="CN38" s="203"/>
      <c r="CO38" s="203"/>
      <c r="CP38" s="203"/>
      <c r="CQ38" s="203"/>
      <c r="CR38" s="203"/>
      <c r="CS38" s="203"/>
      <c r="CT38" s="203"/>
      <c r="CU38" s="203"/>
      <c r="CV38" s="203"/>
      <c r="CW38" s="203"/>
      <c r="CX38" s="203"/>
      <c r="CY38" s="203"/>
      <c r="CZ38" s="203"/>
      <c r="DA38" s="203"/>
      <c r="DB38" s="203"/>
      <c r="DC38" s="203"/>
      <c r="DD38" s="203"/>
      <c r="DE38" s="203"/>
      <c r="DF38" s="203"/>
      <c r="DG38" s="203"/>
      <c r="DH38" s="203"/>
      <c r="DI38" s="203"/>
      <c r="DJ38" s="203"/>
      <c r="DK38" s="203"/>
      <c r="DL38" s="203"/>
      <c r="DM38" s="203"/>
      <c r="DN38" s="203"/>
      <c r="DO38" s="203"/>
      <c r="DP38" s="203"/>
      <c r="DQ38" s="203"/>
      <c r="DR38" s="203"/>
      <c r="DS38" s="203"/>
      <c r="DT38" s="203"/>
      <c r="DU38" s="203"/>
      <c r="DV38" s="203"/>
      <c r="DW38" s="203"/>
      <c r="DX38" s="203"/>
      <c r="DY38" s="203"/>
      <c r="DZ38" s="203"/>
      <c r="EA38" s="203"/>
      <c r="EB38" s="203"/>
      <c r="EC38" s="203"/>
      <c r="ED38" s="203"/>
      <c r="EE38" s="203"/>
      <c r="EF38" s="203"/>
      <c r="EG38" s="203"/>
      <c r="EH38" s="203"/>
      <c r="EI38" s="203"/>
      <c r="EJ38" s="203"/>
      <c r="EK38" s="203"/>
      <c r="EL38" s="203"/>
      <c r="EM38" s="203"/>
      <c r="EN38" s="203"/>
      <c r="EO38" s="203"/>
      <c r="EP38" s="203"/>
      <c r="EQ38" s="203"/>
      <c r="ER38" s="203"/>
      <c r="ES38" s="203"/>
      <c r="ET38" s="203"/>
      <c r="EU38" s="203"/>
      <c r="EV38" s="203"/>
      <c r="EW38" s="203"/>
      <c r="EX38" s="203"/>
      <c r="EY38" s="203"/>
      <c r="EZ38" s="203"/>
      <c r="FA38" s="203"/>
      <c r="FB38" s="203"/>
      <c r="FC38" s="203"/>
      <c r="FD38" s="203"/>
      <c r="FE38" s="203"/>
      <c r="FF38" s="203"/>
      <c r="FG38" s="203"/>
      <c r="FH38" s="203"/>
      <c r="FI38" s="203"/>
      <c r="FJ38" s="203"/>
      <c r="FK38" s="203"/>
      <c r="FL38" s="203"/>
      <c r="FM38" s="203"/>
      <c r="FN38" s="203"/>
      <c r="FO38" s="203"/>
      <c r="FP38" s="203"/>
      <c r="FQ38" s="203"/>
      <c r="FR38" s="203"/>
      <c r="FS38" s="203"/>
      <c r="FT38" s="203"/>
      <c r="FU38" s="203"/>
    </row>
    <row r="39" spans="1:177" ht="20.100000000000001" customHeight="1" x14ac:dyDescent="0.25">
      <c r="B39" s="160">
        <v>0.16666666666666699</v>
      </c>
      <c r="C39" s="203"/>
      <c r="D39" s="203"/>
      <c r="E39" s="203"/>
      <c r="F39" s="203"/>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c r="CM39" s="203"/>
      <c r="CN39" s="203"/>
      <c r="CO39" s="203"/>
      <c r="CP39" s="203"/>
      <c r="CQ39" s="203"/>
      <c r="CR39" s="203"/>
      <c r="CS39" s="203"/>
      <c r="CT39" s="203"/>
      <c r="CU39" s="203"/>
      <c r="CV39" s="203"/>
      <c r="CW39" s="203"/>
      <c r="CX39" s="203"/>
      <c r="CY39" s="203"/>
      <c r="CZ39" s="203"/>
      <c r="DA39" s="203"/>
      <c r="DB39" s="203"/>
      <c r="DC39" s="203"/>
      <c r="DD39" s="203"/>
      <c r="DE39" s="203"/>
      <c r="DF39" s="203"/>
      <c r="DG39" s="203"/>
      <c r="DH39" s="203"/>
      <c r="DI39" s="203"/>
      <c r="DJ39" s="203"/>
      <c r="DK39" s="203"/>
      <c r="DL39" s="203"/>
      <c r="DM39" s="203"/>
      <c r="DN39" s="203"/>
      <c r="DO39" s="203"/>
      <c r="DP39" s="203"/>
      <c r="DQ39" s="203"/>
      <c r="DR39" s="203"/>
      <c r="DS39" s="203"/>
      <c r="DT39" s="203"/>
      <c r="DU39" s="203"/>
      <c r="DV39" s="203"/>
      <c r="DW39" s="203"/>
      <c r="DX39" s="203"/>
      <c r="DY39" s="203"/>
      <c r="DZ39" s="203"/>
      <c r="EA39" s="203"/>
      <c r="EB39" s="203"/>
      <c r="EC39" s="203"/>
      <c r="ED39" s="203"/>
      <c r="EE39" s="203"/>
      <c r="EF39" s="203"/>
      <c r="EG39" s="203"/>
      <c r="EH39" s="203"/>
      <c r="EI39" s="203"/>
      <c r="EJ39" s="203"/>
      <c r="EK39" s="203"/>
      <c r="EL39" s="203"/>
      <c r="EM39" s="203"/>
      <c r="EN39" s="203"/>
      <c r="EO39" s="203"/>
      <c r="EP39" s="203"/>
      <c r="EQ39" s="203"/>
      <c r="ER39" s="203"/>
      <c r="ES39" s="203"/>
      <c r="ET39" s="203"/>
      <c r="EU39" s="203"/>
      <c r="EV39" s="203"/>
      <c r="EW39" s="203"/>
      <c r="EX39" s="203"/>
      <c r="EY39" s="203"/>
      <c r="EZ39" s="203"/>
      <c r="FA39" s="203"/>
      <c r="FB39" s="203"/>
      <c r="FC39" s="203"/>
      <c r="FD39" s="203"/>
      <c r="FE39" s="203"/>
      <c r="FF39" s="203"/>
      <c r="FG39" s="203"/>
      <c r="FH39" s="203"/>
      <c r="FI39" s="203"/>
      <c r="FJ39" s="203"/>
      <c r="FK39" s="203"/>
      <c r="FL39" s="203"/>
      <c r="FM39" s="203"/>
      <c r="FN39" s="203"/>
      <c r="FO39" s="203"/>
      <c r="FP39" s="203"/>
      <c r="FQ39" s="203"/>
      <c r="FR39" s="203"/>
      <c r="FS39" s="203"/>
      <c r="FT39" s="203"/>
      <c r="FU39" s="203"/>
    </row>
    <row r="40" spans="1:177" ht="20.100000000000001" customHeight="1" x14ac:dyDescent="0.25">
      <c r="B40" s="160">
        <v>0.20833333333333301</v>
      </c>
      <c r="C40" s="203"/>
      <c r="D40" s="203"/>
      <c r="E40" s="203"/>
      <c r="F40" s="203"/>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c r="CM40" s="203"/>
      <c r="CN40" s="203"/>
      <c r="CO40" s="203"/>
      <c r="CP40" s="203"/>
      <c r="CQ40" s="203"/>
      <c r="CR40" s="203"/>
      <c r="CS40" s="203"/>
      <c r="CT40" s="203"/>
      <c r="CU40" s="203"/>
      <c r="CV40" s="203"/>
      <c r="CW40" s="203"/>
      <c r="CX40" s="203"/>
      <c r="CY40" s="203"/>
      <c r="CZ40" s="203"/>
      <c r="DA40" s="203"/>
      <c r="DB40" s="203"/>
      <c r="DC40" s="203"/>
      <c r="DD40" s="203"/>
      <c r="DE40" s="203"/>
      <c r="DF40" s="203"/>
      <c r="DG40" s="203"/>
      <c r="DH40" s="203"/>
      <c r="DI40" s="203"/>
      <c r="DJ40" s="203"/>
      <c r="DK40" s="203"/>
      <c r="DL40" s="203"/>
      <c r="DM40" s="203"/>
      <c r="DN40" s="203"/>
      <c r="DO40" s="203"/>
      <c r="DP40" s="203"/>
      <c r="DQ40" s="203"/>
      <c r="DR40" s="203"/>
      <c r="DS40" s="203"/>
      <c r="DT40" s="203"/>
      <c r="DU40" s="203"/>
      <c r="DV40" s="203"/>
      <c r="DW40" s="203"/>
      <c r="DX40" s="203"/>
      <c r="DY40" s="203"/>
      <c r="DZ40" s="203"/>
      <c r="EA40" s="203"/>
      <c r="EB40" s="203"/>
      <c r="EC40" s="203"/>
      <c r="ED40" s="203"/>
      <c r="EE40" s="203"/>
      <c r="EF40" s="203"/>
      <c r="EG40" s="203"/>
      <c r="EH40" s="203"/>
      <c r="EI40" s="203"/>
      <c r="EJ40" s="203"/>
      <c r="EK40" s="203"/>
      <c r="EL40" s="203"/>
      <c r="EM40" s="203"/>
      <c r="EN40" s="203"/>
      <c r="EO40" s="203"/>
      <c r="EP40" s="203"/>
      <c r="EQ40" s="203"/>
      <c r="ER40" s="203"/>
      <c r="ES40" s="203"/>
      <c r="ET40" s="203"/>
      <c r="EU40" s="203"/>
      <c r="EV40" s="203"/>
      <c r="EW40" s="203"/>
      <c r="EX40" s="203"/>
      <c r="EY40" s="203"/>
      <c r="EZ40" s="203"/>
      <c r="FA40" s="203"/>
      <c r="FB40" s="203"/>
      <c r="FC40" s="203"/>
      <c r="FD40" s="203"/>
      <c r="FE40" s="203"/>
      <c r="FF40" s="203"/>
      <c r="FG40" s="203"/>
      <c r="FH40" s="203"/>
      <c r="FI40" s="203"/>
      <c r="FJ40" s="203"/>
      <c r="FK40" s="203"/>
      <c r="FL40" s="203"/>
      <c r="FM40" s="203"/>
      <c r="FN40" s="203"/>
      <c r="FO40" s="203"/>
      <c r="FP40" s="203"/>
      <c r="FQ40" s="203"/>
      <c r="FR40" s="203"/>
      <c r="FS40" s="203"/>
      <c r="FT40" s="203"/>
      <c r="FU40" s="203"/>
    </row>
    <row r="41" spans="1:177" ht="20.100000000000001" customHeight="1" x14ac:dyDescent="0.25">
      <c r="B41" s="160">
        <v>0.25</v>
      </c>
      <c r="C41" s="203"/>
      <c r="D41" s="203"/>
      <c r="E41" s="203"/>
      <c r="F41" s="203"/>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c r="CM41" s="203"/>
      <c r="CN41" s="203"/>
      <c r="CO41" s="203"/>
      <c r="CP41" s="203"/>
      <c r="CQ41" s="203"/>
      <c r="CR41" s="203"/>
      <c r="CS41" s="203"/>
      <c r="CT41" s="203"/>
      <c r="CU41" s="203"/>
      <c r="CV41" s="203"/>
      <c r="CW41" s="203"/>
      <c r="CX41" s="203"/>
      <c r="CY41" s="203"/>
      <c r="CZ41" s="203"/>
      <c r="DA41" s="203"/>
      <c r="DB41" s="203"/>
      <c r="DC41" s="203"/>
      <c r="DD41" s="203"/>
      <c r="DE41" s="203"/>
      <c r="DF41" s="203"/>
      <c r="DG41" s="203"/>
      <c r="DH41" s="203"/>
      <c r="DI41" s="203"/>
      <c r="DJ41" s="203"/>
      <c r="DK41" s="203"/>
      <c r="DL41" s="203"/>
      <c r="DM41" s="203"/>
      <c r="DN41" s="203"/>
      <c r="DO41" s="203"/>
      <c r="DP41" s="203"/>
      <c r="DQ41" s="203"/>
      <c r="DR41" s="203"/>
      <c r="DS41" s="203"/>
      <c r="DT41" s="203"/>
      <c r="DU41" s="203"/>
      <c r="DV41" s="203"/>
      <c r="DW41" s="203"/>
      <c r="DX41" s="203"/>
      <c r="DY41" s="203"/>
      <c r="DZ41" s="203"/>
      <c r="EA41" s="203"/>
      <c r="EB41" s="203"/>
      <c r="EC41" s="203"/>
      <c r="ED41" s="203"/>
      <c r="EE41" s="203"/>
      <c r="EF41" s="203"/>
      <c r="EG41" s="203"/>
      <c r="EH41" s="203"/>
      <c r="EI41" s="203"/>
      <c r="EJ41" s="203"/>
      <c r="EK41" s="203"/>
      <c r="EL41" s="203"/>
      <c r="EM41" s="203"/>
      <c r="EN41" s="203"/>
      <c r="EO41" s="203"/>
      <c r="EP41" s="203"/>
      <c r="EQ41" s="203"/>
      <c r="ER41" s="203"/>
      <c r="ES41" s="203"/>
      <c r="ET41" s="203"/>
      <c r="EU41" s="203"/>
      <c r="EV41" s="203"/>
      <c r="EW41" s="203"/>
      <c r="EX41" s="203"/>
      <c r="EY41" s="203"/>
      <c r="EZ41" s="203"/>
      <c r="FA41" s="203"/>
      <c r="FB41" s="203"/>
      <c r="FC41" s="203"/>
      <c r="FD41" s="203"/>
      <c r="FE41" s="203"/>
      <c r="FF41" s="203"/>
      <c r="FG41" s="203"/>
      <c r="FH41" s="203"/>
      <c r="FI41" s="203"/>
      <c r="FJ41" s="203"/>
      <c r="FK41" s="203"/>
      <c r="FL41" s="203"/>
      <c r="FM41" s="203"/>
      <c r="FN41" s="203"/>
      <c r="FO41" s="203"/>
      <c r="FP41" s="203"/>
      <c r="FQ41" s="203"/>
      <c r="FR41" s="203"/>
      <c r="FS41" s="203"/>
      <c r="FT41" s="203"/>
      <c r="FU41" s="203"/>
    </row>
    <row r="42" spans="1:177" ht="20.100000000000001" customHeight="1" x14ac:dyDescent="0.25">
      <c r="B42" s="160">
        <v>0.29166666666666702</v>
      </c>
      <c r="C42" s="203"/>
      <c r="D42" s="203"/>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c r="CM42" s="203"/>
      <c r="CN42" s="203"/>
      <c r="CO42" s="203"/>
      <c r="CP42" s="203"/>
      <c r="CQ42" s="203"/>
      <c r="CR42" s="203"/>
      <c r="CS42" s="203"/>
      <c r="CT42" s="203"/>
      <c r="CU42" s="203"/>
      <c r="CV42" s="203"/>
      <c r="CW42" s="203"/>
      <c r="CX42" s="203"/>
      <c r="CY42" s="203"/>
      <c r="CZ42" s="203"/>
      <c r="DA42" s="203"/>
      <c r="DB42" s="203"/>
      <c r="DC42" s="203"/>
      <c r="DD42" s="203"/>
      <c r="DE42" s="203"/>
      <c r="DF42" s="203"/>
      <c r="DG42" s="203"/>
      <c r="DH42" s="203"/>
      <c r="DI42" s="203"/>
      <c r="DJ42" s="203"/>
      <c r="DK42" s="203"/>
      <c r="DL42" s="203"/>
      <c r="DM42" s="203"/>
      <c r="DN42" s="203"/>
      <c r="DO42" s="203"/>
      <c r="DP42" s="203"/>
      <c r="DQ42" s="203"/>
      <c r="DR42" s="203"/>
      <c r="DS42" s="203"/>
      <c r="DT42" s="203"/>
      <c r="DU42" s="203"/>
      <c r="DV42" s="203"/>
      <c r="DW42" s="203"/>
      <c r="DX42" s="203"/>
      <c r="DY42" s="203"/>
      <c r="DZ42" s="203"/>
      <c r="EA42" s="203"/>
      <c r="EB42" s="203"/>
      <c r="EC42" s="203"/>
      <c r="ED42" s="203"/>
      <c r="EE42" s="203"/>
      <c r="EF42" s="203"/>
      <c r="EG42" s="203"/>
      <c r="EH42" s="203"/>
      <c r="EI42" s="203"/>
      <c r="EJ42" s="203"/>
      <c r="EK42" s="203"/>
      <c r="EL42" s="203"/>
      <c r="EM42" s="203"/>
      <c r="EN42" s="203"/>
      <c r="EO42" s="203"/>
      <c r="EP42" s="203"/>
      <c r="EQ42" s="203"/>
      <c r="ER42" s="203"/>
      <c r="ES42" s="203"/>
      <c r="ET42" s="203"/>
      <c r="EU42" s="203"/>
      <c r="EV42" s="203"/>
      <c r="EW42" s="203"/>
      <c r="EX42" s="203"/>
      <c r="EY42" s="203"/>
      <c r="EZ42" s="203"/>
      <c r="FA42" s="203"/>
      <c r="FB42" s="203"/>
      <c r="FC42" s="203"/>
      <c r="FD42" s="203"/>
      <c r="FE42" s="203"/>
      <c r="FF42" s="203"/>
      <c r="FG42" s="203"/>
      <c r="FH42" s="203"/>
      <c r="FI42" s="203"/>
      <c r="FJ42" s="203"/>
      <c r="FK42" s="203"/>
      <c r="FL42" s="203"/>
      <c r="FM42" s="203"/>
      <c r="FN42" s="203"/>
      <c r="FO42" s="203"/>
      <c r="FP42" s="203"/>
      <c r="FQ42" s="203"/>
      <c r="FR42" s="203"/>
      <c r="FS42" s="203"/>
      <c r="FT42" s="203"/>
      <c r="FU42" s="203"/>
    </row>
    <row r="43" spans="1:177" ht="20.100000000000001" customHeight="1" x14ac:dyDescent="0.25">
      <c r="B43" s="160">
        <v>0.33333333333333298</v>
      </c>
      <c r="C43" s="203"/>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c r="AG43" s="203"/>
      <c r="AH43" s="203"/>
      <c r="AI43" s="203"/>
      <c r="AJ43" s="203"/>
      <c r="AK43" s="203"/>
      <c r="AL43" s="203"/>
      <c r="AM43" s="203"/>
      <c r="AN43" s="203"/>
      <c r="AO43" s="203"/>
      <c r="AP43" s="203"/>
      <c r="AQ43" s="203"/>
      <c r="AR43" s="203"/>
      <c r="AS43" s="203"/>
      <c r="AT43" s="203"/>
      <c r="AU43" s="203"/>
      <c r="AV43" s="203"/>
      <c r="AW43" s="203"/>
      <c r="AX43" s="203"/>
      <c r="AY43" s="203"/>
      <c r="AZ43" s="203"/>
      <c r="BA43" s="203"/>
      <c r="BB43" s="203"/>
      <c r="BC43" s="203"/>
      <c r="BD43" s="203"/>
      <c r="BE43" s="203"/>
      <c r="BF43" s="203"/>
      <c r="BG43" s="203"/>
      <c r="BH43" s="203"/>
      <c r="BI43" s="203"/>
      <c r="BJ43" s="203"/>
      <c r="BK43" s="203"/>
      <c r="BL43" s="203"/>
      <c r="BM43" s="203"/>
      <c r="BN43" s="203"/>
      <c r="BO43" s="203"/>
      <c r="BP43" s="203"/>
      <c r="BQ43" s="203"/>
      <c r="BR43" s="203"/>
      <c r="BS43" s="203"/>
      <c r="BT43" s="203"/>
      <c r="BU43" s="203"/>
      <c r="BV43" s="203"/>
      <c r="BW43" s="203"/>
      <c r="BX43" s="203"/>
      <c r="BY43" s="203"/>
      <c r="BZ43" s="203"/>
      <c r="CA43" s="203"/>
      <c r="CB43" s="203"/>
      <c r="CC43" s="203"/>
      <c r="CD43" s="203"/>
      <c r="CE43" s="203"/>
      <c r="CF43" s="203"/>
      <c r="CG43" s="203"/>
      <c r="CH43" s="203"/>
      <c r="CI43" s="203"/>
      <c r="CJ43" s="203"/>
      <c r="CK43" s="203"/>
      <c r="CL43" s="203"/>
      <c r="CM43" s="203"/>
      <c r="CN43" s="203"/>
      <c r="CO43" s="203"/>
      <c r="CP43" s="203"/>
      <c r="CQ43" s="203"/>
      <c r="CR43" s="203"/>
      <c r="CS43" s="203"/>
      <c r="CT43" s="203"/>
      <c r="CU43" s="203"/>
      <c r="CV43" s="203"/>
      <c r="CW43" s="203"/>
      <c r="CX43" s="203"/>
      <c r="CY43" s="203"/>
      <c r="CZ43" s="203"/>
      <c r="DA43" s="203"/>
      <c r="DB43" s="203"/>
      <c r="DC43" s="203"/>
      <c r="DD43" s="203"/>
      <c r="DE43" s="203"/>
      <c r="DF43" s="203"/>
      <c r="DG43" s="203"/>
      <c r="DH43" s="203"/>
      <c r="DI43" s="203"/>
      <c r="DJ43" s="203"/>
      <c r="DK43" s="203"/>
      <c r="DL43" s="203"/>
      <c r="DM43" s="203"/>
      <c r="DN43" s="203"/>
      <c r="DO43" s="203"/>
      <c r="DP43" s="203"/>
      <c r="DQ43" s="203"/>
      <c r="DR43" s="203"/>
      <c r="DS43" s="203"/>
      <c r="DT43" s="203"/>
      <c r="DU43" s="203"/>
      <c r="DV43" s="203"/>
      <c r="DW43" s="203"/>
      <c r="DX43" s="203"/>
      <c r="DY43" s="203"/>
      <c r="DZ43" s="203"/>
      <c r="EA43" s="203"/>
      <c r="EB43" s="203"/>
      <c r="EC43" s="203"/>
      <c r="ED43" s="203"/>
      <c r="EE43" s="203"/>
      <c r="EF43" s="203"/>
      <c r="EG43" s="203"/>
      <c r="EH43" s="203"/>
      <c r="EI43" s="203"/>
      <c r="EJ43" s="203"/>
      <c r="EK43" s="203"/>
      <c r="EL43" s="203"/>
      <c r="EM43" s="203"/>
      <c r="EN43" s="203"/>
      <c r="EO43" s="203"/>
      <c r="EP43" s="203"/>
      <c r="EQ43" s="203"/>
      <c r="ER43" s="203"/>
      <c r="ES43" s="203"/>
      <c r="ET43" s="203"/>
      <c r="EU43" s="203"/>
      <c r="EV43" s="203"/>
      <c r="EW43" s="203"/>
      <c r="EX43" s="203"/>
      <c r="EY43" s="203"/>
      <c r="EZ43" s="203"/>
      <c r="FA43" s="203"/>
      <c r="FB43" s="203"/>
      <c r="FC43" s="203"/>
      <c r="FD43" s="203"/>
      <c r="FE43" s="203"/>
      <c r="FF43" s="203"/>
      <c r="FG43" s="203"/>
      <c r="FH43" s="203"/>
      <c r="FI43" s="203"/>
      <c r="FJ43" s="203"/>
      <c r="FK43" s="203"/>
      <c r="FL43" s="203"/>
      <c r="FM43" s="203"/>
      <c r="FN43" s="203"/>
      <c r="FO43" s="203"/>
      <c r="FP43" s="203"/>
      <c r="FQ43" s="203"/>
      <c r="FR43" s="203"/>
      <c r="FS43" s="203"/>
      <c r="FT43" s="203"/>
      <c r="FU43" s="203"/>
    </row>
    <row r="44" spans="1:177" ht="20.100000000000001" customHeight="1" x14ac:dyDescent="0.25">
      <c r="B44" s="160">
        <v>0.375</v>
      </c>
      <c r="C44" s="203"/>
      <c r="D44" s="203"/>
      <c r="E44" s="203"/>
      <c r="F44" s="203"/>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c r="AG44" s="203"/>
      <c r="AH44" s="203"/>
      <c r="AI44" s="203"/>
      <c r="AJ44" s="203"/>
      <c r="AK44" s="203"/>
      <c r="AL44" s="203"/>
      <c r="AM44" s="203"/>
      <c r="AN44" s="203"/>
      <c r="AO44" s="203"/>
      <c r="AP44" s="203"/>
      <c r="AQ44" s="203"/>
      <c r="AR44" s="203"/>
      <c r="AS44" s="203"/>
      <c r="AT44" s="203"/>
      <c r="AU44" s="203"/>
      <c r="AV44" s="203"/>
      <c r="AW44" s="203"/>
      <c r="AX44" s="203"/>
      <c r="AY44" s="203"/>
      <c r="AZ44" s="203"/>
      <c r="BA44" s="203"/>
      <c r="BB44" s="203"/>
      <c r="BC44" s="203"/>
      <c r="BD44" s="203"/>
      <c r="BE44" s="203"/>
      <c r="BF44" s="203"/>
      <c r="BG44" s="203"/>
      <c r="BH44" s="203"/>
      <c r="BI44" s="203"/>
      <c r="BJ44" s="203"/>
      <c r="BK44" s="203"/>
      <c r="BL44" s="203"/>
      <c r="BM44" s="203"/>
      <c r="BN44" s="203"/>
      <c r="BO44" s="203"/>
      <c r="BP44" s="203"/>
      <c r="BQ44" s="203"/>
      <c r="BR44" s="203"/>
      <c r="BS44" s="203"/>
      <c r="BT44" s="203"/>
      <c r="BU44" s="203"/>
      <c r="BV44" s="203"/>
      <c r="BW44" s="203"/>
      <c r="BX44" s="203"/>
      <c r="BY44" s="203"/>
      <c r="BZ44" s="203"/>
      <c r="CA44" s="203"/>
      <c r="CB44" s="203"/>
      <c r="CC44" s="203"/>
      <c r="CD44" s="203"/>
      <c r="CE44" s="203"/>
      <c r="CF44" s="203"/>
      <c r="CG44" s="203"/>
      <c r="CH44" s="203"/>
      <c r="CI44" s="203"/>
      <c r="CJ44" s="203"/>
      <c r="CK44" s="203"/>
      <c r="CL44" s="203"/>
      <c r="CM44" s="203"/>
      <c r="CN44" s="203"/>
      <c r="CO44" s="203"/>
      <c r="CP44" s="203"/>
      <c r="CQ44" s="203"/>
      <c r="CR44" s="203"/>
      <c r="CS44" s="203"/>
      <c r="CT44" s="203"/>
      <c r="CU44" s="203"/>
      <c r="CV44" s="203"/>
      <c r="CW44" s="203"/>
      <c r="CX44" s="203"/>
      <c r="CY44" s="203"/>
      <c r="CZ44" s="203"/>
      <c r="DA44" s="203"/>
      <c r="DB44" s="203"/>
      <c r="DC44" s="203"/>
      <c r="DD44" s="203"/>
      <c r="DE44" s="203"/>
      <c r="DF44" s="203"/>
      <c r="DG44" s="203"/>
      <c r="DH44" s="203"/>
      <c r="DI44" s="203"/>
      <c r="DJ44" s="203"/>
      <c r="DK44" s="203"/>
      <c r="DL44" s="203"/>
      <c r="DM44" s="203"/>
      <c r="DN44" s="203"/>
      <c r="DO44" s="203"/>
      <c r="DP44" s="203"/>
      <c r="DQ44" s="203"/>
      <c r="DR44" s="203"/>
      <c r="DS44" s="203"/>
      <c r="DT44" s="203"/>
      <c r="DU44" s="203"/>
      <c r="DV44" s="203"/>
      <c r="DW44" s="203"/>
      <c r="DX44" s="203"/>
      <c r="DY44" s="203"/>
      <c r="DZ44" s="203"/>
      <c r="EA44" s="203"/>
      <c r="EB44" s="203"/>
      <c r="EC44" s="203"/>
      <c r="ED44" s="203"/>
      <c r="EE44" s="203"/>
      <c r="EF44" s="203"/>
      <c r="EG44" s="203"/>
      <c r="EH44" s="203"/>
      <c r="EI44" s="203"/>
      <c r="EJ44" s="203"/>
      <c r="EK44" s="203"/>
      <c r="EL44" s="203"/>
      <c r="EM44" s="203"/>
      <c r="EN44" s="203"/>
      <c r="EO44" s="203"/>
      <c r="EP44" s="203"/>
      <c r="EQ44" s="203"/>
      <c r="ER44" s="203"/>
      <c r="ES44" s="203"/>
      <c r="ET44" s="203"/>
      <c r="EU44" s="203"/>
      <c r="EV44" s="203"/>
      <c r="EW44" s="203"/>
      <c r="EX44" s="203"/>
      <c r="EY44" s="203"/>
      <c r="EZ44" s="203"/>
      <c r="FA44" s="203"/>
      <c r="FB44" s="203"/>
      <c r="FC44" s="203"/>
      <c r="FD44" s="203"/>
      <c r="FE44" s="203"/>
      <c r="FF44" s="203"/>
      <c r="FG44" s="203"/>
      <c r="FH44" s="203"/>
      <c r="FI44" s="203"/>
      <c r="FJ44" s="203"/>
      <c r="FK44" s="203"/>
      <c r="FL44" s="203"/>
      <c r="FM44" s="203"/>
      <c r="FN44" s="203"/>
      <c r="FO44" s="203"/>
      <c r="FP44" s="203"/>
      <c r="FQ44" s="203"/>
      <c r="FR44" s="203"/>
      <c r="FS44" s="203"/>
      <c r="FT44" s="203"/>
      <c r="FU44" s="203"/>
    </row>
    <row r="45" spans="1:177" ht="20.100000000000001" customHeight="1" x14ac:dyDescent="0.25">
      <c r="B45" s="160">
        <v>0.41666666666666702</v>
      </c>
      <c r="C45" s="203"/>
      <c r="D45" s="203"/>
      <c r="E45" s="203"/>
      <c r="F45" s="203"/>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M45" s="203"/>
      <c r="CN45" s="20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c r="DM45" s="203"/>
      <c r="DN45" s="203"/>
      <c r="DO45" s="203"/>
      <c r="DP45" s="203"/>
      <c r="DQ45" s="203"/>
      <c r="DR45" s="203"/>
      <c r="DS45" s="203"/>
      <c r="DT45" s="203"/>
      <c r="DU45" s="203"/>
      <c r="DV45" s="203"/>
      <c r="DW45" s="203"/>
      <c r="DX45" s="203"/>
      <c r="DY45" s="203"/>
      <c r="DZ45" s="203"/>
      <c r="EA45" s="203"/>
      <c r="EB45" s="203"/>
      <c r="EC45" s="203"/>
      <c r="ED45" s="203"/>
      <c r="EE45" s="203"/>
      <c r="EF45" s="203"/>
      <c r="EG45" s="203"/>
      <c r="EH45" s="203"/>
      <c r="EI45" s="203"/>
      <c r="EJ45" s="203"/>
      <c r="EK45" s="203"/>
      <c r="EL45" s="203"/>
      <c r="EM45" s="203"/>
      <c r="EN45" s="203"/>
      <c r="EO45" s="203"/>
      <c r="EP45" s="203"/>
      <c r="EQ45" s="203"/>
      <c r="ER45" s="203"/>
      <c r="ES45" s="203"/>
      <c r="ET45" s="203"/>
      <c r="EU45" s="203"/>
      <c r="EV45" s="203"/>
      <c r="EW45" s="203"/>
      <c r="EX45" s="203"/>
      <c r="EY45" s="203"/>
      <c r="EZ45" s="203"/>
      <c r="FA45" s="203"/>
      <c r="FB45" s="203"/>
      <c r="FC45" s="203"/>
      <c r="FD45" s="203"/>
      <c r="FE45" s="203"/>
      <c r="FF45" s="203"/>
      <c r="FG45" s="203"/>
      <c r="FH45" s="203"/>
      <c r="FI45" s="203"/>
      <c r="FJ45" s="203"/>
      <c r="FK45" s="203"/>
      <c r="FL45" s="203"/>
      <c r="FM45" s="203"/>
      <c r="FN45" s="203"/>
      <c r="FO45" s="203"/>
      <c r="FP45" s="203"/>
      <c r="FQ45" s="203"/>
      <c r="FR45" s="203"/>
      <c r="FS45" s="203"/>
      <c r="FT45" s="203"/>
      <c r="FU45" s="203"/>
    </row>
    <row r="46" spans="1:177" ht="20.100000000000001" customHeight="1" x14ac:dyDescent="0.25">
      <c r="B46" s="160">
        <v>0.45833333333333298</v>
      </c>
      <c r="C46" s="203"/>
      <c r="D46" s="203"/>
      <c r="E46" s="203"/>
      <c r="F46" s="203"/>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M46" s="203"/>
      <c r="CN46" s="20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c r="DM46" s="203"/>
      <c r="DN46" s="203"/>
      <c r="DO46" s="203"/>
      <c r="DP46" s="203"/>
      <c r="DQ46" s="203"/>
      <c r="DR46" s="203"/>
      <c r="DS46" s="203"/>
      <c r="DT46" s="203"/>
      <c r="DU46" s="203"/>
      <c r="DV46" s="203"/>
      <c r="DW46" s="203"/>
      <c r="DX46" s="203"/>
      <c r="DY46" s="203"/>
      <c r="DZ46" s="203"/>
      <c r="EA46" s="203"/>
      <c r="EB46" s="203"/>
      <c r="EC46" s="203"/>
      <c r="ED46" s="203"/>
      <c r="EE46" s="203"/>
      <c r="EF46" s="203"/>
      <c r="EG46" s="203"/>
      <c r="EH46" s="203"/>
      <c r="EI46" s="203"/>
      <c r="EJ46" s="203"/>
      <c r="EK46" s="203"/>
      <c r="EL46" s="203"/>
      <c r="EM46" s="203"/>
      <c r="EN46" s="203"/>
      <c r="EO46" s="203"/>
      <c r="EP46" s="203"/>
      <c r="EQ46" s="203"/>
      <c r="ER46" s="203"/>
      <c r="ES46" s="203"/>
      <c r="ET46" s="203"/>
      <c r="EU46" s="203"/>
      <c r="EV46" s="203"/>
      <c r="EW46" s="203"/>
      <c r="EX46" s="203"/>
      <c r="EY46" s="203"/>
      <c r="EZ46" s="203"/>
      <c r="FA46" s="203"/>
      <c r="FB46" s="203"/>
      <c r="FC46" s="203"/>
      <c r="FD46" s="203"/>
      <c r="FE46" s="203"/>
      <c r="FF46" s="203"/>
      <c r="FG46" s="203"/>
      <c r="FH46" s="203"/>
      <c r="FI46" s="203"/>
      <c r="FJ46" s="203"/>
      <c r="FK46" s="203"/>
      <c r="FL46" s="203"/>
      <c r="FM46" s="203"/>
      <c r="FN46" s="203"/>
      <c r="FO46" s="203"/>
      <c r="FP46" s="203"/>
      <c r="FQ46" s="203"/>
      <c r="FR46" s="203"/>
      <c r="FS46" s="203"/>
      <c r="FT46" s="203"/>
      <c r="FU46" s="203"/>
    </row>
    <row r="47" spans="1:177" ht="20.100000000000001" customHeight="1" x14ac:dyDescent="0.25">
      <c r="B47" s="160">
        <v>0.5</v>
      </c>
      <c r="C47" s="203"/>
      <c r="D47" s="203"/>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M47" s="203"/>
      <c r="CN47" s="20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c r="DM47" s="203"/>
      <c r="DN47" s="203"/>
      <c r="DO47" s="203"/>
      <c r="DP47" s="203"/>
      <c r="DQ47" s="203"/>
      <c r="DR47" s="203"/>
      <c r="DS47" s="203"/>
      <c r="DT47" s="203"/>
      <c r="DU47" s="203"/>
      <c r="DV47" s="203"/>
      <c r="DW47" s="203"/>
      <c r="DX47" s="203"/>
      <c r="DY47" s="203"/>
      <c r="DZ47" s="203"/>
      <c r="EA47" s="203"/>
      <c r="EB47" s="203"/>
      <c r="EC47" s="203"/>
      <c r="ED47" s="203"/>
      <c r="EE47" s="203"/>
      <c r="EF47" s="203"/>
      <c r="EG47" s="203"/>
      <c r="EH47" s="203"/>
      <c r="EI47" s="203"/>
      <c r="EJ47" s="203"/>
      <c r="EK47" s="203"/>
      <c r="EL47" s="203"/>
      <c r="EM47" s="203"/>
      <c r="EN47" s="203"/>
      <c r="EO47" s="203"/>
      <c r="EP47" s="203"/>
      <c r="EQ47" s="203"/>
      <c r="ER47" s="203"/>
      <c r="ES47" s="203"/>
      <c r="ET47" s="203"/>
      <c r="EU47" s="203"/>
      <c r="EV47" s="203"/>
      <c r="EW47" s="203"/>
      <c r="EX47" s="203"/>
      <c r="EY47" s="203"/>
      <c r="EZ47" s="203"/>
      <c r="FA47" s="203"/>
      <c r="FB47" s="203"/>
      <c r="FC47" s="203"/>
      <c r="FD47" s="203"/>
      <c r="FE47" s="203"/>
      <c r="FF47" s="203"/>
      <c r="FG47" s="203"/>
      <c r="FH47" s="203"/>
      <c r="FI47" s="203"/>
      <c r="FJ47" s="203"/>
      <c r="FK47" s="203"/>
      <c r="FL47" s="203"/>
      <c r="FM47" s="203"/>
      <c r="FN47" s="203"/>
      <c r="FO47" s="203"/>
      <c r="FP47" s="203"/>
      <c r="FQ47" s="203"/>
      <c r="FR47" s="203"/>
      <c r="FS47" s="203"/>
      <c r="FT47" s="203"/>
      <c r="FU47" s="203"/>
    </row>
    <row r="48" spans="1:177" ht="20.100000000000001" customHeight="1" x14ac:dyDescent="0.25">
      <c r="B48" s="160">
        <v>0.54166666666666696</v>
      </c>
      <c r="C48" s="203"/>
      <c r="D48" s="203"/>
      <c r="E48" s="203"/>
      <c r="F48" s="203"/>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M48" s="203"/>
      <c r="CN48" s="20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c r="DM48" s="203"/>
      <c r="DN48" s="203"/>
      <c r="DO48" s="203"/>
      <c r="DP48" s="203"/>
      <c r="DQ48" s="203"/>
      <c r="DR48" s="203"/>
      <c r="DS48" s="203"/>
      <c r="DT48" s="203"/>
      <c r="DU48" s="203"/>
      <c r="DV48" s="203"/>
      <c r="DW48" s="203"/>
      <c r="DX48" s="203"/>
      <c r="DY48" s="203"/>
      <c r="DZ48" s="203"/>
      <c r="EA48" s="203"/>
      <c r="EB48" s="203"/>
      <c r="EC48" s="203"/>
      <c r="ED48" s="203"/>
      <c r="EE48" s="203"/>
      <c r="EF48" s="203"/>
      <c r="EG48" s="203"/>
      <c r="EH48" s="203"/>
      <c r="EI48" s="203"/>
      <c r="EJ48" s="203"/>
      <c r="EK48" s="203"/>
      <c r="EL48" s="203"/>
      <c r="EM48" s="203"/>
      <c r="EN48" s="203"/>
      <c r="EO48" s="203"/>
      <c r="EP48" s="203"/>
      <c r="EQ48" s="203"/>
      <c r="ER48" s="203"/>
      <c r="ES48" s="203"/>
      <c r="ET48" s="203"/>
      <c r="EU48" s="203"/>
      <c r="EV48" s="203"/>
      <c r="EW48" s="203"/>
      <c r="EX48" s="203"/>
      <c r="EY48" s="203"/>
      <c r="EZ48" s="203"/>
      <c r="FA48" s="203"/>
      <c r="FB48" s="203"/>
      <c r="FC48" s="203"/>
      <c r="FD48" s="203"/>
      <c r="FE48" s="203"/>
      <c r="FF48" s="203"/>
      <c r="FG48" s="203"/>
      <c r="FH48" s="203"/>
      <c r="FI48" s="203"/>
      <c r="FJ48" s="203"/>
      <c r="FK48" s="203"/>
      <c r="FL48" s="203"/>
      <c r="FM48" s="203"/>
      <c r="FN48" s="203"/>
      <c r="FO48" s="203"/>
      <c r="FP48" s="203"/>
      <c r="FQ48" s="203"/>
      <c r="FR48" s="203"/>
      <c r="FS48" s="203"/>
      <c r="FT48" s="203"/>
      <c r="FU48" s="203"/>
    </row>
    <row r="49" spans="2:177" ht="20.100000000000001" customHeight="1" x14ac:dyDescent="0.25">
      <c r="B49" s="160">
        <v>0.58333333333333304</v>
      </c>
      <c r="C49" s="203"/>
      <c r="D49" s="203"/>
      <c r="E49" s="203"/>
      <c r="F49" s="203"/>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c r="AG49" s="203"/>
      <c r="AH49" s="203"/>
      <c r="AI49" s="203"/>
      <c r="AJ49" s="203"/>
      <c r="AK49" s="203"/>
      <c r="AL49" s="203"/>
      <c r="AM49" s="203"/>
      <c r="AN49" s="203"/>
      <c r="AO49" s="203"/>
      <c r="AP49" s="203"/>
      <c r="AQ49" s="203"/>
      <c r="AR49" s="203"/>
      <c r="AS49" s="203"/>
      <c r="AT49" s="203"/>
      <c r="AU49" s="203"/>
      <c r="AV49" s="203"/>
      <c r="AW49" s="203"/>
      <c r="AX49" s="203"/>
      <c r="AY49" s="203"/>
      <c r="AZ49" s="203"/>
      <c r="BA49" s="203"/>
      <c r="BB49" s="203"/>
      <c r="BC49" s="203"/>
      <c r="BD49" s="203"/>
      <c r="BE49" s="203"/>
      <c r="BF49" s="203"/>
      <c r="BG49" s="203"/>
      <c r="BH49" s="203"/>
      <c r="BI49" s="203"/>
      <c r="BJ49" s="203"/>
      <c r="BK49" s="203"/>
      <c r="BL49" s="203"/>
      <c r="BM49" s="203"/>
      <c r="BN49" s="203"/>
      <c r="BO49" s="203"/>
      <c r="BP49" s="203"/>
      <c r="BQ49" s="203"/>
      <c r="BR49" s="203"/>
      <c r="BS49" s="203"/>
      <c r="BT49" s="203"/>
      <c r="BU49" s="203"/>
      <c r="BV49" s="203"/>
      <c r="BW49" s="203"/>
      <c r="BX49" s="203"/>
      <c r="BY49" s="203"/>
      <c r="BZ49" s="203"/>
      <c r="CA49" s="203"/>
      <c r="CB49" s="203"/>
      <c r="CC49" s="203"/>
      <c r="CD49" s="203"/>
      <c r="CE49" s="203"/>
      <c r="CF49" s="203"/>
      <c r="CG49" s="203"/>
      <c r="CH49" s="203"/>
      <c r="CI49" s="203"/>
      <c r="CJ49" s="203"/>
      <c r="CK49" s="203"/>
      <c r="CL49" s="203"/>
      <c r="CM49" s="203"/>
      <c r="CN49" s="203"/>
      <c r="CO49" s="203"/>
      <c r="CP49" s="203"/>
      <c r="CQ49" s="203"/>
      <c r="CR49" s="203"/>
      <c r="CS49" s="203"/>
      <c r="CT49" s="203"/>
      <c r="CU49" s="203"/>
      <c r="CV49" s="203"/>
      <c r="CW49" s="203"/>
      <c r="CX49" s="203"/>
      <c r="CY49" s="203"/>
      <c r="CZ49" s="203"/>
      <c r="DA49" s="203"/>
      <c r="DB49" s="203"/>
      <c r="DC49" s="203"/>
      <c r="DD49" s="203"/>
      <c r="DE49" s="203"/>
      <c r="DF49" s="203"/>
      <c r="DG49" s="203"/>
      <c r="DH49" s="203"/>
      <c r="DI49" s="203"/>
      <c r="DJ49" s="203"/>
      <c r="DK49" s="203"/>
      <c r="DL49" s="203"/>
      <c r="DM49" s="203"/>
      <c r="DN49" s="203"/>
      <c r="DO49" s="203"/>
      <c r="DP49" s="203"/>
      <c r="DQ49" s="203"/>
      <c r="DR49" s="203"/>
      <c r="DS49" s="203"/>
      <c r="DT49" s="203"/>
      <c r="DU49" s="203"/>
      <c r="DV49" s="203"/>
      <c r="DW49" s="203"/>
      <c r="DX49" s="203"/>
      <c r="DY49" s="203"/>
      <c r="DZ49" s="203"/>
      <c r="EA49" s="203"/>
      <c r="EB49" s="203"/>
      <c r="EC49" s="203"/>
      <c r="ED49" s="203"/>
      <c r="EE49" s="203"/>
      <c r="EF49" s="203"/>
      <c r="EG49" s="203"/>
      <c r="EH49" s="203"/>
      <c r="EI49" s="203"/>
      <c r="EJ49" s="203"/>
      <c r="EK49" s="203"/>
      <c r="EL49" s="203"/>
      <c r="EM49" s="203"/>
      <c r="EN49" s="203"/>
      <c r="EO49" s="203"/>
      <c r="EP49" s="203"/>
      <c r="EQ49" s="203"/>
      <c r="ER49" s="203"/>
      <c r="ES49" s="203"/>
      <c r="ET49" s="203"/>
      <c r="EU49" s="203"/>
      <c r="EV49" s="203"/>
      <c r="EW49" s="203"/>
      <c r="EX49" s="203"/>
      <c r="EY49" s="203"/>
      <c r="EZ49" s="203"/>
      <c r="FA49" s="203"/>
      <c r="FB49" s="203"/>
      <c r="FC49" s="203"/>
      <c r="FD49" s="203"/>
      <c r="FE49" s="203"/>
      <c r="FF49" s="203"/>
      <c r="FG49" s="203"/>
      <c r="FH49" s="203"/>
      <c r="FI49" s="203"/>
      <c r="FJ49" s="203"/>
      <c r="FK49" s="203"/>
      <c r="FL49" s="203"/>
      <c r="FM49" s="203"/>
      <c r="FN49" s="203"/>
      <c r="FO49" s="203"/>
      <c r="FP49" s="203"/>
      <c r="FQ49" s="203"/>
      <c r="FR49" s="203"/>
      <c r="FS49" s="203"/>
      <c r="FT49" s="203"/>
      <c r="FU49" s="203"/>
    </row>
    <row r="50" spans="2:177" ht="20.100000000000001" customHeight="1" x14ac:dyDescent="0.25">
      <c r="B50" s="160">
        <v>0.625</v>
      </c>
      <c r="C50" s="203"/>
      <c r="D50" s="203"/>
      <c r="E50" s="203"/>
      <c r="F50" s="203"/>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c r="AG50" s="203"/>
      <c r="AH50" s="203"/>
      <c r="AI50" s="203"/>
      <c r="AJ50" s="203"/>
      <c r="AK50" s="203"/>
      <c r="AL50" s="203"/>
      <c r="AM50" s="203"/>
      <c r="AN50" s="203"/>
      <c r="AO50" s="203"/>
      <c r="AP50" s="203"/>
      <c r="AQ50" s="203"/>
      <c r="AR50" s="203"/>
      <c r="AS50" s="203"/>
      <c r="AT50" s="203"/>
      <c r="AU50" s="203"/>
      <c r="AV50" s="203"/>
      <c r="AW50" s="203"/>
      <c r="AX50" s="203"/>
      <c r="AY50" s="203"/>
      <c r="AZ50" s="203"/>
      <c r="BA50" s="203"/>
      <c r="BB50" s="203"/>
      <c r="BC50" s="203"/>
      <c r="BD50" s="203"/>
      <c r="BE50" s="203"/>
      <c r="BF50" s="203"/>
      <c r="BG50" s="203"/>
      <c r="BH50" s="203"/>
      <c r="BI50" s="203"/>
      <c r="BJ50" s="203"/>
      <c r="BK50" s="203"/>
      <c r="BL50" s="203"/>
      <c r="BM50" s="203"/>
      <c r="BN50" s="203"/>
      <c r="BO50" s="203"/>
      <c r="BP50" s="203"/>
      <c r="BQ50" s="203"/>
      <c r="BR50" s="203"/>
      <c r="BS50" s="203"/>
      <c r="BT50" s="203"/>
      <c r="BU50" s="203"/>
      <c r="BV50" s="203"/>
      <c r="BW50" s="203"/>
      <c r="BX50" s="203"/>
      <c r="BY50" s="203"/>
      <c r="BZ50" s="203"/>
      <c r="CA50" s="203"/>
      <c r="CB50" s="203"/>
      <c r="CC50" s="203"/>
      <c r="CD50" s="203"/>
      <c r="CE50" s="203"/>
      <c r="CF50" s="203"/>
      <c r="CG50" s="203"/>
      <c r="CH50" s="203"/>
      <c r="CI50" s="203"/>
      <c r="CJ50" s="203"/>
      <c r="CK50" s="203"/>
      <c r="CL50" s="203"/>
      <c r="CM50" s="203"/>
      <c r="CN50" s="203"/>
      <c r="CO50" s="203"/>
      <c r="CP50" s="203"/>
      <c r="CQ50" s="203"/>
      <c r="CR50" s="203"/>
      <c r="CS50" s="203"/>
      <c r="CT50" s="203"/>
      <c r="CU50" s="203"/>
      <c r="CV50" s="203"/>
      <c r="CW50" s="203"/>
      <c r="CX50" s="203"/>
      <c r="CY50" s="203"/>
      <c r="CZ50" s="203"/>
      <c r="DA50" s="203"/>
      <c r="DB50" s="203"/>
      <c r="DC50" s="203"/>
      <c r="DD50" s="203"/>
      <c r="DE50" s="203"/>
      <c r="DF50" s="203"/>
      <c r="DG50" s="203"/>
      <c r="DH50" s="203"/>
      <c r="DI50" s="203"/>
      <c r="DJ50" s="203"/>
      <c r="DK50" s="203"/>
      <c r="DL50" s="203"/>
      <c r="DM50" s="203"/>
      <c r="DN50" s="203"/>
      <c r="DO50" s="203"/>
      <c r="DP50" s="203"/>
      <c r="DQ50" s="203"/>
      <c r="DR50" s="203"/>
      <c r="DS50" s="203"/>
      <c r="DT50" s="203"/>
      <c r="DU50" s="203"/>
      <c r="DV50" s="203"/>
      <c r="DW50" s="203"/>
      <c r="DX50" s="203"/>
      <c r="DY50" s="203"/>
      <c r="DZ50" s="203"/>
      <c r="EA50" s="203"/>
      <c r="EB50" s="203"/>
      <c r="EC50" s="203"/>
      <c r="ED50" s="203"/>
      <c r="EE50" s="203"/>
      <c r="EF50" s="203"/>
      <c r="EG50" s="203"/>
      <c r="EH50" s="203"/>
      <c r="EI50" s="203"/>
      <c r="EJ50" s="203"/>
      <c r="EK50" s="203"/>
      <c r="EL50" s="203"/>
      <c r="EM50" s="203"/>
      <c r="EN50" s="203"/>
      <c r="EO50" s="203"/>
      <c r="EP50" s="203"/>
      <c r="EQ50" s="203"/>
      <c r="ER50" s="203"/>
      <c r="ES50" s="203"/>
      <c r="ET50" s="203"/>
      <c r="EU50" s="203"/>
      <c r="EV50" s="203"/>
      <c r="EW50" s="203"/>
      <c r="EX50" s="203"/>
      <c r="EY50" s="203"/>
      <c r="EZ50" s="203"/>
      <c r="FA50" s="203"/>
      <c r="FB50" s="203"/>
      <c r="FC50" s="203"/>
      <c r="FD50" s="203"/>
      <c r="FE50" s="203"/>
      <c r="FF50" s="203"/>
      <c r="FG50" s="203"/>
      <c r="FH50" s="203"/>
      <c r="FI50" s="203"/>
      <c r="FJ50" s="203"/>
      <c r="FK50" s="203"/>
      <c r="FL50" s="203"/>
      <c r="FM50" s="203"/>
      <c r="FN50" s="203"/>
      <c r="FO50" s="203"/>
      <c r="FP50" s="203"/>
      <c r="FQ50" s="203"/>
      <c r="FR50" s="203"/>
      <c r="FS50" s="203"/>
      <c r="FT50" s="203"/>
      <c r="FU50" s="203"/>
    </row>
    <row r="51" spans="2:177" ht="20.100000000000001" customHeight="1" x14ac:dyDescent="0.25">
      <c r="B51" s="160">
        <v>0.66666666666666696</v>
      </c>
      <c r="C51" s="203"/>
      <c r="D51" s="203"/>
      <c r="E51" s="203"/>
      <c r="F51" s="203"/>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c r="AG51" s="203"/>
      <c r="AH51" s="203"/>
      <c r="AI51" s="203"/>
      <c r="AJ51" s="203"/>
      <c r="AK51" s="203"/>
      <c r="AL51" s="203"/>
      <c r="AM51" s="203"/>
      <c r="AN51" s="203"/>
      <c r="AO51" s="203"/>
      <c r="AP51" s="203"/>
      <c r="AQ51" s="203"/>
      <c r="AR51" s="203"/>
      <c r="AS51" s="203"/>
      <c r="AT51" s="203"/>
      <c r="AU51" s="203"/>
      <c r="AV51" s="203"/>
      <c r="AW51" s="203"/>
      <c r="AX51" s="203"/>
      <c r="AY51" s="203"/>
      <c r="AZ51" s="203"/>
      <c r="BA51" s="203"/>
      <c r="BB51" s="203"/>
      <c r="BC51" s="203"/>
      <c r="BD51" s="203"/>
      <c r="BE51" s="203"/>
      <c r="BF51" s="203"/>
      <c r="BG51" s="203"/>
      <c r="BH51" s="203"/>
      <c r="BI51" s="203"/>
      <c r="BJ51" s="203"/>
      <c r="BK51" s="203"/>
      <c r="BL51" s="203"/>
      <c r="BM51" s="203"/>
      <c r="BN51" s="203"/>
      <c r="BO51" s="203"/>
      <c r="BP51" s="203"/>
      <c r="BQ51" s="203"/>
      <c r="BR51" s="203"/>
      <c r="BS51" s="203"/>
      <c r="BT51" s="203"/>
      <c r="BU51" s="203"/>
      <c r="BV51" s="203"/>
      <c r="BW51" s="203"/>
      <c r="BX51" s="203"/>
      <c r="BY51" s="203"/>
      <c r="BZ51" s="203"/>
      <c r="CA51" s="203"/>
      <c r="CB51" s="203"/>
      <c r="CC51" s="203"/>
      <c r="CD51" s="203"/>
      <c r="CE51" s="203"/>
      <c r="CF51" s="203"/>
      <c r="CG51" s="203"/>
      <c r="CH51" s="203"/>
      <c r="CI51" s="203"/>
      <c r="CJ51" s="203"/>
      <c r="CK51" s="203"/>
      <c r="CL51" s="203"/>
      <c r="CM51" s="203"/>
      <c r="CN51" s="203"/>
      <c r="CO51" s="203"/>
      <c r="CP51" s="203"/>
      <c r="CQ51" s="203"/>
      <c r="CR51" s="203"/>
      <c r="CS51" s="203"/>
      <c r="CT51" s="203"/>
      <c r="CU51" s="203"/>
      <c r="CV51" s="203"/>
      <c r="CW51" s="203"/>
      <c r="CX51" s="203"/>
      <c r="CY51" s="203"/>
      <c r="CZ51" s="203"/>
      <c r="DA51" s="203"/>
      <c r="DB51" s="203"/>
      <c r="DC51" s="203"/>
      <c r="DD51" s="203"/>
      <c r="DE51" s="203"/>
      <c r="DF51" s="203"/>
      <c r="DG51" s="203"/>
      <c r="DH51" s="203"/>
      <c r="DI51" s="203"/>
      <c r="DJ51" s="203"/>
      <c r="DK51" s="203"/>
      <c r="DL51" s="203"/>
      <c r="DM51" s="203"/>
      <c r="DN51" s="203"/>
      <c r="DO51" s="203"/>
      <c r="DP51" s="203"/>
      <c r="DQ51" s="203"/>
      <c r="DR51" s="203"/>
      <c r="DS51" s="203"/>
      <c r="DT51" s="203"/>
      <c r="DU51" s="203"/>
      <c r="DV51" s="203"/>
      <c r="DW51" s="203"/>
      <c r="DX51" s="203"/>
      <c r="DY51" s="203"/>
      <c r="DZ51" s="203"/>
      <c r="EA51" s="203"/>
      <c r="EB51" s="203"/>
      <c r="EC51" s="203"/>
      <c r="ED51" s="203"/>
      <c r="EE51" s="203"/>
      <c r="EF51" s="203"/>
      <c r="EG51" s="203"/>
      <c r="EH51" s="203"/>
      <c r="EI51" s="203"/>
      <c r="EJ51" s="203"/>
      <c r="EK51" s="203"/>
      <c r="EL51" s="203"/>
      <c r="EM51" s="203"/>
      <c r="EN51" s="203"/>
      <c r="EO51" s="203"/>
      <c r="EP51" s="203"/>
      <c r="EQ51" s="203"/>
      <c r="ER51" s="203"/>
      <c r="ES51" s="203"/>
      <c r="ET51" s="203"/>
      <c r="EU51" s="203"/>
      <c r="EV51" s="203"/>
      <c r="EW51" s="203"/>
      <c r="EX51" s="203"/>
      <c r="EY51" s="203"/>
      <c r="EZ51" s="203"/>
      <c r="FA51" s="203"/>
      <c r="FB51" s="203"/>
      <c r="FC51" s="203"/>
      <c r="FD51" s="203"/>
      <c r="FE51" s="203"/>
      <c r="FF51" s="203"/>
      <c r="FG51" s="203"/>
      <c r="FH51" s="203"/>
      <c r="FI51" s="203"/>
      <c r="FJ51" s="203"/>
      <c r="FK51" s="203"/>
      <c r="FL51" s="203"/>
      <c r="FM51" s="203"/>
      <c r="FN51" s="203"/>
      <c r="FO51" s="203"/>
      <c r="FP51" s="203"/>
      <c r="FQ51" s="203"/>
      <c r="FR51" s="203"/>
      <c r="FS51" s="203"/>
      <c r="FT51" s="203"/>
      <c r="FU51" s="203"/>
    </row>
    <row r="52" spans="2:177" ht="20.100000000000001" customHeight="1" x14ac:dyDescent="0.25">
      <c r="B52" s="160">
        <v>0.70833333333333304</v>
      </c>
      <c r="C52" s="203"/>
      <c r="D52" s="203"/>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3"/>
      <c r="AI52" s="203"/>
      <c r="AJ52" s="203"/>
      <c r="AK52" s="203"/>
      <c r="AL52" s="203"/>
      <c r="AM52" s="203"/>
      <c r="AN52" s="203"/>
      <c r="AO52" s="203"/>
      <c r="AP52" s="203"/>
      <c r="AQ52" s="203"/>
      <c r="AR52" s="203"/>
      <c r="AS52" s="203"/>
      <c r="AT52" s="203"/>
      <c r="AU52" s="203"/>
      <c r="AV52" s="203"/>
      <c r="AW52" s="203"/>
      <c r="AX52" s="203"/>
      <c r="AY52" s="203"/>
      <c r="AZ52" s="203"/>
      <c r="BA52" s="203"/>
      <c r="BB52" s="203"/>
      <c r="BC52" s="203"/>
      <c r="BD52" s="203"/>
      <c r="BE52" s="203"/>
      <c r="BF52" s="203"/>
      <c r="BG52" s="203"/>
      <c r="BH52" s="203"/>
      <c r="BI52" s="203"/>
      <c r="BJ52" s="203"/>
      <c r="BK52" s="203"/>
      <c r="BL52" s="203"/>
      <c r="BM52" s="203"/>
      <c r="BN52" s="203"/>
      <c r="BO52" s="203"/>
      <c r="BP52" s="203"/>
      <c r="BQ52" s="203"/>
      <c r="BR52" s="203"/>
      <c r="BS52" s="203"/>
      <c r="BT52" s="203"/>
      <c r="BU52" s="203"/>
      <c r="BV52" s="203"/>
      <c r="BW52" s="203"/>
      <c r="BX52" s="203"/>
      <c r="BY52" s="203"/>
      <c r="BZ52" s="203"/>
      <c r="CA52" s="203"/>
      <c r="CB52" s="203"/>
      <c r="CC52" s="203"/>
      <c r="CD52" s="203"/>
      <c r="CE52" s="203"/>
      <c r="CF52" s="203"/>
      <c r="CG52" s="203"/>
      <c r="CH52" s="203"/>
      <c r="CI52" s="203"/>
      <c r="CJ52" s="203"/>
      <c r="CK52" s="203"/>
      <c r="CL52" s="203"/>
      <c r="CM52" s="203"/>
      <c r="CN52" s="203"/>
      <c r="CO52" s="203"/>
      <c r="CP52" s="203"/>
      <c r="CQ52" s="203"/>
      <c r="CR52" s="203"/>
      <c r="CS52" s="203"/>
      <c r="CT52" s="203"/>
      <c r="CU52" s="203"/>
      <c r="CV52" s="203"/>
      <c r="CW52" s="203"/>
      <c r="CX52" s="203"/>
      <c r="CY52" s="203"/>
      <c r="CZ52" s="203"/>
      <c r="DA52" s="203"/>
      <c r="DB52" s="203"/>
      <c r="DC52" s="203"/>
      <c r="DD52" s="203"/>
      <c r="DE52" s="203"/>
      <c r="DF52" s="203"/>
      <c r="DG52" s="203"/>
      <c r="DH52" s="203"/>
      <c r="DI52" s="203"/>
      <c r="DJ52" s="203"/>
      <c r="DK52" s="203"/>
      <c r="DL52" s="203"/>
      <c r="DM52" s="203"/>
      <c r="DN52" s="203"/>
      <c r="DO52" s="203"/>
      <c r="DP52" s="203"/>
      <c r="DQ52" s="203"/>
      <c r="DR52" s="203"/>
      <c r="DS52" s="203"/>
      <c r="DT52" s="203"/>
      <c r="DU52" s="203"/>
      <c r="DV52" s="203"/>
      <c r="DW52" s="203"/>
      <c r="DX52" s="203"/>
      <c r="DY52" s="203"/>
      <c r="DZ52" s="203"/>
      <c r="EA52" s="203"/>
      <c r="EB52" s="203"/>
      <c r="EC52" s="203"/>
      <c r="ED52" s="203"/>
      <c r="EE52" s="203"/>
      <c r="EF52" s="203"/>
      <c r="EG52" s="203"/>
      <c r="EH52" s="203"/>
      <c r="EI52" s="203"/>
      <c r="EJ52" s="203"/>
      <c r="EK52" s="203"/>
      <c r="EL52" s="203"/>
      <c r="EM52" s="203"/>
      <c r="EN52" s="203"/>
      <c r="EO52" s="203"/>
      <c r="EP52" s="203"/>
      <c r="EQ52" s="203"/>
      <c r="ER52" s="203"/>
      <c r="ES52" s="203"/>
      <c r="ET52" s="203"/>
      <c r="EU52" s="203"/>
      <c r="EV52" s="203"/>
      <c r="EW52" s="203"/>
      <c r="EX52" s="203"/>
      <c r="EY52" s="203"/>
      <c r="EZ52" s="203"/>
      <c r="FA52" s="203"/>
      <c r="FB52" s="203"/>
      <c r="FC52" s="203"/>
      <c r="FD52" s="203"/>
      <c r="FE52" s="203"/>
      <c r="FF52" s="203"/>
      <c r="FG52" s="203"/>
      <c r="FH52" s="203"/>
      <c r="FI52" s="203"/>
      <c r="FJ52" s="203"/>
      <c r="FK52" s="203"/>
      <c r="FL52" s="203"/>
      <c r="FM52" s="203"/>
      <c r="FN52" s="203"/>
      <c r="FO52" s="203"/>
      <c r="FP52" s="203"/>
      <c r="FQ52" s="203"/>
      <c r="FR52" s="203"/>
      <c r="FS52" s="203"/>
      <c r="FT52" s="203"/>
      <c r="FU52" s="203"/>
    </row>
    <row r="53" spans="2:177" ht="20.100000000000001" customHeight="1" x14ac:dyDescent="0.25">
      <c r="B53" s="160">
        <v>0.75</v>
      </c>
      <c r="C53" s="203"/>
      <c r="D53" s="203"/>
      <c r="E53" s="203"/>
      <c r="F53" s="203"/>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c r="AG53" s="203"/>
      <c r="AH53" s="203"/>
      <c r="AI53" s="203"/>
      <c r="AJ53" s="203"/>
      <c r="AK53" s="203"/>
      <c r="AL53" s="203"/>
      <c r="AM53" s="203"/>
      <c r="AN53" s="203"/>
      <c r="AO53" s="203"/>
      <c r="AP53" s="203"/>
      <c r="AQ53" s="203"/>
      <c r="AR53" s="203"/>
      <c r="AS53" s="203"/>
      <c r="AT53" s="203"/>
      <c r="AU53" s="203"/>
      <c r="AV53" s="203"/>
      <c r="AW53" s="203"/>
      <c r="AX53" s="203"/>
      <c r="AY53" s="203"/>
      <c r="AZ53" s="203"/>
      <c r="BA53" s="203"/>
      <c r="BB53" s="203"/>
      <c r="BC53" s="203"/>
      <c r="BD53" s="203"/>
      <c r="BE53" s="203"/>
      <c r="BF53" s="203"/>
      <c r="BG53" s="203"/>
      <c r="BH53" s="203"/>
      <c r="BI53" s="203"/>
      <c r="BJ53" s="203"/>
      <c r="BK53" s="203"/>
      <c r="BL53" s="203"/>
      <c r="BM53" s="203"/>
      <c r="BN53" s="203"/>
      <c r="BO53" s="203"/>
      <c r="BP53" s="203"/>
      <c r="BQ53" s="203"/>
      <c r="BR53" s="203"/>
      <c r="BS53" s="203"/>
      <c r="BT53" s="203"/>
      <c r="BU53" s="203"/>
      <c r="BV53" s="203"/>
      <c r="BW53" s="203"/>
      <c r="BX53" s="203"/>
      <c r="BY53" s="203"/>
      <c r="BZ53" s="203"/>
      <c r="CA53" s="203"/>
      <c r="CB53" s="203"/>
      <c r="CC53" s="203"/>
      <c r="CD53" s="203"/>
      <c r="CE53" s="203"/>
      <c r="CF53" s="203"/>
      <c r="CG53" s="203"/>
      <c r="CH53" s="203"/>
      <c r="CI53" s="203"/>
      <c r="CJ53" s="203"/>
      <c r="CK53" s="203"/>
      <c r="CL53" s="203"/>
      <c r="CM53" s="203"/>
      <c r="CN53" s="203"/>
      <c r="CO53" s="203"/>
      <c r="CP53" s="203"/>
      <c r="CQ53" s="203"/>
      <c r="CR53" s="203"/>
      <c r="CS53" s="203"/>
      <c r="CT53" s="203"/>
      <c r="CU53" s="203"/>
      <c r="CV53" s="203"/>
      <c r="CW53" s="203"/>
      <c r="CX53" s="203"/>
      <c r="CY53" s="203"/>
      <c r="CZ53" s="203"/>
      <c r="DA53" s="203"/>
      <c r="DB53" s="203"/>
      <c r="DC53" s="203"/>
      <c r="DD53" s="203"/>
      <c r="DE53" s="203"/>
      <c r="DF53" s="203"/>
      <c r="DG53" s="203"/>
      <c r="DH53" s="203"/>
      <c r="DI53" s="203"/>
      <c r="DJ53" s="203"/>
      <c r="DK53" s="203"/>
      <c r="DL53" s="203"/>
      <c r="DM53" s="203"/>
      <c r="DN53" s="203"/>
      <c r="DO53" s="203"/>
      <c r="DP53" s="203"/>
      <c r="DQ53" s="203"/>
      <c r="DR53" s="203"/>
      <c r="DS53" s="203"/>
      <c r="DT53" s="203"/>
      <c r="DU53" s="203"/>
      <c r="DV53" s="203"/>
      <c r="DW53" s="203"/>
      <c r="DX53" s="203"/>
      <c r="DY53" s="203"/>
      <c r="DZ53" s="203"/>
      <c r="EA53" s="203"/>
      <c r="EB53" s="203"/>
      <c r="EC53" s="203"/>
      <c r="ED53" s="203"/>
      <c r="EE53" s="203"/>
      <c r="EF53" s="203"/>
      <c r="EG53" s="203"/>
      <c r="EH53" s="203"/>
      <c r="EI53" s="203"/>
      <c r="EJ53" s="203"/>
      <c r="EK53" s="203"/>
      <c r="EL53" s="203"/>
      <c r="EM53" s="203"/>
      <c r="EN53" s="203"/>
      <c r="EO53" s="203"/>
      <c r="EP53" s="203"/>
      <c r="EQ53" s="203"/>
      <c r="ER53" s="203"/>
      <c r="ES53" s="203"/>
      <c r="ET53" s="203"/>
      <c r="EU53" s="203"/>
      <c r="EV53" s="203"/>
      <c r="EW53" s="203"/>
      <c r="EX53" s="203"/>
      <c r="EY53" s="203"/>
      <c r="EZ53" s="203"/>
      <c r="FA53" s="203"/>
      <c r="FB53" s="203"/>
      <c r="FC53" s="203"/>
      <c r="FD53" s="203"/>
      <c r="FE53" s="203"/>
      <c r="FF53" s="203"/>
      <c r="FG53" s="203"/>
      <c r="FH53" s="203"/>
      <c r="FI53" s="203"/>
      <c r="FJ53" s="203"/>
      <c r="FK53" s="203"/>
      <c r="FL53" s="203"/>
      <c r="FM53" s="203"/>
      <c r="FN53" s="203"/>
      <c r="FO53" s="203"/>
      <c r="FP53" s="203"/>
      <c r="FQ53" s="203"/>
      <c r="FR53" s="203"/>
      <c r="FS53" s="203"/>
      <c r="FT53" s="203"/>
      <c r="FU53" s="203"/>
    </row>
    <row r="54" spans="2:177" ht="20.100000000000001" customHeight="1" x14ac:dyDescent="0.25">
      <c r="B54" s="160">
        <v>0.79166666666666696</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c r="BW54" s="203"/>
      <c r="BX54" s="203"/>
      <c r="BY54" s="203"/>
      <c r="BZ54" s="203"/>
      <c r="CA54" s="203"/>
      <c r="CB54" s="203"/>
      <c r="CC54" s="203"/>
      <c r="CD54" s="203"/>
      <c r="CE54" s="203"/>
      <c r="CF54" s="203"/>
      <c r="CG54" s="203"/>
      <c r="CH54" s="203"/>
      <c r="CI54" s="203"/>
      <c r="CJ54" s="203"/>
      <c r="CK54" s="203"/>
      <c r="CL54" s="203"/>
      <c r="CM54" s="203"/>
      <c r="CN54" s="203"/>
      <c r="CO54" s="203"/>
      <c r="CP54" s="203"/>
      <c r="CQ54" s="203"/>
      <c r="CR54" s="203"/>
      <c r="CS54" s="203"/>
      <c r="CT54" s="203"/>
      <c r="CU54" s="203"/>
      <c r="CV54" s="203"/>
      <c r="CW54" s="203"/>
      <c r="CX54" s="203"/>
      <c r="CY54" s="203"/>
      <c r="CZ54" s="203"/>
      <c r="DA54" s="203"/>
      <c r="DB54" s="203"/>
      <c r="DC54" s="203"/>
      <c r="DD54" s="203"/>
      <c r="DE54" s="203"/>
      <c r="DF54" s="203"/>
      <c r="DG54" s="203"/>
      <c r="DH54" s="203"/>
      <c r="DI54" s="203"/>
      <c r="DJ54" s="203"/>
      <c r="DK54" s="203"/>
      <c r="DL54" s="203"/>
      <c r="DM54" s="203"/>
      <c r="DN54" s="203"/>
      <c r="DO54" s="203"/>
      <c r="DP54" s="203"/>
      <c r="DQ54" s="203"/>
      <c r="DR54" s="203"/>
      <c r="DS54" s="203"/>
      <c r="DT54" s="203"/>
      <c r="DU54" s="203"/>
      <c r="DV54" s="203"/>
      <c r="DW54" s="203"/>
      <c r="DX54" s="203"/>
      <c r="DY54" s="203"/>
      <c r="DZ54" s="203"/>
      <c r="EA54" s="203"/>
      <c r="EB54" s="203"/>
      <c r="EC54" s="203"/>
      <c r="ED54" s="203"/>
      <c r="EE54" s="203"/>
      <c r="EF54" s="203"/>
      <c r="EG54" s="203"/>
      <c r="EH54" s="203"/>
      <c r="EI54" s="203"/>
      <c r="EJ54" s="203"/>
      <c r="EK54" s="203"/>
      <c r="EL54" s="203"/>
      <c r="EM54" s="203"/>
      <c r="EN54" s="203"/>
      <c r="EO54" s="203"/>
      <c r="EP54" s="203"/>
      <c r="EQ54" s="203"/>
      <c r="ER54" s="203"/>
      <c r="ES54" s="203"/>
      <c r="ET54" s="203"/>
      <c r="EU54" s="203"/>
      <c r="EV54" s="203"/>
      <c r="EW54" s="203"/>
      <c r="EX54" s="203"/>
      <c r="EY54" s="203"/>
      <c r="EZ54" s="203"/>
      <c r="FA54" s="203"/>
      <c r="FB54" s="203"/>
      <c r="FC54" s="203"/>
      <c r="FD54" s="203"/>
      <c r="FE54" s="203"/>
      <c r="FF54" s="203"/>
      <c r="FG54" s="203"/>
      <c r="FH54" s="203"/>
      <c r="FI54" s="203"/>
      <c r="FJ54" s="203"/>
      <c r="FK54" s="203"/>
      <c r="FL54" s="203"/>
      <c r="FM54" s="203"/>
      <c r="FN54" s="203"/>
      <c r="FO54" s="203"/>
      <c r="FP54" s="203"/>
      <c r="FQ54" s="203"/>
      <c r="FR54" s="203"/>
      <c r="FS54" s="203"/>
      <c r="FT54" s="203"/>
      <c r="FU54" s="203"/>
    </row>
    <row r="55" spans="2:177" ht="20.100000000000001" customHeight="1" x14ac:dyDescent="0.25">
      <c r="B55" s="160">
        <v>0.83333333333333304</v>
      </c>
      <c r="C55" s="203"/>
      <c r="D55" s="203"/>
      <c r="E55" s="203"/>
      <c r="F55" s="203"/>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c r="AG55" s="203"/>
      <c r="AH55" s="203"/>
      <c r="AI55" s="203"/>
      <c r="AJ55" s="203"/>
      <c r="AK55" s="203"/>
      <c r="AL55" s="203"/>
      <c r="AM55" s="203"/>
      <c r="AN55" s="203"/>
      <c r="AO55" s="203"/>
      <c r="AP55" s="203"/>
      <c r="AQ55" s="203"/>
      <c r="AR55" s="203"/>
      <c r="AS55" s="203"/>
      <c r="AT55" s="203"/>
      <c r="AU55" s="203"/>
      <c r="AV55" s="203"/>
      <c r="AW55" s="203"/>
      <c r="AX55" s="203"/>
      <c r="AY55" s="203"/>
      <c r="AZ55" s="203"/>
      <c r="BA55" s="203"/>
      <c r="BB55" s="203"/>
      <c r="BC55" s="203"/>
      <c r="BD55" s="203"/>
      <c r="BE55" s="203"/>
      <c r="BF55" s="203"/>
      <c r="BG55" s="203"/>
      <c r="BH55" s="203"/>
      <c r="BI55" s="203"/>
      <c r="BJ55" s="203"/>
      <c r="BK55" s="203"/>
      <c r="BL55" s="203"/>
      <c r="BM55" s="203"/>
      <c r="BN55" s="203"/>
      <c r="BO55" s="203"/>
      <c r="BP55" s="203"/>
      <c r="BQ55" s="203"/>
      <c r="BR55" s="203"/>
      <c r="BS55" s="203"/>
      <c r="BT55" s="203"/>
      <c r="BU55" s="203"/>
      <c r="BV55" s="203"/>
      <c r="BW55" s="203"/>
      <c r="BX55" s="203"/>
      <c r="BY55" s="203"/>
      <c r="BZ55" s="203"/>
      <c r="CA55" s="203"/>
      <c r="CB55" s="203"/>
      <c r="CC55" s="203"/>
      <c r="CD55" s="203"/>
      <c r="CE55" s="203"/>
      <c r="CF55" s="203"/>
      <c r="CG55" s="203"/>
      <c r="CH55" s="203"/>
      <c r="CI55" s="203"/>
      <c r="CJ55" s="203"/>
      <c r="CK55" s="203"/>
      <c r="CL55" s="203"/>
      <c r="CM55" s="203"/>
      <c r="CN55" s="203"/>
      <c r="CO55" s="203"/>
      <c r="CP55" s="203"/>
      <c r="CQ55" s="203"/>
      <c r="CR55" s="203"/>
      <c r="CS55" s="203"/>
      <c r="CT55" s="203"/>
      <c r="CU55" s="203"/>
      <c r="CV55" s="203"/>
      <c r="CW55" s="203"/>
      <c r="CX55" s="203"/>
      <c r="CY55" s="203"/>
      <c r="CZ55" s="203"/>
      <c r="DA55" s="203"/>
      <c r="DB55" s="203"/>
      <c r="DC55" s="203"/>
      <c r="DD55" s="203"/>
      <c r="DE55" s="203"/>
      <c r="DF55" s="203"/>
      <c r="DG55" s="203"/>
      <c r="DH55" s="203"/>
      <c r="DI55" s="203"/>
      <c r="DJ55" s="203"/>
      <c r="DK55" s="203"/>
      <c r="DL55" s="203"/>
      <c r="DM55" s="203"/>
      <c r="DN55" s="203"/>
      <c r="DO55" s="203"/>
      <c r="DP55" s="203"/>
      <c r="DQ55" s="203"/>
      <c r="DR55" s="203"/>
      <c r="DS55" s="203"/>
      <c r="DT55" s="203"/>
      <c r="DU55" s="203"/>
      <c r="DV55" s="203"/>
      <c r="DW55" s="203"/>
      <c r="DX55" s="203"/>
      <c r="DY55" s="203"/>
      <c r="DZ55" s="203"/>
      <c r="EA55" s="203"/>
      <c r="EB55" s="203"/>
      <c r="EC55" s="203"/>
      <c r="ED55" s="203"/>
      <c r="EE55" s="203"/>
      <c r="EF55" s="203"/>
      <c r="EG55" s="203"/>
      <c r="EH55" s="203"/>
      <c r="EI55" s="203"/>
      <c r="EJ55" s="203"/>
      <c r="EK55" s="203"/>
      <c r="EL55" s="203"/>
      <c r="EM55" s="203"/>
      <c r="EN55" s="203"/>
      <c r="EO55" s="203"/>
      <c r="EP55" s="203"/>
      <c r="EQ55" s="203"/>
      <c r="ER55" s="203"/>
      <c r="ES55" s="203"/>
      <c r="ET55" s="203"/>
      <c r="EU55" s="203"/>
      <c r="EV55" s="203"/>
      <c r="EW55" s="203"/>
      <c r="EX55" s="203"/>
      <c r="EY55" s="203"/>
      <c r="EZ55" s="203"/>
      <c r="FA55" s="203"/>
      <c r="FB55" s="203"/>
      <c r="FC55" s="203"/>
      <c r="FD55" s="203"/>
      <c r="FE55" s="203"/>
      <c r="FF55" s="203"/>
      <c r="FG55" s="203"/>
      <c r="FH55" s="203"/>
      <c r="FI55" s="203"/>
      <c r="FJ55" s="203"/>
      <c r="FK55" s="203"/>
      <c r="FL55" s="203"/>
      <c r="FM55" s="203"/>
      <c r="FN55" s="203"/>
      <c r="FO55" s="203"/>
      <c r="FP55" s="203"/>
      <c r="FQ55" s="203"/>
      <c r="FR55" s="203"/>
      <c r="FS55" s="203"/>
      <c r="FT55" s="203"/>
      <c r="FU55" s="203"/>
    </row>
    <row r="56" spans="2:177" ht="20.100000000000001" customHeight="1" x14ac:dyDescent="0.25">
      <c r="B56" s="160">
        <v>0.875</v>
      </c>
      <c r="C56" s="203"/>
      <c r="D56" s="203"/>
      <c r="E56" s="203"/>
      <c r="F56" s="203"/>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c r="AG56" s="203"/>
      <c r="AH56" s="203"/>
      <c r="AI56" s="203"/>
      <c r="AJ56" s="203"/>
      <c r="AK56" s="203"/>
      <c r="AL56" s="203"/>
      <c r="AM56" s="203"/>
      <c r="AN56" s="203"/>
      <c r="AO56" s="203"/>
      <c r="AP56" s="203"/>
      <c r="AQ56" s="203"/>
      <c r="AR56" s="203"/>
      <c r="AS56" s="203"/>
      <c r="AT56" s="203"/>
      <c r="AU56" s="203"/>
      <c r="AV56" s="203"/>
      <c r="AW56" s="203"/>
      <c r="AX56" s="203"/>
      <c r="AY56" s="203"/>
      <c r="AZ56" s="203"/>
      <c r="BA56" s="203"/>
      <c r="BB56" s="203"/>
      <c r="BC56" s="203"/>
      <c r="BD56" s="203"/>
      <c r="BE56" s="203"/>
      <c r="BF56" s="203"/>
      <c r="BG56" s="203"/>
      <c r="BH56" s="203"/>
      <c r="BI56" s="203"/>
      <c r="BJ56" s="203"/>
      <c r="BK56" s="203"/>
      <c r="BL56" s="203"/>
      <c r="BM56" s="203"/>
      <c r="BN56" s="203"/>
      <c r="BO56" s="203"/>
      <c r="BP56" s="203"/>
      <c r="BQ56" s="203"/>
      <c r="BR56" s="203"/>
      <c r="BS56" s="203"/>
      <c r="BT56" s="203"/>
      <c r="BU56" s="203"/>
      <c r="BV56" s="203"/>
      <c r="BW56" s="203"/>
      <c r="BX56" s="203"/>
      <c r="BY56" s="203"/>
      <c r="BZ56" s="203"/>
      <c r="CA56" s="203"/>
      <c r="CB56" s="203"/>
      <c r="CC56" s="203"/>
      <c r="CD56" s="203"/>
      <c r="CE56" s="203"/>
      <c r="CF56" s="203"/>
      <c r="CG56" s="203"/>
      <c r="CH56" s="203"/>
      <c r="CI56" s="203"/>
      <c r="CJ56" s="203"/>
      <c r="CK56" s="203"/>
      <c r="CL56" s="203"/>
      <c r="CM56" s="203"/>
      <c r="CN56" s="203"/>
      <c r="CO56" s="203"/>
      <c r="CP56" s="203"/>
      <c r="CQ56" s="203"/>
      <c r="CR56" s="203"/>
      <c r="CS56" s="203"/>
      <c r="CT56" s="203"/>
      <c r="CU56" s="203"/>
      <c r="CV56" s="203"/>
      <c r="CW56" s="203"/>
      <c r="CX56" s="203"/>
      <c r="CY56" s="203"/>
      <c r="CZ56" s="203"/>
      <c r="DA56" s="203"/>
      <c r="DB56" s="203"/>
      <c r="DC56" s="203"/>
      <c r="DD56" s="203"/>
      <c r="DE56" s="203"/>
      <c r="DF56" s="203"/>
      <c r="DG56" s="203"/>
      <c r="DH56" s="203"/>
      <c r="DI56" s="203"/>
      <c r="DJ56" s="203"/>
      <c r="DK56" s="203"/>
      <c r="DL56" s="203"/>
      <c r="DM56" s="203"/>
      <c r="DN56" s="203"/>
      <c r="DO56" s="203"/>
      <c r="DP56" s="203"/>
      <c r="DQ56" s="203"/>
      <c r="DR56" s="203"/>
      <c r="DS56" s="203"/>
      <c r="DT56" s="203"/>
      <c r="DU56" s="203"/>
      <c r="DV56" s="203"/>
      <c r="DW56" s="203"/>
      <c r="DX56" s="203"/>
      <c r="DY56" s="203"/>
      <c r="DZ56" s="203"/>
      <c r="EA56" s="203"/>
      <c r="EB56" s="203"/>
      <c r="EC56" s="203"/>
      <c r="ED56" s="203"/>
      <c r="EE56" s="203"/>
      <c r="EF56" s="203"/>
      <c r="EG56" s="203"/>
      <c r="EH56" s="203"/>
      <c r="EI56" s="203"/>
      <c r="EJ56" s="203"/>
      <c r="EK56" s="203"/>
      <c r="EL56" s="203"/>
      <c r="EM56" s="203"/>
      <c r="EN56" s="203"/>
      <c r="EO56" s="203"/>
      <c r="EP56" s="203"/>
      <c r="EQ56" s="203"/>
      <c r="ER56" s="203"/>
      <c r="ES56" s="203"/>
      <c r="ET56" s="203"/>
      <c r="EU56" s="203"/>
      <c r="EV56" s="203"/>
      <c r="EW56" s="203"/>
      <c r="EX56" s="203"/>
      <c r="EY56" s="203"/>
      <c r="EZ56" s="203"/>
      <c r="FA56" s="203"/>
      <c r="FB56" s="203"/>
      <c r="FC56" s="203"/>
      <c r="FD56" s="203"/>
      <c r="FE56" s="203"/>
      <c r="FF56" s="203"/>
      <c r="FG56" s="203"/>
      <c r="FH56" s="203"/>
      <c r="FI56" s="203"/>
      <c r="FJ56" s="203"/>
      <c r="FK56" s="203"/>
      <c r="FL56" s="203"/>
      <c r="FM56" s="203"/>
      <c r="FN56" s="203"/>
      <c r="FO56" s="203"/>
      <c r="FP56" s="203"/>
      <c r="FQ56" s="203"/>
      <c r="FR56" s="203"/>
      <c r="FS56" s="203"/>
      <c r="FT56" s="203"/>
      <c r="FU56" s="203"/>
    </row>
    <row r="57" spans="2:177" ht="20.100000000000001" customHeight="1" x14ac:dyDescent="0.25">
      <c r="B57" s="160">
        <v>0.91666666666666696</v>
      </c>
      <c r="C57" s="203"/>
      <c r="D57" s="203"/>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3"/>
      <c r="AI57" s="203"/>
      <c r="AJ57" s="203"/>
      <c r="AK57" s="203"/>
      <c r="AL57" s="203"/>
      <c r="AM57" s="203"/>
      <c r="AN57" s="203"/>
      <c r="AO57" s="203"/>
      <c r="AP57" s="203"/>
      <c r="AQ57" s="203"/>
      <c r="AR57" s="203"/>
      <c r="AS57" s="203"/>
      <c r="AT57" s="203"/>
      <c r="AU57" s="203"/>
      <c r="AV57" s="203"/>
      <c r="AW57" s="203"/>
      <c r="AX57" s="203"/>
      <c r="AY57" s="203"/>
      <c r="AZ57" s="203"/>
      <c r="BA57" s="203"/>
      <c r="BB57" s="203"/>
      <c r="BC57" s="203"/>
      <c r="BD57" s="203"/>
      <c r="BE57" s="203"/>
      <c r="BF57" s="203"/>
      <c r="BG57" s="203"/>
      <c r="BH57" s="203"/>
      <c r="BI57" s="203"/>
      <c r="BJ57" s="203"/>
      <c r="BK57" s="203"/>
      <c r="BL57" s="203"/>
      <c r="BM57" s="203"/>
      <c r="BN57" s="203"/>
      <c r="BO57" s="203"/>
      <c r="BP57" s="203"/>
      <c r="BQ57" s="203"/>
      <c r="BR57" s="203"/>
      <c r="BS57" s="203"/>
      <c r="BT57" s="203"/>
      <c r="BU57" s="203"/>
      <c r="BV57" s="203"/>
      <c r="BW57" s="203"/>
      <c r="BX57" s="203"/>
      <c r="BY57" s="203"/>
      <c r="BZ57" s="203"/>
      <c r="CA57" s="203"/>
      <c r="CB57" s="203"/>
      <c r="CC57" s="203"/>
      <c r="CD57" s="203"/>
      <c r="CE57" s="203"/>
      <c r="CF57" s="203"/>
      <c r="CG57" s="203"/>
      <c r="CH57" s="203"/>
      <c r="CI57" s="203"/>
      <c r="CJ57" s="203"/>
      <c r="CK57" s="203"/>
      <c r="CL57" s="203"/>
      <c r="CM57" s="203"/>
      <c r="CN57" s="203"/>
      <c r="CO57" s="203"/>
      <c r="CP57" s="203"/>
      <c r="CQ57" s="203"/>
      <c r="CR57" s="203"/>
      <c r="CS57" s="203"/>
      <c r="CT57" s="203"/>
      <c r="CU57" s="203"/>
      <c r="CV57" s="203"/>
      <c r="CW57" s="203"/>
      <c r="CX57" s="203"/>
      <c r="CY57" s="203"/>
      <c r="CZ57" s="203"/>
      <c r="DA57" s="203"/>
      <c r="DB57" s="203"/>
      <c r="DC57" s="203"/>
      <c r="DD57" s="203"/>
      <c r="DE57" s="203"/>
      <c r="DF57" s="203"/>
      <c r="DG57" s="203"/>
      <c r="DH57" s="203"/>
      <c r="DI57" s="203"/>
      <c r="DJ57" s="203"/>
      <c r="DK57" s="203"/>
      <c r="DL57" s="203"/>
      <c r="DM57" s="203"/>
      <c r="DN57" s="203"/>
      <c r="DO57" s="203"/>
      <c r="DP57" s="203"/>
      <c r="DQ57" s="203"/>
      <c r="DR57" s="203"/>
      <c r="DS57" s="203"/>
      <c r="DT57" s="203"/>
      <c r="DU57" s="203"/>
      <c r="DV57" s="203"/>
      <c r="DW57" s="203"/>
      <c r="DX57" s="203"/>
      <c r="DY57" s="203"/>
      <c r="DZ57" s="203"/>
      <c r="EA57" s="203"/>
      <c r="EB57" s="203"/>
      <c r="EC57" s="203"/>
      <c r="ED57" s="203"/>
      <c r="EE57" s="203"/>
      <c r="EF57" s="203"/>
      <c r="EG57" s="203"/>
      <c r="EH57" s="203"/>
      <c r="EI57" s="203"/>
      <c r="EJ57" s="203"/>
      <c r="EK57" s="203"/>
      <c r="EL57" s="203"/>
      <c r="EM57" s="203"/>
      <c r="EN57" s="203"/>
      <c r="EO57" s="203"/>
      <c r="EP57" s="203"/>
      <c r="EQ57" s="203"/>
      <c r="ER57" s="203"/>
      <c r="ES57" s="203"/>
      <c r="ET57" s="203"/>
      <c r="EU57" s="203"/>
      <c r="EV57" s="203"/>
      <c r="EW57" s="203"/>
      <c r="EX57" s="203"/>
      <c r="EY57" s="203"/>
      <c r="EZ57" s="203"/>
      <c r="FA57" s="203"/>
      <c r="FB57" s="203"/>
      <c r="FC57" s="203"/>
      <c r="FD57" s="203"/>
      <c r="FE57" s="203"/>
      <c r="FF57" s="203"/>
      <c r="FG57" s="203"/>
      <c r="FH57" s="203"/>
      <c r="FI57" s="203"/>
      <c r="FJ57" s="203"/>
      <c r="FK57" s="203"/>
      <c r="FL57" s="203"/>
      <c r="FM57" s="203"/>
      <c r="FN57" s="203"/>
      <c r="FO57" s="203"/>
      <c r="FP57" s="203"/>
      <c r="FQ57" s="203"/>
      <c r="FR57" s="203"/>
      <c r="FS57" s="203"/>
      <c r="FT57" s="203"/>
      <c r="FU57" s="203"/>
    </row>
    <row r="58" spans="2:177" ht="20.100000000000001" customHeight="1" x14ac:dyDescent="0.25">
      <c r="B58" s="160">
        <v>0.95833333333333304</v>
      </c>
      <c r="C58" s="203"/>
      <c r="D58" s="203"/>
      <c r="E58" s="203"/>
      <c r="F58" s="203"/>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03"/>
      <c r="AS58" s="203"/>
      <c r="AT58" s="203"/>
      <c r="AU58" s="203"/>
      <c r="AV58" s="203"/>
      <c r="AW58" s="203"/>
      <c r="AX58" s="203"/>
      <c r="AY58" s="203"/>
      <c r="AZ58" s="203"/>
      <c r="BA58" s="203"/>
      <c r="BB58" s="203"/>
      <c r="BC58" s="203"/>
      <c r="BD58" s="203"/>
      <c r="BE58" s="203"/>
      <c r="BF58" s="203"/>
      <c r="BG58" s="203"/>
      <c r="BH58" s="203"/>
      <c r="BI58" s="203"/>
      <c r="BJ58" s="203"/>
      <c r="BK58" s="203"/>
      <c r="BL58" s="203"/>
      <c r="BM58" s="203"/>
      <c r="BN58" s="203"/>
      <c r="BO58" s="203"/>
      <c r="BP58" s="203"/>
      <c r="BQ58" s="203"/>
      <c r="BR58" s="203"/>
      <c r="BS58" s="203"/>
      <c r="BT58" s="203"/>
      <c r="BU58" s="203"/>
      <c r="BV58" s="203"/>
      <c r="BW58" s="203"/>
      <c r="BX58" s="203"/>
      <c r="BY58" s="203"/>
      <c r="BZ58" s="203"/>
      <c r="CA58" s="203"/>
      <c r="CB58" s="203"/>
      <c r="CC58" s="203"/>
      <c r="CD58" s="203"/>
      <c r="CE58" s="203"/>
      <c r="CF58" s="203"/>
      <c r="CG58" s="203"/>
      <c r="CH58" s="203"/>
      <c r="CI58" s="203"/>
      <c r="CJ58" s="203"/>
      <c r="CK58" s="203"/>
      <c r="CL58" s="203"/>
      <c r="CM58" s="203"/>
      <c r="CN58" s="203"/>
      <c r="CO58" s="203"/>
      <c r="CP58" s="203"/>
      <c r="CQ58" s="203"/>
      <c r="CR58" s="203"/>
      <c r="CS58" s="203"/>
      <c r="CT58" s="203"/>
      <c r="CU58" s="203"/>
      <c r="CV58" s="203"/>
      <c r="CW58" s="203"/>
      <c r="CX58" s="203"/>
      <c r="CY58" s="203"/>
      <c r="CZ58" s="203"/>
      <c r="DA58" s="203"/>
      <c r="DB58" s="203"/>
      <c r="DC58" s="203"/>
      <c r="DD58" s="203"/>
      <c r="DE58" s="203"/>
      <c r="DF58" s="203"/>
      <c r="DG58" s="203"/>
      <c r="DH58" s="203"/>
      <c r="DI58" s="203"/>
      <c r="DJ58" s="203"/>
      <c r="DK58" s="203"/>
      <c r="DL58" s="203"/>
      <c r="DM58" s="203"/>
      <c r="DN58" s="203"/>
      <c r="DO58" s="203"/>
      <c r="DP58" s="203"/>
      <c r="DQ58" s="203"/>
      <c r="DR58" s="203"/>
      <c r="DS58" s="203"/>
      <c r="DT58" s="203"/>
      <c r="DU58" s="203"/>
      <c r="DV58" s="203"/>
      <c r="DW58" s="203"/>
      <c r="DX58" s="203"/>
      <c r="DY58" s="203"/>
      <c r="DZ58" s="203"/>
      <c r="EA58" s="203"/>
      <c r="EB58" s="203"/>
      <c r="EC58" s="203"/>
      <c r="ED58" s="203"/>
      <c r="EE58" s="203"/>
      <c r="EF58" s="203"/>
      <c r="EG58" s="203"/>
      <c r="EH58" s="203"/>
      <c r="EI58" s="203"/>
      <c r="EJ58" s="203"/>
      <c r="EK58" s="203"/>
      <c r="EL58" s="203"/>
      <c r="EM58" s="203"/>
      <c r="EN58" s="203"/>
      <c r="EO58" s="203"/>
      <c r="EP58" s="203"/>
      <c r="EQ58" s="203"/>
      <c r="ER58" s="203"/>
      <c r="ES58" s="203"/>
      <c r="ET58" s="203"/>
      <c r="EU58" s="203"/>
      <c r="EV58" s="203"/>
      <c r="EW58" s="203"/>
      <c r="EX58" s="203"/>
      <c r="EY58" s="203"/>
      <c r="EZ58" s="203"/>
      <c r="FA58" s="203"/>
      <c r="FB58" s="203"/>
      <c r="FC58" s="203"/>
      <c r="FD58" s="203"/>
      <c r="FE58" s="203"/>
      <c r="FF58" s="203"/>
      <c r="FG58" s="203"/>
      <c r="FH58" s="203"/>
      <c r="FI58" s="203"/>
      <c r="FJ58" s="203"/>
      <c r="FK58" s="203"/>
      <c r="FL58" s="203"/>
      <c r="FM58" s="203"/>
      <c r="FN58" s="203"/>
      <c r="FO58" s="203"/>
      <c r="FP58" s="203"/>
      <c r="FQ58" s="203"/>
      <c r="FR58" s="203"/>
      <c r="FS58" s="203"/>
      <c r="FT58" s="203"/>
      <c r="FU58" s="203"/>
    </row>
    <row r="59" spans="2:177" ht="32.25" customHeight="1" x14ac:dyDescent="0.25">
      <c r="B59" s="202" t="s">
        <v>608</v>
      </c>
      <c r="C59" s="202">
        <f t="shared" ref="C59:BE59" si="5">SUM(C35:C58)</f>
        <v>0</v>
      </c>
      <c r="D59" s="202">
        <f t="shared" si="5"/>
        <v>0</v>
      </c>
      <c r="E59" s="202">
        <f t="shared" si="5"/>
        <v>0</v>
      </c>
      <c r="F59" s="202">
        <f t="shared" si="5"/>
        <v>0</v>
      </c>
      <c r="G59" s="202">
        <f t="shared" si="5"/>
        <v>0</v>
      </c>
      <c r="H59" s="202">
        <f t="shared" si="5"/>
        <v>0</v>
      </c>
      <c r="I59" s="202">
        <f t="shared" si="5"/>
        <v>0</v>
      </c>
      <c r="J59" s="202">
        <f t="shared" si="5"/>
        <v>0</v>
      </c>
      <c r="K59" s="202">
        <f t="shared" si="5"/>
        <v>0</v>
      </c>
      <c r="L59" s="202">
        <f t="shared" si="5"/>
        <v>0</v>
      </c>
      <c r="M59" s="202">
        <f t="shared" si="5"/>
        <v>0</v>
      </c>
      <c r="N59" s="202">
        <f t="shared" si="5"/>
        <v>0</v>
      </c>
      <c r="O59" s="202">
        <f t="shared" si="5"/>
        <v>0</v>
      </c>
      <c r="P59" s="202">
        <f t="shared" si="5"/>
        <v>0</v>
      </c>
      <c r="Q59" s="202">
        <f t="shared" si="5"/>
        <v>0</v>
      </c>
      <c r="R59" s="202">
        <f t="shared" si="5"/>
        <v>0</v>
      </c>
      <c r="S59" s="202">
        <f t="shared" si="5"/>
        <v>0</v>
      </c>
      <c r="T59" s="202">
        <f t="shared" si="5"/>
        <v>0</v>
      </c>
      <c r="U59" s="202">
        <f t="shared" si="5"/>
        <v>0</v>
      </c>
      <c r="V59" s="202">
        <f t="shared" si="5"/>
        <v>0</v>
      </c>
      <c r="W59" s="202">
        <f t="shared" si="5"/>
        <v>0</v>
      </c>
      <c r="X59" s="202">
        <f t="shared" si="5"/>
        <v>0</v>
      </c>
      <c r="Y59" s="202">
        <f t="shared" si="5"/>
        <v>0</v>
      </c>
      <c r="Z59" s="202">
        <f t="shared" si="5"/>
        <v>0</v>
      </c>
      <c r="AA59" s="202">
        <f t="shared" si="5"/>
        <v>0</v>
      </c>
      <c r="AB59" s="202">
        <f t="shared" si="5"/>
        <v>0</v>
      </c>
      <c r="AC59" s="202">
        <f t="shared" si="5"/>
        <v>0</v>
      </c>
      <c r="AD59" s="202">
        <f t="shared" si="5"/>
        <v>0</v>
      </c>
      <c r="AE59" s="202">
        <f t="shared" si="5"/>
        <v>0</v>
      </c>
      <c r="AF59" s="202">
        <f t="shared" si="5"/>
        <v>0</v>
      </c>
      <c r="AG59" s="202">
        <f t="shared" si="5"/>
        <v>0</v>
      </c>
      <c r="AH59" s="202">
        <f t="shared" si="5"/>
        <v>0</v>
      </c>
      <c r="AI59" s="202">
        <f t="shared" si="5"/>
        <v>0</v>
      </c>
      <c r="AJ59" s="202">
        <f t="shared" si="5"/>
        <v>0</v>
      </c>
      <c r="AK59" s="202">
        <f t="shared" si="5"/>
        <v>0</v>
      </c>
      <c r="AL59" s="202">
        <f t="shared" si="5"/>
        <v>0</v>
      </c>
      <c r="AM59" s="202">
        <f t="shared" si="5"/>
        <v>0</v>
      </c>
      <c r="AN59" s="202">
        <f t="shared" si="5"/>
        <v>0</v>
      </c>
      <c r="AO59" s="202">
        <f t="shared" si="5"/>
        <v>0</v>
      </c>
      <c r="AP59" s="202">
        <f t="shared" si="5"/>
        <v>0</v>
      </c>
      <c r="AQ59" s="202">
        <f t="shared" si="5"/>
        <v>0</v>
      </c>
      <c r="AR59" s="202">
        <f t="shared" si="5"/>
        <v>0</v>
      </c>
      <c r="AS59" s="202">
        <f t="shared" si="5"/>
        <v>0</v>
      </c>
      <c r="AT59" s="202">
        <f t="shared" si="5"/>
        <v>0</v>
      </c>
      <c r="AU59" s="202">
        <f t="shared" si="5"/>
        <v>0</v>
      </c>
      <c r="AV59" s="202">
        <f t="shared" si="5"/>
        <v>0</v>
      </c>
      <c r="AW59" s="202">
        <f t="shared" si="5"/>
        <v>0</v>
      </c>
      <c r="AX59" s="202">
        <f t="shared" si="5"/>
        <v>0</v>
      </c>
      <c r="AY59" s="202">
        <f t="shared" si="5"/>
        <v>0</v>
      </c>
      <c r="AZ59" s="202">
        <f t="shared" si="5"/>
        <v>0</v>
      </c>
      <c r="BA59" s="202">
        <f t="shared" si="5"/>
        <v>0</v>
      </c>
      <c r="BB59" s="202">
        <f t="shared" si="5"/>
        <v>0</v>
      </c>
      <c r="BC59" s="202">
        <f t="shared" si="5"/>
        <v>0</v>
      </c>
      <c r="BD59" s="202">
        <f t="shared" si="5"/>
        <v>0</v>
      </c>
      <c r="BE59" s="202">
        <f t="shared" si="5"/>
        <v>0</v>
      </c>
      <c r="BF59" s="202">
        <f t="shared" ref="BF59:DQ59" si="6">SUM(BF35:BF58)</f>
        <v>0</v>
      </c>
      <c r="BG59" s="202">
        <f t="shared" si="6"/>
        <v>0</v>
      </c>
      <c r="BH59" s="202">
        <f t="shared" si="6"/>
        <v>0</v>
      </c>
      <c r="BI59" s="202">
        <f t="shared" si="6"/>
        <v>0</v>
      </c>
      <c r="BJ59" s="202">
        <f t="shared" si="6"/>
        <v>0</v>
      </c>
      <c r="BK59" s="202">
        <f t="shared" si="6"/>
        <v>0</v>
      </c>
      <c r="BL59" s="202">
        <f t="shared" si="6"/>
        <v>0</v>
      </c>
      <c r="BM59" s="202">
        <f t="shared" si="6"/>
        <v>0</v>
      </c>
      <c r="BN59" s="202">
        <f t="shared" si="6"/>
        <v>0</v>
      </c>
      <c r="BO59" s="202">
        <f t="shared" si="6"/>
        <v>0</v>
      </c>
      <c r="BP59" s="202">
        <f t="shared" si="6"/>
        <v>0</v>
      </c>
      <c r="BQ59" s="202">
        <f t="shared" si="6"/>
        <v>0</v>
      </c>
      <c r="BR59" s="202">
        <f t="shared" si="6"/>
        <v>0</v>
      </c>
      <c r="BS59" s="202">
        <f t="shared" si="6"/>
        <v>0</v>
      </c>
      <c r="BT59" s="202">
        <f t="shared" si="6"/>
        <v>0</v>
      </c>
      <c r="BU59" s="202">
        <f t="shared" si="6"/>
        <v>0</v>
      </c>
      <c r="BV59" s="202">
        <f t="shared" si="6"/>
        <v>0</v>
      </c>
      <c r="BW59" s="202">
        <f t="shared" si="6"/>
        <v>0</v>
      </c>
      <c r="BX59" s="202">
        <f t="shared" si="6"/>
        <v>0</v>
      </c>
      <c r="BY59" s="202">
        <f t="shared" si="6"/>
        <v>0</v>
      </c>
      <c r="BZ59" s="202">
        <f t="shared" si="6"/>
        <v>0</v>
      </c>
      <c r="CA59" s="202">
        <f t="shared" si="6"/>
        <v>0</v>
      </c>
      <c r="CB59" s="202">
        <f t="shared" si="6"/>
        <v>0</v>
      </c>
      <c r="CC59" s="202">
        <f t="shared" si="6"/>
        <v>0</v>
      </c>
      <c r="CD59" s="202">
        <f t="shared" si="6"/>
        <v>0</v>
      </c>
      <c r="CE59" s="202">
        <f t="shared" si="6"/>
        <v>0</v>
      </c>
      <c r="CF59" s="202">
        <f t="shared" si="6"/>
        <v>0</v>
      </c>
      <c r="CG59" s="202">
        <f t="shared" si="6"/>
        <v>0</v>
      </c>
      <c r="CH59" s="202">
        <f t="shared" si="6"/>
        <v>0</v>
      </c>
      <c r="CI59" s="202">
        <f t="shared" si="6"/>
        <v>0</v>
      </c>
      <c r="CJ59" s="202">
        <f t="shared" si="6"/>
        <v>0</v>
      </c>
      <c r="CK59" s="202">
        <f t="shared" si="6"/>
        <v>0</v>
      </c>
      <c r="CL59" s="202">
        <f t="shared" si="6"/>
        <v>0</v>
      </c>
      <c r="CM59" s="202">
        <f t="shared" si="6"/>
        <v>0</v>
      </c>
      <c r="CN59" s="202">
        <f t="shared" si="6"/>
        <v>0</v>
      </c>
      <c r="CO59" s="202">
        <f t="shared" si="6"/>
        <v>0</v>
      </c>
      <c r="CP59" s="202">
        <f t="shared" si="6"/>
        <v>0</v>
      </c>
      <c r="CQ59" s="202">
        <f t="shared" si="6"/>
        <v>0</v>
      </c>
      <c r="CR59" s="202">
        <f t="shared" si="6"/>
        <v>0</v>
      </c>
      <c r="CS59" s="202">
        <f t="shared" si="6"/>
        <v>0</v>
      </c>
      <c r="CT59" s="202">
        <f t="shared" si="6"/>
        <v>0</v>
      </c>
      <c r="CU59" s="202">
        <f t="shared" si="6"/>
        <v>0</v>
      </c>
      <c r="CV59" s="202">
        <f t="shared" si="6"/>
        <v>0</v>
      </c>
      <c r="CW59" s="202">
        <f t="shared" si="6"/>
        <v>0</v>
      </c>
      <c r="CX59" s="202">
        <f t="shared" si="6"/>
        <v>0</v>
      </c>
      <c r="CY59" s="202">
        <f t="shared" si="6"/>
        <v>0</v>
      </c>
      <c r="CZ59" s="202">
        <f t="shared" si="6"/>
        <v>0</v>
      </c>
      <c r="DA59" s="202">
        <f t="shared" si="6"/>
        <v>0</v>
      </c>
      <c r="DB59" s="202">
        <f t="shared" si="6"/>
        <v>0</v>
      </c>
      <c r="DC59" s="202">
        <f t="shared" si="6"/>
        <v>0</v>
      </c>
      <c r="DD59" s="202">
        <f t="shared" si="6"/>
        <v>0</v>
      </c>
      <c r="DE59" s="202">
        <f t="shared" si="6"/>
        <v>0</v>
      </c>
      <c r="DF59" s="202">
        <f t="shared" si="6"/>
        <v>0</v>
      </c>
      <c r="DG59" s="202">
        <f t="shared" si="6"/>
        <v>0</v>
      </c>
      <c r="DH59" s="202">
        <f t="shared" si="6"/>
        <v>0</v>
      </c>
      <c r="DI59" s="202">
        <f t="shared" si="6"/>
        <v>0</v>
      </c>
      <c r="DJ59" s="202">
        <f t="shared" si="6"/>
        <v>0</v>
      </c>
      <c r="DK59" s="202">
        <f t="shared" si="6"/>
        <v>0</v>
      </c>
      <c r="DL59" s="202">
        <f t="shared" si="6"/>
        <v>0</v>
      </c>
      <c r="DM59" s="202">
        <f t="shared" si="6"/>
        <v>0</v>
      </c>
      <c r="DN59" s="202">
        <f t="shared" si="6"/>
        <v>0</v>
      </c>
      <c r="DO59" s="202">
        <f t="shared" si="6"/>
        <v>0</v>
      </c>
      <c r="DP59" s="202">
        <f t="shared" si="6"/>
        <v>0</v>
      </c>
      <c r="DQ59" s="202">
        <f t="shared" si="6"/>
        <v>0</v>
      </c>
      <c r="DR59" s="202">
        <f t="shared" ref="DR59:FU59" si="7">SUM(DR35:DR58)</f>
        <v>0</v>
      </c>
      <c r="DS59" s="202">
        <f t="shared" si="7"/>
        <v>0</v>
      </c>
      <c r="DT59" s="202">
        <f t="shared" si="7"/>
        <v>0</v>
      </c>
      <c r="DU59" s="202">
        <f t="shared" si="7"/>
        <v>0</v>
      </c>
      <c r="DV59" s="202">
        <f t="shared" si="7"/>
        <v>0</v>
      </c>
      <c r="DW59" s="202">
        <f t="shared" si="7"/>
        <v>0</v>
      </c>
      <c r="DX59" s="202">
        <f t="shared" si="7"/>
        <v>0</v>
      </c>
      <c r="DY59" s="202">
        <f t="shared" si="7"/>
        <v>0</v>
      </c>
      <c r="DZ59" s="202">
        <f t="shared" si="7"/>
        <v>0</v>
      </c>
      <c r="EA59" s="202">
        <f t="shared" si="7"/>
        <v>0</v>
      </c>
      <c r="EB59" s="202">
        <f t="shared" si="7"/>
        <v>0</v>
      </c>
      <c r="EC59" s="202">
        <f t="shared" si="7"/>
        <v>0</v>
      </c>
      <c r="ED59" s="202">
        <f t="shared" si="7"/>
        <v>0</v>
      </c>
      <c r="EE59" s="202">
        <f t="shared" si="7"/>
        <v>0</v>
      </c>
      <c r="EF59" s="202">
        <f t="shared" si="7"/>
        <v>0</v>
      </c>
      <c r="EG59" s="202">
        <f t="shared" si="7"/>
        <v>0</v>
      </c>
      <c r="EH59" s="202">
        <f t="shared" si="7"/>
        <v>0</v>
      </c>
      <c r="EI59" s="202">
        <f t="shared" si="7"/>
        <v>0</v>
      </c>
      <c r="EJ59" s="202">
        <f t="shared" si="7"/>
        <v>0</v>
      </c>
      <c r="EK59" s="202">
        <f t="shared" si="7"/>
        <v>0</v>
      </c>
      <c r="EL59" s="202">
        <f t="shared" si="7"/>
        <v>0</v>
      </c>
      <c r="EM59" s="202">
        <f t="shared" si="7"/>
        <v>0</v>
      </c>
      <c r="EN59" s="202">
        <f t="shared" si="7"/>
        <v>0</v>
      </c>
      <c r="EO59" s="202">
        <f t="shared" si="7"/>
        <v>0</v>
      </c>
      <c r="EP59" s="202">
        <f t="shared" si="7"/>
        <v>0</v>
      </c>
      <c r="EQ59" s="202">
        <f t="shared" si="7"/>
        <v>0</v>
      </c>
      <c r="ER59" s="202">
        <f t="shared" si="7"/>
        <v>0</v>
      </c>
      <c r="ES59" s="202">
        <f t="shared" si="7"/>
        <v>0</v>
      </c>
      <c r="ET59" s="202">
        <f t="shared" si="7"/>
        <v>0</v>
      </c>
      <c r="EU59" s="202">
        <f t="shared" si="7"/>
        <v>0</v>
      </c>
      <c r="EV59" s="202">
        <f t="shared" si="7"/>
        <v>0</v>
      </c>
      <c r="EW59" s="202">
        <f t="shared" si="7"/>
        <v>0</v>
      </c>
      <c r="EX59" s="202">
        <f t="shared" si="7"/>
        <v>0</v>
      </c>
      <c r="EY59" s="202">
        <f t="shared" si="7"/>
        <v>0</v>
      </c>
      <c r="EZ59" s="202">
        <f t="shared" si="7"/>
        <v>0</v>
      </c>
      <c r="FA59" s="202">
        <f t="shared" si="7"/>
        <v>0</v>
      </c>
      <c r="FB59" s="202">
        <f t="shared" si="7"/>
        <v>0</v>
      </c>
      <c r="FC59" s="202">
        <f t="shared" si="7"/>
        <v>0</v>
      </c>
      <c r="FD59" s="202">
        <f t="shared" si="7"/>
        <v>0</v>
      </c>
      <c r="FE59" s="202">
        <f t="shared" si="7"/>
        <v>0</v>
      </c>
      <c r="FF59" s="202">
        <f t="shared" si="7"/>
        <v>0</v>
      </c>
      <c r="FG59" s="202">
        <f t="shared" si="7"/>
        <v>0</v>
      </c>
      <c r="FH59" s="202">
        <f t="shared" si="7"/>
        <v>0</v>
      </c>
      <c r="FI59" s="202">
        <f t="shared" si="7"/>
        <v>0</v>
      </c>
      <c r="FJ59" s="202">
        <f t="shared" si="7"/>
        <v>0</v>
      </c>
      <c r="FK59" s="202">
        <f t="shared" si="7"/>
        <v>0</v>
      </c>
      <c r="FL59" s="202">
        <f t="shared" si="7"/>
        <v>0</v>
      </c>
      <c r="FM59" s="202">
        <f t="shared" si="7"/>
        <v>0</v>
      </c>
      <c r="FN59" s="202">
        <f t="shared" si="7"/>
        <v>0</v>
      </c>
      <c r="FO59" s="202">
        <f t="shared" si="7"/>
        <v>0</v>
      </c>
      <c r="FP59" s="202">
        <f t="shared" si="7"/>
        <v>0</v>
      </c>
      <c r="FQ59" s="202">
        <f t="shared" si="7"/>
        <v>0</v>
      </c>
      <c r="FR59" s="202">
        <f t="shared" si="7"/>
        <v>0</v>
      </c>
      <c r="FS59" s="202">
        <f t="shared" si="7"/>
        <v>0</v>
      </c>
      <c r="FT59" s="202">
        <f t="shared" si="7"/>
        <v>0</v>
      </c>
      <c r="FU59" s="202">
        <f t="shared" si="7"/>
        <v>0</v>
      </c>
    </row>
  </sheetData>
  <conditionalFormatting sqref="D25:D28 C29:BX31 C28:BW28 C26:BX27 C8:FK25 F24:F31">
    <cfRule type="expression" dxfId="408" priority="2325">
      <formula xml:space="preserve"> INDIRECT(CHAR(COLUMN()+96) &amp; 4) = TODAY() * NOT(ISBLANK(INDIRECT(CHAR(COLUMN()+96) &amp; ROW())))</formula>
    </cfRule>
    <cfRule type="expression" dxfId="407" priority="2328">
      <formula xml:space="preserve"> INDIRECT(CHAR(COLUMN()+96) &amp; 4) = TODAY() * ISBLANK(INDIRECT(CHAR(COLUMN()+96) &amp; ROW()))</formula>
    </cfRule>
  </conditionalFormatting>
  <conditionalFormatting sqref="C34:FU34 A4:B6 FV4:XFD6 C5:FU7">
    <cfRule type="timePeriod" dxfId="406" priority="2331" timePeriod="today">
      <formula>FLOOR(A4,1)=TODAY()</formula>
    </cfRule>
    <cfRule type="timePeriod" dxfId="405" priority="2332" timePeriod="tomorrow">
      <formula>FLOOR(A4,1)=TODAY()+1</formula>
    </cfRule>
    <cfRule type="timePeriod" dxfId="404" priority="2333" timePeriod="yesterday">
      <formula>FLOOR(A4,1)=TODAY()-1</formula>
    </cfRule>
  </conditionalFormatting>
  <conditionalFormatting sqref="A7:B30 C8:FU31">
    <cfRule type="expression" dxfId="403" priority="2304">
      <formula>INDIRECT("A"&amp;3) = INDIRECT("A"&amp;ROW())</formula>
    </cfRule>
  </conditionalFormatting>
  <conditionalFormatting sqref="A2:A3 A1:XFD1 B2:XFD2">
    <cfRule type="expression" dxfId="402" priority="2305">
      <formula xml:space="preserve"> INDIRECT(CHAR(COLUMN()+96) &amp; 4) = TODAY() * ISBLANK(INDIRECT(CHAR(COLUMN()+96) &amp; ROW()))</formula>
    </cfRule>
  </conditionalFormatting>
  <conditionalFormatting sqref="A31:B31 FV31:XFD31 C32:FU32 C8:FT31">
    <cfRule type="colorScale" priority="2316">
      <colorScale>
        <cfvo type="num" val="0"/>
        <cfvo type="num" val="0.5"/>
        <cfvo type="num" val="1"/>
        <color rgb="FFF8696B"/>
        <color rgb="FFFFEB84"/>
        <color rgb="FF63BE7B"/>
      </colorScale>
    </cfRule>
  </conditionalFormatting>
  <conditionalFormatting sqref="B35:B58">
    <cfRule type="expression" dxfId="401" priority="23">
      <formula>INDIRECT("A"&amp;3) = INDIRECT("A"&amp;ROW())</formula>
    </cfRule>
  </conditionalFormatting>
  <conditionalFormatting sqref="C35:FU58">
    <cfRule type="colorScale" priority="20">
      <colorScale>
        <cfvo type="num" val="0"/>
        <cfvo type="num" val="0"/>
        <cfvo type="num" val="1"/>
        <color rgb="FFF8696B"/>
        <color rgb="FFFFEB84"/>
        <color rgb="FF63BE7B"/>
      </colorScale>
    </cfRule>
  </conditionalFormatting>
  <conditionalFormatting sqref="C35:FU58">
    <cfRule type="expression" dxfId="400" priority="14">
      <formula>C35="S"</formula>
    </cfRule>
  </conditionalFormatting>
  <conditionalFormatting sqref="C35:FU58">
    <cfRule type="expression" dxfId="399" priority="13">
      <formula>C35="G"</formula>
    </cfRule>
  </conditionalFormatting>
  <conditionalFormatting sqref="C35:FU58">
    <cfRule type="expression" dxfId="398" priority="10">
      <formula>C35="G"</formula>
    </cfRule>
  </conditionalFormatting>
  <conditionalFormatting sqref="C59:FU59">
    <cfRule type="colorScale" priority="9">
      <colorScale>
        <cfvo type="num" val="0"/>
        <cfvo type="percentile" val="50"/>
        <cfvo type="num" val="24"/>
        <color rgb="FFF8696B"/>
        <color rgb="FFFFEB84"/>
        <color rgb="FF63BE7B"/>
      </colorScale>
    </cfRule>
  </conditionalFormatting>
  <conditionalFormatting sqref="C14:D14">
    <cfRule type="expression" dxfId="397" priority="5">
      <formula xml:space="preserve"> INDIRECT(CHAR(COLUMN()+96) &amp; 4) = TODAY() * NOT(ISBLANK(INDIRECT(CHAR(COLUMN()+96) &amp; ROW())))</formula>
    </cfRule>
    <cfRule type="expression" dxfId="396" priority="6">
      <formula xml:space="preserve"> INDIRECT(CHAR(COLUMN()+96) &amp; 4) = TODAY() * ISBLANK(INDIRECT(CHAR(COLUMN()+96) &amp; ROW()))</formula>
    </cfRule>
  </conditionalFormatting>
  <conditionalFormatting sqref="E14">
    <cfRule type="expression" dxfId="395" priority="3">
      <formula xml:space="preserve"> INDIRECT(CHAR(COLUMN()+96) &amp; 4) = TODAY() * NOT(ISBLANK(INDIRECT(CHAR(COLUMN()+96) &amp; ROW())))</formula>
    </cfRule>
    <cfRule type="expression" dxfId="394" priority="4">
      <formula xml:space="preserve"> INDIRECT(CHAR(COLUMN()+96) &amp; 4) = TODAY() * ISBLANK(INDIRECT(CHAR(COLUMN()+96) &amp; ROW()))</formula>
    </cfRule>
  </conditionalFormatting>
  <conditionalFormatting sqref="E21">
    <cfRule type="expression" dxfId="393" priority="1">
      <formula xml:space="preserve"> INDIRECT(CHAR(COLUMN()+96) &amp; 4) = TODAY() * NOT(ISBLANK(INDIRECT(CHAR(COLUMN()+96) &amp; ROW())))</formula>
    </cfRule>
    <cfRule type="expression" dxfId="392" priority="2">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zoomScale="70" zoomScaleNormal="70" zoomScalePageLayoutView="115" workbookViewId="0">
      <selection activeCell="L4" sqref="L4"/>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372</v>
      </c>
      <c r="I3" s="6"/>
      <c r="J3" s="6">
        <v>378</v>
      </c>
      <c r="K3" s="6"/>
      <c r="L3" s="6"/>
      <c r="M3" s="6" t="s">
        <v>53</v>
      </c>
      <c r="N3" s="82">
        <v>3</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43345</v>
      </c>
      <c r="D4" s="37" t="s">
        <v>7</v>
      </c>
      <c r="E4" s="29"/>
      <c r="F4" s="20"/>
      <c r="G4" s="12"/>
      <c r="H4" s="6">
        <f>$H$3 - 365</f>
        <v>7</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43348</v>
      </c>
      <c r="I6" s="14">
        <f t="shared" ca="1" si="0"/>
        <v>43351</v>
      </c>
      <c r="J6" s="14">
        <f t="shared" ca="1" si="0"/>
        <v>43354</v>
      </c>
      <c r="K6" s="14">
        <f t="shared" ca="1" si="0"/>
        <v>43357</v>
      </c>
      <c r="L6" s="14">
        <f t="shared" ca="1" si="0"/>
        <v>43360</v>
      </c>
      <c r="M6" s="14">
        <f t="shared" ca="1" si="0"/>
        <v>43363</v>
      </c>
      <c r="N6" s="14">
        <f t="shared" ca="1" si="0"/>
        <v>43366</v>
      </c>
      <c r="O6" s="14">
        <f t="shared" ref="O6:BZ6" ca="1" si="1">TODAY()+((COLUMN()-$H$4)*$N$3)</f>
        <v>43369</v>
      </c>
      <c r="P6" s="14">
        <f t="shared" ca="1" si="1"/>
        <v>43372</v>
      </c>
      <c r="Q6" s="14">
        <f t="shared" ca="1" si="1"/>
        <v>43375</v>
      </c>
      <c r="R6" s="14">
        <f t="shared" ca="1" si="1"/>
        <v>43378</v>
      </c>
      <c r="S6" s="14">
        <f t="shared" ca="1" si="1"/>
        <v>43381</v>
      </c>
      <c r="T6" s="14">
        <f ca="1">TODAY()+((COLUMN()-$H$4)*$N$3)</f>
        <v>43384</v>
      </c>
      <c r="U6" s="14">
        <f t="shared" ca="1" si="1"/>
        <v>43387</v>
      </c>
      <c r="V6" s="14">
        <f t="shared" ca="1" si="1"/>
        <v>43390</v>
      </c>
      <c r="W6" s="14">
        <f t="shared" ca="1" si="1"/>
        <v>43393</v>
      </c>
      <c r="X6" s="14">
        <f t="shared" ca="1" si="1"/>
        <v>43396</v>
      </c>
      <c r="Y6" s="14">
        <f t="shared" ca="1" si="1"/>
        <v>43399</v>
      </c>
      <c r="Z6" s="14">
        <f t="shared" ca="1" si="1"/>
        <v>43402</v>
      </c>
      <c r="AA6" s="14">
        <f t="shared" ca="1" si="1"/>
        <v>43405</v>
      </c>
      <c r="AB6" s="14">
        <f t="shared" ca="1" si="1"/>
        <v>43408</v>
      </c>
      <c r="AC6" s="14">
        <f t="shared" ca="1" si="1"/>
        <v>43411</v>
      </c>
      <c r="AD6" s="14">
        <f t="shared" ca="1" si="1"/>
        <v>43414</v>
      </c>
      <c r="AE6" s="14">
        <f t="shared" ca="1" si="1"/>
        <v>43417</v>
      </c>
      <c r="AF6" s="14">
        <f t="shared" ca="1" si="1"/>
        <v>43420</v>
      </c>
      <c r="AG6" s="14">
        <f t="shared" ca="1" si="1"/>
        <v>43423</v>
      </c>
      <c r="AH6" s="14">
        <f t="shared" ca="1" si="1"/>
        <v>43426</v>
      </c>
      <c r="AI6" s="14">
        <f t="shared" ca="1" si="1"/>
        <v>43429</v>
      </c>
      <c r="AJ6" s="14">
        <f t="shared" ca="1" si="1"/>
        <v>43432</v>
      </c>
      <c r="AK6" s="14">
        <f t="shared" ca="1" si="1"/>
        <v>43435</v>
      </c>
      <c r="AL6" s="14">
        <f t="shared" ca="1" si="1"/>
        <v>43438</v>
      </c>
      <c r="AM6" s="14">
        <f t="shared" ca="1" si="1"/>
        <v>43441</v>
      </c>
      <c r="AN6" s="14">
        <f t="shared" ca="1" si="1"/>
        <v>43444</v>
      </c>
      <c r="AO6" s="14">
        <f t="shared" ca="1" si="1"/>
        <v>43447</v>
      </c>
      <c r="AP6" s="14">
        <f t="shared" ca="1" si="1"/>
        <v>43450</v>
      </c>
      <c r="AQ6" s="14">
        <f t="shared" ca="1" si="1"/>
        <v>43453</v>
      </c>
      <c r="AR6" s="14">
        <f t="shared" ca="1" si="1"/>
        <v>43456</v>
      </c>
      <c r="AS6" s="14">
        <f t="shared" ca="1" si="1"/>
        <v>43459</v>
      </c>
      <c r="AT6" s="14">
        <f t="shared" ca="1" si="1"/>
        <v>43462</v>
      </c>
      <c r="AU6" s="14">
        <f t="shared" ca="1" si="1"/>
        <v>43465</v>
      </c>
      <c r="AV6" s="14">
        <f t="shared" ca="1" si="1"/>
        <v>43468</v>
      </c>
      <c r="AW6" s="14">
        <f t="shared" ca="1" si="1"/>
        <v>43471</v>
      </c>
      <c r="AX6" s="14">
        <f t="shared" ca="1" si="1"/>
        <v>43474</v>
      </c>
      <c r="AY6" s="14">
        <f t="shared" ca="1" si="1"/>
        <v>43477</v>
      </c>
      <c r="AZ6" s="14">
        <f t="shared" ca="1" si="1"/>
        <v>43480</v>
      </c>
      <c r="BA6" s="14">
        <f t="shared" ca="1" si="1"/>
        <v>43483</v>
      </c>
      <c r="BB6" s="14">
        <f t="shared" ca="1" si="1"/>
        <v>43486</v>
      </c>
      <c r="BC6" s="14">
        <f t="shared" ca="1" si="1"/>
        <v>43489</v>
      </c>
      <c r="BD6" s="14">
        <f t="shared" ca="1" si="1"/>
        <v>43492</v>
      </c>
      <c r="BE6" s="14">
        <f t="shared" ca="1" si="1"/>
        <v>43495</v>
      </c>
      <c r="BF6" s="14">
        <f t="shared" ca="1" si="1"/>
        <v>43498</v>
      </c>
      <c r="BG6" s="14">
        <f t="shared" ca="1" si="1"/>
        <v>43501</v>
      </c>
      <c r="BH6" s="14">
        <f t="shared" ca="1" si="1"/>
        <v>43504</v>
      </c>
      <c r="BI6" s="14">
        <f t="shared" ca="1" si="1"/>
        <v>43507</v>
      </c>
      <c r="BJ6" s="14">
        <f t="shared" ca="1" si="1"/>
        <v>43510</v>
      </c>
      <c r="BK6" s="14">
        <f t="shared" ca="1" si="1"/>
        <v>43513</v>
      </c>
      <c r="BL6" s="14">
        <f t="shared" ca="1" si="1"/>
        <v>43516</v>
      </c>
      <c r="BM6" s="14">
        <f t="shared" ca="1" si="1"/>
        <v>43519</v>
      </c>
      <c r="BN6" s="14">
        <f t="shared" ca="1" si="1"/>
        <v>43522</v>
      </c>
      <c r="BO6" s="14">
        <f t="shared" ca="1" si="1"/>
        <v>43525</v>
      </c>
      <c r="BP6" s="14">
        <f t="shared" ca="1" si="1"/>
        <v>43528</v>
      </c>
      <c r="BQ6" s="14">
        <f t="shared" ca="1" si="1"/>
        <v>43531</v>
      </c>
      <c r="BR6" s="14">
        <f t="shared" ca="1" si="1"/>
        <v>43534</v>
      </c>
      <c r="BS6" s="14">
        <f t="shared" ca="1" si="1"/>
        <v>43537</v>
      </c>
      <c r="BT6" s="14">
        <f t="shared" ca="1" si="1"/>
        <v>43540</v>
      </c>
      <c r="BU6" s="14">
        <f t="shared" ca="1" si="1"/>
        <v>43543</v>
      </c>
      <c r="BV6" s="14">
        <f t="shared" ca="1" si="1"/>
        <v>43546</v>
      </c>
      <c r="BW6" s="14">
        <f t="shared" ca="1" si="1"/>
        <v>43549</v>
      </c>
      <c r="BX6" s="14">
        <f t="shared" ca="1" si="1"/>
        <v>43552</v>
      </c>
      <c r="BY6" s="14">
        <f t="shared" ca="1" si="1"/>
        <v>43555</v>
      </c>
      <c r="BZ6" s="14">
        <f t="shared" ca="1" si="1"/>
        <v>43558</v>
      </c>
      <c r="CA6" s="14">
        <f t="shared" ref="CA6:EL6" ca="1" si="2">TODAY()+((COLUMN()-$H$4)*$N$3)</f>
        <v>43561</v>
      </c>
      <c r="CB6" s="14">
        <f t="shared" ca="1" si="2"/>
        <v>43564</v>
      </c>
      <c r="CC6" s="14">
        <f t="shared" ca="1" si="2"/>
        <v>43567</v>
      </c>
      <c r="CD6" s="14">
        <f t="shared" ca="1" si="2"/>
        <v>43570</v>
      </c>
      <c r="CE6" s="14">
        <f t="shared" ca="1" si="2"/>
        <v>43573</v>
      </c>
      <c r="CF6" s="14">
        <f t="shared" ca="1" si="2"/>
        <v>43576</v>
      </c>
      <c r="CG6" s="14">
        <f t="shared" ca="1" si="2"/>
        <v>43579</v>
      </c>
      <c r="CH6" s="14">
        <f t="shared" ca="1" si="2"/>
        <v>43582</v>
      </c>
      <c r="CI6" s="14">
        <f t="shared" ca="1" si="2"/>
        <v>43585</v>
      </c>
      <c r="CJ6" s="14">
        <f t="shared" ca="1" si="2"/>
        <v>43588</v>
      </c>
      <c r="CK6" s="14">
        <f t="shared" ca="1" si="2"/>
        <v>43591</v>
      </c>
      <c r="CL6" s="14">
        <f t="shared" ca="1" si="2"/>
        <v>43594</v>
      </c>
      <c r="CM6" s="14">
        <f t="shared" ca="1" si="2"/>
        <v>43597</v>
      </c>
      <c r="CN6" s="14">
        <f t="shared" ca="1" si="2"/>
        <v>43600</v>
      </c>
      <c r="CO6" s="14">
        <f t="shared" ca="1" si="2"/>
        <v>43603</v>
      </c>
      <c r="CP6" s="14">
        <f t="shared" ca="1" si="2"/>
        <v>43606</v>
      </c>
      <c r="CQ6" s="14">
        <f t="shared" ca="1" si="2"/>
        <v>43609</v>
      </c>
      <c r="CR6" s="14">
        <f t="shared" ca="1" si="2"/>
        <v>43612</v>
      </c>
      <c r="CS6" s="14">
        <f t="shared" ca="1" si="2"/>
        <v>43615</v>
      </c>
      <c r="CT6" s="14">
        <f t="shared" ca="1" si="2"/>
        <v>43618</v>
      </c>
      <c r="CU6" s="14">
        <f t="shared" ca="1" si="2"/>
        <v>43621</v>
      </c>
      <c r="CV6" s="14">
        <f t="shared" ca="1" si="2"/>
        <v>43624</v>
      </c>
      <c r="CW6" s="14">
        <f t="shared" ca="1" si="2"/>
        <v>43627</v>
      </c>
      <c r="CX6" s="14">
        <f t="shared" ca="1" si="2"/>
        <v>43630</v>
      </c>
      <c r="CY6" s="14">
        <f t="shared" ca="1" si="2"/>
        <v>43633</v>
      </c>
      <c r="CZ6" s="14">
        <f t="shared" ca="1" si="2"/>
        <v>43636</v>
      </c>
      <c r="DA6" s="14">
        <f t="shared" ca="1" si="2"/>
        <v>43639</v>
      </c>
      <c r="DB6" s="14">
        <f t="shared" ca="1" si="2"/>
        <v>43642</v>
      </c>
      <c r="DC6" s="14">
        <f t="shared" ca="1" si="2"/>
        <v>43645</v>
      </c>
      <c r="DD6" s="14">
        <f t="shared" ca="1" si="2"/>
        <v>43648</v>
      </c>
      <c r="DE6" s="14">
        <f t="shared" ca="1" si="2"/>
        <v>43651</v>
      </c>
      <c r="DF6" s="14">
        <f t="shared" ca="1" si="2"/>
        <v>43654</v>
      </c>
      <c r="DG6" s="14">
        <f t="shared" ca="1" si="2"/>
        <v>43657</v>
      </c>
      <c r="DH6" s="14">
        <f t="shared" ca="1" si="2"/>
        <v>43660</v>
      </c>
      <c r="DI6" s="14">
        <f t="shared" ca="1" si="2"/>
        <v>43663</v>
      </c>
      <c r="DJ6" s="14">
        <f t="shared" ca="1" si="2"/>
        <v>43666</v>
      </c>
      <c r="DK6" s="14">
        <f t="shared" ca="1" si="2"/>
        <v>43669</v>
      </c>
      <c r="DL6" s="14">
        <f t="shared" ca="1" si="2"/>
        <v>43672</v>
      </c>
      <c r="DM6" s="14">
        <f t="shared" ca="1" si="2"/>
        <v>43675</v>
      </c>
      <c r="DN6" s="14">
        <f t="shared" ca="1" si="2"/>
        <v>43678</v>
      </c>
      <c r="DO6" s="14">
        <f t="shared" ca="1" si="2"/>
        <v>43681</v>
      </c>
      <c r="DP6" s="14">
        <f t="shared" ca="1" si="2"/>
        <v>43684</v>
      </c>
      <c r="DQ6" s="14">
        <f t="shared" ca="1" si="2"/>
        <v>43687</v>
      </c>
      <c r="DR6" s="14">
        <f t="shared" ca="1" si="2"/>
        <v>43690</v>
      </c>
      <c r="DS6" s="14">
        <f t="shared" ca="1" si="2"/>
        <v>43693</v>
      </c>
      <c r="DT6" s="14">
        <f t="shared" ca="1" si="2"/>
        <v>43696</v>
      </c>
      <c r="DU6" s="14">
        <f t="shared" ca="1" si="2"/>
        <v>43699</v>
      </c>
      <c r="DV6" s="14">
        <f t="shared" ca="1" si="2"/>
        <v>43702</v>
      </c>
      <c r="DW6" s="14">
        <f t="shared" ca="1" si="2"/>
        <v>43705</v>
      </c>
      <c r="DX6" s="14">
        <f t="shared" ca="1" si="2"/>
        <v>43708</v>
      </c>
      <c r="DY6" s="14">
        <f t="shared" ca="1" si="2"/>
        <v>43711</v>
      </c>
      <c r="DZ6" s="14">
        <f t="shared" ca="1" si="2"/>
        <v>43714</v>
      </c>
      <c r="EA6" s="14">
        <f t="shared" ca="1" si="2"/>
        <v>43717</v>
      </c>
      <c r="EB6" s="14">
        <f t="shared" ca="1" si="2"/>
        <v>43720</v>
      </c>
      <c r="EC6" s="14">
        <f t="shared" ca="1" si="2"/>
        <v>43723</v>
      </c>
      <c r="ED6" s="14">
        <f t="shared" ca="1" si="2"/>
        <v>43726</v>
      </c>
      <c r="EE6" s="14">
        <f t="shared" ca="1" si="2"/>
        <v>43729</v>
      </c>
      <c r="EF6" s="14">
        <f t="shared" ca="1" si="2"/>
        <v>43732</v>
      </c>
      <c r="EG6" s="14">
        <f t="shared" ca="1" si="2"/>
        <v>43735</v>
      </c>
      <c r="EH6" s="14">
        <f t="shared" ca="1" si="2"/>
        <v>43738</v>
      </c>
      <c r="EI6" s="14">
        <f t="shared" ca="1" si="2"/>
        <v>43741</v>
      </c>
      <c r="EJ6" s="14">
        <f t="shared" ca="1" si="2"/>
        <v>43744</v>
      </c>
      <c r="EK6" s="14">
        <f t="shared" ca="1" si="2"/>
        <v>43747</v>
      </c>
      <c r="EL6" s="14">
        <f t="shared" ca="1" si="2"/>
        <v>43750</v>
      </c>
      <c r="EM6" s="14">
        <f t="shared" ref="EM6:GX6" ca="1" si="3">TODAY()+((COLUMN()-$H$4)*$N$3)</f>
        <v>43753</v>
      </c>
      <c r="EN6" s="14">
        <f t="shared" ca="1" si="3"/>
        <v>43756</v>
      </c>
      <c r="EO6" s="14">
        <f t="shared" ca="1" si="3"/>
        <v>43759</v>
      </c>
      <c r="EP6" s="14">
        <f t="shared" ca="1" si="3"/>
        <v>43762</v>
      </c>
      <c r="EQ6" s="14">
        <f t="shared" ca="1" si="3"/>
        <v>43765</v>
      </c>
      <c r="ER6" s="14">
        <f t="shared" ca="1" si="3"/>
        <v>43768</v>
      </c>
      <c r="ES6" s="14">
        <f t="shared" ca="1" si="3"/>
        <v>43771</v>
      </c>
      <c r="ET6" s="14">
        <f t="shared" ca="1" si="3"/>
        <v>43774</v>
      </c>
      <c r="EU6" s="14">
        <f t="shared" ca="1" si="3"/>
        <v>43777</v>
      </c>
      <c r="EV6" s="14">
        <f t="shared" ca="1" si="3"/>
        <v>43780</v>
      </c>
      <c r="EW6" s="14">
        <f t="shared" ca="1" si="3"/>
        <v>43783</v>
      </c>
      <c r="EX6" s="14">
        <f t="shared" ca="1" si="3"/>
        <v>43786</v>
      </c>
      <c r="EY6" s="14">
        <f t="shared" ca="1" si="3"/>
        <v>43789</v>
      </c>
      <c r="EZ6" s="14">
        <f t="shared" ca="1" si="3"/>
        <v>43792</v>
      </c>
      <c r="FA6" s="14">
        <f t="shared" ca="1" si="3"/>
        <v>43795</v>
      </c>
      <c r="FB6" s="14">
        <f t="shared" ca="1" si="3"/>
        <v>43798</v>
      </c>
      <c r="FC6" s="14">
        <f t="shared" ca="1" si="3"/>
        <v>43801</v>
      </c>
      <c r="FD6" s="14">
        <f t="shared" ca="1" si="3"/>
        <v>43804</v>
      </c>
      <c r="FE6" s="14">
        <f t="shared" ca="1" si="3"/>
        <v>43807</v>
      </c>
      <c r="FF6" s="14">
        <f t="shared" ca="1" si="3"/>
        <v>43810</v>
      </c>
      <c r="FG6" s="14">
        <f t="shared" ca="1" si="3"/>
        <v>43813</v>
      </c>
      <c r="FH6" s="14">
        <f t="shared" ca="1" si="3"/>
        <v>43816</v>
      </c>
      <c r="FI6" s="14">
        <f t="shared" ca="1" si="3"/>
        <v>43819</v>
      </c>
      <c r="FJ6" s="14">
        <f t="shared" ca="1" si="3"/>
        <v>43822</v>
      </c>
      <c r="FK6" s="14">
        <f t="shared" ca="1" si="3"/>
        <v>43825</v>
      </c>
      <c r="FL6" s="14">
        <f t="shared" ca="1" si="3"/>
        <v>43828</v>
      </c>
      <c r="FM6" s="14">
        <f t="shared" ca="1" si="3"/>
        <v>43831</v>
      </c>
      <c r="FN6" s="14">
        <f t="shared" ca="1" si="3"/>
        <v>43834</v>
      </c>
      <c r="FO6" s="14">
        <f t="shared" ca="1" si="3"/>
        <v>43837</v>
      </c>
      <c r="FP6" s="14">
        <f t="shared" ca="1" si="3"/>
        <v>43840</v>
      </c>
      <c r="FQ6" s="14">
        <f t="shared" ca="1" si="3"/>
        <v>43843</v>
      </c>
      <c r="FR6" s="14">
        <f t="shared" ca="1" si="3"/>
        <v>43846</v>
      </c>
      <c r="FS6" s="14">
        <f t="shared" ca="1" si="3"/>
        <v>43849</v>
      </c>
      <c r="FT6" s="14">
        <f t="shared" ca="1" si="3"/>
        <v>43852</v>
      </c>
      <c r="FU6" s="14">
        <f t="shared" ca="1" si="3"/>
        <v>43855</v>
      </c>
      <c r="FV6" s="14">
        <f t="shared" ca="1" si="3"/>
        <v>43858</v>
      </c>
      <c r="FW6" s="14">
        <f t="shared" ca="1" si="3"/>
        <v>43861</v>
      </c>
      <c r="FX6" s="14">
        <f t="shared" ca="1" si="3"/>
        <v>43864</v>
      </c>
      <c r="FY6" s="14">
        <f t="shared" ca="1" si="3"/>
        <v>43867</v>
      </c>
      <c r="FZ6" s="14">
        <f t="shared" ca="1" si="3"/>
        <v>43870</v>
      </c>
      <c r="GA6" s="14">
        <f t="shared" ca="1" si="3"/>
        <v>43873</v>
      </c>
      <c r="GB6" s="14">
        <f t="shared" ca="1" si="3"/>
        <v>43876</v>
      </c>
      <c r="GC6" s="14">
        <f t="shared" ca="1" si="3"/>
        <v>43879</v>
      </c>
      <c r="GD6" s="14">
        <f t="shared" ca="1" si="3"/>
        <v>43882</v>
      </c>
      <c r="GE6" s="14">
        <f t="shared" ca="1" si="3"/>
        <v>43885</v>
      </c>
      <c r="GF6" s="14">
        <f t="shared" ca="1" si="3"/>
        <v>43888</v>
      </c>
      <c r="GG6" s="14">
        <f t="shared" ca="1" si="3"/>
        <v>43891</v>
      </c>
      <c r="GH6" s="14">
        <f t="shared" ca="1" si="3"/>
        <v>43894</v>
      </c>
      <c r="GI6" s="14">
        <f t="shared" ca="1" si="3"/>
        <v>43897</v>
      </c>
      <c r="GJ6" s="14">
        <f t="shared" ca="1" si="3"/>
        <v>43900</v>
      </c>
      <c r="GK6" s="14">
        <f t="shared" ca="1" si="3"/>
        <v>43903</v>
      </c>
      <c r="GL6" s="14">
        <f t="shared" ca="1" si="3"/>
        <v>43906</v>
      </c>
      <c r="GM6" s="14">
        <f t="shared" ca="1" si="3"/>
        <v>43909</v>
      </c>
      <c r="GN6" s="14">
        <f t="shared" ca="1" si="3"/>
        <v>43912</v>
      </c>
      <c r="GO6" s="14">
        <f t="shared" ca="1" si="3"/>
        <v>43915</v>
      </c>
      <c r="GP6" s="14">
        <f t="shared" ca="1" si="3"/>
        <v>43918</v>
      </c>
      <c r="GQ6" s="14">
        <f t="shared" ca="1" si="3"/>
        <v>43921</v>
      </c>
      <c r="GR6" s="14">
        <f t="shared" ca="1" si="3"/>
        <v>43924</v>
      </c>
      <c r="GS6" s="14">
        <f t="shared" ca="1" si="3"/>
        <v>43927</v>
      </c>
      <c r="GT6" s="14">
        <f t="shared" ca="1" si="3"/>
        <v>43930</v>
      </c>
      <c r="GU6" s="14">
        <f t="shared" ca="1" si="3"/>
        <v>43933</v>
      </c>
      <c r="GV6" s="14">
        <f t="shared" ca="1" si="3"/>
        <v>43936</v>
      </c>
      <c r="GW6" s="14">
        <f t="shared" ca="1" si="3"/>
        <v>43939</v>
      </c>
      <c r="GX6" s="14">
        <f t="shared" ca="1" si="3"/>
        <v>43942</v>
      </c>
      <c r="GY6" s="14">
        <f t="shared" ref="GY6:JJ6" ca="1" si="4">TODAY()+((COLUMN()-$H$4)*$N$3)</f>
        <v>43945</v>
      </c>
      <c r="GZ6" s="14">
        <f t="shared" ca="1" si="4"/>
        <v>43948</v>
      </c>
      <c r="HA6" s="14">
        <f t="shared" ca="1" si="4"/>
        <v>43951</v>
      </c>
      <c r="HB6" s="14">
        <f t="shared" ca="1" si="4"/>
        <v>43954</v>
      </c>
      <c r="HC6" s="14">
        <f t="shared" ca="1" si="4"/>
        <v>43957</v>
      </c>
      <c r="HD6" s="14">
        <f t="shared" ca="1" si="4"/>
        <v>43960</v>
      </c>
      <c r="HE6" s="14">
        <f t="shared" ca="1" si="4"/>
        <v>43963</v>
      </c>
      <c r="HF6" s="14">
        <f t="shared" ca="1" si="4"/>
        <v>43966</v>
      </c>
      <c r="HG6" s="14">
        <f t="shared" ca="1" si="4"/>
        <v>43969</v>
      </c>
      <c r="HH6" s="14">
        <f t="shared" ca="1" si="4"/>
        <v>43972</v>
      </c>
      <c r="HI6" s="14">
        <f t="shared" ca="1" si="4"/>
        <v>43975</v>
      </c>
      <c r="HJ6" s="14">
        <f t="shared" ca="1" si="4"/>
        <v>43978</v>
      </c>
      <c r="HK6" s="14">
        <f t="shared" ca="1" si="4"/>
        <v>43981</v>
      </c>
      <c r="HL6" s="14">
        <f t="shared" ca="1" si="4"/>
        <v>43984</v>
      </c>
      <c r="HM6" s="14">
        <f t="shared" ca="1" si="4"/>
        <v>43987</v>
      </c>
      <c r="HN6" s="14">
        <f t="shared" ca="1" si="4"/>
        <v>43990</v>
      </c>
      <c r="HO6" s="14">
        <f t="shared" ca="1" si="4"/>
        <v>43993</v>
      </c>
      <c r="HP6" s="14">
        <f t="shared" ca="1" si="4"/>
        <v>43996</v>
      </c>
      <c r="HQ6" s="14">
        <f t="shared" ca="1" si="4"/>
        <v>43999</v>
      </c>
      <c r="HR6" s="14">
        <f t="shared" ca="1" si="4"/>
        <v>44002</v>
      </c>
      <c r="HS6" s="14">
        <f t="shared" ca="1" si="4"/>
        <v>44005</v>
      </c>
      <c r="HT6" s="14">
        <f t="shared" ca="1" si="4"/>
        <v>44008</v>
      </c>
      <c r="HU6" s="14">
        <f t="shared" ca="1" si="4"/>
        <v>44011</v>
      </c>
      <c r="HV6" s="14">
        <f t="shared" ca="1" si="4"/>
        <v>44014</v>
      </c>
      <c r="HW6" s="14">
        <f t="shared" ca="1" si="4"/>
        <v>44017</v>
      </c>
      <c r="HX6" s="14">
        <f t="shared" ca="1" si="4"/>
        <v>44020</v>
      </c>
      <c r="HY6" s="14">
        <f t="shared" ca="1" si="4"/>
        <v>44023</v>
      </c>
      <c r="HZ6" s="14">
        <f t="shared" ca="1" si="4"/>
        <v>44026</v>
      </c>
      <c r="IA6" s="14">
        <f t="shared" ca="1" si="4"/>
        <v>44029</v>
      </c>
      <c r="IB6" s="14">
        <f t="shared" ca="1" si="4"/>
        <v>44032</v>
      </c>
      <c r="IC6" s="14">
        <f t="shared" ca="1" si="4"/>
        <v>44035</v>
      </c>
      <c r="ID6" s="14">
        <f t="shared" ca="1" si="4"/>
        <v>44038</v>
      </c>
      <c r="IE6" s="14">
        <f t="shared" ca="1" si="4"/>
        <v>44041</v>
      </c>
      <c r="IF6" s="14">
        <f t="shared" ca="1" si="4"/>
        <v>44044</v>
      </c>
      <c r="IG6" s="14">
        <f t="shared" ca="1" si="4"/>
        <v>44047</v>
      </c>
      <c r="IH6" s="14">
        <f t="shared" ca="1" si="4"/>
        <v>44050</v>
      </c>
      <c r="II6" s="14">
        <f t="shared" ca="1" si="4"/>
        <v>44053</v>
      </c>
      <c r="IJ6" s="14">
        <f t="shared" ca="1" si="4"/>
        <v>44056</v>
      </c>
      <c r="IK6" s="14">
        <f t="shared" ca="1" si="4"/>
        <v>44059</v>
      </c>
      <c r="IL6" s="14">
        <f t="shared" ca="1" si="4"/>
        <v>44062</v>
      </c>
      <c r="IM6" s="14">
        <f t="shared" ca="1" si="4"/>
        <v>44065</v>
      </c>
      <c r="IN6" s="14">
        <f t="shared" ca="1" si="4"/>
        <v>44068</v>
      </c>
      <c r="IO6" s="14">
        <f t="shared" ca="1" si="4"/>
        <v>44071</v>
      </c>
      <c r="IP6" s="14">
        <f t="shared" ca="1" si="4"/>
        <v>44074</v>
      </c>
      <c r="IQ6" s="14">
        <f t="shared" ca="1" si="4"/>
        <v>44077</v>
      </c>
      <c r="IR6" s="14">
        <f t="shared" ca="1" si="4"/>
        <v>44080</v>
      </c>
      <c r="IS6" s="14">
        <f t="shared" ca="1" si="4"/>
        <v>44083</v>
      </c>
      <c r="IT6" s="14">
        <f t="shared" ca="1" si="4"/>
        <v>44086</v>
      </c>
      <c r="IU6" s="14">
        <f t="shared" ca="1" si="4"/>
        <v>44089</v>
      </c>
      <c r="IV6" s="14">
        <f t="shared" ca="1" si="4"/>
        <v>44092</v>
      </c>
      <c r="IW6" s="14">
        <f t="shared" ca="1" si="4"/>
        <v>44095</v>
      </c>
      <c r="IX6" s="14">
        <f t="shared" ca="1" si="4"/>
        <v>44098</v>
      </c>
      <c r="IY6" s="14">
        <f t="shared" ca="1" si="4"/>
        <v>44101</v>
      </c>
      <c r="IZ6" s="14">
        <f t="shared" ca="1" si="4"/>
        <v>44104</v>
      </c>
      <c r="JA6" s="14">
        <f t="shared" ca="1" si="4"/>
        <v>44107</v>
      </c>
      <c r="JB6" s="14">
        <f t="shared" ca="1" si="4"/>
        <v>44110</v>
      </c>
      <c r="JC6" s="14">
        <f t="shared" ca="1" si="4"/>
        <v>44113</v>
      </c>
      <c r="JD6" s="14">
        <f t="shared" ca="1" si="4"/>
        <v>44116</v>
      </c>
      <c r="JE6" s="14">
        <f t="shared" ca="1" si="4"/>
        <v>44119</v>
      </c>
      <c r="JF6" s="14">
        <f t="shared" ca="1" si="4"/>
        <v>44122</v>
      </c>
      <c r="JG6" s="14">
        <f t="shared" ca="1" si="4"/>
        <v>44125</v>
      </c>
      <c r="JH6" s="14">
        <f t="shared" ca="1" si="4"/>
        <v>44128</v>
      </c>
      <c r="JI6" s="14">
        <f t="shared" ca="1" si="4"/>
        <v>44131</v>
      </c>
      <c r="JJ6" s="14">
        <f t="shared" ca="1" si="4"/>
        <v>44134</v>
      </c>
      <c r="JK6" s="14">
        <f t="shared" ref="JK6:LV6" ca="1" si="5">TODAY()+((COLUMN()-$H$4)*$N$3)</f>
        <v>44137</v>
      </c>
      <c r="JL6" s="14">
        <f t="shared" ca="1" si="5"/>
        <v>44140</v>
      </c>
      <c r="JM6" s="14">
        <f t="shared" ca="1" si="5"/>
        <v>44143</v>
      </c>
      <c r="JN6" s="14">
        <f t="shared" ca="1" si="5"/>
        <v>44146</v>
      </c>
      <c r="JO6" s="14">
        <f t="shared" ca="1" si="5"/>
        <v>44149</v>
      </c>
      <c r="JP6" s="14">
        <f t="shared" ca="1" si="5"/>
        <v>44152</v>
      </c>
      <c r="JQ6" s="14">
        <f t="shared" ca="1" si="5"/>
        <v>44155</v>
      </c>
      <c r="JR6" s="14">
        <f t="shared" ca="1" si="5"/>
        <v>44158</v>
      </c>
      <c r="JS6" s="14">
        <f t="shared" ca="1" si="5"/>
        <v>44161</v>
      </c>
      <c r="JT6" s="14">
        <f t="shared" ca="1" si="5"/>
        <v>44164</v>
      </c>
      <c r="JU6" s="14">
        <f t="shared" ca="1" si="5"/>
        <v>44167</v>
      </c>
      <c r="JV6" s="14">
        <f t="shared" ca="1" si="5"/>
        <v>44170</v>
      </c>
      <c r="JW6" s="14">
        <f t="shared" ca="1" si="5"/>
        <v>44173</v>
      </c>
      <c r="JX6" s="14">
        <f t="shared" ca="1" si="5"/>
        <v>44176</v>
      </c>
      <c r="JY6" s="14">
        <f t="shared" ca="1" si="5"/>
        <v>44179</v>
      </c>
      <c r="JZ6" s="14">
        <f t="shared" ca="1" si="5"/>
        <v>44182</v>
      </c>
      <c r="KA6" s="14">
        <f t="shared" ca="1" si="5"/>
        <v>44185</v>
      </c>
      <c r="KB6" s="14">
        <f t="shared" ca="1" si="5"/>
        <v>44188</v>
      </c>
      <c r="KC6" s="14">
        <f t="shared" ca="1" si="5"/>
        <v>44191</v>
      </c>
      <c r="KD6" s="14">
        <f t="shared" ca="1" si="5"/>
        <v>44194</v>
      </c>
      <c r="KE6" s="14">
        <f t="shared" ca="1" si="5"/>
        <v>44197</v>
      </c>
      <c r="KF6" s="14">
        <f t="shared" ca="1" si="5"/>
        <v>44200</v>
      </c>
      <c r="KG6" s="14">
        <f t="shared" ca="1" si="5"/>
        <v>44203</v>
      </c>
      <c r="KH6" s="14">
        <f t="shared" ca="1" si="5"/>
        <v>44206</v>
      </c>
      <c r="KI6" s="14">
        <f t="shared" ca="1" si="5"/>
        <v>44209</v>
      </c>
      <c r="KJ6" s="14">
        <f t="shared" ca="1" si="5"/>
        <v>44212</v>
      </c>
      <c r="KK6" s="14">
        <f t="shared" ca="1" si="5"/>
        <v>44215</v>
      </c>
      <c r="KL6" s="14">
        <f t="shared" ca="1" si="5"/>
        <v>44218</v>
      </c>
      <c r="KM6" s="14">
        <f t="shared" ca="1" si="5"/>
        <v>44221</v>
      </c>
      <c r="KN6" s="14">
        <f t="shared" ca="1" si="5"/>
        <v>44224</v>
      </c>
      <c r="KO6" s="14">
        <f t="shared" ca="1" si="5"/>
        <v>44227</v>
      </c>
      <c r="KP6" s="14">
        <f t="shared" ca="1" si="5"/>
        <v>44230</v>
      </c>
      <c r="KQ6" s="14">
        <f t="shared" ca="1" si="5"/>
        <v>44233</v>
      </c>
      <c r="KR6" s="14">
        <f t="shared" ca="1" si="5"/>
        <v>44236</v>
      </c>
      <c r="KS6" s="14">
        <f t="shared" ca="1" si="5"/>
        <v>44239</v>
      </c>
      <c r="KT6" s="14">
        <f t="shared" ca="1" si="5"/>
        <v>44242</v>
      </c>
      <c r="KU6" s="14">
        <f t="shared" ca="1" si="5"/>
        <v>44245</v>
      </c>
      <c r="KV6" s="14">
        <f t="shared" ca="1" si="5"/>
        <v>44248</v>
      </c>
      <c r="KW6" s="14">
        <f t="shared" ca="1" si="5"/>
        <v>44251</v>
      </c>
      <c r="KX6" s="14">
        <f t="shared" ca="1" si="5"/>
        <v>44254</v>
      </c>
      <c r="KY6" s="14">
        <f t="shared" ca="1" si="5"/>
        <v>44257</v>
      </c>
      <c r="KZ6" s="14">
        <f t="shared" ca="1" si="5"/>
        <v>44260</v>
      </c>
      <c r="LA6" s="14">
        <f t="shared" ca="1" si="5"/>
        <v>44263</v>
      </c>
      <c r="LB6" s="14">
        <f t="shared" ca="1" si="5"/>
        <v>44266</v>
      </c>
      <c r="LC6" s="14">
        <f t="shared" ca="1" si="5"/>
        <v>44269</v>
      </c>
      <c r="LD6" s="14">
        <f t="shared" ca="1" si="5"/>
        <v>44272</v>
      </c>
      <c r="LE6" s="14">
        <f t="shared" ca="1" si="5"/>
        <v>44275</v>
      </c>
      <c r="LF6" s="14">
        <f t="shared" ca="1" si="5"/>
        <v>44278</v>
      </c>
      <c r="LG6" s="14">
        <f t="shared" ca="1" si="5"/>
        <v>44281</v>
      </c>
      <c r="LH6" s="14">
        <f t="shared" ca="1" si="5"/>
        <v>44284</v>
      </c>
      <c r="LI6" s="14">
        <f t="shared" ca="1" si="5"/>
        <v>44287</v>
      </c>
      <c r="LJ6" s="14">
        <f t="shared" ca="1" si="5"/>
        <v>44290</v>
      </c>
      <c r="LK6" s="14">
        <f t="shared" ca="1" si="5"/>
        <v>44293</v>
      </c>
      <c r="LL6" s="14">
        <f t="shared" ca="1" si="5"/>
        <v>44296</v>
      </c>
      <c r="LM6" s="14">
        <f t="shared" ca="1" si="5"/>
        <v>44299</v>
      </c>
      <c r="LN6" s="14">
        <f t="shared" ca="1" si="5"/>
        <v>44302</v>
      </c>
      <c r="LO6" s="14">
        <f t="shared" ca="1" si="5"/>
        <v>44305</v>
      </c>
      <c r="LP6" s="14">
        <f t="shared" ca="1" si="5"/>
        <v>44308</v>
      </c>
      <c r="LQ6" s="14">
        <f t="shared" ca="1" si="5"/>
        <v>44311</v>
      </c>
      <c r="LR6" s="14">
        <f t="shared" ca="1" si="5"/>
        <v>44314</v>
      </c>
      <c r="LS6" s="14">
        <f t="shared" ca="1" si="5"/>
        <v>44317</v>
      </c>
      <c r="LT6" s="14">
        <f t="shared" ca="1" si="5"/>
        <v>44320</v>
      </c>
      <c r="LU6" s="14">
        <f t="shared" ca="1" si="5"/>
        <v>44323</v>
      </c>
      <c r="LV6" s="14">
        <f t="shared" ca="1" si="5"/>
        <v>44326</v>
      </c>
      <c r="LW6" s="14">
        <f t="shared" ref="LW6:NA6" ca="1" si="6">TODAY()+((COLUMN()-$H$4)*$N$3)</f>
        <v>44329</v>
      </c>
      <c r="LX6" s="14">
        <f t="shared" ca="1" si="6"/>
        <v>44332</v>
      </c>
      <c r="LY6" s="14">
        <f t="shared" ca="1" si="6"/>
        <v>44335</v>
      </c>
      <c r="LZ6" s="14">
        <f t="shared" ca="1" si="6"/>
        <v>44338</v>
      </c>
      <c r="MA6" s="14">
        <f t="shared" ca="1" si="6"/>
        <v>44341</v>
      </c>
      <c r="MB6" s="14">
        <f t="shared" ca="1" si="6"/>
        <v>44344</v>
      </c>
      <c r="MC6" s="14">
        <f t="shared" ca="1" si="6"/>
        <v>44347</v>
      </c>
      <c r="MD6" s="14">
        <f t="shared" ca="1" si="6"/>
        <v>44350</v>
      </c>
      <c r="ME6" s="14">
        <f t="shared" ca="1" si="6"/>
        <v>44353</v>
      </c>
      <c r="MF6" s="14">
        <f t="shared" ca="1" si="6"/>
        <v>44356</v>
      </c>
      <c r="MG6" s="14">
        <f t="shared" ca="1" si="6"/>
        <v>44359</v>
      </c>
      <c r="MH6" s="14">
        <f t="shared" ca="1" si="6"/>
        <v>44362</v>
      </c>
      <c r="MI6" s="14">
        <f t="shared" ca="1" si="6"/>
        <v>44365</v>
      </c>
      <c r="MJ6" s="14">
        <f t="shared" ca="1" si="6"/>
        <v>44368</v>
      </c>
      <c r="MK6" s="14">
        <f t="shared" ca="1" si="6"/>
        <v>44371</v>
      </c>
      <c r="ML6" s="14">
        <f t="shared" ca="1" si="6"/>
        <v>44374</v>
      </c>
      <c r="MM6" s="14">
        <f t="shared" ca="1" si="6"/>
        <v>44377</v>
      </c>
      <c r="MN6" s="14">
        <f t="shared" ca="1" si="6"/>
        <v>44380</v>
      </c>
      <c r="MO6" s="14">
        <f t="shared" ca="1" si="6"/>
        <v>44383</v>
      </c>
      <c r="MP6" s="14">
        <f t="shared" ca="1" si="6"/>
        <v>44386</v>
      </c>
      <c r="MQ6" s="14">
        <f t="shared" ca="1" si="6"/>
        <v>44389</v>
      </c>
      <c r="MR6" s="14">
        <f t="shared" ca="1" si="6"/>
        <v>44392</v>
      </c>
      <c r="MS6" s="14">
        <f t="shared" ca="1" si="6"/>
        <v>44395</v>
      </c>
      <c r="MT6" s="14">
        <f t="shared" ca="1" si="6"/>
        <v>44398</v>
      </c>
      <c r="MU6" s="14">
        <f t="shared" ca="1" si="6"/>
        <v>44401</v>
      </c>
      <c r="MV6" s="14">
        <f t="shared" ca="1" si="6"/>
        <v>44404</v>
      </c>
      <c r="MW6" s="14">
        <f t="shared" ca="1" si="6"/>
        <v>44407</v>
      </c>
      <c r="MX6" s="14">
        <f t="shared" ca="1" si="6"/>
        <v>44410</v>
      </c>
      <c r="MY6" s="14">
        <f t="shared" ca="1" si="6"/>
        <v>44413</v>
      </c>
      <c r="MZ6" s="14">
        <f t="shared" ca="1" si="6"/>
        <v>44416</v>
      </c>
      <c r="NA6" s="14">
        <f t="shared" ca="1" si="6"/>
        <v>44419</v>
      </c>
    </row>
    <row r="7" spans="1:367" s="2" customFormat="1" ht="24" customHeight="1" x14ac:dyDescent="0.25">
      <c r="A7" s="100" t="s">
        <v>247</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t="s">
        <v>580</v>
      </c>
      <c r="B8" s="34" t="s">
        <v>581</v>
      </c>
      <c r="C8" s="34" t="s">
        <v>582</v>
      </c>
      <c r="D8" s="33">
        <v>43302</v>
      </c>
      <c r="E8" s="17">
        <v>43305</v>
      </c>
      <c r="F8" s="126">
        <v>0</v>
      </c>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c r="B9" s="30" t="s">
        <v>581</v>
      </c>
      <c r="C9" s="16" t="s">
        <v>583</v>
      </c>
      <c r="D9" s="16">
        <v>43305</v>
      </c>
      <c r="E9" s="17">
        <v>43309</v>
      </c>
      <c r="F9" s="4">
        <v>0</v>
      </c>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v>43313</v>
      </c>
      <c r="E10" s="17">
        <v>43321</v>
      </c>
      <c r="F10" s="4">
        <v>1</v>
      </c>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v>43327</v>
      </c>
      <c r="E12" s="17">
        <v>31.08</v>
      </c>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254</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8:E333">
    <cfRule type="cellIs" dxfId="33" priority="173" operator="lessThanOrEqual">
      <formula>TODAY()</formula>
    </cfRule>
    <cfRule type="cellIs" dxfId="32" priority="174" operator="greaterThan">
      <formula>TODAY()</formula>
    </cfRule>
  </conditionalFormatting>
  <conditionalFormatting sqref="E8: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I7:XFD8 A30:XFD30 A38:XFD38 A5:XFD6 A4:T4 V4:XFD4 A1:XFD3 A48:XFD48 A55:XFD55 A59:XFD1048576 B25:XFD29 B31:XFD37 B49:XFD54 B56:XFD58 B39:XFD47 A9:XFD24 D16:E25 A7:G8">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vt:lpstr>
      <vt:lpstr>Journal</vt:lpstr>
      <vt:lpstr>Life Map</vt:lpstr>
      <vt:lpstr>Revision Planning</vt:lpstr>
      <vt:lpstr>Current Tasks</vt:lpstr>
      <vt:lpstr>Life Planner</vt:lpstr>
      <vt:lpstr>GAANT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2018-09-02T09:45:32Z</dcterms:modified>
</cp:coreProperties>
</file>