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060" windowWidth="38400" windowHeight="21045" tabRatio="540"/>
  </bookViews>
  <sheets>
    <sheet name="Life Planner" sheetId="6" r:id="rId1"/>
    <sheet name="Journal" sheetId="3" r:id="rId2"/>
    <sheet name="Upload Release Sheet" sheetId="14" r:id="rId3"/>
    <sheet name="Life Map" sheetId="11" r:id="rId4"/>
    <sheet name="Current Tasks" sheetId="9" r:id="rId5"/>
    <sheet name="Workout Planner" sheetId="12" r:id="rId6"/>
    <sheet name="GAANT" sheetId="1" r:id="rId7"/>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1" i="6" l="1"/>
  <c r="B20" i="12" l="1"/>
  <c r="B50" i="12"/>
  <c r="B8" i="12"/>
  <c r="B9"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A2" i="11"/>
  <c r="A1" i="11"/>
  <c r="A2" i="9"/>
  <c r="A1" i="9"/>
  <c r="H4" i="1"/>
  <c r="W6" i="1" s="1"/>
  <c r="C4" i="1"/>
  <c r="A2" i="6"/>
  <c r="A3" i="6" s="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2" i="6"/>
  <c r="A13" i="6"/>
  <c r="A14" i="6"/>
  <c r="A15" i="6"/>
  <c r="A16" i="6"/>
  <c r="A17" i="6"/>
  <c r="A18" i="6"/>
  <c r="A19" i="6"/>
  <c r="A20" i="6"/>
  <c r="A21" i="6"/>
  <c r="A22" i="6"/>
  <c r="A23" i="6"/>
  <c r="A24" i="6"/>
  <c r="A25" i="6"/>
  <c r="A26" i="6"/>
  <c r="A27" i="6"/>
  <c r="A28" i="6"/>
  <c r="A29" i="6"/>
  <c r="A30" i="6"/>
  <c r="A8" i="6"/>
  <c r="A7" i="6"/>
  <c r="A1" i="6"/>
  <c r="C6" i="3"/>
  <c r="E6" i="3"/>
  <c r="MX6" i="1" l="1"/>
  <c r="JN6" i="1"/>
  <c r="HW6" i="1"/>
  <c r="HG6" i="1"/>
  <c r="FO6" i="1"/>
  <c r="MO6" i="1"/>
  <c r="EU6" i="1"/>
  <c r="LJ6" i="1"/>
  <c r="CU6" i="1"/>
  <c r="MQ6" i="1"/>
  <c r="LT6" i="1"/>
  <c r="JW6" i="1"/>
  <c r="CE6" i="1"/>
  <c r="EY6" i="1"/>
  <c r="HB6" i="1"/>
  <c r="LB6" i="1"/>
  <c r="GQ6" i="1"/>
  <c r="BG6" i="1"/>
  <c r="L6" i="1"/>
  <c r="KT6" i="1"/>
  <c r="GL6" i="1"/>
  <c r="AY6" i="1"/>
  <c r="H6" i="1"/>
  <c r="ME6" i="1"/>
  <c r="KM6" i="1"/>
  <c r="IH6" i="1"/>
  <c r="GE6" i="1"/>
  <c r="DS6" i="1"/>
  <c r="AI6" i="1"/>
  <c r="JC6" i="1"/>
  <c r="BO6" i="1"/>
  <c r="IX6" i="1"/>
  <c r="MH6" i="1"/>
  <c r="IQ6" i="1"/>
  <c r="MZ6" i="1"/>
  <c r="LX6" i="1"/>
  <c r="KI6" i="1"/>
  <c r="IA6" i="1"/>
  <c r="FV6" i="1"/>
  <c r="DK6" i="1"/>
  <c r="O6" i="1"/>
  <c r="MS6" i="1"/>
  <c r="LR6" i="1"/>
  <c r="JS6" i="1"/>
  <c r="HK6" i="1"/>
  <c r="FK6" i="1"/>
  <c r="CM6" i="1"/>
  <c r="LD6" i="1"/>
  <c r="MJ6" i="1"/>
  <c r="EP6" i="1"/>
  <c r="EA6" i="1"/>
  <c r="K6" i="1"/>
  <c r="MW6" i="1"/>
  <c r="MN6" i="1"/>
  <c r="MB6" i="1"/>
  <c r="LO6" i="1"/>
  <c r="KY6" i="1"/>
  <c r="KE6" i="1"/>
  <c r="JK6" i="1"/>
  <c r="IP6" i="1"/>
  <c r="HS6" i="1"/>
  <c r="GY6" i="1"/>
  <c r="GD6" i="1"/>
  <c r="FG6" i="1"/>
  <c r="EM6" i="1"/>
  <c r="DJ6" i="1"/>
  <c r="CD6" i="1"/>
  <c r="AX6" i="1"/>
  <c r="R6" i="1"/>
  <c r="J6" i="1"/>
  <c r="MV6" i="1"/>
  <c r="MM6" i="1"/>
  <c r="MA6" i="1"/>
  <c r="LL6" i="1"/>
  <c r="KV6" i="1"/>
  <c r="KD6" i="1"/>
  <c r="JG6" i="1"/>
  <c r="IM6" i="1"/>
  <c r="HR6" i="1"/>
  <c r="GU6" i="1"/>
  <c r="GA6" i="1"/>
  <c r="FF6" i="1"/>
  <c r="EI6" i="1"/>
  <c r="DC6" i="1"/>
  <c r="BW6" i="1"/>
  <c r="AQ6" i="1"/>
  <c r="I6" i="1"/>
  <c r="MU6" i="1"/>
  <c r="MK6" i="1"/>
  <c r="LZ6" i="1"/>
  <c r="LK6" i="1"/>
  <c r="KU6" i="1"/>
  <c r="KA6" i="1"/>
  <c r="JF6" i="1"/>
  <c r="II6" i="1"/>
  <c r="HO6" i="1"/>
  <c r="GT6" i="1"/>
  <c r="FW6" i="1"/>
  <c r="FC6" i="1"/>
  <c r="EH6" i="1"/>
  <c r="DB6" i="1"/>
  <c r="BV6" i="1"/>
  <c r="AP6" i="1"/>
  <c r="NA6" i="1"/>
  <c r="MR6" i="1"/>
  <c r="MI6" i="1"/>
  <c r="LW6" i="1"/>
  <c r="LG6" i="1"/>
  <c r="KQ6" i="1"/>
  <c r="JV6" i="1"/>
  <c r="IY6" i="1"/>
  <c r="IE6" i="1"/>
  <c r="HJ6" i="1"/>
  <c r="GM6" i="1"/>
  <c r="FS6" i="1"/>
  <c r="EX6" i="1"/>
  <c r="DZ6" i="1"/>
  <c r="CT6" i="1"/>
  <c r="BN6" i="1"/>
  <c r="AH6" i="1"/>
  <c r="AA6" i="1"/>
  <c r="MY6" i="1"/>
  <c r="MP6" i="1"/>
  <c r="MF6" i="1"/>
  <c r="LS6" i="1"/>
  <c r="LC6" i="1"/>
  <c r="KL6" i="1"/>
  <c r="JO6" i="1"/>
  <c r="IU6" i="1"/>
  <c r="HZ6" i="1"/>
  <c r="HC6" i="1"/>
  <c r="GI6" i="1"/>
  <c r="FN6" i="1"/>
  <c r="EQ6" i="1"/>
  <c r="DR6" i="1"/>
  <c r="CL6" i="1"/>
  <c r="BF6" i="1"/>
  <c r="Z6" i="1"/>
  <c r="EE6" i="1"/>
  <c r="DW6" i="1"/>
  <c r="DO6" i="1"/>
  <c r="DG6" i="1"/>
  <c r="CY6" i="1"/>
  <c r="CQ6" i="1"/>
  <c r="CI6" i="1"/>
  <c r="CA6" i="1"/>
  <c r="BS6" i="1"/>
  <c r="BK6" i="1"/>
  <c r="BC6" i="1"/>
  <c r="AU6" i="1"/>
  <c r="AM6" i="1"/>
  <c r="AE6" i="1"/>
  <c r="V6" i="1"/>
  <c r="N6" i="1"/>
  <c r="MT6" i="1"/>
  <c r="ML6" i="1"/>
  <c r="MD6" i="1"/>
  <c r="LV6" i="1"/>
  <c r="LN6" i="1"/>
  <c r="LF6" i="1"/>
  <c r="KX6" i="1"/>
  <c r="KP6" i="1"/>
  <c r="KH6" i="1"/>
  <c r="JZ6" i="1"/>
  <c r="JR6" i="1"/>
  <c r="JJ6" i="1"/>
  <c r="JB6" i="1"/>
  <c r="IT6" i="1"/>
  <c r="IL6" i="1"/>
  <c r="ID6" i="1"/>
  <c r="HV6" i="1"/>
  <c r="HN6" i="1"/>
  <c r="HF6" i="1"/>
  <c r="GX6" i="1"/>
  <c r="GP6" i="1"/>
  <c r="GH6" i="1"/>
  <c r="FZ6" i="1"/>
  <c r="FR6" i="1"/>
  <c r="FJ6" i="1"/>
  <c r="FB6" i="1"/>
  <c r="ET6" i="1"/>
  <c r="EL6" i="1"/>
  <c r="ED6" i="1"/>
  <c r="DV6" i="1"/>
  <c r="DN6" i="1"/>
  <c r="DF6" i="1"/>
  <c r="CX6" i="1"/>
  <c r="CP6" i="1"/>
  <c r="CH6" i="1"/>
  <c r="BZ6" i="1"/>
  <c r="BR6" i="1"/>
  <c r="BJ6" i="1"/>
  <c r="BB6" i="1"/>
  <c r="AT6" i="1"/>
  <c r="AL6" i="1"/>
  <c r="AD6" i="1"/>
  <c r="U6" i="1"/>
  <c r="P6" i="1"/>
  <c r="MC6" i="1"/>
  <c r="LU6" i="1"/>
  <c r="LM6" i="1"/>
  <c r="LE6" i="1"/>
  <c r="KW6" i="1"/>
  <c r="KO6" i="1"/>
  <c r="KG6" i="1"/>
  <c r="JY6" i="1"/>
  <c r="JQ6" i="1"/>
  <c r="JI6" i="1"/>
  <c r="JA6" i="1"/>
  <c r="IS6" i="1"/>
  <c r="IK6" i="1"/>
  <c r="IC6" i="1"/>
  <c r="HU6" i="1"/>
  <c r="HM6" i="1"/>
  <c r="HE6" i="1"/>
  <c r="GW6" i="1"/>
  <c r="GO6" i="1"/>
  <c r="GG6" i="1"/>
  <c r="FY6" i="1"/>
  <c r="FQ6" i="1"/>
  <c r="FI6" i="1"/>
  <c r="FA6" i="1"/>
  <c r="ES6" i="1"/>
  <c r="EK6" i="1"/>
  <c r="EC6" i="1"/>
  <c r="DU6" i="1"/>
  <c r="DM6" i="1"/>
  <c r="DE6" i="1"/>
  <c r="CW6" i="1"/>
  <c r="CO6" i="1"/>
  <c r="CG6" i="1"/>
  <c r="BY6" i="1"/>
  <c r="BQ6" i="1"/>
  <c r="BI6" i="1"/>
  <c r="BA6" i="1"/>
  <c r="AS6" i="1"/>
  <c r="AK6" i="1"/>
  <c r="AC6" i="1"/>
  <c r="S6" i="1"/>
  <c r="Y6" i="1"/>
  <c r="KN6" i="1"/>
  <c r="KF6" i="1"/>
  <c r="JX6" i="1"/>
  <c r="JP6" i="1"/>
  <c r="JH6" i="1"/>
  <c r="IZ6" i="1"/>
  <c r="IR6" i="1"/>
  <c r="IJ6" i="1"/>
  <c r="IB6" i="1"/>
  <c r="HT6" i="1"/>
  <c r="HL6" i="1"/>
  <c r="HD6" i="1"/>
  <c r="GV6" i="1"/>
  <c r="GN6" i="1"/>
  <c r="GF6" i="1"/>
  <c r="FX6" i="1"/>
  <c r="FP6" i="1"/>
  <c r="FH6" i="1"/>
  <c r="EZ6" i="1"/>
  <c r="ER6" i="1"/>
  <c r="EJ6" i="1"/>
  <c r="EB6" i="1"/>
  <c r="DT6" i="1"/>
  <c r="DL6" i="1"/>
  <c r="DD6" i="1"/>
  <c r="CV6" i="1"/>
  <c r="CN6" i="1"/>
  <c r="CF6" i="1"/>
  <c r="BX6" i="1"/>
  <c r="BP6" i="1"/>
  <c r="BH6" i="1"/>
  <c r="AZ6" i="1"/>
  <c r="AR6" i="1"/>
  <c r="AJ6" i="1"/>
  <c r="AB6" i="1"/>
  <c r="Q6" i="1"/>
  <c r="M6" i="1"/>
  <c r="MG6" i="1"/>
  <c r="LY6" i="1"/>
  <c r="LQ6" i="1"/>
  <c r="LI6" i="1"/>
  <c r="LA6" i="1"/>
  <c r="KS6" i="1"/>
  <c r="KK6" i="1"/>
  <c r="KC6" i="1"/>
  <c r="JU6" i="1"/>
  <c r="JM6" i="1"/>
  <c r="JE6" i="1"/>
  <c r="IW6" i="1"/>
  <c r="IO6" i="1"/>
  <c r="IG6" i="1"/>
  <c r="HY6" i="1"/>
  <c r="HQ6" i="1"/>
  <c r="HI6" i="1"/>
  <c r="HA6" i="1"/>
  <c r="GS6" i="1"/>
  <c r="GK6" i="1"/>
  <c r="GC6" i="1"/>
  <c r="FU6" i="1"/>
  <c r="FM6" i="1"/>
  <c r="FE6" i="1"/>
  <c r="EW6" i="1"/>
  <c r="EO6" i="1"/>
  <c r="EG6" i="1"/>
  <c r="DY6" i="1"/>
  <c r="DQ6" i="1"/>
  <c r="DI6" i="1"/>
  <c r="DA6" i="1"/>
  <c r="CS6" i="1"/>
  <c r="CK6" i="1"/>
  <c r="CC6" i="1"/>
  <c r="BU6" i="1"/>
  <c r="BM6" i="1"/>
  <c r="BE6" i="1"/>
  <c r="AW6" i="1"/>
  <c r="AO6" i="1"/>
  <c r="AG6" i="1"/>
  <c r="X6" i="1"/>
  <c r="T6" i="1"/>
  <c r="LP6" i="1"/>
  <c r="LH6" i="1"/>
  <c r="KZ6" i="1"/>
  <c r="KR6" i="1"/>
  <c r="KJ6" i="1"/>
  <c r="KB6" i="1"/>
  <c r="JT6" i="1"/>
  <c r="JL6" i="1"/>
  <c r="JD6" i="1"/>
  <c r="IV6" i="1"/>
  <c r="IN6" i="1"/>
  <c r="IF6" i="1"/>
  <c r="HX6" i="1"/>
  <c r="HP6" i="1"/>
  <c r="HH6" i="1"/>
  <c r="GZ6" i="1"/>
  <c r="GR6" i="1"/>
  <c r="GJ6" i="1"/>
  <c r="GB6" i="1"/>
  <c r="FT6" i="1"/>
  <c r="FL6" i="1"/>
  <c r="FD6" i="1"/>
  <c r="EV6" i="1"/>
  <c r="EN6" i="1"/>
  <c r="EF6" i="1"/>
  <c r="DX6" i="1"/>
  <c r="DP6" i="1"/>
  <c r="DH6" i="1"/>
  <c r="CZ6" i="1"/>
  <c r="CR6" i="1"/>
  <c r="CJ6" i="1"/>
  <c r="CB6" i="1"/>
  <c r="BT6" i="1"/>
  <c r="BL6" i="1"/>
  <c r="BD6" i="1"/>
  <c r="AV6" i="1"/>
  <c r="AN6" i="1"/>
  <c r="AF6" i="1"/>
</calcChain>
</file>

<file path=xl/sharedStrings.xml><?xml version="1.0" encoding="utf-8"?>
<sst xmlns="http://schemas.openxmlformats.org/spreadsheetml/2006/main" count="701" uniqueCount="611">
  <si>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</si>
  <si>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</si>
  <si>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</si>
  <si>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</si>
  <si>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</si>
  <si>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</si>
  <si>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</si>
  <si>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</si>
  <si>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</si>
  <si>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</si>
  <si>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</si>
  <si>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</si>
  <si>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</si>
  <si>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</si>
  <si>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</si>
  <si>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</si>
  <si>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</si>
  <si>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</si>
  <si>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</si>
  <si>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</si>
  <si>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</si>
  <si>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</si>
  <si>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</si>
  <si>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</si>
  <si>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</si>
  <si>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</si>
  <si>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</si>
  <si>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</si>
  <si>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</si>
  <si>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</si>
  <si>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</si>
  <si>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</si>
  <si>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</si>
  <si>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</si>
  <si>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</si>
  <si>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</si>
  <si>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</si>
  <si>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</si>
  <si>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</si>
  <si>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</si>
  <si>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</si>
  <si>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</si>
  <si>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</si>
  <si>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</si>
  <si>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</si>
  <si>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</si>
  <si>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</si>
  <si>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</si>
  <si>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</si>
  <si>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</si>
  <si>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</si>
  <si>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</si>
  <si>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</si>
  <si>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</si>
  <si>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</si>
  <si>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</si>
  <si>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</si>
  <si>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</si>
  <si>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</si>
  <si>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</si>
  <si>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</si>
  <si>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</si>
  <si>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</si>
  <si>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</si>
  <si>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</si>
  <si>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</si>
  <si>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</si>
  <si>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</si>
  <si>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</si>
  <si>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</si>
  <si>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</si>
  <si>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</si>
  <si>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</si>
  <si>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</si>
  <si>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</si>
  <si>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</si>
  <si>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</si>
  <si>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</si>
  <si>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</si>
  <si>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</si>
  <si>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</si>
  <si>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</si>
  <si>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</si>
  <si>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</si>
  <si>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</si>
  <si>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</si>
  <si>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</si>
  <si>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</si>
  <si>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</si>
  <si>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</si>
  <si>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</si>
  <si>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</si>
  <si>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</si>
  <si>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</si>
  <si>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</si>
  <si>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</si>
  <si>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</si>
  <si>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</si>
  <si>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</si>
  <si>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</si>
  <si>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</si>
  <si>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</si>
  <si>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</si>
  <si>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</si>
  <si>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</si>
  <si>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</si>
  <si>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</si>
  <si>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</si>
  <si>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</si>
  <si>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</si>
  <si>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</si>
  <si>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</si>
  <si>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</si>
  <si>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</si>
  <si>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</si>
  <si>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</si>
  <si>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</si>
  <si>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</si>
  <si>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</si>
  <si>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</si>
  <si>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</si>
  <si>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</si>
  <si>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</si>
  <si>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</si>
  <si>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</si>
  <si>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</si>
  <si>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</si>
  <si>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</si>
  <si>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</si>
  <si>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</si>
  <si>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</si>
  <si>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</si>
  <si>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</si>
  <si>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</si>
  <si>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</si>
  <si>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</si>
  <si>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</si>
  <si>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</si>
  <si>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</si>
  <si>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</si>
  <si>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</si>
  <si>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</si>
  <si>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</si>
  <si>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</si>
  <si>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</si>
  <si>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</si>
  <si>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</si>
  <si>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</si>
  <si>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</si>
  <si>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</si>
  <si>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</si>
  <si>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</si>
  <si>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</si>
  <si>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</si>
  <si>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</si>
  <si>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</si>
  <si>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</si>
  <si>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</si>
  <si>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</si>
  <si>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</si>
  <si>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</si>
  <si>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</si>
  <si>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</si>
  <si>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</si>
  <si>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</si>
  <si>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</si>
  <si>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</si>
  <si>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</si>
  <si>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</si>
  <si>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</si>
  <si>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</si>
  <si>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</si>
  <si>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</si>
  <si>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</si>
  <si>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</si>
  <si>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</si>
  <si>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</si>
  <si>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</si>
  <si>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</si>
  <si>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</si>
  <si>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</si>
  <si>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</si>
  <si>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</si>
  <si>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</si>
  <si>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</si>
  <si>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</si>
  <si>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</si>
  <si>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</si>
  <si>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</si>
  <si>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</si>
  <si>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</si>
  <si>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</si>
  <si>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</si>
  <si>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</si>
  <si>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</si>
  <si>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</si>
  <si>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</si>
  <si>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</si>
  <si>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</si>
  <si>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</si>
  <si>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</si>
  <si>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</si>
  <si>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</si>
  <si>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</si>
  <si>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</si>
  <si>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</si>
  <si>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</si>
  <si>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</si>
  <si>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</si>
  <si>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</si>
  <si>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</si>
  <si>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</si>
  <si>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</si>
  <si>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</si>
  <si>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</si>
  <si>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</si>
  <si>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</si>
  <si>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</si>
  <si>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</si>
  <si>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</si>
  <si>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</si>
  <si>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</si>
  <si>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</si>
  <si>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</si>
  <si>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</si>
  <si>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</si>
  <si>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</si>
  <si>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</si>
  <si>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</si>
  <si>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</si>
  <si>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</si>
  <si>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</si>
  <si>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</si>
  <si>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</si>
  <si>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</si>
  <si>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</si>
  <si>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</si>
  <si>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</si>
  <si>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</si>
  <si>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</si>
  <si>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</si>
  <si>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</si>
  <si>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</si>
  <si>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</si>
  <si>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</si>
  <si>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</si>
  <si>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</si>
  <si>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</si>
  <si>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</si>
  <si>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</si>
  <si>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</si>
  <si>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</si>
  <si>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</si>
  <si>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</si>
  <si>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</si>
  <si>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</si>
  <si>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</si>
  <si>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</si>
  <si>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</si>
  <si>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</si>
  <si>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</si>
  <si>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</si>
  <si>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</si>
  <si>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</si>
  <si>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</si>
  <si>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</si>
  <si>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</si>
  <si>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</si>
  <si>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</si>
  <si>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</si>
  <si>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</si>
  <si>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</si>
  <si>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</si>
  <si>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</si>
  <si>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</si>
  <si>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</si>
  <si>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</si>
  <si>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</si>
  <si>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</si>
  <si>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</si>
  <si>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</si>
  <si>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</si>
  <si>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</si>
  <si>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</si>
  <si>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</si>
  <si>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</si>
  <si>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</si>
  <si>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</si>
  <si>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</si>
  <si>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</si>
  <si>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</si>
  <si>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</si>
  <si>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</si>
  <si>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</si>
  <si>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</si>
  <si>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</si>
  <si>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</si>
  <si>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</si>
  <si>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</si>
  <si>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</si>
  <si>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</si>
  <si>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</si>
  <si>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</si>
  <si>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</si>
  <si>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</si>
  <si>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</si>
  <si>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</si>
  <si>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</si>
  <si>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</si>
  <si>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</si>
  <si>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</si>
  <si>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</si>
  <si>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</si>
  <si>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</si>
  <si>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</si>
  <si>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</si>
  <si>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</si>
  <si>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</si>
  <si>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</si>
  <si>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</si>
  <si>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</si>
  <si>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</si>
  <si>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</si>
  <si>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</si>
  <si>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</si>
  <si>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</si>
  <si>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</si>
  <si>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</si>
  <si>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</si>
  <si>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</si>
  <si>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</si>
  <si>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</si>
  <si>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</si>
  <si>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</si>
  <si>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</si>
  <si>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</si>
  <si>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</si>
  <si>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</si>
  <si>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</si>
  <si>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</si>
  <si>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</si>
  <si>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</si>
  <si>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</si>
  <si>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</si>
  <si>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</si>
  <si>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</si>
  <si>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</si>
  <si>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</si>
  <si>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</si>
  <si>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</si>
  <si>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</si>
  <si>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</si>
  <si>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</si>
  <si>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</si>
  <si>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</si>
  <si>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</si>
  <si>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</si>
  <si>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</si>
  <si>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</si>
  <si>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</si>
  <si>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</si>
  <si>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</si>
  <si>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</si>
  <si>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</si>
  <si>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</si>
  <si>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</si>
  <si>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</si>
  <si>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</si>
  <si>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</si>
  <si>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</si>
  <si>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</si>
  <si>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</si>
  <si>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</si>
  <si>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</si>
  <si>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</si>
  <si>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</si>
  <si>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</si>
  <si>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</si>
  <si>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</si>
  <si>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</si>
  <si>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</si>
  <si>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</si>
  <si>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</si>
  <si>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</si>
  <si>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</si>
  <si>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</si>
  <si>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</si>
  <si>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</si>
  <si>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</si>
  <si>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</si>
  <si>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</si>
  <si>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</si>
  <si>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</si>
  <si>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</si>
  <si>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</si>
  <si>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</si>
  <si>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</si>
  <si>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</si>
  <si>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</si>
  <si>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</si>
  <si>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</si>
  <si>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</si>
  <si>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</si>
  <si>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</si>
  <si>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</si>
  <si>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</si>
  <si>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</si>
  <si>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</si>
  <si>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</si>
  <si>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</si>
  <si>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</si>
  <si>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</si>
  <si>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</si>
  <si>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</si>
  <si>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</si>
  <si>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</si>
  <si>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</si>
  <si>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</si>
  <si>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</si>
  <si>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</si>
  <si>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</si>
  <si>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</si>
  <si>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</si>
  <si>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</si>
  <si>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</si>
  <si>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</si>
  <si>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</si>
  <si>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</si>
  <si>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</si>
  <si>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</si>
  <si>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</si>
  <si>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</si>
  <si>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</si>
  <si>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</si>
  <si>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</si>
  <si>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</si>
  <si>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</si>
  <si>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</si>
  <si>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</si>
  <si>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</si>
  <si>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</si>
  <si>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</si>
  <si>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</si>
  <si>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</si>
  <si>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</si>
  <si>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</si>
  <si>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</si>
  <si>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</si>
  <si>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</si>
  <si>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</si>
  <si>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</si>
  <si>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</si>
  <si>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</si>
  <si>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</si>
  <si>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</si>
  <si>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</si>
  <si>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</si>
  <si>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</si>
  <si>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</si>
  <si>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</si>
  <si>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</si>
  <si>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</si>
  <si>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</si>
  <si>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</si>
  <si>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</si>
  <si>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</si>
  <si>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</si>
  <si>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</si>
  <si>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</si>
  <si>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</si>
  <si>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</si>
  <si>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</si>
  <si>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</si>
  <si>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</si>
  <si>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</si>
  <si>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</si>
  <si>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</si>
  <si>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</si>
  <si>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</si>
  <si>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</si>
  <si>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</si>
  <si>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</si>
  <si>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</si>
  <si>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</si>
  <si>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</si>
  <si>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</si>
  <si>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</si>
  <si>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</si>
  <si>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</si>
  <si>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</si>
  <si>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</si>
  <si>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English</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</si>
  <si>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</si>
  <si>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</si>
  <si>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</si>
  <si>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</si>
  <si>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</si>
  <si>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</si>
  <si>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</si>
  <si>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</si>
  <si>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</si>
  <si>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</si>
  <si>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</si>
  <si>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https://queenslandacademies.blob.core.windows.net/daymap/Resources/16124/Unit%207%20Marketing.pdf?sv=2017-04-17&amp;sr=b&amp;sig=raNNPS4aZekluJaWF1MyN9LYudqCjmYifWXukHiC9pU%3D&amp;se=2018-04-23T02%3A52%3A58Z&amp;sp=r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</si>
  <si>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</si>
  <si>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</si>
  <si>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</si>
  <si>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HITT + Long Distance Combined (PHEW)</t>
  </si>
  <si>
    <t>4.2 KM</t>
  </si>
  <si>
    <t>Wow it was a very easy run and the secret it to play soccer just before because it activates all parts of my body and gives me a nice warmp that I just can't get otherwise. Nice time management btw</t>
  </si>
  <si>
    <t>Run 5 KM , but unfortunately I didn't reach it</t>
  </si>
  <si>
    <t>Bring cold water next time to freshen you up and do it in the morning (3am - 4am as soon as you wake up it really freshens you up)</t>
  </si>
  <si>
    <t>Soccer Warmup
1.5 KM
HITT -&gt; 3.0 KM
Run 1.2 KM</t>
  </si>
  <si>
    <t>Run 6 KM without stopping (2 10 second breaks okay</t>
  </si>
  <si>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</si>
  <si>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</si>
  <si>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</si>
  <si>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</si>
  <si>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</si>
  <si>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</si>
  <si>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</si>
  <si>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</si>
  <si>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</si>
  <si>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</si>
  <si>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</si>
  <si>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</si>
  <si>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</si>
  <si>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</si>
  <si>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</si>
  <si>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</si>
  <si>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</si>
  <si>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</si>
  <si>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</si>
  <si>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Next Week</t>
  </si>
  <si>
    <t>I know I havent talked to you in a while, but I have been really busy with the exams which I have the english sorry today and I need to make sure I do the english today and do it well, just speak clearly and it will be fine..</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</si>
  <si>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</si>
  <si>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</si>
  <si>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</si>
  <si>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</si>
  <si>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</si>
  <si>
    <t>Week 1</t>
  </si>
  <si>
    <t>Monday</t>
  </si>
  <si>
    <t>Tuesday</t>
  </si>
  <si>
    <t>Wednesday</t>
  </si>
  <si>
    <t>Thursday</t>
  </si>
  <si>
    <t>Friday</t>
  </si>
  <si>
    <t>Saturday</t>
  </si>
  <si>
    <t>Sunday</t>
  </si>
  <si>
    <t>Week 2</t>
  </si>
  <si>
    <t>Nefarious Update</t>
  </si>
  <si>
    <t>Video Dev Log</t>
  </si>
  <si>
    <t>Blog Post</t>
  </si>
  <si>
    <t xml:space="preserve">Edit and Upload </t>
  </si>
  <si>
    <t>Record</t>
  </si>
  <si>
    <t>Compile Videos</t>
  </si>
  <si>
    <t>Need a proper layout for the blog, with a structure, I need to use the worpdress plugin on my phone which will automatically responsify the images to work for my website which is easy to use. I want to fix these small things up and then start the promotion process.</t>
  </si>
  <si>
    <t>WEEK 5</t>
  </si>
  <si>
    <t>WEEK 6</t>
  </si>
  <si>
    <t>WEEK 7</t>
  </si>
  <si>
    <t>So cool the website images are responsive now, I am awake now at 3 which it has been a while, the strategy being sleeping at 9 obviously. Well I don't have moms phone which is  ablessing and a curse because with the proper technique the macbook actually have very good sound quality so I will be using that now instead anyway. So I will finish the vocals before 4. And after 4 I will process the vocals properly and begin the editing process. I will determine what goes where and begin collecting some footage for the video until year</t>
  </si>
  <si>
    <t>Yeah I can't do this without the phone. I need to tell mom to keep it out tomorrow so I can use it or something. Maybe this afternoon will be a good itme.</t>
  </si>
  <si>
    <t>Okay I just feel a bit lost now , I feel very lost actually. I finished the website and I finished the player plan, so now I am onto building the player and this is where it is getting hard. I need to create a development log, and once I do that I can begin creating the player controller which is going to be the first real part of the game that I work on which will be fun. So I will work on the script now and then I will work on th game... This YICT Thing will take some time and I will work on it soon enough.</t>
  </si>
  <si>
    <t xml:space="preserve">Okay so I need a plan and I am just going to close my eyes and write this, okay so I have been working very hard on my game and I know that is my priority but I really want to consider many toher things as well - one my rel w k which I need to improve, then I need to focus on my IB studeies which is extremely imoprtant there is no need to just throw that asway okay. But this game is very important and I need to allocate time to it which I am not doing. But this YICT thing is also pretty big in my life and it is getting very complicated very quickly </t>
  </si>
  <si>
    <t>Wow what a turn of events, all of a sudden I am here in the middle of no where because of some random reasons. I am very sad about grandpa passing away and this has enlightened me a lot, even people that work their entire lives die. So you have to work as long as you need to in order to make a difference and then once you finish that you have to enjoy the rest of your tie and give back to those who were closest to you. This is how I am going to be living my life and this is how I advise everyone elese to live as well. I am going to work extra hard before university and work during university and get a lot of money and then I will give back to this world and then I will chill for the rest of my life. Thiss is how I will live</t>
  </si>
  <si>
    <t xml:space="preserve">Okay tlets talk technically now, okay so what stage are you on now I am in the development stage of my player yes. Yes. Okay so I finsihed the webssite sso I have to keep updating that. I need to more importantly make the development log for my game to get things started. This is how it will work, the development logs and website will be my side hustle while the game is my main hustle. This YICT and School is side side hustles even though school will ge more priority from me for now. </t>
  </si>
  <si>
    <t>So I need to understand that the key to all succcess in life, is disciple. I really lack in this factor. I always change the timetable based on what I feel like not on what should have happened. So from now I will follow the time table I have set even if I have no lcue what I am doing I will try and achieve it by getting a clue. Okay I need to focus up my life right now. This YICT is important. Yes. But it doesnt mean you can't focus on your game which is the biggest aspect right now because if you can finish the game then you will be able to go to steam and when you get to steam things wil take off from there. You can make a name for yourself and that is the most important factor. i could even if I wanted from there build an app. But based on this holographic YICT technology, if this becomes big then that's something. I just need to figure out what I am going to be working on in India....
I want to get a bsae prototype of my character controller ready, let's just work on this in my agile plan and make sure I get somethigns done.</t>
  </si>
  <si>
    <t>From now on I promise to myself that I will be disciplied.</t>
  </si>
  <si>
    <t>Today was an emotional day for everyone and I hope thatha reaches heaven and his soul rests in peace for eternity. I loved him very much but I just couldn’t bring myself to cry after how much I had cried before hand at home. But I did take something away from this experience - you must be the hardest worker in the room and you must work hard silently and touch as many people as you can with your time here. You have to touch them emotionally and do something for them so that when you die they cry and tell everyoone how great a person you were. Like there were so many of his patients there saying how he had saved their lives which was just amazing to hear. He worked so hard when he was little to get to where he always wanted to be which is a business man. He worked much much harder than me and I think I can work even harder and this is how I am going to do that - &gt;</t>
  </si>
  <si>
    <r>
      <t xml:space="preserve">You must be the hardest worker but be silent and </t>
    </r>
    <r>
      <rPr>
        <b/>
        <sz val="9"/>
        <color theme="1"/>
        <rFont val="Calibri"/>
        <family val="2"/>
        <scheme val="minor"/>
      </rPr>
      <t>kind</t>
    </r>
    <r>
      <rPr>
        <sz val="9"/>
        <color theme="1"/>
        <rFont val="Calibri"/>
        <family val="2"/>
        <scheme val="minor"/>
      </rPr>
      <t xml:space="preserve"> to everyone - okay lets focus on the hard working part first - hard work is synonomous with working smart. Working smart comes from discipline and that comes from good time management - so this is what I need you to do - whenever you set something on your time table i </t>
    </r>
    <r>
      <rPr>
        <b/>
        <sz val="9"/>
        <color theme="1"/>
        <rFont val="Calibri"/>
        <family val="2"/>
        <scheme val="minor"/>
      </rPr>
      <t xml:space="preserve">owe it to myself and keep a standard for myself that I do what I say I am going to do </t>
    </r>
    <r>
      <rPr>
        <sz val="9"/>
        <color theme="1"/>
        <rFont val="Calibri"/>
        <family val="2"/>
        <scheme val="minor"/>
      </rPr>
      <t xml:space="preserve">next I need to wake up early at 3 o'clock </t>
    </r>
    <r>
      <rPr>
        <b/>
        <sz val="9"/>
        <color theme="1"/>
        <rFont val="Calibri"/>
        <family val="2"/>
        <scheme val="minor"/>
      </rPr>
      <t>everyday</t>
    </r>
    <r>
      <rPr>
        <sz val="9"/>
        <color theme="1"/>
        <rFont val="Calibri"/>
        <family val="2"/>
        <scheme val="minor"/>
      </rPr>
      <t xml:space="preserve"> without fail. There are no excuses. On those days that you fall asleep at 11 oclock you don't set the alarm back. You keep it at the same time and if you don't sleep that day thats fine - you can sleep a bit earlier the next day but you will keep waking up at 3 oclock anyway. Next is taking care of your body - you need to exercise more regularly - for the arms you can work on 200 pushups (working up to it but first you can 100 pushups properly which as effective and then do your usual abs exercises)... Okay then working on the IB - you need to take more notes in class and stop talking to your firends. You need to focus on the content and get your head in the game.</t>
    </r>
  </si>
  <si>
    <t>Okay so I need to talk to you about standards - you need to hold yourself to a whole nother level if you want to go where you want to go -- you have realised how precious life is at India. Bam done and the life is gone. You also know that you are lucky asf that you are born to such a high quality family - like you saw all the kids on the street they are the unlucky ones you are not. Lets make a difference this year. I need this right now I just need to hold myself to another standard. I need to owe myself more - i deserve more - my family deserved more.</t>
  </si>
  <si>
    <r>
      <t xml:space="preserve">So let's make a change - these are the things I want to change - 1. watch your language (that’s all I need to say - easy - just be quiet, don't boast about your hard work - sure you work hard but doesn’t mean you have to tell everyone about it - </t>
    </r>
    <r>
      <rPr>
        <b/>
        <sz val="9"/>
        <color theme="1"/>
        <rFont val="Calibri"/>
        <family val="2"/>
        <scheme val="minor"/>
      </rPr>
      <t>be quiet</t>
    </r>
    <r>
      <rPr>
        <sz val="9"/>
        <color theme="1"/>
        <rFont val="Calibri"/>
        <family val="2"/>
        <scheme val="minor"/>
      </rPr>
      <t xml:space="preserve"> no swearing okay. Keep it quite -if you get angry just relax it ) easy okay. Next is holding yourself to a standard in discipline - if you set a time to do something first understand why you set that there - next you need more time so you will have to wake up at 2-3 oclock </t>
    </r>
    <r>
      <rPr>
        <b/>
        <sz val="9"/>
        <color theme="1"/>
        <rFont val="Calibri"/>
        <family val="2"/>
        <scheme val="minor"/>
      </rPr>
      <t>everyday</t>
    </r>
    <r>
      <rPr>
        <sz val="9"/>
        <color theme="1"/>
        <rFont val="Calibri"/>
        <family val="2"/>
        <scheme val="minor"/>
      </rPr>
      <t xml:space="preserve"> not just 1 or 2 days. EVERYDAY. Application is key. let's do something with all this information in your head. I need to equally operate 100% on all aspects of my life. Let's do ittttttt</t>
    </r>
  </si>
  <si>
    <r>
      <t xml:space="preserve">Okay lets talk about life now, okay this is important - you have to be excited about where you are going in life so lets talk a bit about this - fitness wise I am aiming for those blocky abs that come from a year of dedication . That's fitness I want the vainy big muscles on my arms there is no shame is saying that you want this. In terms of my game I want the full game done and released on steam with many many followers on YouTube and my website by that time. I want to reach upwards of 100,000 subscribers by that point and a fan base of 20,000 on my website. Once I reach this point people will buy my game when it is released for $10 and let's say 22,000 people buy it which is a stretch but yay - then $220,000 woah right. Thats a massive amount and I could easily give back to everyone who gave to me. I will be able to go to the talks and Unity conferences and I think I will take a day or two off to release the game on steam and support those who have helped me for a long time. The following on Twitter, YT and Website will help me out in buying the game. I will use the money to build myself a nice gaming pc to support development. I will be invited as a guest speaker at Unity and other conferences where I will make a lot of contacts. On the side the game will keep growing and soon I will begin development of a extension tto the game which is the multiplayer open world battle royal with players as bomb carriers etc with the entire game except in multiplayer controlling armies which will be awesome and then opening workshops etc and allowing people to extend this game with level designers and hosting those maps etc... Then I will be able to talk to the big blogging sites to get them to promote my game, at this point I will be in the finishing stages of the IB curriculum and would have had a lot of money by then, I am studying very hard and I would have finished taking the SATS and been recognised by MIT and been allowed for an interview. Dad and I will fly over and impress them with my amazing interview and I will soon be living in America with some friends and still be improving the game over theer. When I am there I will secure myself a job in some big game development company wher I will work in a lead role. I will also finish my university to a very high level and be picked by some big ccompanies to work there. While at these companies I will continuously work on my own development projects trying to take my life to the next level, while starting some tech startups with a secured job to make sure that nothing goes wrong like that. But at some point I will have to </t>
    </r>
    <r>
      <rPr>
        <b/>
        <sz val="9"/>
        <color theme="1"/>
        <rFont val="Calibri"/>
        <family val="2"/>
        <scheme val="minor"/>
      </rPr>
      <t>jump</t>
    </r>
    <r>
      <rPr>
        <sz val="9"/>
        <color theme="1"/>
        <rFont val="Calibri"/>
        <family val="2"/>
        <scheme val="minor"/>
      </rPr>
      <t xml:space="preserve"> this is important. Okay now I am very successfull and I will start the startup which I want it to be in the line of immersive games technology and inventing new platforms in which people can game and interact with technology (I want to do something as big as Oculous Rift)... Then I will really become a billionaire. Then I will work on my compnay and build games and become a philathropist starting big companies to save the environment and people. i will give back to everyone who gave to me etc... This is where I want to go in life - this will just be amazing...!!!!!!!!!!!!!!!!!!!!!!!!!!!!!!!!!!!!!!!</t>
    </r>
  </si>
  <si>
    <t>I hate travel.</t>
  </si>
  <si>
    <t>Time is up. Let's get to work now - what is the work? I don’t exactly know what I have to do  - I know I have some work in physics and business. But I really need to focus on keeping the house as clean as possible --- so that'll be the hard part. Wednesday put the clothes in the wash and take it out, wash the dishes when they get dirty and vacuum on saturday and sunday - it's only two weeks so I'll be alright.</t>
  </si>
  <si>
    <t>Don't need to talk too much but here are a few tips -
Wake up at 3:30 - 4:00 which is a good time, and soon progress up slowly…</t>
  </si>
  <si>
    <t>READ 1984 from START</t>
  </si>
  <si>
    <t>I need some type of a study plan………… A guide (written of what I am doing)</t>
  </si>
  <si>
    <t>Begin the assesment by finding a research question and asking the teacher what happened during the break time</t>
  </si>
  <si>
    <t>Finish the data bases, learn about relational databases and learn about what we did for the past few lessons and the import that data into mysql</t>
  </si>
  <si>
    <t>It is important that I read the entire 1984 book again so that I know any excerpt from the book, I also need to practice by doing the homework and writing thesis statements etc.. Practice the structure and analysic</t>
  </si>
  <si>
    <t>Read the book
Do the Tuesday homework</t>
  </si>
  <si>
    <t>Create the helper sheet and then once you do that, follow it and finish everything and revise over and over again..</t>
  </si>
  <si>
    <t>Keep finishing the business</t>
  </si>
  <si>
    <t>Revise the vocabulary and everything that we did for the past week and try and fully understand everything…</t>
  </si>
  <si>
    <t xml:space="preserve">MATHS REVISION AGAIN
- UNIT CIRCLE
- 3D PROBLEM SOLVING (PYTHAGORAS) </t>
  </si>
  <si>
    <t>It's at times like this when you are super overwhelmed that your reveal your true self and the hardworker in you and you can really shine. I love your work ethic when you're under pressure. Keep it up ;)</t>
  </si>
  <si>
    <t>CAKE FOR DENNIS</t>
  </si>
  <si>
    <t>SPANISH SHET</t>
  </si>
  <si>
    <t xml:space="preserve">I feel like shit because I woke up late and then slept again and woke up at 7:44 which is not good and I need to steady myself because I don't feel good ata ll. I need to exercise because I feel like absolute shit. I NEED TO FINISH MY DEVELOPMENT LOG TODAY. Today is one of those days where you just feel stuck and you can't work on ANYTHING yes. I know how this feels. Usually this is when I quit on a project but I won't do it this time. I just feel like shit. Tommorrow will be better.. But I need to progress on the game okay, and I need to 100% make the development log. So I am going to stop the development of the development vlog until I finish the entire player controller, which then I will go over and show show I did it etc.. I will make it interesting on the day I make the video. Like taking short real life segment of videos. Then I will talk about how I made the controller and where it is going to go from there. </t>
  </si>
  <si>
    <r>
      <t xml:space="preserve">In terms of IB and school this is what I need to do - 
I need to clarify all my questions with my teachers, in terms of physics etc.. But I need to do some serious math revisions on the concepts and problem solving because I am behind for sure. Then I must do the Spanish homework that was set because it will actually help me, and I need to know how to do this entire thing properly. Okay good I need sleep. </t>
    </r>
    <r>
      <rPr>
        <b/>
        <sz val="9"/>
        <color theme="1"/>
        <rFont val="Calibri"/>
        <family val="2"/>
        <scheme val="minor"/>
      </rPr>
      <t>Please tomorrow you need to wake up with the right attitude.</t>
    </r>
  </si>
  <si>
    <t>Alright in the development stage this is what I need to do still - 
I have began modelling but I feel stuck in that as well, I need to make sure I stick to the coding side, like I told myself I would. I need to make the slope checking works, this is what i will focus on for the rest of the day. I will fix the slopes PLEASE FINISH THE COMPLEX MOVEMENT AND THEN DO THE CAMERA.</t>
  </si>
  <si>
    <r>
      <t xml:space="preserve">I am going to be making development videos, especially those ones where I take people on an </t>
    </r>
    <r>
      <rPr>
        <b/>
        <sz val="9"/>
        <color theme="1"/>
        <rFont val="Calibri"/>
        <family val="2"/>
        <scheme val="minor"/>
      </rPr>
      <t>interesting journey</t>
    </r>
    <r>
      <rPr>
        <sz val="9"/>
        <color theme="1"/>
        <rFont val="Calibri"/>
        <family val="2"/>
        <scheme val="minor"/>
      </rPr>
      <t xml:space="preserve"> but I will only do that once I finish the player controller.</t>
    </r>
  </si>
  <si>
    <t>PLAYER CONTROLLER</t>
  </si>
  <si>
    <t>Plan for YouTube</t>
  </si>
  <si>
    <t>Design</t>
  </si>
  <si>
    <t>PROBLEM SOLVING / BEARINGS / CONCEPTS (ONLINE)</t>
  </si>
  <si>
    <t>Apply Physics</t>
  </si>
  <si>
    <t>Apply Business</t>
  </si>
  <si>
    <t>Should do English Homework at least 3</t>
  </si>
  <si>
    <t>Apply Business/Physics</t>
  </si>
  <si>
    <t>Math Revision/ Apply Math</t>
  </si>
  <si>
    <t xml:space="preserve">Computer Science </t>
  </si>
  <si>
    <t>Spanish Revision</t>
  </si>
  <si>
    <t>Math</t>
  </si>
  <si>
    <t>English Practise</t>
  </si>
  <si>
    <t>IF YOU CARE SLEEP</t>
  </si>
  <si>
    <t>4 HOURS</t>
  </si>
  <si>
    <t>PROBLEM SOLVING )</t>
  </si>
  <si>
    <t>ASK UNIT CIRCLE
ASK BEARING 
ASK COMMON TANGENT (BREAKTIME WITH MNG)</t>
  </si>
  <si>
    <t>From now on I am going to use the teachers, as they are the ones that will actually help as they are getting paid to do very that!!!</t>
  </si>
  <si>
    <t>Collect Footage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</si>
</sst>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C09]dd\-mmm\-yy;@"/>
    <numFmt numFmtId="165" formatCode="[$-F800]dddd\,\ mmmm\ dd\,\ yyyy"/>
    <numFmt numFmtId="166" formatCode="[$-C09]d\ mmmm\ yyyy;@"/>
  </numFmts>
  <fonts count="42"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family val="2"/>
      <scheme val="minor"/>
    </font>
    <font>
      <b/>
      <sz val="14"/>
      <color rgb="FFFF0000"/>
      <name val="Calibri"/>
      <family val="2"/>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0"/>
      <color rgb="FF006100"/>
      <name val="Calibri"/>
      <family val="2"/>
      <scheme val="minor"/>
    </font>
    <font>
      <sz val="18"/>
      <color rgb="FF006100"/>
      <name val="Calibri"/>
      <family val="2"/>
      <scheme val="minor"/>
    </font>
    <font>
      <u/>
      <sz val="9"/>
      <color theme="10"/>
      <name val="Calibri"/>
      <family val="2"/>
      <scheme val="minor"/>
    </font>
    <font>
      <sz val="11"/>
      <color theme="4" tint="-0.24994659260841701"/>
      <name val="Calibri"/>
      <family val="2"/>
      <scheme val="minor"/>
    </font>
    <font>
      <sz val="11"/>
      <color theme="4" tint="-0.499984740745262"/>
      <name val="Calibri"/>
      <family val="2"/>
      <scheme val="minor"/>
    </font>
    <font>
      <sz val="11"/>
      <color theme="0"/>
      <name val="Calibri"/>
      <family val="2"/>
      <scheme val="minor"/>
    </font>
    <font>
      <sz val="11"/>
      <color theme="1"/>
      <name val="Calibri"/>
      <scheme val="minor"/>
    </font>
  </fonts>
  <fills count="24">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A1C7F5"/>
        <bgColor indexed="64"/>
      </patternFill>
    </fill>
    <fill>
      <patternFill patternType="solid">
        <fgColor theme="4" tint="0.59999389629810485"/>
        <bgColor indexed="64"/>
      </patternFill>
    </fill>
    <fill>
      <patternFill patternType="solid">
        <fgColor theme="5"/>
        <bgColor indexed="64"/>
      </patternFill>
    </fill>
    <fill>
      <patternFill patternType="solid">
        <fgColor rgb="FF00B0F0"/>
        <bgColor indexed="64"/>
      </patternFill>
    </fill>
    <fill>
      <patternFill patternType="solid">
        <fgColor theme="3" tint="-0.249977111117893"/>
        <bgColor indexed="64"/>
      </patternFill>
    </fill>
  </fills>
  <borders count="21">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4" borderId="14" applyNumberFormat="0" applyFont="0" applyAlignment="0" applyProtection="0"/>
    <xf numFmtId="0" fontId="24" fillId="15" borderId="0" applyNumberFormat="0" applyBorder="0" applyAlignment="0" applyProtection="0"/>
    <xf numFmtId="0" fontId="25" fillId="16" borderId="0" applyNumberFormat="0" applyBorder="0" applyAlignment="0" applyProtection="0"/>
    <xf numFmtId="0" fontId="29" fillId="18" borderId="19" applyNumberFormat="0" applyAlignment="0" applyProtection="0"/>
    <xf numFmtId="0" fontId="39" fillId="19" borderId="20" applyNumberFormat="0" applyBorder="0" applyAlignment="0" applyProtection="0"/>
  </cellStyleXfs>
  <cellXfs count="220">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0" fontId="1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4"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20" fillId="14"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1" fillId="0" borderId="0" xfId="2" applyBorder="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4" borderId="14" xfId="3" applyFont="1" applyAlignment="1">
      <alignment horizontal="center" vertical="center" wrapText="1"/>
    </xf>
    <xf numFmtId="0" fontId="19" fillId="14"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26" fillId="15" borderId="0" xfId="4" applyFont="1" applyAlignment="1">
      <alignment horizontal="center" vertical="center"/>
    </xf>
    <xf numFmtId="0" fontId="27" fillId="16"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13"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3"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1"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18" borderId="19" xfId="6" applyFont="1" applyAlignment="1">
      <alignment horizontal="center" vertical="center" wrapText="1"/>
    </xf>
    <xf numFmtId="165" fontId="32" fillId="18" borderId="19" xfId="6" applyNumberFormat="1" applyFont="1" applyAlignment="1">
      <alignment horizontal="center" vertical="center" wrapText="1"/>
    </xf>
    <xf numFmtId="49" fontId="32" fillId="18" borderId="19" xfId="6"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2"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12" borderId="0" xfId="0" applyFont="1" applyFill="1" applyAlignment="1">
      <alignment horizontal="center" vertical="center" wrapText="1"/>
    </xf>
    <xf numFmtId="49" fontId="8" fillId="17"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7" borderId="0" xfId="0" applyNumberFormat="1" applyFont="1" applyFill="1" applyAlignment="1">
      <alignment horizontal="center" vertical="center" wrapText="1"/>
    </xf>
    <xf numFmtId="165" fontId="29" fillId="18"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1"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0" fontId="11" fillId="0" borderId="16" xfId="2" applyBorder="1" applyAlignment="1">
      <alignment horizontal="center" vertical="center" wrapText="1"/>
    </xf>
    <xf numFmtId="14" fontId="0" fillId="0" borderId="0" xfId="0" applyNumberFormat="1" applyAlignment="1">
      <alignment horizontal="center" vertical="center" wrapText="1"/>
    </xf>
    <xf numFmtId="49" fontId="24" fillId="15" borderId="12" xfId="4" applyNumberFormat="1" applyBorder="1" applyAlignment="1">
      <alignment horizontal="center" vertical="center" wrapText="1"/>
    </xf>
    <xf numFmtId="49" fontId="24" fillId="15" borderId="11" xfId="4" applyNumberFormat="1" applyBorder="1" applyAlignment="1">
      <alignment horizontal="center" vertical="center" wrapText="1"/>
    </xf>
    <xf numFmtId="2" fontId="24" fillId="15" borderId="11" xfId="4" applyNumberFormat="1" applyBorder="1" applyAlignment="1">
      <alignment horizontal="center" vertical="center" wrapText="1"/>
    </xf>
    <xf numFmtId="49" fontId="11" fillId="3" borderId="11" xfId="2" applyNumberFormat="1" applyFill="1" applyBorder="1" applyAlignment="1">
      <alignment horizontal="center" vertical="center" wrapText="1"/>
    </xf>
    <xf numFmtId="0" fontId="35" fillId="2" borderId="0" xfId="1" applyFont="1" applyAlignment="1">
      <alignment horizontal="center" vertical="center" wrapText="1"/>
    </xf>
    <xf numFmtId="165" fontId="35" fillId="2" borderId="3" xfId="1" applyNumberFormat="1" applyFont="1" applyBorder="1" applyAlignment="1">
      <alignment horizontal="center" vertical="center" wrapText="1"/>
    </xf>
    <xf numFmtId="49" fontId="35" fillId="2" borderId="12" xfId="1" applyNumberFormat="1" applyFont="1" applyBorder="1" applyAlignment="1">
      <alignment horizontal="center" vertical="center" wrapText="1"/>
    </xf>
    <xf numFmtId="49" fontId="35" fillId="2" borderId="11" xfId="1" applyNumberFormat="1" applyFont="1" applyBorder="1" applyAlignment="1">
      <alignment horizontal="center" vertical="center" wrapText="1"/>
    </xf>
    <xf numFmtId="2" fontId="35" fillId="2" borderId="11" xfId="1" applyNumberFormat="1" applyFont="1" applyBorder="1" applyAlignment="1">
      <alignment horizontal="center" vertical="center" wrapText="1"/>
    </xf>
    <xf numFmtId="0" fontId="35" fillId="2" borderId="11" xfId="1" applyFont="1" applyBorder="1" applyAlignment="1">
      <alignment horizontal="center" vertical="center" wrapText="1"/>
    </xf>
    <xf numFmtId="0" fontId="35" fillId="2" borderId="13" xfId="1" applyFont="1" applyBorder="1" applyAlignment="1">
      <alignment horizontal="center" vertical="center" wrapText="1"/>
    </xf>
    <xf numFmtId="49" fontId="36" fillId="2" borderId="11" xfId="1" applyNumberFormat="1" applyFont="1" applyBorder="1" applyAlignment="1">
      <alignment horizontal="center" vertical="center" wrapText="1"/>
    </xf>
    <xf numFmtId="49" fontId="37" fillId="3" borderId="11" xfId="2" applyNumberFormat="1" applyFont="1" applyFill="1" applyBorder="1" applyAlignment="1">
      <alignment horizontal="center" vertical="center" wrapText="1"/>
    </xf>
    <xf numFmtId="0" fontId="0" fillId="0" borderId="0" xfId="0" applyAlignment="1">
      <alignment vertical="center" wrapText="1"/>
    </xf>
    <xf numFmtId="0" fontId="25" fillId="16" borderId="0" xfId="5" applyAlignment="1">
      <alignment horizontal="center" vertical="center" wrapText="1"/>
    </xf>
    <xf numFmtId="0" fontId="38" fillId="19" borderId="0" xfId="7" applyFont="1" applyBorder="1" applyAlignment="1">
      <alignment horizontal="center" vertical="center" wrapText="1"/>
    </xf>
    <xf numFmtId="0" fontId="24" fillId="15" borderId="0" xfId="4" applyAlignment="1">
      <alignment horizontal="center" vertical="center" wrapText="1"/>
    </xf>
    <xf numFmtId="2" fontId="0" fillId="9" borderId="0" xfId="0" applyNumberFormat="1" applyFont="1" applyFill="1" applyAlignment="1">
      <alignment horizontal="center" vertical="center" wrapText="1"/>
    </xf>
    <xf numFmtId="2" fontId="0" fillId="20" borderId="0" xfId="0" applyNumberFormat="1" applyFont="1" applyFill="1" applyAlignment="1">
      <alignment horizontal="center" vertical="center" wrapText="1"/>
    </xf>
    <xf numFmtId="2" fontId="40" fillId="9" borderId="0" xfId="0" applyNumberFormat="1" applyFont="1" applyFill="1" applyAlignment="1">
      <alignment horizontal="center" vertical="center" wrapText="1"/>
    </xf>
    <xf numFmtId="2" fontId="0" fillId="21" borderId="0" xfId="0" applyNumberFormat="1" applyFont="1" applyFill="1" applyAlignment="1">
      <alignment horizontal="center" vertical="center" wrapText="1"/>
    </xf>
    <xf numFmtId="2" fontId="4" fillId="2" borderId="0" xfId="1" applyNumberFormat="1" applyFont="1" applyAlignment="1">
      <alignment horizontal="center" vertical="center" wrapText="1"/>
    </xf>
    <xf numFmtId="2" fontId="40" fillId="22" borderId="0" xfId="0" applyNumberFormat="1" applyFont="1" applyFill="1" applyAlignment="1">
      <alignment horizontal="center" vertical="center" wrapText="1"/>
    </xf>
    <xf numFmtId="2" fontId="41" fillId="8" borderId="0" xfId="0" applyNumberFormat="1" applyFont="1" applyFill="1" applyAlignment="1">
      <alignment horizontal="center" vertical="center" wrapText="1"/>
    </xf>
    <xf numFmtId="2" fontId="0" fillId="5" borderId="0" xfId="0" applyNumberFormat="1" applyFont="1" applyFill="1" applyAlignment="1">
      <alignment horizontal="center" vertical="center" wrapText="1"/>
    </xf>
    <xf numFmtId="2" fontId="40" fillId="23" borderId="0" xfId="0" applyNumberFormat="1" applyFont="1" applyFill="1" applyAlignment="1">
      <alignment horizontal="center" vertical="center" wrapText="1"/>
    </xf>
  </cellXfs>
  <cellStyles count="8">
    <cellStyle name="Bad" xfId="4" builtinId="27"/>
    <cellStyle name="Calculation" xfId="7" builtinId="22" customBuiltin="1"/>
    <cellStyle name="Good" xfId="1" builtinId="26"/>
    <cellStyle name="Hyperlink" xfId="2" builtinId="8"/>
    <cellStyle name="Neutral" xfId="5" builtinId="28"/>
    <cellStyle name="Normal" xfId="0" builtinId="0"/>
    <cellStyle name="Note" xfId="3" builtinId="10"/>
    <cellStyle name="Output" xfId="6" builtinId="21"/>
  </cellStyles>
  <dxfs count="588">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5050"/>
      <color rgb="FFFF3B3B"/>
      <color rgb="FFFF2929"/>
      <color rgb="FFA1C7F5"/>
      <color rgb="FFA9DA74"/>
      <color rgb="FF00F66F"/>
      <color rgb="FFFBAFAF"/>
      <color rgb="FFA6D86E"/>
      <color rgb="FFEBDD89"/>
      <color rgb="FFABDB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IX31" totalsRowCount="1" headerRowDxfId="580" dataDxfId="579" totalsRowDxfId="578">
  <autoFilter ref="C3:IX30"/>
  <tableColumns count="256">
    <tableColumn id="98" name="Sunday88" totalsRowFunction="custom" dataDxfId="577" totalsRowDxfId="255">
      <totalsRowFormula>SUM(C7:C30)</totalsRowFormula>
    </tableColumn>
    <tableColumn id="99" name="Monday89" totalsRowFunction="custom" dataDxfId="576" totalsRowDxfId="254">
      <totalsRowFormula>SUM(D7:D30)</totalsRowFormula>
    </tableColumn>
    <tableColumn id="100" name="Tuesday90" totalsRowFunction="custom" dataDxfId="575" totalsRowDxfId="253">
      <totalsRowFormula>SUM(E7:E30)</totalsRowFormula>
    </tableColumn>
    <tableColumn id="101" name="Wednesday91" totalsRowFunction="custom" dataDxfId="574" totalsRowDxfId="252">
      <totalsRowFormula>SUM(F7:F30)</totalsRowFormula>
    </tableColumn>
    <tableColumn id="102" name="Thursday92" totalsRowFunction="custom" dataDxfId="573" totalsRowDxfId="251">
      <totalsRowFormula>SUM(G7:G30)</totalsRowFormula>
    </tableColumn>
    <tableColumn id="103" name="Friday93" totalsRowFunction="custom" dataDxfId="572" totalsRowDxfId="250">
      <totalsRowFormula>SUM(H7:H30)</totalsRowFormula>
    </tableColumn>
    <tableColumn id="104" name="Saturday94" totalsRowFunction="custom" dataDxfId="571" totalsRowDxfId="249">
      <totalsRowFormula>SUM(I7:I30)</totalsRowFormula>
    </tableColumn>
    <tableColumn id="105" name="Sunday95" totalsRowFunction="custom" dataDxfId="570" totalsRowDxfId="248">
      <totalsRowFormula>SUM(J7:J30)</totalsRowFormula>
    </tableColumn>
    <tableColumn id="106" name="Monday96" totalsRowFunction="custom" dataDxfId="569" totalsRowDxfId="247">
      <totalsRowFormula>SUM(K7:K30)</totalsRowFormula>
    </tableColumn>
    <tableColumn id="107" name="Tuesday97" totalsRowFunction="custom" dataDxfId="568" totalsRowDxfId="246">
      <totalsRowFormula>SUM(L7:L30)</totalsRowFormula>
    </tableColumn>
    <tableColumn id="108" name="Wednesday98" totalsRowFunction="custom" dataDxfId="567" totalsRowDxfId="245">
      <totalsRowFormula>SUM(M7:M30)</totalsRowFormula>
    </tableColumn>
    <tableColumn id="109" name="Thursday99" totalsRowFunction="custom" dataDxfId="566" totalsRowDxfId="244">
      <totalsRowFormula>SUM(N7:N30)</totalsRowFormula>
    </tableColumn>
    <tableColumn id="110" name="Friday100" totalsRowFunction="custom" dataDxfId="565" totalsRowDxfId="243">
      <totalsRowFormula>SUM(O7:O30)</totalsRowFormula>
    </tableColumn>
    <tableColumn id="111" name="Saturday101" totalsRowFunction="custom" dataDxfId="564" totalsRowDxfId="242">
      <totalsRowFormula>SUM(P7:P30)</totalsRowFormula>
    </tableColumn>
    <tableColumn id="112" name="Sunday102" totalsRowFunction="custom" dataDxfId="563" totalsRowDxfId="241">
      <totalsRowFormula>SUM(Q7:Q30)</totalsRowFormula>
    </tableColumn>
    <tableColumn id="113" name="Monday103" totalsRowFunction="custom" dataDxfId="562" totalsRowDxfId="240">
      <totalsRowFormula>SUM(R7:R30)</totalsRowFormula>
    </tableColumn>
    <tableColumn id="114" name="Tuesday104" totalsRowFunction="custom" dataDxfId="561" totalsRowDxfId="239">
      <totalsRowFormula>SUM(S7:S30)</totalsRowFormula>
    </tableColumn>
    <tableColumn id="115" name="Wednesday105" totalsRowFunction="custom" dataDxfId="560" totalsRowDxfId="238">
      <totalsRowFormula>SUM(T7:T30)</totalsRowFormula>
    </tableColumn>
    <tableColumn id="116" name="Thursday106" totalsRowFunction="custom" dataDxfId="559" totalsRowDxfId="237">
      <totalsRowFormula>SUM(U7:U30)</totalsRowFormula>
    </tableColumn>
    <tableColumn id="117" name="Friday107" totalsRowFunction="custom" dataDxfId="558" totalsRowDxfId="236">
      <totalsRowFormula>SUM(V7:V30)</totalsRowFormula>
    </tableColumn>
    <tableColumn id="118" name="Saturday108" totalsRowFunction="custom" dataDxfId="557" totalsRowDxfId="235">
      <totalsRowFormula>SUM(W7:W30)</totalsRowFormula>
    </tableColumn>
    <tableColumn id="119" name="Sunday109" totalsRowFunction="custom" dataDxfId="556" totalsRowDxfId="234">
      <totalsRowFormula>SUM(X7:X30)</totalsRowFormula>
    </tableColumn>
    <tableColumn id="120" name="Monday110" totalsRowFunction="custom" dataDxfId="555" totalsRowDxfId="233">
      <totalsRowFormula>SUM(Y7:Y30)</totalsRowFormula>
    </tableColumn>
    <tableColumn id="121" name="Tuesday111" totalsRowFunction="custom" dataDxfId="554" totalsRowDxfId="232">
      <totalsRowFormula>SUM(Z7:Z30)</totalsRowFormula>
    </tableColumn>
    <tableColumn id="122" name="Wednesday112" totalsRowFunction="custom" dataDxfId="553" totalsRowDxfId="231">
      <totalsRowFormula>SUM(AA7:AA30)</totalsRowFormula>
    </tableColumn>
    <tableColumn id="123" name="Thursday113" totalsRowFunction="custom" dataDxfId="552" totalsRowDxfId="230">
      <totalsRowFormula>SUM(AB7:AB30)</totalsRowFormula>
    </tableColumn>
    <tableColumn id="124" name="Friday114" totalsRowFunction="custom" dataDxfId="551" totalsRowDxfId="229">
      <totalsRowFormula>SUM(AC7:AC30)</totalsRowFormula>
    </tableColumn>
    <tableColumn id="125" name="Saturday115" totalsRowFunction="custom" dataDxfId="550" totalsRowDxfId="228">
      <totalsRowFormula>SUM(AD7:AD30)</totalsRowFormula>
    </tableColumn>
    <tableColumn id="126" name="Sunday116" totalsRowFunction="custom" dataDxfId="549" totalsRowDxfId="227">
      <totalsRowFormula>SUM(AE7:AE30)</totalsRowFormula>
    </tableColumn>
    <tableColumn id="127" name="Monday117" totalsRowFunction="custom" dataDxfId="548" totalsRowDxfId="226">
      <totalsRowFormula>SUM(AF7:AF30)</totalsRowFormula>
    </tableColumn>
    <tableColumn id="128" name="Tuesday118" totalsRowFunction="custom" dataDxfId="547" totalsRowDxfId="225">
      <totalsRowFormula>SUM(AG7:AG30)</totalsRowFormula>
    </tableColumn>
    <tableColumn id="129" name="Wednesday119" totalsRowFunction="custom" dataDxfId="546" totalsRowDxfId="224">
      <totalsRowFormula>SUM(AH7:AH30)</totalsRowFormula>
    </tableColumn>
    <tableColumn id="130" name="Thursday120" totalsRowFunction="custom" dataDxfId="545" totalsRowDxfId="223">
      <totalsRowFormula>SUM(AI7:AI30)</totalsRowFormula>
    </tableColumn>
    <tableColumn id="131" name="Friday121" totalsRowFunction="custom" dataDxfId="544" totalsRowDxfId="222">
      <totalsRowFormula>SUM(AJ7:AJ30)</totalsRowFormula>
    </tableColumn>
    <tableColumn id="132" name="Saturday122" totalsRowFunction="custom" dataDxfId="543" totalsRowDxfId="221">
      <totalsRowFormula>SUM(AK7:AK30)</totalsRowFormula>
    </tableColumn>
    <tableColumn id="133" name="Sunday123" totalsRowFunction="custom" dataDxfId="542" totalsRowDxfId="220">
      <totalsRowFormula>SUM(AL7:AL30)</totalsRowFormula>
    </tableColumn>
    <tableColumn id="134" name="Monday124" totalsRowFunction="custom" dataDxfId="541" totalsRowDxfId="219">
      <totalsRowFormula>SUM(AM7:AM30)</totalsRowFormula>
    </tableColumn>
    <tableColumn id="135" name="Tuesday125" totalsRowFunction="custom" dataDxfId="540" totalsRowDxfId="218">
      <totalsRowFormula>SUM(AN7:AN30)</totalsRowFormula>
    </tableColumn>
    <tableColumn id="136" name="Wednesday126" totalsRowFunction="custom" dataDxfId="539" totalsRowDxfId="217">
      <totalsRowFormula>SUM(AO7:AO30)</totalsRowFormula>
    </tableColumn>
    <tableColumn id="137" name="Thursday127" totalsRowFunction="custom" dataDxfId="538" totalsRowDxfId="216">
      <totalsRowFormula>SUM(AP7:AP30)</totalsRowFormula>
    </tableColumn>
    <tableColumn id="138" name="Friday128" totalsRowFunction="custom" dataDxfId="537" totalsRowDxfId="215">
      <totalsRowFormula>SUM(AQ7:AQ30)</totalsRowFormula>
    </tableColumn>
    <tableColumn id="139" name="Saturday129" totalsRowFunction="custom" dataDxfId="536" totalsRowDxfId="214">
      <totalsRowFormula>SUM(AR7:AR30)</totalsRowFormula>
    </tableColumn>
    <tableColumn id="140" name="Sunday130" totalsRowFunction="custom" dataDxfId="535" totalsRowDxfId="213">
      <totalsRowFormula>SUM(AS7:AS30)</totalsRowFormula>
    </tableColumn>
    <tableColumn id="141" name="Monday131" totalsRowFunction="custom" dataDxfId="534" totalsRowDxfId="212">
      <totalsRowFormula>SUM(AT7:AT30)</totalsRowFormula>
    </tableColumn>
    <tableColumn id="142" name="Tuesday132" totalsRowFunction="custom" dataDxfId="533" totalsRowDxfId="211">
      <totalsRowFormula>SUM(AU7:AU30)</totalsRowFormula>
    </tableColumn>
    <tableColumn id="143" name="Wednesday133" totalsRowFunction="custom" dataDxfId="532" totalsRowDxfId="210">
      <totalsRowFormula>SUM(AV7:AV30)</totalsRowFormula>
    </tableColumn>
    <tableColumn id="144" name="Thursday134" totalsRowFunction="custom" dataDxfId="531" totalsRowDxfId="209">
      <totalsRowFormula>SUM(AW7:AW30)</totalsRowFormula>
    </tableColumn>
    <tableColumn id="145" name="Friday135" totalsRowFunction="custom" dataDxfId="530" totalsRowDxfId="208">
      <totalsRowFormula>SUM(AX7:AX30)</totalsRowFormula>
    </tableColumn>
    <tableColumn id="146" name="Saturday136" totalsRowFunction="custom" dataDxfId="529" totalsRowDxfId="207">
      <totalsRowFormula>SUM(AY7:AY30)</totalsRowFormula>
    </tableColumn>
    <tableColumn id="147" name="Sunday137" totalsRowFunction="custom" dataDxfId="528" totalsRowDxfId="206">
      <totalsRowFormula>SUM(AZ7:AZ30)</totalsRowFormula>
    </tableColumn>
    <tableColumn id="148" name="Monday138" totalsRowFunction="custom" dataDxfId="527" totalsRowDxfId="205">
      <totalsRowFormula>SUM(BA7:BA30)</totalsRowFormula>
    </tableColumn>
    <tableColumn id="149" name="Tuesday139" totalsRowFunction="custom" dataDxfId="526" totalsRowDxfId="204">
      <totalsRowFormula>SUM(BB7:BB30)</totalsRowFormula>
    </tableColumn>
    <tableColumn id="150" name="Wednesday140" totalsRowFunction="custom" dataDxfId="525" totalsRowDxfId="203">
      <totalsRowFormula>SUM(BC7:BC30)</totalsRowFormula>
    </tableColumn>
    <tableColumn id="151" name="Thursday141" totalsRowFunction="custom" dataDxfId="524" totalsRowDxfId="202">
      <totalsRowFormula>SUM(BD7:BD30)</totalsRowFormula>
    </tableColumn>
    <tableColumn id="152" name="Friday142" totalsRowFunction="custom" dataDxfId="523" totalsRowDxfId="201">
      <totalsRowFormula>SUM(BE7:BE30)</totalsRowFormula>
    </tableColumn>
    <tableColumn id="153" name="Saturday143" totalsRowFunction="custom" dataDxfId="522" totalsRowDxfId="200">
      <totalsRowFormula>SUM(BF7:BF30)</totalsRowFormula>
    </tableColumn>
    <tableColumn id="154" name="Sunday144" totalsRowFunction="custom" dataDxfId="521" totalsRowDxfId="199">
      <totalsRowFormula>SUM(BG7:BG30)</totalsRowFormula>
    </tableColumn>
    <tableColumn id="155" name="Monday145" totalsRowFunction="custom" dataDxfId="520" totalsRowDxfId="198">
      <totalsRowFormula>SUM(BH7:BH30)</totalsRowFormula>
    </tableColumn>
    <tableColumn id="156" name="Tuesday146" totalsRowFunction="custom" dataDxfId="519" totalsRowDxfId="197">
      <totalsRowFormula>SUM(BI7:BI30)</totalsRowFormula>
    </tableColumn>
    <tableColumn id="157" name="Wednesday147" totalsRowFunction="custom" dataDxfId="518" totalsRowDxfId="196">
      <totalsRowFormula>SUM(BJ7:BJ30)</totalsRowFormula>
    </tableColumn>
    <tableColumn id="158" name="Thursday148" totalsRowFunction="custom" dataDxfId="517" totalsRowDxfId="195">
      <totalsRowFormula>SUM(BK7:BK30)</totalsRowFormula>
    </tableColumn>
    <tableColumn id="159" name="Friday149" totalsRowFunction="custom" dataDxfId="516" totalsRowDxfId="194">
      <totalsRowFormula>SUM(BL7:BL30)</totalsRowFormula>
    </tableColumn>
    <tableColumn id="160" name="Saturday150" totalsRowFunction="custom" dataDxfId="515" totalsRowDxfId="193">
      <totalsRowFormula>SUM(BM7:BM30)</totalsRowFormula>
    </tableColumn>
    <tableColumn id="161" name="Sunday151" totalsRowFunction="custom" dataDxfId="514" totalsRowDxfId="192">
      <totalsRowFormula>SUM(BN7:BN30)</totalsRowFormula>
    </tableColumn>
    <tableColumn id="162" name="Monday152" totalsRowFunction="custom" dataDxfId="513" totalsRowDxfId="191">
      <totalsRowFormula>SUM(BO7:BO30)</totalsRowFormula>
    </tableColumn>
    <tableColumn id="163" name="Tuesday153" totalsRowFunction="custom" dataDxfId="512" totalsRowDxfId="190">
      <totalsRowFormula>SUM(BP7:BP30)</totalsRowFormula>
    </tableColumn>
    <tableColumn id="164" name="Wednesday154" totalsRowFunction="custom" dataDxfId="511" totalsRowDxfId="189">
      <totalsRowFormula>SUM(BQ7:BQ30)</totalsRowFormula>
    </tableColumn>
    <tableColumn id="165" name="Thursday155" totalsRowFunction="custom" dataDxfId="510" totalsRowDxfId="188">
      <totalsRowFormula>SUM(BR7:BR30)</totalsRowFormula>
    </tableColumn>
    <tableColumn id="166" name="Friday156" totalsRowFunction="custom" dataDxfId="509" totalsRowDxfId="187">
      <totalsRowFormula>SUM(BS7:BS30)</totalsRowFormula>
    </tableColumn>
    <tableColumn id="167" name="Saturday157" totalsRowFunction="custom" dataDxfId="508" totalsRowDxfId="186">
      <totalsRowFormula>SUM(BT7:BT30)</totalsRowFormula>
    </tableColumn>
    <tableColumn id="168" name="Sunday158" totalsRowFunction="custom" dataDxfId="507" totalsRowDxfId="185">
      <totalsRowFormula>SUM(BU7:BU30)</totalsRowFormula>
    </tableColumn>
    <tableColumn id="169" name="Monday159" totalsRowFunction="custom" dataDxfId="506" totalsRowDxfId="184">
      <totalsRowFormula>SUM(BV7:BV30)</totalsRowFormula>
    </tableColumn>
    <tableColumn id="170" name="Tuesday160" totalsRowFunction="custom" dataDxfId="505" totalsRowDxfId="183">
      <totalsRowFormula>SUM(BW7:BW30)</totalsRowFormula>
    </tableColumn>
    <tableColumn id="171" name="Wednesday161" totalsRowFunction="custom" dataDxfId="504" totalsRowDxfId="182">
      <totalsRowFormula>SUM(BX7:BX30)</totalsRowFormula>
    </tableColumn>
    <tableColumn id="172" name="Thursday162" totalsRowFunction="custom" dataDxfId="503" totalsRowDxfId="181">
      <totalsRowFormula>SUM(BY7:BY30)</totalsRowFormula>
    </tableColumn>
    <tableColumn id="173" name="Friday163" totalsRowFunction="custom" dataDxfId="502" totalsRowDxfId="180">
      <totalsRowFormula>SUM(BZ7:BZ30)</totalsRowFormula>
    </tableColumn>
    <tableColumn id="174" name="Saturday164" totalsRowFunction="custom" dataDxfId="501" totalsRowDxfId="179">
      <totalsRowFormula>SUM(CA7:CA30)</totalsRowFormula>
    </tableColumn>
    <tableColumn id="175" name="Sunday165" totalsRowFunction="custom" dataDxfId="500" totalsRowDxfId="178">
      <totalsRowFormula>SUM(CB7:CB30)</totalsRowFormula>
    </tableColumn>
    <tableColumn id="176" name="Monday166" totalsRowFunction="custom" dataDxfId="499" totalsRowDxfId="177">
      <totalsRowFormula>SUM(CC7:CC30)</totalsRowFormula>
    </tableColumn>
    <tableColumn id="177" name="Tuesday167" totalsRowFunction="custom" dataDxfId="498" totalsRowDxfId="176">
      <totalsRowFormula>SUM(CD7:CD30)</totalsRowFormula>
    </tableColumn>
    <tableColumn id="178" name="Wednesday168" totalsRowFunction="custom" dataDxfId="497" totalsRowDxfId="175">
      <totalsRowFormula>SUM(CE7:CE30)</totalsRowFormula>
    </tableColumn>
    <tableColumn id="179" name="Thursday169" totalsRowFunction="custom" dataDxfId="496" totalsRowDxfId="174">
      <totalsRowFormula>SUM(CF7:CF30)</totalsRowFormula>
    </tableColumn>
    <tableColumn id="180" name="Friday170" totalsRowFunction="custom" dataDxfId="495" totalsRowDxfId="173">
      <totalsRowFormula>SUM(CG7:CG30)</totalsRowFormula>
    </tableColumn>
    <tableColumn id="181" name="Saturday171" totalsRowFunction="custom" dataDxfId="494" totalsRowDxfId="172">
      <totalsRowFormula>SUM(CH7:CH30)</totalsRowFormula>
    </tableColumn>
    <tableColumn id="182" name="Sunday172" totalsRowFunction="custom" dataDxfId="493" totalsRowDxfId="171">
      <totalsRowFormula>SUM(CI7:CI30)</totalsRowFormula>
    </tableColumn>
    <tableColumn id="183" name="Monday173" totalsRowFunction="custom" dataDxfId="492" totalsRowDxfId="170">
      <totalsRowFormula>SUM(CJ7:CJ30)</totalsRowFormula>
    </tableColumn>
    <tableColumn id="184" name="Tuesday174" totalsRowFunction="custom" dataDxfId="491" totalsRowDxfId="169">
      <totalsRowFormula>SUM(CK7:CK30)</totalsRowFormula>
    </tableColumn>
    <tableColumn id="185" name="Wednesday175" totalsRowFunction="custom" dataDxfId="490" totalsRowDxfId="168">
      <totalsRowFormula>SUM(CL7:CL30)</totalsRowFormula>
    </tableColumn>
    <tableColumn id="186" name="Thursday176" totalsRowFunction="custom" dataDxfId="489" totalsRowDxfId="167">
      <totalsRowFormula>SUM(CM7:CM30)</totalsRowFormula>
    </tableColumn>
    <tableColumn id="187" name="Friday177" totalsRowFunction="custom" dataDxfId="488" totalsRowDxfId="166">
      <totalsRowFormula>SUM(CN7:CN30)</totalsRowFormula>
    </tableColumn>
    <tableColumn id="188" name="Saturday178" totalsRowFunction="custom" dataDxfId="487" totalsRowDxfId="165">
      <totalsRowFormula>SUM(CO7:CO30)</totalsRowFormula>
    </tableColumn>
    <tableColumn id="189" name="Sunday179" totalsRowFunction="custom" dataDxfId="486" totalsRowDxfId="164">
      <totalsRowFormula>SUM(CP7:CP30)</totalsRowFormula>
    </tableColumn>
    <tableColumn id="190" name="Monday180" totalsRowFunction="custom" dataDxfId="485" totalsRowDxfId="163">
      <totalsRowFormula>SUM(CQ7:CQ30)</totalsRowFormula>
    </tableColumn>
    <tableColumn id="191" name="Tuesday181" totalsRowFunction="custom" dataDxfId="484" totalsRowDxfId="162">
      <totalsRowFormula>SUM(CR7:CR30)</totalsRowFormula>
    </tableColumn>
    <tableColumn id="192" name="Wednesday182" totalsRowFunction="custom" dataDxfId="483" totalsRowDxfId="161">
      <totalsRowFormula>SUM(CS7:CS30)</totalsRowFormula>
    </tableColumn>
    <tableColumn id="193" name="Thursday183" totalsRowFunction="custom" dataDxfId="482" totalsRowDxfId="160">
      <totalsRowFormula>SUM(CT7:CT30)</totalsRowFormula>
    </tableColumn>
    <tableColumn id="194" name="Friday184" totalsRowFunction="custom" dataDxfId="481" totalsRowDxfId="159">
      <totalsRowFormula>SUM(CU7:CU30)</totalsRowFormula>
    </tableColumn>
    <tableColumn id="195" name="Saturday185" totalsRowFunction="custom" dataDxfId="480" totalsRowDxfId="158">
      <totalsRowFormula>SUM(CV7:CV30)</totalsRowFormula>
    </tableColumn>
    <tableColumn id="196" name="Sunday186" totalsRowFunction="custom" dataDxfId="479" totalsRowDxfId="157">
      <totalsRowFormula>SUM(CW7:CW30)</totalsRowFormula>
    </tableColumn>
    <tableColumn id="197" name="Monday187" totalsRowFunction="custom" dataDxfId="478" totalsRowDxfId="156">
      <totalsRowFormula>SUM(CX7:CX30)</totalsRowFormula>
    </tableColumn>
    <tableColumn id="198" name="Tuesday188" totalsRowFunction="custom" dataDxfId="477" totalsRowDxfId="155">
      <totalsRowFormula>SUM(CY7:CY30)</totalsRowFormula>
    </tableColumn>
    <tableColumn id="199" name="Wednesday189" totalsRowFunction="custom" dataDxfId="476" totalsRowDxfId="154">
      <totalsRowFormula>SUM(CZ7:CZ30)</totalsRowFormula>
    </tableColumn>
    <tableColumn id="200" name="Thursday190" totalsRowFunction="custom" dataDxfId="475" totalsRowDxfId="153">
      <totalsRowFormula>SUM(DA7:DA30)</totalsRowFormula>
    </tableColumn>
    <tableColumn id="201" name="Friday191" totalsRowFunction="custom" dataDxfId="474" totalsRowDxfId="152">
      <totalsRowFormula>SUM(DB7:DB30)</totalsRowFormula>
    </tableColumn>
    <tableColumn id="202" name="Saturday192" totalsRowFunction="custom" dataDxfId="473" totalsRowDxfId="151">
      <totalsRowFormula>SUM(DC7:DC30)</totalsRowFormula>
    </tableColumn>
    <tableColumn id="203" name="Sunday193" totalsRowFunction="custom" dataDxfId="472" totalsRowDxfId="150">
      <totalsRowFormula>SUM(DD7:DD30)</totalsRowFormula>
    </tableColumn>
    <tableColumn id="204" name="Monday194" totalsRowFunction="custom" dataDxfId="471" totalsRowDxfId="149">
      <totalsRowFormula>SUM(DE7:DE30)</totalsRowFormula>
    </tableColumn>
    <tableColumn id="205" name="Tuesday195" totalsRowFunction="custom" dataDxfId="470" totalsRowDxfId="148">
      <totalsRowFormula>SUM(DF7:DF30)</totalsRowFormula>
    </tableColumn>
    <tableColumn id="206" name="Wednesday196" totalsRowFunction="custom" dataDxfId="469" totalsRowDxfId="147">
      <totalsRowFormula>SUM(DG7:DG30)</totalsRowFormula>
    </tableColumn>
    <tableColumn id="207" name="Thursday197" totalsRowFunction="custom" dataDxfId="468" totalsRowDxfId="146">
      <totalsRowFormula>SUM(DH7:DH30)</totalsRowFormula>
    </tableColumn>
    <tableColumn id="208" name="Friday198" totalsRowFunction="custom" dataDxfId="467" totalsRowDxfId="145">
      <totalsRowFormula>SUM(DI7:DI30)</totalsRowFormula>
    </tableColumn>
    <tableColumn id="209" name="Saturday199" totalsRowFunction="custom" dataDxfId="466" totalsRowDxfId="144">
      <totalsRowFormula>SUM(DJ7:DJ30)</totalsRowFormula>
    </tableColumn>
    <tableColumn id="210" name="Sunday200" totalsRowFunction="custom" dataDxfId="465" totalsRowDxfId="143">
      <totalsRowFormula>SUM(DK7:DK30)</totalsRowFormula>
    </tableColumn>
    <tableColumn id="211" name="Monday201" totalsRowFunction="custom" dataDxfId="464" totalsRowDxfId="142">
      <totalsRowFormula>SUM(DL7:DL30)</totalsRowFormula>
    </tableColumn>
    <tableColumn id="212" name="Tuesday202" totalsRowFunction="custom" dataDxfId="463" totalsRowDxfId="141">
      <totalsRowFormula>SUM(DM7:DM30)</totalsRowFormula>
    </tableColumn>
    <tableColumn id="213" name="Wednesday203" totalsRowFunction="custom" dataDxfId="462" totalsRowDxfId="140">
      <totalsRowFormula>SUM(DN7:DN30)</totalsRowFormula>
    </tableColumn>
    <tableColumn id="214" name="Thursday204" totalsRowFunction="custom" dataDxfId="461" totalsRowDxfId="139">
      <totalsRowFormula>SUM(DO7:DO30)</totalsRowFormula>
    </tableColumn>
    <tableColumn id="215" name="Friday205" totalsRowFunction="custom" dataDxfId="460" totalsRowDxfId="138">
      <totalsRowFormula>SUM(DP7:DP30)</totalsRowFormula>
    </tableColumn>
    <tableColumn id="216" name="Saturday206" totalsRowFunction="custom" dataDxfId="459" totalsRowDxfId="137">
      <totalsRowFormula>SUM(DQ7:DQ30)</totalsRowFormula>
    </tableColumn>
    <tableColumn id="217" name="Sunday207" totalsRowFunction="custom" dataDxfId="458" totalsRowDxfId="136">
      <totalsRowFormula>SUM(DR7:DR30)</totalsRowFormula>
    </tableColumn>
    <tableColumn id="218" name="Monday208" totalsRowFunction="custom" dataDxfId="457" totalsRowDxfId="135">
      <totalsRowFormula>SUM(DS7:DS30)</totalsRowFormula>
    </tableColumn>
    <tableColumn id="219" name="Tuesday209" totalsRowFunction="custom" dataDxfId="456" totalsRowDxfId="134">
      <totalsRowFormula>SUM(DT7:DT30)</totalsRowFormula>
    </tableColumn>
    <tableColumn id="220" name="Wednesday210" totalsRowFunction="custom" dataDxfId="455" totalsRowDxfId="133">
      <totalsRowFormula>SUM(DU7:DU30)</totalsRowFormula>
    </tableColumn>
    <tableColumn id="221" name="Thursday211" totalsRowFunction="custom" dataDxfId="454" totalsRowDxfId="132">
      <totalsRowFormula>SUM(DV7:DV30)</totalsRowFormula>
    </tableColumn>
    <tableColumn id="222" name="Friday212" dataDxfId="453" totalsRowDxfId="131"/>
    <tableColumn id="223" name="Saturday213" dataDxfId="452" totalsRowDxfId="130"/>
    <tableColumn id="224" name="Sunday214" dataDxfId="451" totalsRowDxfId="129"/>
    <tableColumn id="225" name="Monday215" dataDxfId="450" totalsRowDxfId="128"/>
    <tableColumn id="226" name="Tuesday216" dataDxfId="449" totalsRowDxfId="127"/>
    <tableColumn id="227" name="Wednesday217" dataDxfId="448" totalsRowDxfId="126"/>
    <tableColumn id="228" name="Thursday218" dataDxfId="447" totalsRowDxfId="125"/>
    <tableColumn id="229" name="Friday219" dataDxfId="446" totalsRowDxfId="124"/>
    <tableColumn id="230" name="Saturday220" dataDxfId="445" totalsRowDxfId="123"/>
    <tableColumn id="231" name="Sunday221" dataDxfId="444" totalsRowDxfId="122"/>
    <tableColumn id="232" name="Monday222" dataDxfId="443" totalsRowDxfId="121"/>
    <tableColumn id="233" name="Tuesday223" dataDxfId="442" totalsRowDxfId="120"/>
    <tableColumn id="234" name="Wednesday224" dataDxfId="441" totalsRowDxfId="119"/>
    <tableColumn id="235" name="Thursday225" dataDxfId="440" totalsRowDxfId="118"/>
    <tableColumn id="236" name="Friday226" dataDxfId="439" totalsRowDxfId="117"/>
    <tableColumn id="237" name="Saturday227" dataDxfId="438" totalsRowDxfId="116"/>
    <tableColumn id="238" name="Sunday228" dataDxfId="437" totalsRowDxfId="115"/>
    <tableColumn id="239" name="Monday229" dataDxfId="436" totalsRowDxfId="114"/>
    <tableColumn id="240" name="Tuesday230" dataDxfId="435" totalsRowDxfId="113"/>
    <tableColumn id="241" name="Wednesday231" dataDxfId="434" totalsRowDxfId="112"/>
    <tableColumn id="242" name="Thursday232" dataDxfId="433" totalsRowDxfId="111"/>
    <tableColumn id="243" name="Friday233" dataDxfId="432" totalsRowDxfId="110"/>
    <tableColumn id="244" name="Saturday234" dataDxfId="431" totalsRowDxfId="109"/>
    <tableColumn id="245" name="Sunday235" dataDxfId="430" totalsRowDxfId="108"/>
    <tableColumn id="246" name="Monday236" dataDxfId="429" totalsRowDxfId="107"/>
    <tableColumn id="247" name="Tuesday237" dataDxfId="428" totalsRowDxfId="106"/>
    <tableColumn id="248" name="Wednesday238" dataDxfId="427" totalsRowDxfId="105"/>
    <tableColumn id="249" name="Thursday239" dataDxfId="426" totalsRowDxfId="104"/>
    <tableColumn id="250" name="Friday240" dataDxfId="425" totalsRowDxfId="103"/>
    <tableColumn id="251" name="Saturday241" dataDxfId="424" totalsRowDxfId="102"/>
    <tableColumn id="252" name="Sunday242" dataDxfId="423" totalsRowDxfId="101"/>
    <tableColumn id="253" name="Monday243" dataDxfId="422" totalsRowDxfId="100"/>
    <tableColumn id="254" name="Tuesday244" dataDxfId="421" totalsRowDxfId="99"/>
    <tableColumn id="255" name="Wednesday245" dataDxfId="420" totalsRowDxfId="98"/>
    <tableColumn id="256" name="Thursday246" dataDxfId="419" totalsRowDxfId="97"/>
    <tableColumn id="257" name="Friday247" dataDxfId="418" totalsRowDxfId="96"/>
    <tableColumn id="258" name="Saturday248" dataDxfId="417" totalsRowDxfId="95"/>
    <tableColumn id="259" name="Sunday249" dataDxfId="416" totalsRowDxfId="94"/>
    <tableColumn id="260" name="Monday250" dataDxfId="415" totalsRowDxfId="93"/>
    <tableColumn id="261" name="Tuesday251" dataDxfId="414" totalsRowDxfId="92"/>
    <tableColumn id="262" name="Wednesday252" dataDxfId="413" totalsRowDxfId="91"/>
    <tableColumn id="263" name="Thursday253" dataDxfId="412" totalsRowDxfId="90"/>
    <tableColumn id="264" name="Friday254" dataDxfId="411" totalsRowDxfId="89"/>
    <tableColumn id="265" name="Saturday255" dataDxfId="410" totalsRowDxfId="88"/>
    <tableColumn id="266" name="Sunday256" dataDxfId="409" totalsRowDxfId="87"/>
    <tableColumn id="267" name="Monday257" dataDxfId="408" totalsRowDxfId="86"/>
    <tableColumn id="268" name="Tuesday258" dataDxfId="407" totalsRowDxfId="85"/>
    <tableColumn id="269" name="Wednesday259" dataDxfId="406" totalsRowDxfId="84"/>
    <tableColumn id="270" name="Thursday260" dataDxfId="405" totalsRowDxfId="83"/>
    <tableColumn id="271" name="Friday261" dataDxfId="404" totalsRowDxfId="82"/>
    <tableColumn id="272" name="Saturday262" dataDxfId="403" totalsRowDxfId="81"/>
    <tableColumn id="273" name="Sunday263" dataDxfId="402" totalsRowDxfId="80"/>
    <tableColumn id="274" name="Monday264" dataDxfId="401" totalsRowDxfId="79"/>
    <tableColumn id="275" name="Tuesday265" dataDxfId="400" totalsRowDxfId="78"/>
    <tableColumn id="276" name="Wednesday266" dataDxfId="399" totalsRowDxfId="77"/>
    <tableColumn id="277" name="Thursday267" dataDxfId="398" totalsRowDxfId="76"/>
    <tableColumn id="278" name="Friday268" dataDxfId="397" totalsRowDxfId="75"/>
    <tableColumn id="279" name="Saturday269" dataDxfId="396" totalsRowDxfId="74"/>
    <tableColumn id="280" name="Sunday270" dataDxfId="395" totalsRowDxfId="73"/>
    <tableColumn id="281" name="Monday271" dataDxfId="394" totalsRowDxfId="72"/>
    <tableColumn id="282" name="Tuesday272" dataDxfId="393" totalsRowDxfId="71"/>
    <tableColumn id="283" name="Wednesday273" dataDxfId="392" totalsRowDxfId="70"/>
    <tableColumn id="284" name="Thursday274" dataDxfId="391" totalsRowDxfId="69"/>
    <tableColumn id="285" name="Friday275" dataDxfId="390" totalsRowDxfId="68"/>
    <tableColumn id="286" name="Saturday276" dataDxfId="389" totalsRowDxfId="67"/>
    <tableColumn id="287" name="Sunday277" dataDxfId="388" totalsRowDxfId="66"/>
    <tableColumn id="288" name="Monday278" dataDxfId="387" totalsRowDxfId="65"/>
    <tableColumn id="289" name="Tuesday279" dataDxfId="386" totalsRowDxfId="64"/>
    <tableColumn id="290" name="Wednesday280" dataDxfId="385" totalsRowDxfId="63"/>
    <tableColumn id="291" name="Thursday281" dataDxfId="384" totalsRowDxfId="62"/>
    <tableColumn id="292" name="Friday282" dataDxfId="383" totalsRowDxfId="61"/>
    <tableColumn id="293" name="Saturday283" dataDxfId="382" totalsRowDxfId="60"/>
    <tableColumn id="294" name="Sunday284" dataDxfId="381" totalsRowDxfId="59"/>
    <tableColumn id="295" name="Monday285" dataDxfId="380" totalsRowDxfId="58"/>
    <tableColumn id="296" name="Tuesday286" dataDxfId="379" totalsRowDxfId="57"/>
    <tableColumn id="297" name="Wednesday287" dataDxfId="378" totalsRowDxfId="56"/>
    <tableColumn id="298" name="Thursday288" dataDxfId="377" totalsRowDxfId="55"/>
    <tableColumn id="299" name="Friday289" dataDxfId="376" totalsRowDxfId="54"/>
    <tableColumn id="300" name="Saturday290" dataDxfId="375" totalsRowDxfId="53"/>
    <tableColumn id="301" name="Sunday291" dataDxfId="374" totalsRowDxfId="52"/>
    <tableColumn id="302" name="Monday292" dataDxfId="373" totalsRowDxfId="51"/>
    <tableColumn id="303" name="Tuesday293" dataDxfId="372" totalsRowDxfId="50"/>
    <tableColumn id="304" name="Wednesday294" dataDxfId="371" totalsRowDxfId="49"/>
    <tableColumn id="305" name="Thursday295" dataDxfId="370" totalsRowDxfId="48"/>
    <tableColumn id="306" name="Friday296" dataDxfId="369" totalsRowDxfId="47"/>
    <tableColumn id="307" name="Saturday297" dataDxfId="368" totalsRowDxfId="46"/>
    <tableColumn id="308" name="Sunday298" dataDxfId="367" totalsRowDxfId="45"/>
    <tableColumn id="309" name="Monday299" dataDxfId="366" totalsRowDxfId="44"/>
    <tableColumn id="310" name="Tuesday300" dataDxfId="365" totalsRowDxfId="43"/>
    <tableColumn id="311" name="Wednesday301" dataDxfId="364" totalsRowDxfId="42"/>
    <tableColumn id="312" name="Thursday302" dataDxfId="363" totalsRowDxfId="41"/>
    <tableColumn id="313" name="Friday303" dataDxfId="362" totalsRowDxfId="40"/>
    <tableColumn id="314" name="Saturday304" dataDxfId="361" totalsRowDxfId="39"/>
    <tableColumn id="315" name="Sunday305" dataDxfId="360" totalsRowDxfId="38"/>
    <tableColumn id="316" name="Monday306" dataDxfId="359" totalsRowDxfId="37"/>
    <tableColumn id="317" name="Tuesday307" dataDxfId="358" totalsRowDxfId="36"/>
    <tableColumn id="318" name="Wednesday308" dataDxfId="357" totalsRowDxfId="35"/>
    <tableColumn id="319" name="Thursday309" dataDxfId="356" totalsRowDxfId="34"/>
    <tableColumn id="320" name="Friday310" dataDxfId="355" totalsRowDxfId="33"/>
    <tableColumn id="321" name="Saturday311" dataDxfId="354" totalsRowDxfId="32"/>
    <tableColumn id="322" name="Sunday312" dataDxfId="353" totalsRowDxfId="31"/>
    <tableColumn id="323" name="Monday313" dataDxfId="352" totalsRowDxfId="30"/>
    <tableColumn id="324" name="Tuesday314" dataDxfId="351" totalsRowDxfId="29"/>
    <tableColumn id="325" name="Wednesday315" dataDxfId="350" totalsRowDxfId="28"/>
    <tableColumn id="326" name="Thursday316" dataDxfId="349" totalsRowDxfId="27"/>
    <tableColumn id="327" name="Friday317" dataDxfId="348" totalsRowDxfId="26"/>
    <tableColumn id="328" name="Saturday318" dataDxfId="347" totalsRowDxfId="25"/>
    <tableColumn id="329" name="Sunday319" dataDxfId="346" totalsRowDxfId="24"/>
    <tableColumn id="330" name="Monday320" dataDxfId="345" totalsRowDxfId="23"/>
    <tableColumn id="331" name="Tuesday321" dataDxfId="344" totalsRowDxfId="22"/>
    <tableColumn id="332" name="Wednesday322" dataDxfId="343" totalsRowDxfId="21"/>
    <tableColumn id="333" name="Thursday323" dataDxfId="342" totalsRowDxfId="20"/>
    <tableColumn id="334" name="Friday324" dataDxfId="341" totalsRowDxfId="19"/>
    <tableColumn id="335" name="Saturday325" dataDxfId="340" totalsRowDxfId="18"/>
    <tableColumn id="336" name="Sunday326" dataDxfId="339" totalsRowDxfId="17"/>
    <tableColumn id="337" name="Monday327" dataDxfId="338" totalsRowDxfId="16"/>
    <tableColumn id="338" name="Tuesday328" dataDxfId="337" totalsRowDxfId="15"/>
    <tableColumn id="339" name="Wednesday329" dataDxfId="336" totalsRowDxfId="14"/>
    <tableColumn id="340" name="Thursday330" dataDxfId="335" totalsRowDxfId="13"/>
    <tableColumn id="341" name="Friday331" dataDxfId="334" totalsRowDxfId="12"/>
    <tableColumn id="342" name="Saturday332" dataDxfId="333" totalsRowDxfId="11"/>
    <tableColumn id="343" name="Sunday333" dataDxfId="332" totalsRowDxfId="10"/>
    <tableColumn id="344" name="Monday334" dataDxfId="331" totalsRowDxfId="9"/>
    <tableColumn id="345" name="Tuesday335" dataDxfId="330" totalsRowDxfId="8"/>
    <tableColumn id="346" name="Wednesday336" dataDxfId="329" totalsRowDxfId="7"/>
    <tableColumn id="347" name="Thursday337" dataDxfId="328" totalsRowDxfId="6"/>
    <tableColumn id="348" name="Friday338" dataDxfId="327" totalsRowDxfId="5"/>
    <tableColumn id="349" name="Saturday339" dataDxfId="326" totalsRowDxfId="4"/>
    <tableColumn id="350" name="Sunday340" dataDxfId="325" totalsRowDxfId="3"/>
    <tableColumn id="351" name="Monday341" dataDxfId="324" totalsRowDxfId="2"/>
    <tableColumn id="352" name="Tuesday342" dataDxfId="323" totalsRowDxfId="1"/>
    <tableColumn id="353" name="Wednesday343" dataDxfId="322" totalsRowDxfId="0"/>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319" dataDxfId="318">
  <autoFilter ref="C15:G120"/>
  <tableColumns count="5">
    <tableColumn id="1" name="Task" dataDxfId="317"/>
    <tableColumn id="2" name="TODO" dataDxfId="316"/>
    <tableColumn id="3" name="Percentage" dataDxfId="315"/>
    <tableColumn id="4" name="Due" dataDxfId="314"/>
    <tableColumn id="5" name="Side Notes" dataDxfId="313"/>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1" totalsRowShown="0" headerRowDxfId="312" dataDxfId="311">
  <autoFilter ref="B4:K11"/>
  <sortState ref="B5:K12">
    <sortCondition descending="1" ref="B4:B12"/>
  </sortState>
  <tableColumns count="10">
    <tableColumn id="1" name="PRIORITY" dataDxfId="310"/>
    <tableColumn id="10" name="Finish By" dataDxfId="309"/>
    <tableColumn id="2" name="SUBJECT" dataDxfId="308"/>
    <tableColumn id="9" name="TASKS LEFT" dataDxfId="307"/>
    <tableColumn id="3" name="Tasks" dataDxfId="306" dataCellStyle="Note"/>
    <tableColumn id="4" name="Links" dataDxfId="305"/>
    <tableColumn id="5" name="Percent" dataDxfId="304"/>
    <tableColumn id="6" name="Due Dates" dataDxfId="303"/>
    <tableColumn id="7" name="Revision" dataDxfId="302" dataCellStyle="Normal"/>
    <tableColumn id="8" name="Next Assesment + Assignment" dataDxfId="301"/>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23" totalsRowShown="0" dataDxfId="263" tableBorderDxfId="262">
  <autoFilter ref="A7:F723"/>
  <tableColumns count="6">
    <tableColumn id="1" name="CAT" dataDxfId="261" dataCellStyle="Good"/>
    <tableColumn id="2" name="STAGE" dataDxfId="260"/>
    <tableColumn id="3" name="TASK" dataDxfId="259"/>
    <tableColumn id="4" name="Start Date" dataDxfId="258"/>
    <tableColumn id="5" name="End Date" dataDxfId="257"/>
    <tableColumn id="6" name="Progress" dataDxfId="256"/>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IX41"/>
  <sheetViews>
    <sheetView tabSelected="1" topLeftCell="A13" zoomScale="85" zoomScaleNormal="85" workbookViewId="0">
      <selection activeCell="C27" sqref="C27"/>
    </sheetView>
  </sheetViews>
  <sheetFormatPr defaultColWidth="8.85546875" defaultRowHeight="15" x14ac:dyDescent="0.25"/>
  <cols>
    <col min="1" max="1" width="25.85546875" style="66" customWidth="1"/>
    <col min="2" max="2" width="21.85546875" style="69" customWidth="1"/>
    <col min="3" max="276" width="20.7109375" style="74" customWidth="1"/>
    <col min="277" max="16384" width="8.85546875" style="74"/>
  </cols>
  <sheetData>
    <row r="1" spans="1:258" s="67" customFormat="1" x14ac:dyDescent="0.25">
      <c r="A1" s="68">
        <f ca="1">TODAY()</f>
        <v>43247</v>
      </c>
    </row>
    <row r="2" spans="1:258" s="98" customFormat="1" ht="66.75" customHeight="1" x14ac:dyDescent="0.25">
      <c r="A2" s="97">
        <f ca="1">NOW()</f>
        <v>43247.72935439815</v>
      </c>
      <c r="B2" s="99">
        <v>43157</v>
      </c>
      <c r="C2" s="99" t="s">
        <v>556</v>
      </c>
      <c r="D2" s="99" t="s">
        <v>556</v>
      </c>
      <c r="E2" s="99" t="s">
        <v>556</v>
      </c>
      <c r="F2" s="99" t="s">
        <v>556</v>
      </c>
      <c r="G2" s="99" t="s">
        <v>557</v>
      </c>
      <c r="H2" s="99" t="s">
        <v>557</v>
      </c>
      <c r="I2" s="99" t="s">
        <v>557</v>
      </c>
      <c r="J2" s="99" t="s">
        <v>557</v>
      </c>
      <c r="K2" s="99" t="s">
        <v>557</v>
      </c>
      <c r="L2" s="99" t="s">
        <v>557</v>
      </c>
      <c r="M2" s="99" t="s">
        <v>557</v>
      </c>
      <c r="N2" s="99" t="s">
        <v>558</v>
      </c>
      <c r="O2" s="99" t="s">
        <v>558</v>
      </c>
      <c r="P2" s="99" t="s">
        <v>558</v>
      </c>
      <c r="Q2" s="99" t="s">
        <v>558</v>
      </c>
      <c r="R2" s="99" t="s">
        <v>558</v>
      </c>
      <c r="S2" s="99" t="s">
        <v>558</v>
      </c>
      <c r="T2" s="99" t="s">
        <v>558</v>
      </c>
    </row>
    <row r="3" spans="1:258" s="128" customFormat="1" ht="33" customHeight="1" x14ac:dyDescent="0.25">
      <c r="A3" s="100">
        <f ca="1">HOUR(A2)</f>
        <v>17</v>
      </c>
      <c r="B3" s="127"/>
      <c r="C3" s="128" t="s">
        <v>72</v>
      </c>
      <c r="D3" s="128" t="s">
        <v>73</v>
      </c>
      <c r="E3" s="128" t="s">
        <v>74</v>
      </c>
      <c r="F3" s="128" t="s">
        <v>75</v>
      </c>
      <c r="G3" s="128" t="s">
        <v>76</v>
      </c>
      <c r="H3" s="128" t="s">
        <v>77</v>
      </c>
      <c r="I3" s="128" t="s">
        <v>78</v>
      </c>
      <c r="J3" s="128" t="s">
        <v>79</v>
      </c>
      <c r="K3" s="128" t="s">
        <v>80</v>
      </c>
      <c r="L3" s="128" t="s">
        <v>81</v>
      </c>
      <c r="M3" s="128" t="s">
        <v>82</v>
      </c>
      <c r="N3" s="128" t="s">
        <v>83</v>
      </c>
      <c r="O3" s="128" t="s">
        <v>84</v>
      </c>
      <c r="P3" s="128" t="s">
        <v>85</v>
      </c>
      <c r="Q3" s="128" t="s">
        <v>86</v>
      </c>
      <c r="R3" s="128" t="s">
        <v>87</v>
      </c>
      <c r="S3" s="128" t="s">
        <v>88</v>
      </c>
      <c r="T3" s="128" t="s">
        <v>89</v>
      </c>
      <c r="U3" s="128" t="s">
        <v>90</v>
      </c>
      <c r="V3" s="128" t="s">
        <v>91</v>
      </c>
      <c r="W3" s="128" t="s">
        <v>92</v>
      </c>
      <c r="X3" s="128" t="s">
        <v>93</v>
      </c>
      <c r="Y3" s="128" t="s">
        <v>94</v>
      </c>
      <c r="Z3" s="128" t="s">
        <v>95</v>
      </c>
      <c r="AA3" s="128" t="s">
        <v>96</v>
      </c>
      <c r="AB3" s="128" t="s">
        <v>97</v>
      </c>
      <c r="AC3" s="128" t="s">
        <v>98</v>
      </c>
      <c r="AD3" s="128" t="s">
        <v>99</v>
      </c>
      <c r="AE3" s="128" t="s">
        <v>100</v>
      </c>
      <c r="AF3" s="128" t="s">
        <v>101</v>
      </c>
      <c r="AG3" s="128" t="s">
        <v>102</v>
      </c>
      <c r="AH3" s="128" t="s">
        <v>103</v>
      </c>
      <c r="AI3" s="128" t="s">
        <v>104</v>
      </c>
      <c r="AJ3" s="128" t="s">
        <v>105</v>
      </c>
      <c r="AK3" s="128" t="s">
        <v>106</v>
      </c>
      <c r="AL3" s="128" t="s">
        <v>107</v>
      </c>
      <c r="AM3" s="128" t="s">
        <v>108</v>
      </c>
      <c r="AN3" s="128" t="s">
        <v>109</v>
      </c>
      <c r="AO3" s="128" t="s">
        <v>110</v>
      </c>
      <c r="AP3" s="128" t="s">
        <v>111</v>
      </c>
      <c r="AQ3" s="128" t="s">
        <v>112</v>
      </c>
      <c r="AR3" s="128" t="s">
        <v>113</v>
      </c>
      <c r="AS3" s="128" t="s">
        <v>114</v>
      </c>
      <c r="AT3" s="128" t="s">
        <v>115</v>
      </c>
      <c r="AU3" s="128" t="s">
        <v>116</v>
      </c>
      <c r="AV3" s="128" t="s">
        <v>117</v>
      </c>
      <c r="AW3" s="128" t="s">
        <v>118</v>
      </c>
      <c r="AX3" s="128" t="s">
        <v>119</v>
      </c>
      <c r="AY3" s="128" t="s">
        <v>120</v>
      </c>
      <c r="AZ3" s="128" t="s">
        <v>121</v>
      </c>
      <c r="BA3" s="128" t="s">
        <v>122</v>
      </c>
      <c r="BB3" s="128" t="s">
        <v>123</v>
      </c>
      <c r="BC3" s="128" t="s">
        <v>124</v>
      </c>
      <c r="BD3" s="128" t="s">
        <v>125</v>
      </c>
      <c r="BE3" s="128" t="s">
        <v>126</v>
      </c>
      <c r="BF3" s="128" t="s">
        <v>127</v>
      </c>
      <c r="BG3" s="128" t="s">
        <v>128</v>
      </c>
      <c r="BH3" s="128" t="s">
        <v>129</v>
      </c>
      <c r="BI3" s="128" t="s">
        <v>130</v>
      </c>
      <c r="BJ3" s="128" t="s">
        <v>131</v>
      </c>
      <c r="BK3" s="128" t="s">
        <v>132</v>
      </c>
      <c r="BL3" s="128" t="s">
        <v>133</v>
      </c>
      <c r="BM3" s="128" t="s">
        <v>134</v>
      </c>
      <c r="BN3" s="128" t="s">
        <v>135</v>
      </c>
      <c r="BO3" s="128" t="s">
        <v>136</v>
      </c>
      <c r="BP3" s="128" t="s">
        <v>137</v>
      </c>
      <c r="BQ3" s="128" t="s">
        <v>138</v>
      </c>
      <c r="BR3" s="128" t="s">
        <v>139</v>
      </c>
      <c r="BS3" s="128" t="s">
        <v>140</v>
      </c>
      <c r="BT3" s="128" t="s">
        <v>141</v>
      </c>
      <c r="BU3" s="128" t="s">
        <v>142</v>
      </c>
      <c r="BV3" s="128" t="s">
        <v>143</v>
      </c>
      <c r="BW3" s="128" t="s">
        <v>144</v>
      </c>
      <c r="BX3" s="128" t="s">
        <v>145</v>
      </c>
      <c r="BY3" s="128" t="s">
        <v>146</v>
      </c>
      <c r="BZ3" s="128" t="s">
        <v>147</v>
      </c>
      <c r="CA3" s="128" t="s">
        <v>148</v>
      </c>
      <c r="CB3" s="128" t="s">
        <v>149</v>
      </c>
      <c r="CC3" s="128" t="s">
        <v>150</v>
      </c>
      <c r="CD3" s="128" t="s">
        <v>151</v>
      </c>
      <c r="CE3" s="128" t="s">
        <v>152</v>
      </c>
      <c r="CF3" s="128" t="s">
        <v>153</v>
      </c>
      <c r="CG3" s="128" t="s">
        <v>154</v>
      </c>
      <c r="CH3" s="128" t="s">
        <v>155</v>
      </c>
      <c r="CI3" s="128" t="s">
        <v>156</v>
      </c>
      <c r="CJ3" s="128" t="s">
        <v>157</v>
      </c>
      <c r="CK3" s="128" t="s">
        <v>158</v>
      </c>
      <c r="CL3" s="128" t="s">
        <v>159</v>
      </c>
      <c r="CM3" s="128" t="s">
        <v>160</v>
      </c>
      <c r="CN3" s="128" t="s">
        <v>161</v>
      </c>
      <c r="CO3" s="128" t="s">
        <v>162</v>
      </c>
      <c r="CP3" s="128" t="s">
        <v>163</v>
      </c>
      <c r="CQ3" s="128" t="s">
        <v>164</v>
      </c>
      <c r="CR3" s="128" t="s">
        <v>165</v>
      </c>
      <c r="CS3" s="128" t="s">
        <v>166</v>
      </c>
      <c r="CT3" s="128" t="s">
        <v>167</v>
      </c>
      <c r="CU3" s="128" t="s">
        <v>168</v>
      </c>
      <c r="CV3" s="128" t="s">
        <v>169</v>
      </c>
      <c r="CW3" s="128" t="s">
        <v>170</v>
      </c>
      <c r="CX3" s="128" t="s">
        <v>171</v>
      </c>
      <c r="CY3" s="128" t="s">
        <v>172</v>
      </c>
      <c r="CZ3" s="128" t="s">
        <v>173</v>
      </c>
      <c r="DA3" s="128" t="s">
        <v>174</v>
      </c>
      <c r="DB3" s="128" t="s">
        <v>175</v>
      </c>
      <c r="DC3" s="128" t="s">
        <v>176</v>
      </c>
      <c r="DD3" s="128" t="s">
        <v>177</v>
      </c>
      <c r="DE3" s="128" t="s">
        <v>178</v>
      </c>
      <c r="DF3" s="128" t="s">
        <v>179</v>
      </c>
      <c r="DG3" s="128" t="s">
        <v>180</v>
      </c>
      <c r="DH3" s="128" t="s">
        <v>181</v>
      </c>
      <c r="DI3" s="128" t="s">
        <v>182</v>
      </c>
      <c r="DJ3" s="128" t="s">
        <v>183</v>
      </c>
      <c r="DK3" s="128" t="s">
        <v>184</v>
      </c>
      <c r="DL3" s="128" t="s">
        <v>185</v>
      </c>
      <c r="DM3" s="128" t="s">
        <v>186</v>
      </c>
      <c r="DN3" s="128" t="s">
        <v>187</v>
      </c>
      <c r="DO3" s="128" t="s">
        <v>188</v>
      </c>
      <c r="DP3" s="128" t="s">
        <v>189</v>
      </c>
      <c r="DQ3" s="128" t="s">
        <v>190</v>
      </c>
      <c r="DR3" s="128" t="s">
        <v>191</v>
      </c>
      <c r="DS3" s="128" t="s">
        <v>192</v>
      </c>
      <c r="DT3" s="128" t="s">
        <v>193</v>
      </c>
      <c r="DU3" s="128" t="s">
        <v>194</v>
      </c>
      <c r="DV3" s="128" t="s">
        <v>195</v>
      </c>
      <c r="DW3" s="128" t="s">
        <v>196</v>
      </c>
      <c r="DX3" s="128" t="s">
        <v>197</v>
      </c>
      <c r="DY3" s="128" t="s">
        <v>198</v>
      </c>
      <c r="DZ3" s="128" t="s">
        <v>199</v>
      </c>
      <c r="EA3" s="128" t="s">
        <v>200</v>
      </c>
      <c r="EB3" s="128" t="s">
        <v>201</v>
      </c>
      <c r="EC3" s="128" t="s">
        <v>202</v>
      </c>
      <c r="ED3" s="128" t="s">
        <v>203</v>
      </c>
      <c r="EE3" s="128" t="s">
        <v>204</v>
      </c>
      <c r="EF3" s="128" t="s">
        <v>205</v>
      </c>
      <c r="EG3" s="128" t="s">
        <v>206</v>
      </c>
      <c r="EH3" s="128" t="s">
        <v>207</v>
      </c>
      <c r="EI3" s="128" t="s">
        <v>208</v>
      </c>
      <c r="EJ3" s="128" t="s">
        <v>209</v>
      </c>
      <c r="EK3" s="128" t="s">
        <v>210</v>
      </c>
      <c r="EL3" s="128" t="s">
        <v>211</v>
      </c>
      <c r="EM3" s="128" t="s">
        <v>212</v>
      </c>
      <c r="EN3" s="128" t="s">
        <v>213</v>
      </c>
      <c r="EO3" s="128" t="s">
        <v>214</v>
      </c>
      <c r="EP3" s="128" t="s">
        <v>215</v>
      </c>
      <c r="EQ3" s="128" t="s">
        <v>216</v>
      </c>
      <c r="ER3" s="128" t="s">
        <v>217</v>
      </c>
      <c r="ES3" s="128" t="s">
        <v>218</v>
      </c>
      <c r="ET3" s="128" t="s">
        <v>219</v>
      </c>
      <c r="EU3" s="128" t="s">
        <v>220</v>
      </c>
      <c r="EV3" s="128" t="s">
        <v>221</v>
      </c>
      <c r="EW3" s="128" t="s">
        <v>222</v>
      </c>
      <c r="EX3" s="128" t="s">
        <v>223</v>
      </c>
      <c r="EY3" s="128" t="s">
        <v>224</v>
      </c>
      <c r="EZ3" s="128" t="s">
        <v>225</v>
      </c>
      <c r="FA3" s="128" t="s">
        <v>226</v>
      </c>
      <c r="FB3" s="128" t="s">
        <v>227</v>
      </c>
      <c r="FC3" s="128" t="s">
        <v>228</v>
      </c>
      <c r="FD3" s="128" t="s">
        <v>229</v>
      </c>
      <c r="FE3" s="128" t="s">
        <v>230</v>
      </c>
      <c r="FF3" s="128" t="s">
        <v>231</v>
      </c>
      <c r="FG3" s="128" t="s">
        <v>232</v>
      </c>
      <c r="FH3" s="128" t="s">
        <v>233</v>
      </c>
      <c r="FI3" s="128" t="s">
        <v>234</v>
      </c>
      <c r="FJ3" s="128" t="s">
        <v>235</v>
      </c>
      <c r="FK3" s="128" t="s">
        <v>236</v>
      </c>
      <c r="FL3" s="128" t="s">
        <v>237</v>
      </c>
      <c r="FM3" s="128" t="s">
        <v>238</v>
      </c>
      <c r="FN3" s="128" t="s">
        <v>239</v>
      </c>
      <c r="FO3" s="128" t="s">
        <v>240</v>
      </c>
      <c r="FP3" s="128" t="s">
        <v>241</v>
      </c>
      <c r="FQ3" s="128" t="s">
        <v>242</v>
      </c>
      <c r="FR3" s="128" t="s">
        <v>243</v>
      </c>
      <c r="FS3" s="128" t="s">
        <v>244</v>
      </c>
      <c r="FT3" s="128" t="s">
        <v>245</v>
      </c>
      <c r="FU3" s="128" t="s">
        <v>246</v>
      </c>
      <c r="FV3" s="128" t="s">
        <v>247</v>
      </c>
      <c r="FW3" s="128" t="s">
        <v>248</v>
      </c>
      <c r="FX3" s="128" t="s">
        <v>249</v>
      </c>
      <c r="FY3" s="128" t="s">
        <v>250</v>
      </c>
      <c r="FZ3" s="128" t="s">
        <v>251</v>
      </c>
      <c r="GA3" s="128" t="s">
        <v>252</v>
      </c>
      <c r="GB3" s="128" t="s">
        <v>253</v>
      </c>
      <c r="GC3" s="128" t="s">
        <v>254</v>
      </c>
      <c r="GD3" s="128" t="s">
        <v>255</v>
      </c>
      <c r="GE3" s="128" t="s">
        <v>256</v>
      </c>
      <c r="GF3" s="128" t="s">
        <v>257</v>
      </c>
      <c r="GG3" s="128" t="s">
        <v>258</v>
      </c>
      <c r="GH3" s="128" t="s">
        <v>259</v>
      </c>
      <c r="GI3" s="128" t="s">
        <v>260</v>
      </c>
      <c r="GJ3" s="128" t="s">
        <v>261</v>
      </c>
      <c r="GK3" s="128" t="s">
        <v>262</v>
      </c>
      <c r="GL3" s="128" t="s">
        <v>263</v>
      </c>
      <c r="GM3" s="128" t="s">
        <v>264</v>
      </c>
      <c r="GN3" s="128" t="s">
        <v>265</v>
      </c>
      <c r="GO3" s="128" t="s">
        <v>266</v>
      </c>
      <c r="GP3" s="128" t="s">
        <v>267</v>
      </c>
      <c r="GQ3" s="128" t="s">
        <v>268</v>
      </c>
      <c r="GR3" s="128" t="s">
        <v>269</v>
      </c>
      <c r="GS3" s="128" t="s">
        <v>270</v>
      </c>
      <c r="GT3" s="128" t="s">
        <v>271</v>
      </c>
      <c r="GU3" s="128" t="s">
        <v>272</v>
      </c>
      <c r="GV3" s="128" t="s">
        <v>273</v>
      </c>
      <c r="GW3" s="128" t="s">
        <v>274</v>
      </c>
      <c r="GX3" s="128" t="s">
        <v>275</v>
      </c>
      <c r="GY3" s="128" t="s">
        <v>276</v>
      </c>
      <c r="GZ3" s="128" t="s">
        <v>277</v>
      </c>
      <c r="HA3" s="128" t="s">
        <v>278</v>
      </c>
      <c r="HB3" s="128" t="s">
        <v>279</v>
      </c>
      <c r="HC3" s="128" t="s">
        <v>280</v>
      </c>
      <c r="HD3" s="128" t="s">
        <v>281</v>
      </c>
      <c r="HE3" s="128" t="s">
        <v>282</v>
      </c>
      <c r="HF3" s="128" t="s">
        <v>283</v>
      </c>
      <c r="HG3" s="128" t="s">
        <v>284</v>
      </c>
      <c r="HH3" s="128" t="s">
        <v>285</v>
      </c>
      <c r="HI3" s="128" t="s">
        <v>286</v>
      </c>
      <c r="HJ3" s="128" t="s">
        <v>287</v>
      </c>
      <c r="HK3" s="128" t="s">
        <v>288</v>
      </c>
      <c r="HL3" s="128" t="s">
        <v>289</v>
      </c>
      <c r="HM3" s="128" t="s">
        <v>290</v>
      </c>
      <c r="HN3" s="128" t="s">
        <v>291</v>
      </c>
      <c r="HO3" s="128" t="s">
        <v>292</v>
      </c>
      <c r="HP3" s="128" t="s">
        <v>293</v>
      </c>
      <c r="HQ3" s="128" t="s">
        <v>294</v>
      </c>
      <c r="HR3" s="128" t="s">
        <v>295</v>
      </c>
      <c r="HS3" s="128" t="s">
        <v>296</v>
      </c>
      <c r="HT3" s="128" t="s">
        <v>297</v>
      </c>
      <c r="HU3" s="128" t="s">
        <v>298</v>
      </c>
      <c r="HV3" s="128" t="s">
        <v>299</v>
      </c>
      <c r="HW3" s="128" t="s">
        <v>300</v>
      </c>
      <c r="HX3" s="128" t="s">
        <v>301</v>
      </c>
      <c r="HY3" s="128" t="s">
        <v>302</v>
      </c>
      <c r="HZ3" s="128" t="s">
        <v>303</v>
      </c>
      <c r="IA3" s="128" t="s">
        <v>304</v>
      </c>
      <c r="IB3" s="128" t="s">
        <v>305</v>
      </c>
      <c r="IC3" s="128" t="s">
        <v>306</v>
      </c>
      <c r="ID3" s="128" t="s">
        <v>307</v>
      </c>
      <c r="IE3" s="128" t="s">
        <v>308</v>
      </c>
      <c r="IF3" s="128" t="s">
        <v>309</v>
      </c>
      <c r="IG3" s="128" t="s">
        <v>310</v>
      </c>
      <c r="IH3" s="128" t="s">
        <v>311</v>
      </c>
      <c r="II3" s="128" t="s">
        <v>312</v>
      </c>
      <c r="IJ3" s="128" t="s">
        <v>313</v>
      </c>
      <c r="IK3" s="128" t="s">
        <v>314</v>
      </c>
      <c r="IL3" s="128" t="s">
        <v>315</v>
      </c>
      <c r="IM3" s="128" t="s">
        <v>316</v>
      </c>
      <c r="IN3" s="128" t="s">
        <v>317</v>
      </c>
      <c r="IO3" s="128" t="s">
        <v>318</v>
      </c>
      <c r="IP3" s="128" t="s">
        <v>319</v>
      </c>
      <c r="IQ3" s="128" t="s">
        <v>320</v>
      </c>
      <c r="IR3" s="128" t="s">
        <v>321</v>
      </c>
      <c r="IS3" s="128" t="s">
        <v>322</v>
      </c>
      <c r="IT3" s="128" t="s">
        <v>323</v>
      </c>
      <c r="IU3" s="128" t="s">
        <v>324</v>
      </c>
      <c r="IV3" s="128" t="s">
        <v>325</v>
      </c>
      <c r="IW3" s="128" t="s">
        <v>326</v>
      </c>
      <c r="IX3" s="128" t="s">
        <v>327</v>
      </c>
    </row>
    <row r="4" spans="1:258" s="71" customFormat="1" ht="32.25" customHeight="1" x14ac:dyDescent="0.25">
      <c r="A4" s="70"/>
      <c r="C4" s="72">
        <v>43247</v>
      </c>
      <c r="D4" s="72">
        <v>43248</v>
      </c>
      <c r="E4" s="72">
        <v>43249</v>
      </c>
      <c r="F4" s="72">
        <v>43250</v>
      </c>
      <c r="G4" s="72">
        <v>43251</v>
      </c>
      <c r="H4" s="72">
        <v>43252</v>
      </c>
      <c r="I4" s="72">
        <v>43253</v>
      </c>
      <c r="J4" s="72">
        <v>43254</v>
      </c>
      <c r="K4" s="72">
        <v>43255</v>
      </c>
      <c r="L4" s="72">
        <v>43256</v>
      </c>
      <c r="M4" s="72">
        <v>43257</v>
      </c>
      <c r="N4" s="72">
        <v>43258</v>
      </c>
      <c r="O4" s="72">
        <v>43259</v>
      </c>
      <c r="P4" s="72">
        <v>43260</v>
      </c>
      <c r="Q4" s="72">
        <v>43261</v>
      </c>
      <c r="R4" s="72">
        <v>43262</v>
      </c>
      <c r="S4" s="72">
        <v>43263</v>
      </c>
      <c r="T4" s="72">
        <v>43264</v>
      </c>
      <c r="U4" s="72">
        <v>43265</v>
      </c>
      <c r="V4" s="72">
        <v>43266</v>
      </c>
      <c r="W4" s="72">
        <v>43267</v>
      </c>
      <c r="X4" s="72">
        <v>43268</v>
      </c>
      <c r="Y4" s="72">
        <v>43269</v>
      </c>
      <c r="Z4" s="72">
        <v>43270</v>
      </c>
      <c r="AA4" s="72">
        <v>43271</v>
      </c>
      <c r="AB4" s="72">
        <v>43272</v>
      </c>
      <c r="AC4" s="72">
        <v>43273</v>
      </c>
      <c r="AD4" s="72">
        <v>43274</v>
      </c>
      <c r="AE4" s="72">
        <v>43275</v>
      </c>
      <c r="AF4" s="72">
        <v>43276</v>
      </c>
      <c r="AG4" s="72">
        <v>43277</v>
      </c>
      <c r="AH4" s="72">
        <v>43278</v>
      </c>
      <c r="AI4" s="72">
        <v>43279</v>
      </c>
      <c r="AJ4" s="72">
        <v>43280</v>
      </c>
      <c r="AK4" s="72">
        <v>43281</v>
      </c>
      <c r="AL4" s="72">
        <v>43282</v>
      </c>
      <c r="AM4" s="72">
        <v>43283</v>
      </c>
      <c r="AN4" s="72">
        <v>43284</v>
      </c>
      <c r="AO4" s="72">
        <v>43285</v>
      </c>
      <c r="AP4" s="72">
        <v>43286</v>
      </c>
      <c r="AQ4" s="72">
        <v>43287</v>
      </c>
      <c r="AR4" s="72">
        <v>43288</v>
      </c>
      <c r="AS4" s="72">
        <v>43289</v>
      </c>
      <c r="AT4" s="72">
        <v>43290</v>
      </c>
      <c r="AU4" s="72">
        <v>43291</v>
      </c>
      <c r="AV4" s="72">
        <v>43292</v>
      </c>
      <c r="AW4" s="72">
        <v>43293</v>
      </c>
      <c r="AX4" s="72">
        <v>43294</v>
      </c>
      <c r="AY4" s="72">
        <v>43295</v>
      </c>
      <c r="AZ4" s="72">
        <v>43296</v>
      </c>
      <c r="BA4" s="72">
        <v>43297</v>
      </c>
      <c r="BB4" s="72">
        <v>43298</v>
      </c>
      <c r="BC4" s="72">
        <v>43299</v>
      </c>
      <c r="BD4" s="72">
        <v>43300</v>
      </c>
      <c r="BE4" s="72">
        <v>43301</v>
      </c>
      <c r="BF4" s="72">
        <v>43302</v>
      </c>
      <c r="BG4" s="72">
        <v>43303</v>
      </c>
      <c r="BH4" s="72">
        <v>43304</v>
      </c>
      <c r="BI4" s="72">
        <v>43305</v>
      </c>
      <c r="BJ4" s="72">
        <v>43306</v>
      </c>
      <c r="BK4" s="72">
        <v>43307</v>
      </c>
      <c r="BL4" s="72">
        <v>43308</v>
      </c>
      <c r="BM4" s="72">
        <v>43309</v>
      </c>
      <c r="BN4" s="72">
        <v>43310</v>
      </c>
      <c r="BO4" s="72">
        <v>43311</v>
      </c>
      <c r="BP4" s="72">
        <v>43312</v>
      </c>
      <c r="BQ4" s="72">
        <v>43313</v>
      </c>
      <c r="BR4" s="72">
        <v>43314</v>
      </c>
      <c r="BS4" s="72">
        <v>43315</v>
      </c>
      <c r="BT4" s="72">
        <v>43316</v>
      </c>
      <c r="BU4" s="72">
        <v>43317</v>
      </c>
      <c r="BV4" s="72">
        <v>43318</v>
      </c>
      <c r="BW4" s="72">
        <v>43319</v>
      </c>
      <c r="BX4" s="72">
        <v>43320</v>
      </c>
      <c r="BY4" s="72">
        <v>43321</v>
      </c>
      <c r="BZ4" s="72">
        <v>43322</v>
      </c>
      <c r="CA4" s="72">
        <v>43323</v>
      </c>
      <c r="CB4" s="72">
        <v>43324</v>
      </c>
      <c r="CC4" s="72">
        <v>43325</v>
      </c>
      <c r="CD4" s="72">
        <v>43326</v>
      </c>
      <c r="CE4" s="72">
        <v>43327</v>
      </c>
      <c r="CF4" s="72">
        <v>43328</v>
      </c>
      <c r="CG4" s="72">
        <v>43329</v>
      </c>
      <c r="CH4" s="72">
        <v>43330</v>
      </c>
      <c r="CI4" s="72">
        <v>43331</v>
      </c>
      <c r="CJ4" s="72">
        <v>43332</v>
      </c>
      <c r="CK4" s="72">
        <v>43333</v>
      </c>
      <c r="CL4" s="72">
        <v>43334</v>
      </c>
      <c r="CM4" s="72">
        <v>43335</v>
      </c>
      <c r="CN4" s="72">
        <v>43336</v>
      </c>
      <c r="CO4" s="72">
        <v>43337</v>
      </c>
      <c r="CP4" s="72">
        <v>43338</v>
      </c>
      <c r="CQ4" s="72">
        <v>43339</v>
      </c>
      <c r="CR4" s="72">
        <v>43340</v>
      </c>
      <c r="CS4" s="72">
        <v>43341</v>
      </c>
      <c r="CT4" s="72">
        <v>43342</v>
      </c>
      <c r="CU4" s="72">
        <v>43343</v>
      </c>
      <c r="CV4" s="72">
        <v>43344</v>
      </c>
      <c r="CW4" s="72">
        <v>43345</v>
      </c>
      <c r="CX4" s="72">
        <v>43346</v>
      </c>
      <c r="CY4" s="72">
        <v>43347</v>
      </c>
      <c r="CZ4" s="72">
        <v>43348</v>
      </c>
      <c r="DA4" s="72">
        <v>43349</v>
      </c>
      <c r="DB4" s="72">
        <v>43350</v>
      </c>
      <c r="DC4" s="72">
        <v>43351</v>
      </c>
      <c r="DD4" s="72">
        <v>43352</v>
      </c>
      <c r="DE4" s="72">
        <v>43353</v>
      </c>
      <c r="DF4" s="72">
        <v>43354</v>
      </c>
      <c r="DG4" s="72">
        <v>43355</v>
      </c>
      <c r="DH4" s="72">
        <v>43356</v>
      </c>
      <c r="DI4" s="72">
        <v>43357</v>
      </c>
      <c r="DJ4" s="72">
        <v>43358</v>
      </c>
      <c r="DK4" s="72">
        <v>43359</v>
      </c>
      <c r="DL4" s="72">
        <v>43360</v>
      </c>
      <c r="DM4" s="72">
        <v>43361</v>
      </c>
      <c r="DN4" s="72">
        <v>43362</v>
      </c>
      <c r="DO4" s="72">
        <v>43363</v>
      </c>
      <c r="DP4" s="72">
        <v>43364</v>
      </c>
      <c r="DQ4" s="72">
        <v>43365</v>
      </c>
      <c r="DR4" s="72">
        <v>43366</v>
      </c>
      <c r="DS4" s="72">
        <v>43367</v>
      </c>
      <c r="DT4" s="72">
        <v>43368</v>
      </c>
      <c r="DU4" s="72">
        <v>43369</v>
      </c>
      <c r="DV4" s="72">
        <v>43370</v>
      </c>
      <c r="DW4" s="72">
        <v>43371</v>
      </c>
      <c r="DX4" s="72">
        <v>43372</v>
      </c>
      <c r="DY4" s="72">
        <v>43373</v>
      </c>
      <c r="DZ4" s="72">
        <v>43374</v>
      </c>
      <c r="EA4" s="72">
        <v>43375</v>
      </c>
      <c r="EB4" s="72">
        <v>43376</v>
      </c>
      <c r="EC4" s="72">
        <v>43377</v>
      </c>
      <c r="ED4" s="72">
        <v>43378</v>
      </c>
      <c r="EE4" s="72">
        <v>43379</v>
      </c>
      <c r="EF4" s="72">
        <v>43380</v>
      </c>
      <c r="EG4" s="72">
        <v>43381</v>
      </c>
      <c r="EH4" s="72">
        <v>43382</v>
      </c>
      <c r="EI4" s="72">
        <v>43383</v>
      </c>
      <c r="EJ4" s="72">
        <v>43384</v>
      </c>
      <c r="EK4" s="72">
        <v>43385</v>
      </c>
      <c r="EL4" s="72">
        <v>43386</v>
      </c>
      <c r="EM4" s="72">
        <v>43387</v>
      </c>
      <c r="EN4" s="72">
        <v>43388</v>
      </c>
      <c r="EO4" s="72">
        <v>43389</v>
      </c>
      <c r="EP4" s="72">
        <v>43390</v>
      </c>
      <c r="EQ4" s="72">
        <v>43391</v>
      </c>
      <c r="ER4" s="72">
        <v>43392</v>
      </c>
      <c r="ES4" s="72">
        <v>43393</v>
      </c>
      <c r="ET4" s="72">
        <v>43394</v>
      </c>
      <c r="EU4" s="72">
        <v>43395</v>
      </c>
      <c r="EV4" s="72">
        <v>43396</v>
      </c>
      <c r="EW4" s="72">
        <v>43397</v>
      </c>
      <c r="EX4" s="72">
        <v>43398</v>
      </c>
      <c r="EY4" s="72">
        <v>43399</v>
      </c>
      <c r="EZ4" s="72">
        <v>43400</v>
      </c>
      <c r="FA4" s="72">
        <v>43401</v>
      </c>
      <c r="FB4" s="72">
        <v>43402</v>
      </c>
      <c r="FC4" s="72">
        <v>43403</v>
      </c>
      <c r="FD4" s="72">
        <v>43404</v>
      </c>
      <c r="FE4" s="72">
        <v>43405</v>
      </c>
      <c r="FF4" s="72">
        <v>43406</v>
      </c>
      <c r="FG4" s="72">
        <v>43407</v>
      </c>
      <c r="FH4" s="72">
        <v>43408</v>
      </c>
      <c r="FI4" s="72">
        <v>43409</v>
      </c>
      <c r="FJ4" s="72">
        <v>43410</v>
      </c>
      <c r="FK4" s="72">
        <v>43411</v>
      </c>
      <c r="FL4" s="72">
        <v>43412</v>
      </c>
      <c r="FM4" s="72">
        <v>43413</v>
      </c>
      <c r="FN4" s="72">
        <v>43414</v>
      </c>
      <c r="FO4" s="72">
        <v>43415</v>
      </c>
      <c r="FP4" s="72">
        <v>43416</v>
      </c>
      <c r="FQ4" s="72">
        <v>43417</v>
      </c>
      <c r="FR4" s="72">
        <v>43418</v>
      </c>
      <c r="FS4" s="72">
        <v>43419</v>
      </c>
      <c r="FT4" s="72">
        <v>43420</v>
      </c>
      <c r="FU4" s="72">
        <v>43421</v>
      </c>
      <c r="FV4" s="72">
        <v>43422</v>
      </c>
      <c r="FW4" s="72">
        <v>43423</v>
      </c>
      <c r="FX4" s="72">
        <v>43424</v>
      </c>
      <c r="FY4" s="72">
        <v>43425</v>
      </c>
      <c r="FZ4" s="72">
        <v>43426</v>
      </c>
      <c r="GA4" s="72">
        <v>43427</v>
      </c>
      <c r="GB4" s="72">
        <v>43428</v>
      </c>
      <c r="GC4" s="72">
        <v>43429</v>
      </c>
      <c r="GD4" s="72">
        <v>43430</v>
      </c>
      <c r="GE4" s="72">
        <v>43431</v>
      </c>
      <c r="GF4" s="72">
        <v>43432</v>
      </c>
      <c r="GG4" s="72">
        <v>43433</v>
      </c>
      <c r="GH4" s="72">
        <v>43434</v>
      </c>
      <c r="GI4" s="72">
        <v>43435</v>
      </c>
      <c r="GJ4" s="72">
        <v>43436</v>
      </c>
      <c r="GK4" s="72">
        <v>43437</v>
      </c>
      <c r="GL4" s="72">
        <v>43438</v>
      </c>
      <c r="GM4" s="72">
        <v>43439</v>
      </c>
      <c r="GN4" s="72">
        <v>43440</v>
      </c>
      <c r="GO4" s="72">
        <v>43441</v>
      </c>
      <c r="GP4" s="72">
        <v>43442</v>
      </c>
      <c r="GQ4" s="72">
        <v>43443</v>
      </c>
      <c r="GR4" s="72">
        <v>43444</v>
      </c>
      <c r="GS4" s="72">
        <v>43445</v>
      </c>
      <c r="GT4" s="72">
        <v>43446</v>
      </c>
      <c r="GU4" s="72">
        <v>43447</v>
      </c>
      <c r="GV4" s="72">
        <v>43448</v>
      </c>
      <c r="GW4" s="72">
        <v>43449</v>
      </c>
      <c r="GX4" s="72">
        <v>43450</v>
      </c>
      <c r="GY4" s="72">
        <v>43451</v>
      </c>
      <c r="GZ4" s="72">
        <v>43452</v>
      </c>
      <c r="HA4" s="72">
        <v>43453</v>
      </c>
      <c r="HB4" s="72">
        <v>43454</v>
      </c>
      <c r="HC4" s="72">
        <v>43455</v>
      </c>
      <c r="HD4" s="72">
        <v>43456</v>
      </c>
      <c r="HE4" s="72">
        <v>43457</v>
      </c>
      <c r="HF4" s="72">
        <v>43458</v>
      </c>
      <c r="HG4" s="72">
        <v>43459</v>
      </c>
      <c r="HH4" s="72">
        <v>43460</v>
      </c>
      <c r="HI4" s="72">
        <v>43461</v>
      </c>
      <c r="HJ4" s="72">
        <v>43462</v>
      </c>
      <c r="HK4" s="72">
        <v>43463</v>
      </c>
      <c r="HL4" s="72">
        <v>43464</v>
      </c>
      <c r="HM4" s="72">
        <v>43465</v>
      </c>
      <c r="HN4" s="72">
        <v>43466</v>
      </c>
      <c r="HO4" s="72">
        <v>43467</v>
      </c>
      <c r="HP4" s="72">
        <v>43468</v>
      </c>
      <c r="HQ4" s="72">
        <v>43469</v>
      </c>
      <c r="HR4" s="72">
        <v>43470</v>
      </c>
      <c r="HS4" s="72">
        <v>43471</v>
      </c>
      <c r="HT4" s="72">
        <v>43472</v>
      </c>
      <c r="HU4" s="72">
        <v>43473</v>
      </c>
      <c r="HV4" s="72">
        <v>43474</v>
      </c>
      <c r="HW4" s="72">
        <v>43475</v>
      </c>
      <c r="HX4" s="72">
        <v>43476</v>
      </c>
      <c r="HY4" s="72">
        <v>43477</v>
      </c>
      <c r="HZ4" s="72">
        <v>43478</v>
      </c>
      <c r="IA4" s="72">
        <v>43479</v>
      </c>
      <c r="IB4" s="72">
        <v>43480</v>
      </c>
      <c r="IC4" s="72">
        <v>43481</v>
      </c>
      <c r="ID4" s="72">
        <v>43482</v>
      </c>
      <c r="IE4" s="72">
        <v>43483</v>
      </c>
      <c r="IF4" s="72">
        <v>43484</v>
      </c>
      <c r="IG4" s="72">
        <v>43485</v>
      </c>
      <c r="IH4" s="72">
        <v>43486</v>
      </c>
      <c r="II4" s="72">
        <v>43487</v>
      </c>
      <c r="IJ4" s="72">
        <v>43488</v>
      </c>
      <c r="IK4" s="72">
        <v>43489</v>
      </c>
      <c r="IL4" s="72">
        <v>43490</v>
      </c>
      <c r="IM4" s="72">
        <v>43491</v>
      </c>
      <c r="IN4" s="72">
        <v>43492</v>
      </c>
      <c r="IO4" s="72">
        <v>43493</v>
      </c>
      <c r="IP4" s="72">
        <v>43494</v>
      </c>
      <c r="IQ4" s="72">
        <v>43495</v>
      </c>
      <c r="IR4" s="72">
        <v>43496</v>
      </c>
      <c r="IS4" s="72">
        <v>43497</v>
      </c>
      <c r="IT4" s="72">
        <v>43498</v>
      </c>
      <c r="IU4" s="72">
        <v>43499</v>
      </c>
      <c r="IV4" s="72">
        <v>43500</v>
      </c>
      <c r="IW4" s="72">
        <v>43501</v>
      </c>
      <c r="IX4" s="72">
        <v>43502</v>
      </c>
    </row>
    <row r="5" spans="1:258" s="71" customFormat="1" ht="32.25" customHeight="1" x14ac:dyDescent="0.25">
      <c r="A5" s="70"/>
      <c r="B5" s="142" t="s">
        <v>389</v>
      </c>
      <c r="C5" s="143"/>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c r="BI5" s="143"/>
      <c r="BJ5" s="143"/>
      <c r="BK5" s="143"/>
      <c r="BL5" s="143"/>
      <c r="BM5" s="143"/>
      <c r="BN5" s="143"/>
      <c r="BO5" s="143"/>
      <c r="BP5" s="143"/>
      <c r="BQ5" s="143"/>
      <c r="BR5" s="143"/>
      <c r="BS5" s="143"/>
      <c r="BT5" s="143"/>
      <c r="BU5" s="143"/>
      <c r="BV5" s="143"/>
      <c r="BW5" s="143"/>
      <c r="BX5" s="143"/>
      <c r="BY5" s="143"/>
      <c r="BZ5" s="143"/>
      <c r="CA5" s="143"/>
      <c r="CB5" s="143"/>
      <c r="CC5" s="143"/>
      <c r="CD5" s="143"/>
      <c r="CE5" s="143"/>
      <c r="CF5" s="143"/>
      <c r="CG5" s="143"/>
      <c r="CH5" s="143"/>
      <c r="CI5" s="143"/>
      <c r="CJ5" s="143"/>
      <c r="CK5" s="143"/>
      <c r="CL5" s="143"/>
      <c r="CM5" s="143"/>
      <c r="CN5" s="143"/>
      <c r="CO5" s="143"/>
      <c r="CP5" s="143"/>
      <c r="CQ5" s="143"/>
      <c r="CR5" s="143"/>
      <c r="CS5" s="143"/>
      <c r="CT5" s="143"/>
      <c r="CU5" s="143"/>
      <c r="CV5" s="143"/>
      <c r="CW5" s="143"/>
      <c r="CX5" s="143"/>
      <c r="CY5" s="143"/>
      <c r="CZ5" s="143"/>
      <c r="DA5" s="143"/>
      <c r="DB5" s="143"/>
      <c r="DC5" s="143"/>
      <c r="DD5" s="143"/>
      <c r="DE5" s="143"/>
      <c r="DF5" s="143"/>
      <c r="DG5" s="143"/>
      <c r="DH5" s="143"/>
      <c r="DI5" s="143"/>
      <c r="DJ5" s="143"/>
      <c r="DK5" s="143"/>
      <c r="DL5" s="143"/>
      <c r="DM5" s="143"/>
      <c r="DN5" s="143"/>
      <c r="DO5" s="143"/>
      <c r="DP5" s="143"/>
      <c r="DQ5" s="143"/>
      <c r="DR5" s="143"/>
      <c r="DS5" s="143"/>
      <c r="DT5" s="143"/>
      <c r="DU5" s="143"/>
      <c r="DV5" s="143"/>
      <c r="DW5" s="143"/>
      <c r="DX5" s="143"/>
      <c r="DY5" s="143"/>
      <c r="DZ5" s="143"/>
      <c r="EA5" s="143"/>
      <c r="EB5" s="143"/>
      <c r="EC5" s="143"/>
      <c r="ED5" s="143"/>
      <c r="EE5" s="143"/>
      <c r="EF5" s="143"/>
      <c r="EG5" s="143"/>
      <c r="EH5" s="143"/>
      <c r="EI5" s="143"/>
      <c r="EJ5" s="143"/>
      <c r="EK5" s="143"/>
      <c r="EL5" s="143"/>
      <c r="EM5" s="143"/>
      <c r="EN5" s="143"/>
      <c r="EO5" s="143"/>
      <c r="EP5" s="143"/>
      <c r="EQ5" s="143"/>
      <c r="ER5" s="143"/>
      <c r="ES5" s="143"/>
      <c r="ET5" s="143"/>
      <c r="EU5" s="143"/>
      <c r="EV5" s="143"/>
      <c r="EW5" s="143"/>
      <c r="EX5" s="143"/>
      <c r="EY5" s="143"/>
      <c r="EZ5" s="143"/>
      <c r="FA5" s="143"/>
      <c r="FB5" s="143"/>
      <c r="FC5" s="143"/>
      <c r="FD5" s="143"/>
      <c r="FE5" s="143"/>
      <c r="FF5" s="143"/>
      <c r="FG5" s="143"/>
      <c r="FH5" s="143"/>
      <c r="FI5" s="143"/>
      <c r="FJ5" s="143"/>
      <c r="FK5" s="143"/>
      <c r="FL5" s="143"/>
      <c r="FM5" s="143"/>
      <c r="FN5" s="143"/>
      <c r="FO5" s="143"/>
      <c r="FP5" s="143"/>
      <c r="FQ5" s="143"/>
      <c r="FR5" s="143"/>
      <c r="FS5" s="143"/>
      <c r="FT5" s="143"/>
      <c r="FU5" s="143"/>
      <c r="FV5" s="143"/>
      <c r="FW5" s="143"/>
      <c r="FX5" s="143"/>
      <c r="FY5" s="143"/>
      <c r="FZ5" s="143"/>
      <c r="GA5" s="143"/>
      <c r="GB5" s="143"/>
      <c r="GC5" s="143"/>
      <c r="GD5" s="143"/>
      <c r="GE5" s="143"/>
      <c r="GF5" s="143"/>
      <c r="GG5" s="143"/>
      <c r="GH5" s="143"/>
      <c r="GI5" s="143"/>
      <c r="GJ5" s="143"/>
      <c r="GK5" s="143"/>
      <c r="GL5" s="143"/>
      <c r="GM5" s="143"/>
      <c r="GN5" s="143"/>
      <c r="GO5" s="143"/>
      <c r="GP5" s="143"/>
      <c r="GQ5" s="143"/>
      <c r="GR5" s="143"/>
      <c r="GS5" s="143"/>
      <c r="GT5" s="143"/>
      <c r="GU5" s="143"/>
      <c r="GV5" s="143"/>
      <c r="GW5" s="143"/>
      <c r="GX5" s="143"/>
      <c r="GY5" s="143"/>
      <c r="GZ5" s="143"/>
      <c r="HA5" s="143"/>
      <c r="HB5" s="143"/>
      <c r="HC5" s="143"/>
      <c r="HD5" s="143"/>
      <c r="HE5" s="143"/>
      <c r="HF5" s="143"/>
      <c r="HG5" s="143"/>
      <c r="HH5" s="143"/>
      <c r="HI5" s="143"/>
      <c r="HJ5" s="143"/>
      <c r="HK5" s="143"/>
      <c r="HL5" s="143"/>
      <c r="HM5" s="143"/>
      <c r="HN5" s="143"/>
      <c r="HO5" s="143"/>
      <c r="HP5" s="143"/>
      <c r="HQ5" s="143"/>
      <c r="HR5" s="143"/>
      <c r="HS5" s="143"/>
      <c r="HT5" s="143"/>
      <c r="HU5" s="143"/>
      <c r="HV5" s="143"/>
      <c r="HW5" s="143"/>
      <c r="HX5" s="143"/>
      <c r="HY5" s="143"/>
      <c r="HZ5" s="143"/>
      <c r="IA5" s="143"/>
      <c r="IB5" s="143"/>
      <c r="IC5" s="143"/>
      <c r="ID5" s="143"/>
      <c r="IE5" s="143"/>
      <c r="IF5" s="143"/>
      <c r="IG5" s="143"/>
      <c r="IH5" s="143"/>
      <c r="II5" s="143"/>
      <c r="IJ5" s="143"/>
      <c r="IK5" s="143"/>
      <c r="IL5" s="143"/>
      <c r="IM5" s="143"/>
      <c r="IN5" s="143"/>
      <c r="IO5" s="143"/>
      <c r="IP5" s="143"/>
      <c r="IQ5" s="143"/>
      <c r="IR5" s="143"/>
      <c r="IS5" s="143"/>
      <c r="IT5" s="143"/>
      <c r="IU5" s="143"/>
      <c r="IV5" s="143"/>
      <c r="IW5" s="143"/>
      <c r="IX5" s="143"/>
    </row>
    <row r="6" spans="1:258" s="146" customFormat="1" ht="51.75" customHeight="1" thickBot="1" x14ac:dyDescent="0.3">
      <c r="A6" s="144"/>
      <c r="B6" s="142" t="s">
        <v>390</v>
      </c>
      <c r="C6" s="145"/>
      <c r="D6" s="145"/>
      <c r="E6" s="145"/>
      <c r="F6" s="145"/>
      <c r="G6" s="145"/>
      <c r="H6" s="145"/>
      <c r="I6" s="145"/>
      <c r="J6" s="145"/>
      <c r="K6" s="145"/>
      <c r="L6" s="145"/>
      <c r="M6" s="145"/>
      <c r="N6" s="145"/>
      <c r="O6" s="145"/>
      <c r="P6" s="145"/>
      <c r="Q6" s="145"/>
      <c r="R6" s="145"/>
      <c r="S6" s="145"/>
      <c r="T6" s="145"/>
      <c r="U6" s="145"/>
      <c r="V6" s="145"/>
      <c r="W6" s="145"/>
      <c r="X6" s="145"/>
      <c r="Y6" s="145"/>
      <c r="Z6" s="145"/>
      <c r="AA6" s="145"/>
      <c r="AB6" s="145"/>
      <c r="AC6" s="145"/>
      <c r="AD6" s="145"/>
      <c r="AE6" s="145"/>
      <c r="AF6" s="145"/>
      <c r="AG6" s="145"/>
      <c r="AH6" s="145"/>
      <c r="AI6" s="145"/>
      <c r="AJ6" s="145"/>
      <c r="AK6" s="145"/>
      <c r="AL6" s="145"/>
      <c r="AM6" s="145"/>
      <c r="AN6" s="145"/>
      <c r="AO6" s="145"/>
      <c r="AP6" s="145"/>
      <c r="AQ6" s="145"/>
      <c r="AR6" s="145"/>
      <c r="AS6" s="145"/>
      <c r="AT6" s="145"/>
      <c r="AU6" s="145"/>
      <c r="AV6" s="145"/>
      <c r="AW6" s="145"/>
      <c r="AX6" s="145"/>
      <c r="AY6" s="145"/>
      <c r="AZ6" s="145"/>
      <c r="BA6" s="145"/>
      <c r="BB6" s="145"/>
      <c r="BC6" s="145"/>
      <c r="BD6" s="145"/>
      <c r="BE6" s="145"/>
      <c r="BF6" s="145"/>
      <c r="BG6" s="145"/>
      <c r="BH6" s="145"/>
      <c r="BI6" s="145"/>
      <c r="BJ6" s="145"/>
      <c r="BK6" s="145"/>
      <c r="BL6" s="145"/>
      <c r="BM6" s="145"/>
      <c r="BN6" s="145"/>
      <c r="BO6" s="145"/>
      <c r="BP6" s="145"/>
      <c r="BQ6" s="145"/>
      <c r="BR6" s="145"/>
      <c r="BS6" s="145"/>
      <c r="BT6" s="145"/>
      <c r="BU6" s="145"/>
      <c r="BV6" s="145"/>
      <c r="BW6" s="145"/>
      <c r="BX6" s="145"/>
      <c r="BY6" s="145"/>
      <c r="BZ6" s="145"/>
      <c r="CA6" s="145"/>
      <c r="CB6" s="145"/>
      <c r="CC6" s="145"/>
      <c r="CD6" s="145"/>
      <c r="CE6" s="145"/>
      <c r="CF6" s="145"/>
      <c r="CG6" s="145"/>
      <c r="CH6" s="145"/>
      <c r="CI6" s="145"/>
      <c r="CJ6" s="145"/>
      <c r="CK6" s="145"/>
      <c r="CL6" s="145"/>
      <c r="CM6" s="145"/>
      <c r="CN6" s="145"/>
      <c r="CO6" s="145"/>
      <c r="CP6" s="145"/>
      <c r="CQ6" s="145"/>
      <c r="CR6" s="145"/>
      <c r="CS6" s="145"/>
      <c r="CT6" s="145"/>
      <c r="CU6" s="145"/>
      <c r="CV6" s="145"/>
      <c r="CW6" s="145"/>
      <c r="CX6" s="145"/>
      <c r="CY6" s="145"/>
      <c r="CZ6" s="145"/>
      <c r="DA6" s="145"/>
      <c r="DB6" s="145"/>
      <c r="DC6" s="145"/>
      <c r="DD6" s="145"/>
      <c r="DE6" s="145"/>
      <c r="DF6" s="145"/>
      <c r="DG6" s="145"/>
      <c r="DH6" s="145"/>
      <c r="DI6" s="145"/>
      <c r="DJ6" s="145"/>
      <c r="DK6" s="145"/>
      <c r="DL6" s="145"/>
      <c r="DM6" s="145"/>
      <c r="DN6" s="145"/>
      <c r="DO6" s="145"/>
      <c r="DP6" s="145"/>
      <c r="DQ6" s="145"/>
      <c r="DR6" s="145"/>
      <c r="DS6" s="145"/>
      <c r="DT6" s="145"/>
      <c r="DU6" s="145"/>
      <c r="DV6" s="145"/>
      <c r="DW6" s="145"/>
      <c r="DX6" s="145"/>
      <c r="DY6" s="145"/>
      <c r="DZ6" s="145"/>
      <c r="EA6" s="145"/>
      <c r="EB6" s="145"/>
      <c r="EC6" s="145"/>
      <c r="ED6" s="145"/>
      <c r="EE6" s="145"/>
      <c r="EF6" s="145"/>
      <c r="EG6" s="145"/>
      <c r="EH6" s="145"/>
      <c r="EI6" s="145"/>
      <c r="EJ6" s="145"/>
      <c r="EK6" s="145"/>
      <c r="EL6" s="145"/>
      <c r="EM6" s="145"/>
      <c r="EN6" s="145"/>
      <c r="EO6" s="145"/>
      <c r="EP6" s="145"/>
      <c r="EQ6" s="145"/>
      <c r="ER6" s="145"/>
      <c r="ES6" s="145"/>
      <c r="ET6" s="145"/>
      <c r="EU6" s="145"/>
      <c r="EV6" s="145"/>
      <c r="EW6" s="145"/>
      <c r="EX6" s="145"/>
      <c r="EY6" s="145"/>
      <c r="EZ6" s="145"/>
      <c r="FA6" s="145"/>
      <c r="FB6" s="145"/>
      <c r="FC6" s="145"/>
      <c r="FD6" s="145"/>
      <c r="FE6" s="145"/>
      <c r="FF6" s="145"/>
      <c r="FG6" s="145"/>
      <c r="FH6" s="145"/>
      <c r="FI6" s="145"/>
      <c r="FJ6" s="145"/>
      <c r="FK6" s="145"/>
      <c r="FL6" s="145"/>
      <c r="FM6" s="145"/>
      <c r="FN6" s="145"/>
      <c r="FO6" s="145"/>
      <c r="FP6" s="145"/>
      <c r="FQ6" s="145"/>
      <c r="FR6" s="145"/>
      <c r="FS6" s="145"/>
      <c r="FT6" s="145"/>
      <c r="FU6" s="145"/>
      <c r="FV6" s="145"/>
      <c r="FW6" s="145"/>
      <c r="FX6" s="145"/>
      <c r="FY6" s="145"/>
      <c r="FZ6" s="145"/>
      <c r="GA6" s="145"/>
      <c r="GB6" s="145"/>
      <c r="GC6" s="145"/>
      <c r="GD6" s="145"/>
      <c r="GE6" s="145"/>
      <c r="GF6" s="145"/>
      <c r="GG6" s="145"/>
      <c r="GH6" s="145"/>
      <c r="GI6" s="145"/>
      <c r="GJ6" s="145"/>
      <c r="GK6" s="145"/>
      <c r="GL6" s="145"/>
      <c r="GM6" s="145"/>
      <c r="GN6" s="145"/>
      <c r="GO6" s="145"/>
      <c r="GP6" s="145"/>
      <c r="GQ6" s="145"/>
      <c r="GR6" s="145"/>
      <c r="GS6" s="145"/>
      <c r="GT6" s="145"/>
      <c r="GU6" s="145"/>
      <c r="GV6" s="145"/>
      <c r="GW6" s="145"/>
      <c r="GX6" s="145"/>
      <c r="GY6" s="145"/>
      <c r="GZ6" s="145"/>
      <c r="HA6" s="145"/>
      <c r="HB6" s="145"/>
      <c r="HC6" s="145"/>
      <c r="HD6" s="145"/>
      <c r="HE6" s="145"/>
      <c r="HF6" s="145"/>
      <c r="HG6" s="145"/>
      <c r="HH6" s="145"/>
      <c r="HI6" s="145"/>
      <c r="HJ6" s="145"/>
      <c r="HK6" s="145"/>
      <c r="HL6" s="145"/>
      <c r="HM6" s="145"/>
      <c r="HN6" s="145"/>
      <c r="HO6" s="145"/>
      <c r="HP6" s="145"/>
      <c r="HQ6" s="145"/>
      <c r="HR6" s="145"/>
      <c r="HS6" s="145"/>
      <c r="HT6" s="145"/>
      <c r="HU6" s="145"/>
      <c r="HV6" s="145"/>
      <c r="HW6" s="145"/>
      <c r="HX6" s="145"/>
      <c r="HY6" s="145"/>
      <c r="HZ6" s="145"/>
      <c r="IA6" s="145"/>
      <c r="IB6" s="145"/>
      <c r="IC6" s="145"/>
      <c r="ID6" s="145"/>
      <c r="IE6" s="145"/>
      <c r="IF6" s="145"/>
      <c r="IG6" s="145"/>
      <c r="IH6" s="145"/>
      <c r="II6" s="145"/>
      <c r="IJ6" s="145"/>
      <c r="IK6" s="145"/>
      <c r="IL6" s="145"/>
      <c r="IM6" s="145"/>
      <c r="IN6" s="145"/>
      <c r="IO6" s="145"/>
      <c r="IP6" s="145"/>
      <c r="IQ6" s="145"/>
      <c r="IR6" s="145"/>
      <c r="IS6" s="145"/>
      <c r="IT6" s="145"/>
      <c r="IU6" s="145"/>
      <c r="IV6" s="145"/>
      <c r="IW6" s="145"/>
      <c r="IX6" s="145"/>
    </row>
    <row r="7" spans="1:258" ht="20.100000000000001" customHeight="1" thickTop="1" x14ac:dyDescent="0.25">
      <c r="A7" s="77">
        <f>HOUR(B7)</f>
        <v>0</v>
      </c>
      <c r="B7" s="73">
        <v>0</v>
      </c>
      <c r="C7" s="147"/>
      <c r="D7" s="147"/>
      <c r="E7" s="147"/>
      <c r="F7" s="147"/>
      <c r="G7" s="147"/>
      <c r="H7" s="147"/>
      <c r="I7" s="147"/>
      <c r="J7" s="147"/>
      <c r="K7" s="147"/>
      <c r="L7" s="215" t="s">
        <v>586</v>
      </c>
      <c r="M7" s="147"/>
      <c r="N7" s="147"/>
      <c r="O7" s="147"/>
      <c r="P7" s="147"/>
      <c r="Q7" s="147"/>
      <c r="R7" s="147"/>
      <c r="S7" s="147"/>
      <c r="T7" s="147"/>
      <c r="U7" s="147"/>
      <c r="V7" s="147"/>
      <c r="W7" s="147"/>
      <c r="X7" s="147"/>
      <c r="Y7" s="147"/>
      <c r="Z7" s="147"/>
      <c r="AA7" s="147"/>
      <c r="AB7" s="147"/>
      <c r="AC7" s="147"/>
      <c r="AD7" s="147"/>
      <c r="AE7" s="147"/>
      <c r="AF7" s="147"/>
      <c r="AG7" s="147"/>
      <c r="AH7" s="147"/>
      <c r="AI7" s="147"/>
      <c r="AJ7" s="147"/>
      <c r="AK7" s="147"/>
      <c r="AL7" s="147"/>
      <c r="AM7" s="147"/>
      <c r="AN7" s="147"/>
      <c r="AO7" s="147"/>
      <c r="AP7" s="147"/>
      <c r="AQ7" s="147"/>
      <c r="AR7" s="147"/>
      <c r="AS7" s="147"/>
      <c r="AT7" s="147"/>
      <c r="AU7" s="147"/>
      <c r="AV7" s="147"/>
      <c r="AW7" s="147"/>
      <c r="AX7" s="147"/>
      <c r="AY7" s="147"/>
      <c r="AZ7" s="147"/>
      <c r="BA7" s="147"/>
      <c r="BB7" s="147"/>
      <c r="BC7" s="147"/>
      <c r="BD7" s="147"/>
      <c r="BE7" s="147"/>
      <c r="BF7" s="147"/>
      <c r="BG7" s="147"/>
      <c r="BH7" s="147"/>
      <c r="BI7" s="147"/>
      <c r="BJ7" s="147"/>
      <c r="BK7" s="147"/>
      <c r="BL7" s="147"/>
      <c r="BM7" s="147"/>
      <c r="BN7" s="147"/>
      <c r="BO7" s="147"/>
      <c r="BP7" s="147"/>
      <c r="BQ7" s="147"/>
      <c r="BR7" s="147"/>
      <c r="BS7" s="147"/>
      <c r="BT7" s="147"/>
      <c r="BU7" s="147"/>
      <c r="BV7" s="147"/>
      <c r="BW7" s="147"/>
      <c r="BX7" s="147"/>
      <c r="BY7" s="147"/>
      <c r="BZ7" s="147"/>
      <c r="CA7" s="147"/>
      <c r="CB7" s="147"/>
      <c r="CC7" s="147"/>
      <c r="CD7" s="147"/>
      <c r="CE7" s="147"/>
      <c r="CF7" s="147"/>
      <c r="CG7" s="147"/>
      <c r="CH7" s="147"/>
      <c r="CI7" s="147"/>
      <c r="CJ7" s="147"/>
      <c r="CK7" s="147"/>
      <c r="CL7" s="147"/>
      <c r="CM7" s="147"/>
      <c r="CN7" s="147"/>
      <c r="CO7" s="147"/>
      <c r="CP7" s="147"/>
      <c r="CQ7" s="147"/>
      <c r="CR7" s="147"/>
      <c r="CS7" s="147"/>
      <c r="CT7" s="147"/>
      <c r="CU7" s="147"/>
      <c r="CV7" s="147"/>
      <c r="CW7" s="147"/>
      <c r="CX7" s="147"/>
      <c r="CY7" s="147"/>
      <c r="CZ7" s="147"/>
      <c r="DA7" s="147"/>
      <c r="DB7" s="147"/>
      <c r="DC7" s="147"/>
      <c r="DD7" s="147"/>
      <c r="DE7" s="147"/>
      <c r="DF7" s="147"/>
      <c r="DG7" s="147"/>
      <c r="DH7" s="147"/>
      <c r="DI7" s="147"/>
      <c r="DJ7" s="147"/>
      <c r="DK7" s="147"/>
      <c r="DL7" s="147"/>
      <c r="DM7" s="147"/>
      <c r="DN7" s="147"/>
      <c r="DO7" s="147"/>
      <c r="DP7" s="147"/>
      <c r="DQ7" s="147"/>
      <c r="DR7" s="147"/>
      <c r="DS7" s="147"/>
      <c r="DT7" s="147"/>
      <c r="DU7" s="147"/>
      <c r="DV7" s="147"/>
      <c r="DW7" s="147"/>
      <c r="DX7" s="147"/>
      <c r="DY7" s="147"/>
      <c r="DZ7" s="147"/>
      <c r="EA7" s="147"/>
      <c r="EB7" s="147"/>
      <c r="EC7" s="147"/>
      <c r="ED7" s="147"/>
      <c r="EE7" s="147"/>
      <c r="EF7" s="147"/>
      <c r="EG7" s="147"/>
      <c r="EH7" s="147"/>
      <c r="EI7" s="147"/>
      <c r="EJ7" s="147"/>
      <c r="EK7" s="147"/>
      <c r="EL7" s="147"/>
      <c r="EM7" s="147"/>
      <c r="EN7" s="147"/>
      <c r="EO7" s="147"/>
      <c r="EP7" s="147"/>
      <c r="EQ7" s="147"/>
      <c r="ER7" s="147"/>
      <c r="ES7" s="147"/>
      <c r="ET7" s="147"/>
      <c r="EU7" s="147"/>
      <c r="EV7" s="147"/>
      <c r="EW7" s="147"/>
      <c r="EX7" s="147"/>
      <c r="EY7" s="147"/>
      <c r="EZ7" s="147"/>
      <c r="FA7" s="147"/>
      <c r="FB7" s="147"/>
      <c r="FC7" s="147"/>
      <c r="FD7" s="147"/>
      <c r="FE7" s="147"/>
      <c r="FF7" s="147"/>
      <c r="FG7" s="147"/>
      <c r="FH7" s="147"/>
      <c r="FI7" s="147"/>
      <c r="FJ7" s="147"/>
      <c r="FK7" s="147"/>
      <c r="FL7" s="147"/>
      <c r="FM7" s="147"/>
      <c r="FN7" s="147"/>
      <c r="FO7" s="147"/>
      <c r="FP7" s="147"/>
      <c r="FQ7" s="147"/>
      <c r="FR7" s="147"/>
      <c r="FS7" s="147"/>
      <c r="FT7" s="147"/>
      <c r="FU7" s="147"/>
      <c r="FV7" s="147"/>
      <c r="FW7" s="147"/>
      <c r="FX7" s="147"/>
      <c r="FY7" s="147"/>
      <c r="FZ7" s="147"/>
      <c r="GA7" s="147"/>
      <c r="GB7" s="147"/>
      <c r="GC7" s="147"/>
      <c r="GD7" s="147"/>
      <c r="GE7" s="147"/>
      <c r="GF7" s="147"/>
      <c r="GG7" s="147"/>
      <c r="GH7" s="147"/>
      <c r="GI7" s="147"/>
      <c r="GJ7" s="147"/>
      <c r="GK7" s="147"/>
      <c r="GL7" s="147"/>
      <c r="GM7" s="147"/>
      <c r="GN7" s="147"/>
      <c r="GO7" s="147"/>
      <c r="GP7" s="147"/>
      <c r="GQ7" s="147"/>
      <c r="GR7" s="147"/>
      <c r="GS7" s="147"/>
      <c r="GT7" s="147"/>
      <c r="GU7" s="147"/>
      <c r="GV7" s="147"/>
      <c r="GW7" s="147"/>
      <c r="GX7" s="147"/>
      <c r="GY7" s="147"/>
      <c r="GZ7" s="147"/>
      <c r="HA7" s="147"/>
      <c r="HB7" s="147"/>
      <c r="HC7" s="147"/>
      <c r="HD7" s="147"/>
      <c r="HE7" s="147"/>
      <c r="HF7" s="147"/>
      <c r="HG7" s="147"/>
      <c r="HH7" s="147"/>
      <c r="HI7" s="147"/>
      <c r="HJ7" s="147"/>
      <c r="HK7" s="147"/>
      <c r="HL7" s="147"/>
      <c r="HM7" s="147"/>
      <c r="HN7" s="147"/>
      <c r="HO7" s="147"/>
      <c r="HP7" s="147"/>
      <c r="HQ7" s="147"/>
      <c r="HR7" s="147"/>
      <c r="HS7" s="147"/>
      <c r="HT7" s="147"/>
      <c r="HU7" s="147"/>
      <c r="HV7" s="147"/>
      <c r="HW7" s="147"/>
      <c r="HX7" s="147"/>
      <c r="HY7" s="147"/>
      <c r="HZ7" s="147"/>
      <c r="IA7" s="147"/>
      <c r="IB7" s="147"/>
      <c r="IC7" s="147"/>
      <c r="ID7" s="147"/>
      <c r="IE7" s="147"/>
      <c r="IF7" s="147"/>
      <c r="IG7" s="147"/>
      <c r="IH7" s="147"/>
      <c r="II7" s="147"/>
      <c r="IJ7" s="147"/>
      <c r="IK7" s="147"/>
      <c r="IL7" s="147"/>
      <c r="IM7" s="147"/>
      <c r="IN7" s="147"/>
      <c r="IO7" s="147"/>
      <c r="IP7" s="147"/>
      <c r="IQ7" s="147"/>
      <c r="IR7" s="147"/>
      <c r="IS7" s="147"/>
      <c r="IT7" s="147"/>
      <c r="IU7" s="147"/>
      <c r="IV7" s="147"/>
      <c r="IW7" s="147"/>
      <c r="IX7" s="147"/>
    </row>
    <row r="8" spans="1:258" ht="20.100000000000001" customHeight="1" x14ac:dyDescent="0.25">
      <c r="A8" s="77">
        <f>HOUR(B8)</f>
        <v>1</v>
      </c>
      <c r="B8" s="73">
        <v>4.1666666666666699E-2</v>
      </c>
      <c r="C8" s="147"/>
      <c r="D8" s="147"/>
      <c r="E8" s="147"/>
      <c r="F8" s="147"/>
      <c r="G8" s="147"/>
      <c r="H8" s="147"/>
      <c r="I8" s="147"/>
      <c r="J8" s="147"/>
      <c r="K8" s="147"/>
      <c r="L8" s="60"/>
      <c r="M8" s="147"/>
      <c r="N8" s="147"/>
      <c r="O8" s="147"/>
      <c r="P8" s="147"/>
      <c r="Q8" s="147"/>
      <c r="R8" s="147"/>
      <c r="S8" s="147"/>
      <c r="T8" s="147"/>
      <c r="U8" s="147"/>
      <c r="V8" s="147"/>
      <c r="W8" s="147"/>
      <c r="X8" s="147"/>
      <c r="Y8" s="147"/>
      <c r="Z8" s="147"/>
      <c r="AA8" s="147"/>
      <c r="AB8" s="147"/>
      <c r="AC8" s="147"/>
      <c r="AD8" s="147"/>
      <c r="AE8" s="147"/>
      <c r="AF8" s="147"/>
      <c r="AG8" s="147"/>
      <c r="AH8" s="147"/>
      <c r="AI8" s="147"/>
      <c r="AJ8" s="147"/>
      <c r="AK8" s="147"/>
      <c r="AL8" s="147"/>
      <c r="AM8" s="147"/>
      <c r="AN8" s="147"/>
      <c r="AO8" s="147"/>
      <c r="AP8" s="147"/>
      <c r="AQ8" s="147"/>
      <c r="AR8" s="147"/>
      <c r="AS8" s="147"/>
      <c r="AT8" s="147"/>
      <c r="AU8" s="147"/>
      <c r="AV8" s="147"/>
      <c r="AW8" s="147"/>
      <c r="AX8" s="147"/>
      <c r="AY8" s="147"/>
      <c r="AZ8" s="147"/>
      <c r="BA8" s="147"/>
      <c r="BB8" s="147"/>
      <c r="BC8" s="147"/>
      <c r="BD8" s="147"/>
      <c r="BE8" s="147"/>
      <c r="BF8" s="147"/>
      <c r="BG8" s="147"/>
      <c r="BH8" s="147"/>
      <c r="BI8" s="147"/>
      <c r="BJ8" s="147"/>
      <c r="BK8" s="147"/>
      <c r="BL8" s="147"/>
      <c r="BM8" s="147"/>
      <c r="BN8" s="147"/>
      <c r="BO8" s="147"/>
      <c r="BP8" s="147"/>
      <c r="BQ8" s="147"/>
      <c r="BR8" s="147"/>
      <c r="BS8" s="147"/>
      <c r="BT8" s="147"/>
      <c r="BU8" s="147"/>
      <c r="BV8" s="147"/>
      <c r="BW8" s="147"/>
      <c r="BX8" s="147"/>
      <c r="BY8" s="147"/>
      <c r="BZ8" s="147"/>
      <c r="CA8" s="147"/>
      <c r="CB8" s="147"/>
      <c r="CC8" s="147"/>
      <c r="CD8" s="147"/>
      <c r="CE8" s="147"/>
      <c r="CF8" s="147"/>
      <c r="CG8" s="147"/>
      <c r="CH8" s="147"/>
      <c r="CI8" s="147"/>
      <c r="CJ8" s="147"/>
      <c r="CK8" s="147"/>
      <c r="CL8" s="147"/>
      <c r="CM8" s="147"/>
      <c r="CN8" s="147"/>
      <c r="CO8" s="147"/>
      <c r="CP8" s="147"/>
      <c r="CQ8" s="147"/>
      <c r="CR8" s="147"/>
      <c r="CS8" s="147"/>
      <c r="CT8" s="147"/>
      <c r="CU8" s="147"/>
      <c r="CV8" s="147"/>
      <c r="CW8" s="147"/>
      <c r="CX8" s="147"/>
      <c r="CY8" s="147"/>
      <c r="CZ8" s="147"/>
      <c r="DA8" s="147"/>
      <c r="DB8" s="147"/>
      <c r="DC8" s="147"/>
      <c r="DD8" s="147"/>
      <c r="DE8" s="147"/>
      <c r="DF8" s="147"/>
      <c r="DG8" s="147"/>
      <c r="DH8" s="147"/>
      <c r="DI8" s="147"/>
      <c r="DJ8" s="147"/>
      <c r="DK8" s="147"/>
      <c r="DL8" s="147"/>
      <c r="DM8" s="147"/>
      <c r="DN8" s="147"/>
      <c r="DO8" s="147"/>
      <c r="DP8" s="147"/>
      <c r="DQ8" s="147"/>
      <c r="DR8" s="147"/>
      <c r="DS8" s="147"/>
      <c r="DT8" s="147"/>
      <c r="DU8" s="147"/>
      <c r="DV8" s="147"/>
      <c r="DW8" s="147"/>
      <c r="DX8" s="147"/>
      <c r="DY8" s="147"/>
      <c r="DZ8" s="147"/>
      <c r="EA8" s="147"/>
      <c r="EB8" s="147"/>
      <c r="EC8" s="147"/>
      <c r="ED8" s="147"/>
      <c r="EE8" s="147"/>
      <c r="EF8" s="147"/>
      <c r="EG8" s="147"/>
      <c r="EH8" s="147"/>
      <c r="EI8" s="147"/>
      <c r="EJ8" s="147"/>
      <c r="EK8" s="147"/>
      <c r="EL8" s="147"/>
      <c r="EM8" s="147"/>
      <c r="EN8" s="147"/>
      <c r="EO8" s="147"/>
      <c r="EP8" s="147"/>
      <c r="EQ8" s="147"/>
      <c r="ER8" s="147"/>
      <c r="ES8" s="147"/>
      <c r="ET8" s="147"/>
      <c r="EU8" s="147"/>
      <c r="EV8" s="147"/>
      <c r="EW8" s="147"/>
      <c r="EX8" s="147"/>
      <c r="EY8" s="147"/>
      <c r="EZ8" s="147"/>
      <c r="FA8" s="147"/>
      <c r="FB8" s="147"/>
      <c r="FC8" s="147"/>
      <c r="FD8" s="147"/>
      <c r="FE8" s="147"/>
      <c r="FF8" s="147"/>
      <c r="FG8" s="147"/>
      <c r="FH8" s="147"/>
      <c r="FI8" s="147"/>
      <c r="FJ8" s="147"/>
      <c r="FK8" s="147"/>
      <c r="FL8" s="147"/>
      <c r="FM8" s="147"/>
      <c r="FN8" s="147"/>
      <c r="FO8" s="147"/>
      <c r="FP8" s="147"/>
      <c r="FQ8" s="147"/>
      <c r="FR8" s="147"/>
      <c r="FS8" s="147"/>
      <c r="FT8" s="147"/>
      <c r="FU8" s="147"/>
      <c r="FV8" s="147"/>
      <c r="FW8" s="147"/>
      <c r="FX8" s="147"/>
      <c r="FY8" s="147"/>
      <c r="FZ8" s="147"/>
      <c r="GA8" s="147"/>
      <c r="GB8" s="147"/>
      <c r="GC8" s="147"/>
      <c r="GD8" s="147"/>
      <c r="GE8" s="147"/>
      <c r="GF8" s="147"/>
      <c r="GG8" s="147"/>
      <c r="GH8" s="147"/>
      <c r="GI8" s="147"/>
      <c r="GJ8" s="147"/>
      <c r="GK8" s="147"/>
      <c r="GL8" s="147"/>
      <c r="GM8" s="147"/>
      <c r="GN8" s="147"/>
      <c r="GO8" s="147"/>
      <c r="GP8" s="147"/>
      <c r="GQ8" s="147"/>
      <c r="GR8" s="147"/>
      <c r="GS8" s="147"/>
      <c r="GT8" s="147"/>
      <c r="GU8" s="147"/>
      <c r="GV8" s="147"/>
      <c r="GW8" s="147"/>
      <c r="GX8" s="147"/>
      <c r="GY8" s="147"/>
      <c r="GZ8" s="147"/>
      <c r="HA8" s="147"/>
      <c r="HB8" s="147"/>
      <c r="HC8" s="147"/>
      <c r="HD8" s="147"/>
      <c r="HE8" s="147"/>
      <c r="HF8" s="147"/>
      <c r="HG8" s="147"/>
      <c r="HH8" s="147"/>
      <c r="HI8" s="147"/>
      <c r="HJ8" s="147"/>
      <c r="HK8" s="147"/>
      <c r="HL8" s="147"/>
      <c r="HM8" s="147"/>
      <c r="HN8" s="147"/>
      <c r="HO8" s="147"/>
      <c r="HP8" s="147"/>
      <c r="HQ8" s="147"/>
      <c r="HR8" s="147"/>
      <c r="HS8" s="147"/>
      <c r="HT8" s="147"/>
      <c r="HU8" s="147"/>
      <c r="HV8" s="147"/>
      <c r="HW8" s="147"/>
      <c r="HX8" s="147"/>
      <c r="HY8" s="147"/>
      <c r="HZ8" s="147"/>
      <c r="IA8" s="147"/>
      <c r="IB8" s="147"/>
      <c r="IC8" s="147"/>
      <c r="ID8" s="147"/>
      <c r="IE8" s="147"/>
      <c r="IF8" s="147"/>
      <c r="IG8" s="147"/>
      <c r="IH8" s="147"/>
      <c r="II8" s="147"/>
      <c r="IJ8" s="147"/>
      <c r="IK8" s="147"/>
      <c r="IL8" s="147"/>
      <c r="IM8" s="147"/>
      <c r="IN8" s="147"/>
      <c r="IO8" s="147"/>
      <c r="IP8" s="147"/>
      <c r="IQ8" s="147"/>
      <c r="IR8" s="147"/>
      <c r="IS8" s="147"/>
      <c r="IT8" s="147"/>
      <c r="IU8" s="147"/>
      <c r="IV8" s="147"/>
      <c r="IW8" s="147"/>
      <c r="IX8" s="147"/>
    </row>
    <row r="9" spans="1:258" ht="20.100000000000001" customHeight="1" x14ac:dyDescent="0.25">
      <c r="A9" s="77">
        <f t="shared" ref="A9:A30" si="0">HOUR(B9)</f>
        <v>2</v>
      </c>
      <c r="B9" s="73">
        <v>8.3333333333333301E-2</v>
      </c>
      <c r="C9" s="147"/>
      <c r="D9" s="147"/>
      <c r="E9" s="147"/>
      <c r="F9" s="147"/>
      <c r="G9" s="147"/>
      <c r="H9" s="147"/>
      <c r="I9" s="147"/>
      <c r="J9" s="147"/>
      <c r="K9" s="147"/>
      <c r="L9" s="60"/>
      <c r="M9" s="147"/>
      <c r="N9" s="147"/>
      <c r="O9" s="147"/>
      <c r="P9" s="147"/>
      <c r="Q9" s="147"/>
      <c r="R9" s="147"/>
      <c r="S9" s="147"/>
      <c r="T9" s="147"/>
      <c r="U9" s="147"/>
      <c r="V9" s="147"/>
      <c r="W9" s="147"/>
      <c r="X9" s="147"/>
      <c r="Y9" s="147"/>
      <c r="Z9" s="147"/>
      <c r="AA9" s="147"/>
      <c r="AB9" s="147"/>
      <c r="AC9" s="147"/>
      <c r="AD9" s="147"/>
      <c r="AE9" s="147"/>
      <c r="AF9" s="147"/>
      <c r="AG9" s="147"/>
      <c r="AH9" s="147"/>
      <c r="AI9" s="147"/>
      <c r="AJ9" s="147"/>
      <c r="AK9" s="147"/>
      <c r="AL9" s="147"/>
      <c r="AM9" s="147"/>
      <c r="AN9" s="147"/>
      <c r="AO9" s="147"/>
      <c r="AP9" s="147"/>
      <c r="AQ9" s="147"/>
      <c r="AR9" s="147"/>
      <c r="AS9" s="147"/>
      <c r="AT9" s="147"/>
      <c r="AU9" s="147"/>
      <c r="AV9" s="147"/>
      <c r="AW9" s="147"/>
      <c r="AX9" s="147"/>
      <c r="AY9" s="147"/>
      <c r="AZ9" s="147"/>
      <c r="BA9" s="147"/>
      <c r="BB9" s="147"/>
      <c r="BC9" s="147"/>
      <c r="BD9" s="147"/>
      <c r="BE9" s="147"/>
      <c r="BF9" s="147"/>
      <c r="BG9" s="147"/>
      <c r="BH9" s="147"/>
      <c r="BI9" s="147"/>
      <c r="BJ9" s="147"/>
      <c r="BK9" s="147"/>
      <c r="BL9" s="147"/>
      <c r="BM9" s="147"/>
      <c r="BN9" s="147"/>
      <c r="BO9" s="147"/>
      <c r="BP9" s="147"/>
      <c r="BQ9" s="147"/>
      <c r="BR9" s="147"/>
      <c r="BS9" s="147"/>
      <c r="BT9" s="147"/>
      <c r="BU9" s="147"/>
      <c r="BV9" s="147"/>
      <c r="BW9" s="147"/>
      <c r="BX9" s="147"/>
      <c r="BY9" s="147"/>
      <c r="BZ9" s="147"/>
      <c r="CA9" s="147"/>
      <c r="CB9" s="147"/>
      <c r="CC9" s="147"/>
      <c r="CD9" s="147"/>
      <c r="CE9" s="147"/>
      <c r="CF9" s="147"/>
      <c r="CG9" s="147"/>
      <c r="CH9" s="147"/>
      <c r="CI9" s="147"/>
      <c r="CJ9" s="147"/>
      <c r="CK9" s="147"/>
      <c r="CL9" s="147"/>
      <c r="CM9" s="147"/>
      <c r="CN9" s="147"/>
      <c r="CO9" s="147"/>
      <c r="CP9" s="147"/>
      <c r="CQ9" s="147"/>
      <c r="CR9" s="147"/>
      <c r="CS9" s="147"/>
      <c r="CT9" s="147"/>
      <c r="CU9" s="147"/>
      <c r="CV9" s="147"/>
      <c r="CW9" s="147"/>
      <c r="CX9" s="147"/>
      <c r="CY9" s="147"/>
      <c r="CZ9" s="147"/>
      <c r="DA9" s="147"/>
      <c r="DB9" s="147"/>
      <c r="DC9" s="147"/>
      <c r="DD9" s="147"/>
      <c r="DE9" s="147"/>
      <c r="DF9" s="147"/>
      <c r="DG9" s="147"/>
      <c r="DH9" s="147"/>
      <c r="DI9" s="147"/>
      <c r="DJ9" s="147"/>
      <c r="DK9" s="147"/>
      <c r="DL9" s="147"/>
      <c r="DM9" s="147"/>
      <c r="DN9" s="147"/>
      <c r="DO9" s="147"/>
      <c r="DP9" s="147"/>
      <c r="DQ9" s="147"/>
      <c r="DR9" s="147"/>
      <c r="DS9" s="147"/>
      <c r="DT9" s="147"/>
      <c r="DU9" s="147"/>
      <c r="DV9" s="147"/>
      <c r="DW9" s="147"/>
      <c r="DX9" s="147"/>
      <c r="DY9" s="147"/>
      <c r="DZ9" s="147"/>
      <c r="EA9" s="147"/>
      <c r="EB9" s="147"/>
      <c r="EC9" s="147"/>
      <c r="ED9" s="147"/>
      <c r="EE9" s="147"/>
      <c r="EF9" s="147"/>
      <c r="EG9" s="147"/>
      <c r="EH9" s="147"/>
      <c r="EI9" s="147"/>
      <c r="EJ9" s="147"/>
      <c r="EK9" s="147"/>
      <c r="EL9" s="147"/>
      <c r="EM9" s="147"/>
      <c r="EN9" s="147"/>
      <c r="EO9" s="147"/>
      <c r="EP9" s="147"/>
      <c r="EQ9" s="147"/>
      <c r="ER9" s="147"/>
      <c r="ES9" s="147"/>
      <c r="ET9" s="147"/>
      <c r="EU9" s="147"/>
      <c r="EV9" s="147"/>
      <c r="EW9" s="147"/>
      <c r="EX9" s="147"/>
      <c r="EY9" s="147"/>
      <c r="EZ9" s="147"/>
      <c r="FA9" s="147"/>
      <c r="FB9" s="147"/>
      <c r="FC9" s="147"/>
      <c r="FD9" s="147"/>
      <c r="FE9" s="147"/>
      <c r="FF9" s="147"/>
      <c r="FG9" s="147"/>
      <c r="FH9" s="147"/>
      <c r="FI9" s="147"/>
      <c r="FJ9" s="147"/>
      <c r="FK9" s="147"/>
      <c r="FL9" s="147"/>
      <c r="FM9" s="147"/>
      <c r="FN9" s="147"/>
      <c r="FO9" s="147"/>
      <c r="FP9" s="147"/>
      <c r="FQ9" s="147"/>
      <c r="FR9" s="147"/>
      <c r="FS9" s="147"/>
      <c r="FT9" s="147"/>
      <c r="FU9" s="147"/>
      <c r="FV9" s="147"/>
      <c r="FW9" s="147"/>
      <c r="FX9" s="147"/>
      <c r="FY9" s="147"/>
      <c r="FZ9" s="147"/>
      <c r="GA9" s="147"/>
      <c r="GB9" s="147"/>
      <c r="GC9" s="147"/>
      <c r="GD9" s="147"/>
      <c r="GE9" s="147"/>
      <c r="GF9" s="147"/>
      <c r="GG9" s="147"/>
      <c r="GH9" s="147"/>
      <c r="GI9" s="147"/>
      <c r="GJ9" s="147"/>
      <c r="GK9" s="147"/>
      <c r="GL9" s="147"/>
      <c r="GM9" s="147"/>
      <c r="GN9" s="147"/>
      <c r="GO9" s="147"/>
      <c r="GP9" s="147"/>
      <c r="GQ9" s="147"/>
      <c r="GR9" s="147"/>
      <c r="GS9" s="147"/>
      <c r="GT9" s="147"/>
      <c r="GU9" s="147"/>
      <c r="GV9" s="147"/>
      <c r="GW9" s="147"/>
      <c r="GX9" s="147"/>
      <c r="GY9" s="147"/>
      <c r="GZ9" s="147"/>
      <c r="HA9" s="147"/>
      <c r="HB9" s="147"/>
      <c r="HC9" s="147"/>
      <c r="HD9" s="147"/>
      <c r="HE9" s="147"/>
      <c r="HF9" s="147"/>
      <c r="HG9" s="147"/>
      <c r="HH9" s="147"/>
      <c r="HI9" s="147"/>
      <c r="HJ9" s="147"/>
      <c r="HK9" s="147"/>
      <c r="HL9" s="147"/>
      <c r="HM9" s="147"/>
      <c r="HN9" s="147"/>
      <c r="HO9" s="147"/>
      <c r="HP9" s="147"/>
      <c r="HQ9" s="147"/>
      <c r="HR9" s="147"/>
      <c r="HS9" s="147"/>
      <c r="HT9" s="147"/>
      <c r="HU9" s="147"/>
      <c r="HV9" s="147"/>
      <c r="HW9" s="147"/>
      <c r="HX9" s="147"/>
      <c r="HY9" s="147"/>
      <c r="HZ9" s="147"/>
      <c r="IA9" s="147"/>
      <c r="IB9" s="147"/>
      <c r="IC9" s="147"/>
      <c r="ID9" s="147"/>
      <c r="IE9" s="147"/>
      <c r="IF9" s="147"/>
      <c r="IG9" s="147"/>
      <c r="IH9" s="147"/>
      <c r="II9" s="147"/>
      <c r="IJ9" s="147"/>
      <c r="IK9" s="147"/>
      <c r="IL9" s="147"/>
      <c r="IM9" s="147"/>
      <c r="IN9" s="147"/>
      <c r="IO9" s="147"/>
      <c r="IP9" s="147"/>
      <c r="IQ9" s="147"/>
      <c r="IR9" s="147"/>
      <c r="IS9" s="147"/>
      <c r="IT9" s="147"/>
      <c r="IU9" s="147"/>
      <c r="IV9" s="147"/>
      <c r="IW9" s="147"/>
      <c r="IX9" s="147"/>
    </row>
    <row r="10" spans="1:258" s="69" customFormat="1" ht="20.100000000000001" customHeight="1" x14ac:dyDescent="0.25">
      <c r="A10" s="77">
        <f t="shared" si="0"/>
        <v>3</v>
      </c>
      <c r="B10" s="73">
        <v>0.125</v>
      </c>
      <c r="C10" s="213"/>
      <c r="D10" s="213" t="s">
        <v>593</v>
      </c>
      <c r="E10" s="219" t="s">
        <v>592</v>
      </c>
      <c r="F10" s="219" t="s">
        <v>592</v>
      </c>
      <c r="G10" s="219" t="s">
        <v>592</v>
      </c>
      <c r="H10" s="148"/>
      <c r="I10" s="148"/>
      <c r="J10" s="148"/>
      <c r="K10" s="148"/>
      <c r="L10" s="60"/>
      <c r="M10" s="148"/>
      <c r="N10" s="148"/>
      <c r="O10" s="148"/>
      <c r="P10" s="148"/>
      <c r="Q10" s="148"/>
      <c r="R10" s="148"/>
      <c r="S10" s="148"/>
      <c r="T10" s="148"/>
      <c r="U10" s="148"/>
      <c r="V10" s="148"/>
      <c r="W10" s="148"/>
      <c r="X10" s="148"/>
      <c r="Y10" s="148"/>
      <c r="Z10" s="148"/>
      <c r="AA10" s="148"/>
      <c r="AB10" s="148"/>
      <c r="AC10" s="148"/>
      <c r="AD10" s="148"/>
      <c r="AE10" s="148"/>
      <c r="AF10" s="148"/>
      <c r="AG10" s="148"/>
      <c r="AH10" s="148"/>
      <c r="AI10" s="148"/>
      <c r="AJ10" s="148"/>
      <c r="AK10" s="148"/>
      <c r="AL10" s="148"/>
      <c r="AM10" s="148"/>
      <c r="AN10" s="148"/>
      <c r="AO10" s="148"/>
      <c r="AP10" s="148"/>
      <c r="AQ10" s="148"/>
      <c r="AR10" s="148"/>
      <c r="AS10" s="148"/>
      <c r="AT10" s="148"/>
      <c r="AU10" s="148"/>
      <c r="AV10" s="148"/>
      <c r="AW10" s="148"/>
      <c r="AX10" s="148"/>
      <c r="AY10" s="148"/>
      <c r="AZ10" s="148"/>
      <c r="BA10" s="148"/>
      <c r="BB10" s="148"/>
      <c r="BC10" s="148"/>
      <c r="BD10" s="148"/>
      <c r="BE10" s="148"/>
      <c r="BF10" s="148"/>
      <c r="BG10" s="148"/>
      <c r="BH10" s="148"/>
      <c r="BI10" s="148"/>
      <c r="BJ10" s="148"/>
      <c r="BK10" s="148"/>
      <c r="BL10" s="148"/>
      <c r="BM10" s="148"/>
      <c r="BN10" s="148"/>
      <c r="BO10" s="148"/>
      <c r="BP10" s="148"/>
      <c r="BQ10" s="148"/>
      <c r="BR10" s="148"/>
      <c r="BS10" s="148"/>
      <c r="BT10" s="148"/>
      <c r="BU10" s="148"/>
      <c r="BV10" s="148"/>
      <c r="BW10" s="148"/>
      <c r="BX10" s="148"/>
      <c r="BY10" s="148"/>
      <c r="BZ10" s="148"/>
      <c r="CA10" s="148"/>
      <c r="CB10" s="148"/>
      <c r="CC10" s="148"/>
      <c r="CD10" s="148"/>
      <c r="CE10" s="148"/>
      <c r="CF10" s="148"/>
      <c r="CG10" s="148"/>
      <c r="CH10" s="148"/>
      <c r="CI10" s="148"/>
      <c r="CJ10" s="148"/>
      <c r="CK10" s="148"/>
      <c r="CL10" s="148"/>
      <c r="CM10" s="148"/>
      <c r="CN10" s="148"/>
      <c r="CO10" s="148"/>
      <c r="CP10" s="148"/>
      <c r="CQ10" s="148"/>
      <c r="CR10" s="148"/>
      <c r="CS10" s="148"/>
      <c r="CT10" s="148"/>
      <c r="CU10" s="148"/>
      <c r="CV10" s="148"/>
      <c r="CW10" s="148"/>
      <c r="CX10" s="148"/>
      <c r="CY10" s="148"/>
      <c r="CZ10" s="148"/>
      <c r="DA10" s="148"/>
      <c r="DB10" s="148"/>
      <c r="DC10" s="148"/>
      <c r="DD10" s="148"/>
      <c r="DE10" s="148"/>
      <c r="DF10" s="148"/>
      <c r="DG10" s="148"/>
      <c r="DH10" s="148"/>
      <c r="DI10" s="148"/>
      <c r="DJ10" s="148"/>
      <c r="DK10" s="148"/>
      <c r="DL10" s="148"/>
      <c r="DM10" s="148"/>
      <c r="DN10" s="148"/>
      <c r="DO10" s="148"/>
      <c r="DP10" s="148"/>
      <c r="DQ10" s="148"/>
      <c r="DR10" s="148"/>
      <c r="DS10" s="148"/>
      <c r="DT10" s="148"/>
      <c r="DU10" s="148"/>
      <c r="DV10" s="148"/>
      <c r="DW10" s="148"/>
      <c r="DX10" s="148"/>
      <c r="DY10" s="148"/>
      <c r="DZ10" s="148"/>
      <c r="EA10" s="148"/>
      <c r="EB10" s="148"/>
      <c r="EC10" s="148"/>
      <c r="ED10" s="148"/>
      <c r="EE10" s="148"/>
      <c r="EF10" s="148"/>
      <c r="EG10" s="148"/>
      <c r="EH10" s="148"/>
      <c r="EI10" s="148"/>
      <c r="EJ10" s="148"/>
      <c r="EK10" s="148"/>
      <c r="EL10" s="148"/>
      <c r="EM10" s="148"/>
      <c r="EN10" s="148"/>
      <c r="EO10" s="148"/>
      <c r="EP10" s="148"/>
      <c r="EQ10" s="148"/>
      <c r="ER10" s="148"/>
      <c r="ES10" s="148"/>
      <c r="ET10" s="148"/>
      <c r="EU10" s="148"/>
      <c r="EV10" s="148"/>
      <c r="EW10" s="148"/>
      <c r="EX10" s="148"/>
      <c r="EY10" s="148"/>
      <c r="EZ10" s="148"/>
      <c r="FA10" s="148"/>
      <c r="FB10" s="148"/>
      <c r="FC10" s="148"/>
      <c r="FD10" s="148"/>
      <c r="FE10" s="148"/>
      <c r="FF10" s="148"/>
      <c r="FG10" s="148"/>
      <c r="FH10" s="148"/>
      <c r="FI10" s="148"/>
      <c r="FJ10" s="148"/>
      <c r="FK10" s="148"/>
      <c r="FL10" s="148"/>
      <c r="FM10" s="148"/>
      <c r="FN10" s="148"/>
      <c r="FO10" s="148"/>
      <c r="FP10" s="148"/>
      <c r="FQ10" s="148"/>
      <c r="FR10" s="148"/>
      <c r="FS10" s="148"/>
      <c r="FT10" s="148"/>
      <c r="FU10" s="148"/>
      <c r="FV10" s="148"/>
      <c r="FW10" s="148"/>
      <c r="FX10" s="148"/>
      <c r="FY10" s="148"/>
      <c r="FZ10" s="148"/>
      <c r="GA10" s="148"/>
      <c r="GB10" s="148"/>
      <c r="GC10" s="148"/>
      <c r="GD10" s="148"/>
      <c r="GE10" s="148"/>
      <c r="GF10" s="148"/>
      <c r="GG10" s="148"/>
      <c r="GH10" s="148"/>
      <c r="GI10" s="148"/>
      <c r="GJ10" s="148"/>
      <c r="GK10" s="148"/>
      <c r="GL10" s="148"/>
      <c r="GM10" s="148"/>
      <c r="GN10" s="148"/>
      <c r="GO10" s="148"/>
      <c r="GP10" s="148"/>
      <c r="GQ10" s="148"/>
      <c r="GR10" s="148"/>
      <c r="GS10" s="148"/>
      <c r="GT10" s="148"/>
      <c r="GU10" s="148"/>
      <c r="GV10" s="148"/>
      <c r="GW10" s="148"/>
      <c r="GX10" s="148"/>
      <c r="GY10" s="148"/>
      <c r="GZ10" s="148"/>
      <c r="HA10" s="148"/>
      <c r="HB10" s="148"/>
      <c r="HC10" s="148"/>
      <c r="HD10" s="148"/>
      <c r="HE10" s="148"/>
      <c r="HF10" s="148"/>
      <c r="HG10" s="148"/>
      <c r="HH10" s="148"/>
      <c r="HI10" s="148"/>
      <c r="HJ10" s="148"/>
      <c r="HK10" s="148"/>
      <c r="HL10" s="148"/>
      <c r="HM10" s="148"/>
      <c r="HN10" s="148"/>
      <c r="HO10" s="148"/>
      <c r="HP10" s="148"/>
      <c r="HQ10" s="148"/>
      <c r="HR10" s="148"/>
      <c r="HS10" s="148"/>
      <c r="HT10" s="148"/>
      <c r="HU10" s="148"/>
      <c r="HV10" s="148"/>
      <c r="HW10" s="148"/>
      <c r="HX10" s="148"/>
      <c r="HY10" s="148"/>
      <c r="HZ10" s="148"/>
      <c r="IA10" s="148"/>
      <c r="IB10" s="148"/>
      <c r="IC10" s="148"/>
      <c r="ID10" s="148"/>
      <c r="IE10" s="148"/>
      <c r="IF10" s="148"/>
      <c r="IG10" s="148"/>
      <c r="IH10" s="148"/>
      <c r="II10" s="148"/>
      <c r="IJ10" s="148"/>
      <c r="IK10" s="148"/>
      <c r="IL10" s="148"/>
      <c r="IM10" s="148"/>
      <c r="IN10" s="148"/>
      <c r="IO10" s="148"/>
      <c r="IP10" s="148"/>
      <c r="IQ10" s="148"/>
      <c r="IR10" s="148"/>
      <c r="IS10" s="148"/>
      <c r="IT10" s="148"/>
      <c r="IU10" s="148"/>
      <c r="IV10" s="148"/>
      <c r="IW10" s="148"/>
      <c r="IX10" s="148"/>
    </row>
    <row r="11" spans="1:258" ht="20.100000000000001" customHeight="1" x14ac:dyDescent="0.25">
      <c r="A11" s="77">
        <f t="shared" si="0"/>
        <v>4</v>
      </c>
      <c r="B11" s="73">
        <v>0.16666666666666699</v>
      </c>
      <c r="C11" s="213"/>
      <c r="D11" s="213" t="s">
        <v>593</v>
      </c>
      <c r="E11" s="219" t="s">
        <v>592</v>
      </c>
      <c r="F11" s="219" t="s">
        <v>592</v>
      </c>
      <c r="G11" s="219" t="s">
        <v>592</v>
      </c>
      <c r="H11" s="147"/>
      <c r="I11" s="147"/>
      <c r="J11" s="147"/>
      <c r="K11" s="147"/>
      <c r="L11" s="60"/>
      <c r="M11" s="147"/>
      <c r="N11" s="147"/>
      <c r="O11" s="147"/>
      <c r="P11" s="147"/>
      <c r="Q11" s="147"/>
      <c r="R11" s="147"/>
      <c r="S11" s="147"/>
      <c r="T11" s="147"/>
      <c r="U11" s="147"/>
      <c r="V11" s="147"/>
      <c r="W11" s="147"/>
      <c r="X11" s="147"/>
      <c r="Y11" s="147"/>
      <c r="Z11" s="147"/>
      <c r="AA11" s="147"/>
      <c r="AB11" s="147"/>
      <c r="AC11" s="147"/>
      <c r="AD11" s="147"/>
      <c r="AE11" s="147"/>
      <c r="AF11" s="147"/>
      <c r="AG11" s="147"/>
      <c r="AH11" s="147"/>
      <c r="AI11" s="147"/>
      <c r="AJ11" s="147"/>
      <c r="AK11" s="147"/>
      <c r="AL11" s="147"/>
      <c r="AM11" s="147"/>
      <c r="AN11" s="147"/>
      <c r="AO11" s="147"/>
      <c r="AP11" s="147"/>
      <c r="AQ11" s="147"/>
      <c r="AR11" s="147"/>
      <c r="AS11" s="147"/>
      <c r="AT11" s="147"/>
      <c r="AU11" s="147"/>
      <c r="AV11" s="147"/>
      <c r="AW11" s="147"/>
      <c r="AX11" s="147"/>
      <c r="AY11" s="147"/>
      <c r="AZ11" s="147"/>
      <c r="BA11" s="147"/>
      <c r="BB11" s="147"/>
      <c r="BC11" s="147"/>
      <c r="BD11" s="147"/>
      <c r="BE11" s="147"/>
      <c r="BF11" s="147"/>
      <c r="BG11" s="147"/>
      <c r="BH11" s="147"/>
      <c r="BI11" s="147"/>
      <c r="BJ11" s="147"/>
      <c r="BK11" s="147"/>
      <c r="BL11" s="147"/>
      <c r="BM11" s="147"/>
      <c r="BN11" s="147"/>
      <c r="BO11" s="147"/>
      <c r="BP11" s="147"/>
      <c r="BQ11" s="147"/>
      <c r="BR11" s="147"/>
      <c r="BS11" s="147"/>
      <c r="BT11" s="147"/>
      <c r="BU11" s="147"/>
      <c r="BV11" s="147"/>
      <c r="BW11" s="147"/>
      <c r="BX11" s="147"/>
      <c r="BY11" s="147"/>
      <c r="BZ11" s="147"/>
      <c r="CA11" s="147"/>
      <c r="CB11" s="147"/>
      <c r="CC11" s="147"/>
      <c r="CD11" s="147"/>
      <c r="CE11" s="147"/>
      <c r="CF11" s="147"/>
      <c r="CG11" s="147"/>
      <c r="CH11" s="147"/>
      <c r="CI11" s="147"/>
      <c r="CJ11" s="147"/>
      <c r="CK11" s="147"/>
      <c r="CL11" s="147"/>
      <c r="CM11" s="147"/>
      <c r="CN11" s="147"/>
      <c r="CO11" s="147"/>
      <c r="CP11" s="147"/>
      <c r="CQ11" s="147"/>
      <c r="CR11" s="147"/>
      <c r="CS11" s="147"/>
      <c r="CT11" s="147"/>
      <c r="CU11" s="147"/>
      <c r="CV11" s="147"/>
      <c r="CW11" s="147"/>
      <c r="CX11" s="147"/>
      <c r="CY11" s="147"/>
      <c r="CZ11" s="147"/>
      <c r="DA11" s="147"/>
      <c r="DB11" s="147"/>
      <c r="DC11" s="147"/>
      <c r="DD11" s="147"/>
      <c r="DE11" s="147"/>
      <c r="DF11" s="147"/>
      <c r="DG11" s="147"/>
      <c r="DH11" s="147"/>
      <c r="DI11" s="147"/>
      <c r="DJ11" s="147"/>
      <c r="DK11" s="147"/>
      <c r="DL11" s="147"/>
      <c r="DM11" s="147"/>
      <c r="DN11" s="147"/>
      <c r="DO11" s="147"/>
      <c r="DP11" s="147"/>
      <c r="DQ11" s="147"/>
      <c r="DR11" s="147"/>
      <c r="DS11" s="147"/>
      <c r="DT11" s="147"/>
      <c r="DU11" s="147"/>
      <c r="DV11" s="147"/>
      <c r="DW11" s="147"/>
      <c r="DX11" s="147"/>
      <c r="DY11" s="147"/>
      <c r="DZ11" s="147"/>
      <c r="EA11" s="147"/>
      <c r="EB11" s="147"/>
      <c r="EC11" s="147"/>
      <c r="ED11" s="147"/>
      <c r="EE11" s="147"/>
      <c r="EF11" s="147"/>
      <c r="EG11" s="147"/>
      <c r="EH11" s="147"/>
      <c r="EI11" s="147"/>
      <c r="EJ11" s="147"/>
      <c r="EK11" s="147"/>
      <c r="EL11" s="147"/>
      <c r="EM11" s="147"/>
      <c r="EN11" s="147"/>
      <c r="EO11" s="147"/>
      <c r="EP11" s="147"/>
      <c r="EQ11" s="147"/>
      <c r="ER11" s="147"/>
      <c r="ES11" s="147"/>
      <c r="ET11" s="147"/>
      <c r="EU11" s="147"/>
      <c r="EV11" s="147"/>
      <c r="EW11" s="147"/>
      <c r="EX11" s="147"/>
      <c r="EY11" s="147"/>
      <c r="EZ11" s="147"/>
      <c r="FA11" s="147"/>
      <c r="FB11" s="147"/>
      <c r="FC11" s="147"/>
      <c r="FD11" s="147"/>
      <c r="FE11" s="147"/>
      <c r="FF11" s="147"/>
      <c r="FG11" s="147"/>
      <c r="FH11" s="147"/>
      <c r="FI11" s="147"/>
      <c r="FJ11" s="147"/>
      <c r="FK11" s="147"/>
      <c r="FL11" s="147"/>
      <c r="FM11" s="147"/>
      <c r="FN11" s="147"/>
      <c r="FO11" s="147"/>
      <c r="FP11" s="147"/>
      <c r="FQ11" s="147"/>
      <c r="FR11" s="147"/>
      <c r="FS11" s="147"/>
      <c r="FT11" s="147"/>
      <c r="FU11" s="147"/>
      <c r="FV11" s="147"/>
      <c r="FW11" s="147"/>
      <c r="FX11" s="147"/>
      <c r="FY11" s="147"/>
      <c r="FZ11" s="147"/>
      <c r="GA11" s="147"/>
      <c r="GB11" s="147"/>
      <c r="GC11" s="147"/>
      <c r="GD11" s="147"/>
      <c r="GE11" s="147"/>
      <c r="GF11" s="147"/>
      <c r="GG11" s="147"/>
      <c r="GH11" s="147"/>
      <c r="GI11" s="147"/>
      <c r="GJ11" s="147"/>
      <c r="GK11" s="147"/>
      <c r="GL11" s="147"/>
      <c r="GM11" s="147"/>
      <c r="GN11" s="147"/>
      <c r="GO11" s="147"/>
      <c r="GP11" s="147"/>
      <c r="GQ11" s="147"/>
      <c r="GR11" s="147"/>
      <c r="GS11" s="147"/>
      <c r="GT11" s="147"/>
      <c r="GU11" s="147"/>
      <c r="GV11" s="147"/>
      <c r="GW11" s="147"/>
      <c r="GX11" s="147"/>
      <c r="GY11" s="147"/>
      <c r="GZ11" s="147"/>
      <c r="HA11" s="147"/>
      <c r="HB11" s="147"/>
      <c r="HC11" s="147"/>
      <c r="HD11" s="147"/>
      <c r="HE11" s="147"/>
      <c r="HF11" s="147"/>
      <c r="HG11" s="147"/>
      <c r="HH11" s="147"/>
      <c r="HI11" s="147"/>
      <c r="HJ11" s="147"/>
      <c r="HK11" s="147"/>
      <c r="HL11" s="147"/>
      <c r="HM11" s="147"/>
      <c r="HN11" s="147"/>
      <c r="HO11" s="147"/>
      <c r="HP11" s="147"/>
      <c r="HQ11" s="147"/>
      <c r="HR11" s="147"/>
      <c r="HS11" s="147"/>
      <c r="HT11" s="147"/>
      <c r="HU11" s="147"/>
      <c r="HV11" s="147"/>
      <c r="HW11" s="147"/>
      <c r="HX11" s="147"/>
      <c r="HY11" s="147"/>
      <c r="HZ11" s="147"/>
      <c r="IA11" s="147"/>
      <c r="IB11" s="147"/>
      <c r="IC11" s="147"/>
      <c r="ID11" s="147"/>
      <c r="IE11" s="147"/>
      <c r="IF11" s="147"/>
      <c r="IG11" s="147"/>
      <c r="IH11" s="147"/>
      <c r="II11" s="147"/>
      <c r="IJ11" s="147"/>
      <c r="IK11" s="147"/>
      <c r="IL11" s="147"/>
      <c r="IM11" s="147"/>
      <c r="IN11" s="147"/>
      <c r="IO11" s="147"/>
      <c r="IP11" s="147"/>
      <c r="IQ11" s="147"/>
      <c r="IR11" s="147"/>
      <c r="IS11" s="147"/>
      <c r="IT11" s="147"/>
      <c r="IU11" s="147"/>
      <c r="IV11" s="147"/>
      <c r="IW11" s="147"/>
      <c r="IX11" s="147"/>
    </row>
    <row r="12" spans="1:258" ht="20.100000000000001" customHeight="1" x14ac:dyDescent="0.25">
      <c r="A12" s="77">
        <f t="shared" si="0"/>
        <v>5</v>
      </c>
      <c r="B12" s="73">
        <v>0.20833333333333301</v>
      </c>
      <c r="C12" s="213"/>
      <c r="D12" s="213" t="s">
        <v>593</v>
      </c>
      <c r="E12" s="219" t="s">
        <v>592</v>
      </c>
      <c r="F12" s="219" t="s">
        <v>592</v>
      </c>
      <c r="G12" s="219" t="s">
        <v>592</v>
      </c>
      <c r="H12" s="147"/>
      <c r="I12" s="147"/>
      <c r="J12" s="147"/>
      <c r="K12" s="147"/>
      <c r="L12" s="60"/>
      <c r="M12" s="147"/>
      <c r="N12" s="147"/>
      <c r="O12" s="147"/>
      <c r="P12" s="147"/>
      <c r="Q12" s="147"/>
      <c r="R12" s="147"/>
      <c r="S12" s="147"/>
      <c r="T12" s="147"/>
      <c r="U12" s="147"/>
      <c r="V12" s="147"/>
      <c r="W12" s="147"/>
      <c r="X12" s="147"/>
      <c r="Y12" s="147"/>
      <c r="Z12" s="147"/>
      <c r="AA12" s="147"/>
      <c r="AB12" s="147"/>
      <c r="AC12" s="147"/>
      <c r="AD12" s="147"/>
      <c r="AE12" s="147"/>
      <c r="AF12" s="147"/>
      <c r="AG12" s="147"/>
      <c r="AH12" s="147"/>
      <c r="AI12" s="147"/>
      <c r="AJ12" s="147"/>
      <c r="AK12" s="147"/>
      <c r="AL12" s="147"/>
      <c r="AM12" s="147"/>
      <c r="AN12" s="147"/>
      <c r="AO12" s="147"/>
      <c r="AP12" s="147"/>
      <c r="AQ12" s="147"/>
      <c r="AR12" s="147"/>
      <c r="AS12" s="147"/>
      <c r="AT12" s="147"/>
      <c r="AU12" s="147"/>
      <c r="AV12" s="147"/>
      <c r="AW12" s="147"/>
      <c r="AX12" s="147"/>
      <c r="AY12" s="147"/>
      <c r="AZ12" s="147"/>
      <c r="BA12" s="147"/>
      <c r="BB12" s="147"/>
      <c r="BC12" s="147"/>
      <c r="BD12" s="147"/>
      <c r="BE12" s="147"/>
      <c r="BF12" s="147"/>
      <c r="BG12" s="147"/>
      <c r="BH12" s="147"/>
      <c r="BI12" s="147"/>
      <c r="BJ12" s="147"/>
      <c r="BK12" s="147"/>
      <c r="BL12" s="147"/>
      <c r="BM12" s="147"/>
      <c r="BN12" s="147"/>
      <c r="BO12" s="147"/>
      <c r="BP12" s="147"/>
      <c r="BQ12" s="147"/>
      <c r="BR12" s="147"/>
      <c r="BS12" s="147"/>
      <c r="BT12" s="147"/>
      <c r="BU12" s="147"/>
      <c r="BV12" s="147"/>
      <c r="BW12" s="147"/>
      <c r="BX12" s="147"/>
      <c r="BY12" s="147"/>
      <c r="BZ12" s="147"/>
      <c r="CA12" s="147"/>
      <c r="CB12" s="147"/>
      <c r="CC12" s="147"/>
      <c r="CD12" s="147"/>
      <c r="CE12" s="147"/>
      <c r="CF12" s="147"/>
      <c r="CG12" s="147"/>
      <c r="CH12" s="147"/>
      <c r="CI12" s="147"/>
      <c r="CJ12" s="147"/>
      <c r="CK12" s="147"/>
      <c r="CL12" s="147"/>
      <c r="CM12" s="147"/>
      <c r="CN12" s="147"/>
      <c r="CO12" s="147"/>
      <c r="CP12" s="147"/>
      <c r="CQ12" s="147"/>
      <c r="CR12" s="147"/>
      <c r="CS12" s="147"/>
      <c r="CT12" s="147"/>
      <c r="CU12" s="147"/>
      <c r="CV12" s="147"/>
      <c r="CW12" s="147"/>
      <c r="CX12" s="147"/>
      <c r="CY12" s="147"/>
      <c r="CZ12" s="147"/>
      <c r="DA12" s="147"/>
      <c r="DB12" s="147"/>
      <c r="DC12" s="147"/>
      <c r="DD12" s="147"/>
      <c r="DE12" s="147"/>
      <c r="DF12" s="147"/>
      <c r="DG12" s="147"/>
      <c r="DH12" s="147"/>
      <c r="DI12" s="147"/>
      <c r="DJ12" s="147"/>
      <c r="DK12" s="147"/>
      <c r="DL12" s="147"/>
      <c r="DM12" s="147"/>
      <c r="DN12" s="147"/>
      <c r="DO12" s="147"/>
      <c r="DP12" s="147"/>
      <c r="DQ12" s="147"/>
      <c r="DR12" s="147"/>
      <c r="DS12" s="147"/>
      <c r="DT12" s="147"/>
      <c r="DU12" s="147"/>
      <c r="DV12" s="147"/>
      <c r="DW12" s="147"/>
      <c r="DX12" s="147"/>
      <c r="DY12" s="147"/>
      <c r="DZ12" s="147"/>
      <c r="EA12" s="147"/>
      <c r="EB12" s="147"/>
      <c r="EC12" s="147"/>
      <c r="ED12" s="147"/>
      <c r="EE12" s="147"/>
      <c r="EF12" s="147"/>
      <c r="EG12" s="147"/>
      <c r="EH12" s="147"/>
      <c r="EI12" s="147"/>
      <c r="EJ12" s="147"/>
      <c r="EK12" s="147"/>
      <c r="EL12" s="147"/>
      <c r="EM12" s="147"/>
      <c r="EN12" s="147"/>
      <c r="EO12" s="147"/>
      <c r="EP12" s="147"/>
      <c r="EQ12" s="147"/>
      <c r="ER12" s="147"/>
      <c r="ES12" s="147"/>
      <c r="ET12" s="147"/>
      <c r="EU12" s="147"/>
      <c r="EV12" s="147"/>
      <c r="EW12" s="147"/>
      <c r="EX12" s="147"/>
      <c r="EY12" s="147"/>
      <c r="EZ12" s="147"/>
      <c r="FA12" s="147"/>
      <c r="FB12" s="147"/>
      <c r="FC12" s="147"/>
      <c r="FD12" s="147"/>
      <c r="FE12" s="147"/>
      <c r="FF12" s="147"/>
      <c r="FG12" s="147"/>
      <c r="FH12" s="147"/>
      <c r="FI12" s="147"/>
      <c r="FJ12" s="147"/>
      <c r="FK12" s="147"/>
      <c r="FL12" s="147"/>
      <c r="FM12" s="147"/>
      <c r="FN12" s="147"/>
      <c r="FO12" s="147"/>
      <c r="FP12" s="147"/>
      <c r="FQ12" s="147"/>
      <c r="FR12" s="147"/>
      <c r="FS12" s="147"/>
      <c r="FT12" s="147"/>
      <c r="FU12" s="147"/>
      <c r="FV12" s="147"/>
      <c r="FW12" s="147"/>
      <c r="FX12" s="147"/>
      <c r="FY12" s="147"/>
      <c r="FZ12" s="147"/>
      <c r="GA12" s="147"/>
      <c r="GB12" s="147"/>
      <c r="GC12" s="147"/>
      <c r="GD12" s="147"/>
      <c r="GE12" s="147"/>
      <c r="GF12" s="147"/>
      <c r="GG12" s="147"/>
      <c r="GH12" s="147"/>
      <c r="GI12" s="147"/>
      <c r="GJ12" s="147"/>
      <c r="GK12" s="147"/>
      <c r="GL12" s="147"/>
      <c r="GM12" s="147"/>
      <c r="GN12" s="147"/>
      <c r="GO12" s="147"/>
      <c r="GP12" s="147"/>
      <c r="GQ12" s="147"/>
      <c r="GR12" s="147"/>
      <c r="GS12" s="147"/>
      <c r="GT12" s="147"/>
      <c r="GU12" s="147"/>
      <c r="GV12" s="147"/>
      <c r="GW12" s="147"/>
      <c r="GX12" s="147"/>
      <c r="GY12" s="147"/>
      <c r="GZ12" s="147"/>
      <c r="HA12" s="147"/>
      <c r="HB12" s="147"/>
      <c r="HC12" s="147"/>
      <c r="HD12" s="147"/>
      <c r="HE12" s="147"/>
      <c r="HF12" s="147"/>
      <c r="HG12" s="147"/>
      <c r="HH12" s="147"/>
      <c r="HI12" s="147"/>
      <c r="HJ12" s="147"/>
      <c r="HK12" s="147"/>
      <c r="HL12" s="147"/>
      <c r="HM12" s="147"/>
      <c r="HN12" s="147"/>
      <c r="HO12" s="147"/>
      <c r="HP12" s="147"/>
      <c r="HQ12" s="147"/>
      <c r="HR12" s="147"/>
      <c r="HS12" s="147"/>
      <c r="HT12" s="147"/>
      <c r="HU12" s="147"/>
      <c r="HV12" s="147"/>
      <c r="HW12" s="147"/>
      <c r="HX12" s="147"/>
      <c r="HY12" s="147"/>
      <c r="HZ12" s="147"/>
      <c r="IA12" s="147"/>
      <c r="IB12" s="147"/>
      <c r="IC12" s="147"/>
      <c r="ID12" s="147"/>
      <c r="IE12" s="147"/>
      <c r="IF12" s="147"/>
      <c r="IG12" s="147"/>
      <c r="IH12" s="147"/>
      <c r="II12" s="147"/>
      <c r="IJ12" s="147"/>
      <c r="IK12" s="147"/>
      <c r="IL12" s="147"/>
      <c r="IM12" s="147"/>
      <c r="IN12" s="147"/>
      <c r="IO12" s="147"/>
      <c r="IP12" s="147"/>
      <c r="IQ12" s="147"/>
      <c r="IR12" s="147"/>
      <c r="IS12" s="147"/>
      <c r="IT12" s="147"/>
      <c r="IU12" s="147"/>
      <c r="IV12" s="147"/>
      <c r="IW12" s="147"/>
      <c r="IX12" s="147"/>
    </row>
    <row r="13" spans="1:258" ht="20.100000000000001" customHeight="1" x14ac:dyDescent="0.25">
      <c r="A13" s="77">
        <f t="shared" si="0"/>
        <v>6</v>
      </c>
      <c r="B13" s="73">
        <v>0.25</v>
      </c>
      <c r="C13" s="213" t="s">
        <v>592</v>
      </c>
      <c r="D13" s="147"/>
      <c r="E13" s="147"/>
      <c r="F13" s="147"/>
      <c r="G13" s="147"/>
      <c r="H13" s="147"/>
      <c r="I13" s="147"/>
      <c r="J13" s="147"/>
      <c r="K13" s="147"/>
      <c r="L13" s="60"/>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47"/>
      <c r="EA13" s="147"/>
      <c r="EB13" s="147"/>
      <c r="EC13" s="147"/>
      <c r="ED13" s="147"/>
      <c r="EE13" s="147"/>
      <c r="EF13" s="147"/>
      <c r="EG13" s="147"/>
      <c r="EH13" s="147"/>
      <c r="EI13" s="147"/>
      <c r="EJ13" s="147"/>
      <c r="EK13" s="147"/>
      <c r="EL13" s="147"/>
      <c r="EM13" s="147"/>
      <c r="EN13" s="147"/>
      <c r="EO13" s="147"/>
      <c r="EP13" s="147"/>
      <c r="EQ13" s="147"/>
      <c r="ER13" s="147"/>
      <c r="ES13" s="147"/>
      <c r="ET13" s="147"/>
      <c r="EU13" s="147"/>
      <c r="EV13" s="147"/>
      <c r="EW13" s="147"/>
      <c r="EX13" s="147"/>
      <c r="EY13" s="147"/>
      <c r="EZ13" s="147"/>
      <c r="FA13" s="147"/>
      <c r="FB13" s="147"/>
      <c r="FC13" s="147"/>
      <c r="FD13" s="147"/>
      <c r="FE13" s="147"/>
      <c r="FF13" s="147"/>
      <c r="FG13" s="147"/>
      <c r="FH13" s="147"/>
      <c r="FI13" s="147"/>
      <c r="FJ13" s="147"/>
      <c r="FK13" s="147"/>
      <c r="FL13" s="147"/>
      <c r="FM13" s="147"/>
      <c r="FN13" s="147"/>
      <c r="FO13" s="147"/>
      <c r="FP13" s="147"/>
      <c r="FQ13" s="147"/>
      <c r="FR13" s="147"/>
      <c r="FS13" s="147"/>
      <c r="FT13" s="147"/>
      <c r="FU13" s="147"/>
      <c r="FV13" s="147"/>
      <c r="FW13" s="147"/>
      <c r="FX13" s="147"/>
      <c r="FY13" s="147"/>
      <c r="FZ13" s="147"/>
      <c r="GA13" s="147"/>
      <c r="GB13" s="147"/>
      <c r="GC13" s="147"/>
      <c r="GD13" s="147"/>
      <c r="GE13" s="147"/>
      <c r="GF13" s="147"/>
      <c r="GG13" s="147"/>
      <c r="GH13" s="147"/>
      <c r="GI13" s="147"/>
      <c r="GJ13" s="147"/>
      <c r="GK13" s="147"/>
      <c r="GL13" s="147"/>
      <c r="GM13" s="147"/>
      <c r="GN13" s="147"/>
      <c r="GO13" s="147"/>
      <c r="GP13" s="147"/>
      <c r="GQ13" s="147"/>
      <c r="GR13" s="147"/>
      <c r="GS13" s="147"/>
      <c r="GT13" s="147"/>
      <c r="GU13" s="147"/>
      <c r="GV13" s="147"/>
      <c r="GW13" s="147"/>
      <c r="GX13" s="147"/>
      <c r="GY13" s="147"/>
      <c r="GZ13" s="147"/>
      <c r="HA13" s="147"/>
      <c r="HB13" s="147"/>
      <c r="HC13" s="147"/>
      <c r="HD13" s="147"/>
      <c r="HE13" s="147"/>
      <c r="HF13" s="147"/>
      <c r="HG13" s="147"/>
      <c r="HH13" s="147"/>
      <c r="HI13" s="147"/>
      <c r="HJ13" s="147"/>
      <c r="HK13" s="147"/>
      <c r="HL13" s="147"/>
      <c r="HM13" s="147"/>
      <c r="HN13" s="147"/>
      <c r="HO13" s="147"/>
      <c r="HP13" s="147"/>
      <c r="HQ13" s="147"/>
      <c r="HR13" s="147"/>
      <c r="HS13" s="147"/>
      <c r="HT13" s="147"/>
      <c r="HU13" s="147"/>
      <c r="HV13" s="147"/>
      <c r="HW13" s="147"/>
      <c r="HX13" s="147"/>
      <c r="HY13" s="147"/>
      <c r="HZ13" s="147"/>
      <c r="IA13" s="147"/>
      <c r="IB13" s="147"/>
      <c r="IC13" s="147"/>
      <c r="ID13" s="147"/>
      <c r="IE13" s="147"/>
      <c r="IF13" s="147"/>
      <c r="IG13" s="147"/>
      <c r="IH13" s="147"/>
      <c r="II13" s="147"/>
      <c r="IJ13" s="147"/>
      <c r="IK13" s="147"/>
      <c r="IL13" s="147"/>
      <c r="IM13" s="147"/>
      <c r="IN13" s="147"/>
      <c r="IO13" s="147"/>
      <c r="IP13" s="147"/>
      <c r="IQ13" s="147"/>
      <c r="IR13" s="147"/>
      <c r="IS13" s="147"/>
      <c r="IT13" s="147"/>
      <c r="IU13" s="147"/>
      <c r="IV13" s="147"/>
      <c r="IW13" s="147"/>
      <c r="IX13" s="147"/>
    </row>
    <row r="14" spans="1:258" ht="20.100000000000001" customHeight="1" x14ac:dyDescent="0.25">
      <c r="A14" s="77">
        <f t="shared" si="0"/>
        <v>7</v>
      </c>
      <c r="B14" s="73">
        <v>0.29166666666666702</v>
      </c>
      <c r="C14" s="213" t="s">
        <v>592</v>
      </c>
      <c r="D14" s="147"/>
      <c r="E14" s="147"/>
      <c r="F14" s="147"/>
      <c r="G14" s="147"/>
      <c r="H14" s="147"/>
      <c r="I14" s="147"/>
      <c r="J14" s="147"/>
      <c r="K14" s="147"/>
      <c r="L14" s="60"/>
      <c r="M14" s="147"/>
      <c r="N14" s="147"/>
      <c r="O14" s="147"/>
      <c r="P14" s="147"/>
      <c r="Q14" s="147"/>
      <c r="R14" s="147"/>
      <c r="S14" s="147"/>
      <c r="T14" s="147"/>
      <c r="U14" s="147"/>
      <c r="V14" s="147"/>
      <c r="W14" s="147"/>
      <c r="X14" s="147"/>
      <c r="Y14" s="147"/>
      <c r="Z14" s="147"/>
      <c r="AA14" s="147"/>
      <c r="AB14" s="147"/>
      <c r="AC14" s="147"/>
      <c r="AD14" s="147"/>
      <c r="AE14" s="147"/>
      <c r="AF14" s="147"/>
      <c r="AG14" s="147"/>
      <c r="AH14" s="147"/>
      <c r="AI14" s="147"/>
      <c r="AJ14" s="147"/>
      <c r="AK14" s="147"/>
      <c r="AL14" s="147"/>
      <c r="AM14" s="147"/>
      <c r="AN14" s="147"/>
      <c r="AO14" s="147"/>
      <c r="AP14" s="147"/>
      <c r="AQ14" s="147"/>
      <c r="AR14" s="147"/>
      <c r="AS14" s="147"/>
      <c r="AT14" s="147"/>
      <c r="AU14" s="147"/>
      <c r="AV14" s="147"/>
      <c r="AW14" s="147"/>
      <c r="AX14" s="147"/>
      <c r="AY14" s="147"/>
      <c r="AZ14" s="147"/>
      <c r="BA14" s="147"/>
      <c r="BB14" s="147"/>
      <c r="BC14" s="147"/>
      <c r="BD14" s="147"/>
      <c r="BE14" s="147"/>
      <c r="BF14" s="147"/>
      <c r="BG14" s="147"/>
      <c r="BH14" s="147"/>
      <c r="BI14" s="147"/>
      <c r="BJ14" s="147"/>
      <c r="BK14" s="147"/>
      <c r="BL14" s="147"/>
      <c r="BM14" s="147"/>
      <c r="BN14" s="147"/>
      <c r="BO14" s="147"/>
      <c r="BP14" s="147"/>
      <c r="BQ14" s="147"/>
      <c r="BR14" s="147"/>
      <c r="BS14" s="147"/>
      <c r="BT14" s="147"/>
      <c r="BU14" s="147"/>
      <c r="BV14" s="147"/>
      <c r="BW14" s="147"/>
      <c r="BX14" s="147"/>
      <c r="BY14" s="147"/>
      <c r="BZ14" s="147"/>
      <c r="CA14" s="147"/>
      <c r="CB14" s="147"/>
      <c r="CC14" s="147"/>
      <c r="CD14" s="147"/>
      <c r="CE14" s="147"/>
      <c r="CF14" s="147"/>
      <c r="CG14" s="147"/>
      <c r="CH14" s="147"/>
      <c r="CI14" s="147"/>
      <c r="CJ14" s="147"/>
      <c r="CK14" s="147"/>
      <c r="CL14" s="147"/>
      <c r="CM14" s="147"/>
      <c r="CN14" s="147"/>
      <c r="CO14" s="147"/>
      <c r="CP14" s="147"/>
      <c r="CQ14" s="147"/>
      <c r="CR14" s="147"/>
      <c r="CS14" s="147"/>
      <c r="CT14" s="147"/>
      <c r="CU14" s="147"/>
      <c r="CV14" s="147"/>
      <c r="CW14" s="147"/>
      <c r="CX14" s="147"/>
      <c r="CY14" s="147"/>
      <c r="CZ14" s="147"/>
      <c r="DA14" s="147"/>
      <c r="DB14" s="147"/>
      <c r="DC14" s="147"/>
      <c r="DD14" s="147"/>
      <c r="DE14" s="147"/>
      <c r="DF14" s="147"/>
      <c r="DG14" s="147"/>
      <c r="DH14" s="147"/>
      <c r="DI14" s="147"/>
      <c r="DJ14" s="147"/>
      <c r="DK14" s="147"/>
      <c r="DL14" s="147"/>
      <c r="DM14" s="147"/>
      <c r="DN14" s="147"/>
      <c r="DO14" s="147"/>
      <c r="DP14" s="147"/>
      <c r="DQ14" s="147"/>
      <c r="DR14" s="147"/>
      <c r="DS14" s="147"/>
      <c r="DT14" s="147"/>
      <c r="DU14" s="147"/>
      <c r="DV14" s="147"/>
      <c r="DW14" s="147"/>
      <c r="DX14" s="147"/>
      <c r="DY14" s="147"/>
      <c r="DZ14" s="147"/>
      <c r="EA14" s="147"/>
      <c r="EB14" s="147"/>
      <c r="EC14" s="147"/>
      <c r="ED14" s="147"/>
      <c r="EE14" s="147"/>
      <c r="EF14" s="147"/>
      <c r="EG14" s="147"/>
      <c r="EH14" s="147"/>
      <c r="EI14" s="147"/>
      <c r="EJ14" s="147"/>
      <c r="EK14" s="147"/>
      <c r="EL14" s="147"/>
      <c r="EM14" s="147"/>
      <c r="EN14" s="147"/>
      <c r="EO14" s="147"/>
      <c r="EP14" s="147"/>
      <c r="EQ14" s="147"/>
      <c r="ER14" s="147"/>
      <c r="ES14" s="147"/>
      <c r="ET14" s="147"/>
      <c r="EU14" s="147"/>
      <c r="EV14" s="147"/>
      <c r="EW14" s="147"/>
      <c r="EX14" s="147"/>
      <c r="EY14" s="147"/>
      <c r="EZ14" s="147"/>
      <c r="FA14" s="147"/>
      <c r="FB14" s="147"/>
      <c r="FC14" s="147"/>
      <c r="FD14" s="147"/>
      <c r="FE14" s="147"/>
      <c r="FF14" s="147"/>
      <c r="FG14" s="147"/>
      <c r="FH14" s="147"/>
      <c r="FI14" s="147"/>
      <c r="FJ14" s="147"/>
      <c r="FK14" s="147"/>
      <c r="FL14" s="147"/>
      <c r="FM14" s="147"/>
      <c r="FN14" s="147"/>
      <c r="FO14" s="147"/>
      <c r="FP14" s="147"/>
      <c r="FQ14" s="147"/>
      <c r="FR14" s="147"/>
      <c r="FS14" s="147"/>
      <c r="FT14" s="147"/>
      <c r="FU14" s="147"/>
      <c r="FV14" s="147"/>
      <c r="FW14" s="147"/>
      <c r="FX14" s="147"/>
      <c r="FY14" s="147"/>
      <c r="FZ14" s="147"/>
      <c r="GA14" s="147"/>
      <c r="GB14" s="147"/>
      <c r="GC14" s="147"/>
      <c r="GD14" s="147"/>
      <c r="GE14" s="147"/>
      <c r="GF14" s="147"/>
      <c r="GG14" s="147"/>
      <c r="GH14" s="147"/>
      <c r="GI14" s="147"/>
      <c r="GJ14" s="147"/>
      <c r="GK14" s="147"/>
      <c r="GL14" s="147"/>
      <c r="GM14" s="147"/>
      <c r="GN14" s="147"/>
      <c r="GO14" s="147"/>
      <c r="GP14" s="147"/>
      <c r="GQ14" s="147"/>
      <c r="GR14" s="147"/>
      <c r="GS14" s="147"/>
      <c r="GT14" s="147"/>
      <c r="GU14" s="147"/>
      <c r="GV14" s="147"/>
      <c r="GW14" s="147"/>
      <c r="GX14" s="147"/>
      <c r="GY14" s="147"/>
      <c r="GZ14" s="147"/>
      <c r="HA14" s="147"/>
      <c r="HB14" s="147"/>
      <c r="HC14" s="147"/>
      <c r="HD14" s="147"/>
      <c r="HE14" s="147"/>
      <c r="HF14" s="147"/>
      <c r="HG14" s="147"/>
      <c r="HH14" s="147"/>
      <c r="HI14" s="147"/>
      <c r="HJ14" s="147"/>
      <c r="HK14" s="147"/>
      <c r="HL14" s="147"/>
      <c r="HM14" s="147"/>
      <c r="HN14" s="147"/>
      <c r="HO14" s="147"/>
      <c r="HP14" s="147"/>
      <c r="HQ14" s="147"/>
      <c r="HR14" s="147"/>
      <c r="HS14" s="147"/>
      <c r="HT14" s="147"/>
      <c r="HU14" s="147"/>
      <c r="HV14" s="147"/>
      <c r="HW14" s="147"/>
      <c r="HX14" s="147"/>
      <c r="HY14" s="147"/>
      <c r="HZ14" s="147"/>
      <c r="IA14" s="147"/>
      <c r="IB14" s="147"/>
      <c r="IC14" s="147"/>
      <c r="ID14" s="147"/>
      <c r="IE14" s="147"/>
      <c r="IF14" s="147"/>
      <c r="IG14" s="147"/>
      <c r="IH14" s="147"/>
      <c r="II14" s="147"/>
      <c r="IJ14" s="147"/>
      <c r="IK14" s="147"/>
      <c r="IL14" s="147"/>
      <c r="IM14" s="147"/>
      <c r="IN14" s="147"/>
      <c r="IO14" s="147"/>
      <c r="IP14" s="147"/>
      <c r="IQ14" s="147"/>
      <c r="IR14" s="147"/>
      <c r="IS14" s="147"/>
      <c r="IT14" s="147"/>
      <c r="IU14" s="147"/>
      <c r="IV14" s="147"/>
      <c r="IW14" s="147"/>
      <c r="IX14" s="147"/>
    </row>
    <row r="15" spans="1:258" ht="97.5" customHeight="1" x14ac:dyDescent="0.25">
      <c r="A15" s="77">
        <f t="shared" si="0"/>
        <v>8</v>
      </c>
      <c r="B15" s="73">
        <v>0.33333333333333298</v>
      </c>
      <c r="C15" s="212" t="s">
        <v>584</v>
      </c>
      <c r="D15" s="147" t="s">
        <v>608</v>
      </c>
      <c r="E15" s="147"/>
      <c r="F15" s="147"/>
      <c r="G15" s="147"/>
      <c r="H15" s="147"/>
      <c r="I15" s="147"/>
      <c r="J15" s="147"/>
      <c r="K15" s="147"/>
      <c r="L15" s="60"/>
      <c r="M15" s="147"/>
      <c r="N15" s="147"/>
      <c r="O15" s="147"/>
      <c r="P15" s="147"/>
      <c r="Q15" s="147"/>
      <c r="R15" s="147"/>
      <c r="S15" s="147"/>
      <c r="T15" s="147"/>
      <c r="U15" s="147"/>
      <c r="V15" s="147"/>
      <c r="W15" s="147"/>
      <c r="X15" s="147"/>
      <c r="Y15" s="147"/>
      <c r="Z15" s="147"/>
      <c r="AA15" s="147"/>
      <c r="AB15" s="147"/>
      <c r="AC15" s="147"/>
      <c r="AD15" s="147"/>
      <c r="AE15" s="147"/>
      <c r="AF15" s="147"/>
      <c r="AG15" s="147"/>
      <c r="AH15" s="147"/>
      <c r="AI15" s="147"/>
      <c r="AJ15" s="147"/>
      <c r="AK15" s="147"/>
      <c r="AL15" s="147"/>
      <c r="AM15" s="147"/>
      <c r="AN15" s="147"/>
      <c r="AO15" s="147"/>
      <c r="AP15" s="147"/>
      <c r="AQ15" s="147"/>
      <c r="AR15" s="147"/>
      <c r="AS15" s="147"/>
      <c r="AT15" s="147"/>
      <c r="AU15" s="147"/>
      <c r="AV15" s="147"/>
      <c r="AW15" s="147"/>
      <c r="AX15" s="147"/>
      <c r="AY15" s="147"/>
      <c r="AZ15" s="147"/>
      <c r="BA15" s="147"/>
      <c r="BB15" s="147"/>
      <c r="BC15" s="147"/>
      <c r="BD15" s="147"/>
      <c r="BE15" s="147"/>
      <c r="BF15" s="147"/>
      <c r="BG15" s="147"/>
      <c r="BH15" s="147"/>
      <c r="BI15" s="147"/>
      <c r="BJ15" s="147"/>
      <c r="BK15" s="147"/>
      <c r="BL15" s="147"/>
      <c r="BM15" s="147"/>
      <c r="BN15" s="147"/>
      <c r="BO15" s="147"/>
      <c r="BP15" s="147"/>
      <c r="BQ15" s="147"/>
      <c r="BR15" s="147"/>
      <c r="BS15" s="147"/>
      <c r="BT15" s="147"/>
      <c r="BU15" s="147"/>
      <c r="BV15" s="147"/>
      <c r="BW15" s="147"/>
      <c r="BX15" s="147"/>
      <c r="BY15" s="147"/>
      <c r="BZ15" s="147"/>
      <c r="CA15" s="147"/>
      <c r="CB15" s="147"/>
      <c r="CC15" s="147"/>
      <c r="CD15" s="147"/>
      <c r="CE15" s="147"/>
      <c r="CF15" s="147"/>
      <c r="CG15" s="147"/>
      <c r="CH15" s="147"/>
      <c r="CI15" s="147"/>
      <c r="CJ15" s="147"/>
      <c r="CK15" s="147"/>
      <c r="CL15" s="147"/>
      <c r="CM15" s="147"/>
      <c r="CN15" s="147"/>
      <c r="CO15" s="147"/>
      <c r="CP15" s="147"/>
      <c r="CQ15" s="147"/>
      <c r="CR15" s="147"/>
      <c r="CS15" s="147"/>
      <c r="CT15" s="147"/>
      <c r="CU15" s="147"/>
      <c r="CV15" s="147"/>
      <c r="CW15" s="147"/>
      <c r="CX15" s="147"/>
      <c r="CY15" s="147"/>
      <c r="CZ15" s="147"/>
      <c r="DA15" s="147"/>
      <c r="DB15" s="147"/>
      <c r="DC15" s="147"/>
      <c r="DD15" s="147"/>
      <c r="DE15" s="147"/>
      <c r="DF15" s="147"/>
      <c r="DG15" s="147"/>
      <c r="DH15" s="147"/>
      <c r="DI15" s="147"/>
      <c r="DJ15" s="147"/>
      <c r="DK15" s="147"/>
      <c r="DL15" s="147"/>
      <c r="DM15" s="147"/>
      <c r="DN15" s="147"/>
      <c r="DO15" s="147"/>
      <c r="DP15" s="147"/>
      <c r="DQ15" s="147"/>
      <c r="DR15" s="147"/>
      <c r="DS15" s="147"/>
      <c r="DT15" s="147"/>
      <c r="DU15" s="147"/>
      <c r="DV15" s="147"/>
      <c r="DW15" s="147"/>
      <c r="DX15" s="147"/>
      <c r="DY15" s="147"/>
      <c r="DZ15" s="147"/>
      <c r="EA15" s="147"/>
      <c r="EB15" s="147"/>
      <c r="EC15" s="147"/>
      <c r="ED15" s="147"/>
      <c r="EE15" s="147"/>
      <c r="EF15" s="147"/>
      <c r="EG15" s="147"/>
      <c r="EH15" s="147"/>
      <c r="EI15" s="147"/>
      <c r="EJ15" s="147"/>
      <c r="EK15" s="147"/>
      <c r="EL15" s="147"/>
      <c r="EM15" s="147"/>
      <c r="EN15" s="147"/>
      <c r="EO15" s="147"/>
      <c r="EP15" s="147"/>
      <c r="EQ15" s="147"/>
      <c r="ER15" s="147"/>
      <c r="ES15" s="147"/>
      <c r="ET15" s="147"/>
      <c r="EU15" s="147"/>
      <c r="EV15" s="147"/>
      <c r="EW15" s="147"/>
      <c r="EX15" s="147"/>
      <c r="EY15" s="147"/>
      <c r="EZ15" s="147"/>
      <c r="FA15" s="147"/>
      <c r="FB15" s="147"/>
      <c r="FC15" s="147"/>
      <c r="FD15" s="147"/>
      <c r="FE15" s="147"/>
      <c r="FF15" s="147"/>
      <c r="FG15" s="147"/>
      <c r="FH15" s="147"/>
      <c r="FI15" s="147"/>
      <c r="FJ15" s="147"/>
      <c r="FK15" s="147"/>
      <c r="FL15" s="147"/>
      <c r="FM15" s="147"/>
      <c r="FN15" s="147"/>
      <c r="FO15" s="147"/>
      <c r="FP15" s="147"/>
      <c r="FQ15" s="147"/>
      <c r="FR15" s="147"/>
      <c r="FS15" s="147"/>
      <c r="FT15" s="147"/>
      <c r="FU15" s="147"/>
      <c r="FV15" s="147"/>
      <c r="FW15" s="147"/>
      <c r="FX15" s="147"/>
      <c r="FY15" s="147"/>
      <c r="FZ15" s="147"/>
      <c r="GA15" s="147"/>
      <c r="GB15" s="147"/>
      <c r="GC15" s="147"/>
      <c r="GD15" s="147"/>
      <c r="GE15" s="147"/>
      <c r="GF15" s="147"/>
      <c r="GG15" s="147"/>
      <c r="GH15" s="147"/>
      <c r="GI15" s="147"/>
      <c r="GJ15" s="147"/>
      <c r="GK15" s="147"/>
      <c r="GL15" s="147"/>
      <c r="GM15" s="147"/>
      <c r="GN15" s="147"/>
      <c r="GO15" s="147"/>
      <c r="GP15" s="147"/>
      <c r="GQ15" s="147"/>
      <c r="GR15" s="147"/>
      <c r="GS15" s="147"/>
      <c r="GT15" s="147"/>
      <c r="GU15" s="147"/>
      <c r="GV15" s="147"/>
      <c r="GW15" s="147"/>
      <c r="GX15" s="147"/>
      <c r="GY15" s="147"/>
      <c r="GZ15" s="147"/>
      <c r="HA15" s="147"/>
      <c r="HB15" s="147"/>
      <c r="HC15" s="147"/>
      <c r="HD15" s="147"/>
      <c r="HE15" s="147"/>
      <c r="HF15" s="147"/>
      <c r="HG15" s="147"/>
      <c r="HH15" s="147"/>
      <c r="HI15" s="147"/>
      <c r="HJ15" s="147"/>
      <c r="HK15" s="147"/>
      <c r="HL15" s="147"/>
      <c r="HM15" s="147"/>
      <c r="HN15" s="147"/>
      <c r="HO15" s="147"/>
      <c r="HP15" s="147"/>
      <c r="HQ15" s="147"/>
      <c r="HR15" s="147"/>
      <c r="HS15" s="147"/>
      <c r="HT15" s="147"/>
      <c r="HU15" s="147"/>
      <c r="HV15" s="147"/>
      <c r="HW15" s="147"/>
      <c r="HX15" s="147"/>
      <c r="HY15" s="147"/>
      <c r="HZ15" s="147"/>
      <c r="IA15" s="147"/>
      <c r="IB15" s="147"/>
      <c r="IC15" s="147"/>
      <c r="ID15" s="147"/>
      <c r="IE15" s="147"/>
      <c r="IF15" s="147"/>
      <c r="IG15" s="147"/>
      <c r="IH15" s="147"/>
      <c r="II15" s="147"/>
      <c r="IJ15" s="147"/>
      <c r="IK15" s="147"/>
      <c r="IL15" s="147"/>
      <c r="IM15" s="147"/>
      <c r="IN15" s="147"/>
      <c r="IO15" s="147"/>
      <c r="IP15" s="147"/>
      <c r="IQ15" s="147"/>
      <c r="IR15" s="147"/>
      <c r="IS15" s="147"/>
      <c r="IT15" s="147"/>
      <c r="IU15" s="147"/>
      <c r="IV15" s="147"/>
      <c r="IW15" s="147"/>
      <c r="IX15" s="147"/>
    </row>
    <row r="16" spans="1:258" ht="20.100000000000001" customHeight="1" x14ac:dyDescent="0.25">
      <c r="A16" s="77">
        <f t="shared" si="0"/>
        <v>9</v>
      </c>
      <c r="B16" s="73">
        <v>0.375</v>
      </c>
      <c r="C16" s="213" t="s">
        <v>593</v>
      </c>
      <c r="D16" s="147"/>
      <c r="E16" s="147"/>
      <c r="F16" s="147"/>
      <c r="G16" s="147"/>
      <c r="H16" s="147"/>
      <c r="I16" s="147"/>
      <c r="J16" s="147"/>
      <c r="K16" s="147"/>
      <c r="L16" s="60"/>
      <c r="M16" s="147"/>
      <c r="N16" s="147"/>
      <c r="O16" s="147"/>
      <c r="P16" s="147"/>
      <c r="Q16" s="147"/>
      <c r="R16" s="147"/>
      <c r="S16" s="147"/>
      <c r="T16" s="147"/>
      <c r="U16" s="147"/>
      <c r="V16" s="147"/>
      <c r="W16" s="147"/>
      <c r="X16" s="147"/>
      <c r="Y16" s="147"/>
      <c r="Z16" s="147"/>
      <c r="AA16" s="147"/>
      <c r="AB16" s="147"/>
      <c r="AC16" s="147"/>
      <c r="AD16" s="147"/>
      <c r="AE16" s="147"/>
      <c r="AF16" s="147"/>
      <c r="AG16" s="147"/>
      <c r="AH16" s="147"/>
      <c r="AI16" s="147"/>
      <c r="AJ16" s="147"/>
      <c r="AK16" s="147"/>
      <c r="AL16" s="147"/>
      <c r="AM16" s="147"/>
      <c r="AN16" s="147"/>
      <c r="AO16" s="147"/>
      <c r="AP16" s="147"/>
      <c r="AQ16" s="147"/>
      <c r="AR16" s="147"/>
      <c r="AS16" s="147"/>
      <c r="AT16" s="147"/>
      <c r="AU16" s="147"/>
      <c r="AV16" s="147"/>
      <c r="AW16" s="147"/>
      <c r="AX16" s="147"/>
      <c r="AY16" s="147"/>
      <c r="AZ16" s="147"/>
      <c r="BA16" s="147"/>
      <c r="BB16" s="147"/>
      <c r="BC16" s="147"/>
      <c r="BD16" s="147"/>
      <c r="BE16" s="147"/>
      <c r="BF16" s="147"/>
      <c r="BG16" s="147"/>
      <c r="BH16" s="147"/>
      <c r="BI16" s="147"/>
      <c r="BJ16" s="147"/>
      <c r="BK16" s="147"/>
      <c r="BL16" s="147"/>
      <c r="BM16" s="147"/>
      <c r="BN16" s="147"/>
      <c r="BO16" s="147"/>
      <c r="BP16" s="147"/>
      <c r="BQ16" s="147"/>
      <c r="BR16" s="147"/>
      <c r="BS16" s="147"/>
      <c r="BT16" s="147"/>
      <c r="BU16" s="147"/>
      <c r="BV16" s="147"/>
      <c r="BW16" s="147"/>
      <c r="BX16" s="147"/>
      <c r="BY16" s="147"/>
      <c r="BZ16" s="147"/>
      <c r="CA16" s="147"/>
      <c r="CB16" s="147"/>
      <c r="CC16" s="147"/>
      <c r="CD16" s="147"/>
      <c r="CE16" s="147"/>
      <c r="CF16" s="147"/>
      <c r="CG16" s="147"/>
      <c r="CH16" s="147"/>
      <c r="CI16" s="147"/>
      <c r="CJ16" s="147"/>
      <c r="CK16" s="147"/>
      <c r="CL16" s="147"/>
      <c r="CM16" s="147"/>
      <c r="CN16" s="147"/>
      <c r="CO16" s="147"/>
      <c r="CP16" s="147"/>
      <c r="CQ16" s="147"/>
      <c r="CR16" s="147"/>
      <c r="CS16" s="147"/>
      <c r="CT16" s="147"/>
      <c r="CU16" s="147"/>
      <c r="CV16" s="147"/>
      <c r="CW16" s="147"/>
      <c r="CX16" s="147"/>
      <c r="CY16" s="147"/>
      <c r="CZ16" s="147"/>
      <c r="DA16" s="147"/>
      <c r="DB16" s="147"/>
      <c r="DC16" s="147"/>
      <c r="DD16" s="147"/>
      <c r="DE16" s="147"/>
      <c r="DF16" s="147"/>
      <c r="DG16" s="147"/>
      <c r="DH16" s="147"/>
      <c r="DI16" s="147"/>
      <c r="DJ16" s="147"/>
      <c r="DK16" s="147"/>
      <c r="DL16" s="147"/>
      <c r="DM16" s="147"/>
      <c r="DN16" s="147"/>
      <c r="DO16" s="147"/>
      <c r="DP16" s="147"/>
      <c r="DQ16" s="147"/>
      <c r="DR16" s="147"/>
      <c r="DS16" s="147"/>
      <c r="DT16" s="147"/>
      <c r="DU16" s="147"/>
      <c r="DV16" s="147"/>
      <c r="DW16" s="147"/>
      <c r="DX16" s="147"/>
      <c r="DY16" s="147"/>
      <c r="DZ16" s="147"/>
      <c r="EA16" s="147"/>
      <c r="EB16" s="147"/>
      <c r="EC16" s="147"/>
      <c r="ED16" s="147"/>
      <c r="EE16" s="147"/>
      <c r="EF16" s="147"/>
      <c r="EG16" s="147"/>
      <c r="EH16" s="147"/>
      <c r="EI16" s="147"/>
      <c r="EJ16" s="147"/>
      <c r="EK16" s="147"/>
      <c r="EL16" s="147"/>
      <c r="EM16" s="147"/>
      <c r="EN16" s="147"/>
      <c r="EO16" s="147"/>
      <c r="EP16" s="147"/>
      <c r="EQ16" s="147"/>
      <c r="ER16" s="147"/>
      <c r="ES16" s="147"/>
      <c r="ET16" s="147"/>
      <c r="EU16" s="147"/>
      <c r="EV16" s="147"/>
      <c r="EW16" s="147"/>
      <c r="EX16" s="147"/>
      <c r="EY16" s="147"/>
      <c r="EZ16" s="147"/>
      <c r="FA16" s="147"/>
      <c r="FB16" s="147"/>
      <c r="FC16" s="147"/>
      <c r="FD16" s="147"/>
      <c r="FE16" s="147"/>
      <c r="FF16" s="147"/>
      <c r="FG16" s="147"/>
      <c r="FH16" s="147"/>
      <c r="FI16" s="147"/>
      <c r="FJ16" s="147"/>
      <c r="FK16" s="147"/>
      <c r="FL16" s="147"/>
      <c r="FM16" s="147"/>
      <c r="FN16" s="147"/>
      <c r="FO16" s="147"/>
      <c r="FP16" s="147"/>
      <c r="FQ16" s="147"/>
      <c r="FR16" s="147"/>
      <c r="FS16" s="147"/>
      <c r="FT16" s="147"/>
      <c r="FU16" s="147"/>
      <c r="FV16" s="147"/>
      <c r="FW16" s="147"/>
      <c r="FX16" s="147"/>
      <c r="FY16" s="147"/>
      <c r="FZ16" s="147"/>
      <c r="GA16" s="147"/>
      <c r="GB16" s="147"/>
      <c r="GC16" s="147"/>
      <c r="GD16" s="147"/>
      <c r="GE16" s="147"/>
      <c r="GF16" s="147"/>
      <c r="GG16" s="147"/>
      <c r="GH16" s="147"/>
      <c r="GI16" s="147"/>
      <c r="GJ16" s="147"/>
      <c r="GK16" s="147"/>
      <c r="GL16" s="147"/>
      <c r="GM16" s="147"/>
      <c r="GN16" s="147"/>
      <c r="GO16" s="147"/>
      <c r="GP16" s="147"/>
      <c r="GQ16" s="147"/>
      <c r="GR16" s="147"/>
      <c r="GS16" s="147"/>
      <c r="GT16" s="147"/>
      <c r="GU16" s="147"/>
      <c r="GV16" s="147"/>
      <c r="GW16" s="147"/>
      <c r="GX16" s="147"/>
      <c r="GY16" s="147"/>
      <c r="GZ16" s="147"/>
      <c r="HA16" s="147"/>
      <c r="HB16" s="147"/>
      <c r="HC16" s="147"/>
      <c r="HD16" s="147"/>
      <c r="HE16" s="147"/>
      <c r="HF16" s="147"/>
      <c r="HG16" s="147"/>
      <c r="HH16" s="147"/>
      <c r="HI16" s="147"/>
      <c r="HJ16" s="147"/>
      <c r="HK16" s="147"/>
      <c r="HL16" s="147"/>
      <c r="HM16" s="147"/>
      <c r="HN16" s="147"/>
      <c r="HO16" s="147"/>
      <c r="HP16" s="147"/>
      <c r="HQ16" s="147"/>
      <c r="HR16" s="147"/>
      <c r="HS16" s="147"/>
      <c r="HT16" s="147"/>
      <c r="HU16" s="147"/>
      <c r="HV16" s="147"/>
      <c r="HW16" s="147"/>
      <c r="HX16" s="147"/>
      <c r="HY16" s="147"/>
      <c r="HZ16" s="147"/>
      <c r="IA16" s="147"/>
      <c r="IB16" s="147"/>
      <c r="IC16" s="147"/>
      <c r="ID16" s="147"/>
      <c r="IE16" s="147"/>
      <c r="IF16" s="147"/>
      <c r="IG16" s="147"/>
      <c r="IH16" s="147"/>
      <c r="II16" s="147"/>
      <c r="IJ16" s="147"/>
      <c r="IK16" s="147"/>
      <c r="IL16" s="147"/>
      <c r="IM16" s="147"/>
      <c r="IN16" s="147"/>
      <c r="IO16" s="147"/>
      <c r="IP16" s="147"/>
      <c r="IQ16" s="147"/>
      <c r="IR16" s="147"/>
      <c r="IS16" s="147"/>
      <c r="IT16" s="147"/>
      <c r="IU16" s="147"/>
      <c r="IV16" s="147"/>
      <c r="IW16" s="147"/>
      <c r="IX16" s="147"/>
    </row>
    <row r="17" spans="1:258" x14ac:dyDescent="0.25">
      <c r="A17" s="77">
        <f t="shared" si="0"/>
        <v>10</v>
      </c>
      <c r="B17" s="73">
        <v>0.41666666666666702</v>
      </c>
      <c r="C17" s="213" t="s">
        <v>593</v>
      </c>
      <c r="D17" s="147"/>
      <c r="E17" s="147"/>
      <c r="F17" s="147"/>
      <c r="G17" s="147"/>
      <c r="H17" s="147"/>
      <c r="I17" s="147"/>
      <c r="J17" s="147"/>
      <c r="K17" s="147"/>
      <c r="L17" s="60"/>
      <c r="M17" s="147"/>
      <c r="N17" s="147"/>
      <c r="O17" s="147"/>
      <c r="P17" s="147"/>
      <c r="Q17" s="147"/>
      <c r="R17" s="147"/>
      <c r="S17" s="147"/>
      <c r="T17" s="147"/>
      <c r="U17" s="147"/>
      <c r="V17" s="147"/>
      <c r="W17" s="147"/>
      <c r="X17" s="147"/>
      <c r="Y17" s="147"/>
      <c r="Z17" s="147"/>
      <c r="AA17" s="147"/>
      <c r="AB17" s="147"/>
      <c r="AC17" s="147"/>
      <c r="AD17" s="147"/>
      <c r="AE17" s="147"/>
      <c r="AF17" s="147"/>
      <c r="AG17" s="147"/>
      <c r="AH17" s="147"/>
      <c r="AI17" s="147"/>
      <c r="AJ17" s="147"/>
      <c r="AK17" s="147"/>
      <c r="AL17" s="147"/>
      <c r="AM17" s="147"/>
      <c r="AN17" s="147"/>
      <c r="AO17" s="147"/>
      <c r="AP17" s="147"/>
      <c r="AQ17" s="147"/>
      <c r="AR17" s="147"/>
      <c r="AS17" s="147"/>
      <c r="AT17" s="147"/>
      <c r="AU17" s="147"/>
      <c r="AV17" s="147"/>
      <c r="AW17" s="147"/>
      <c r="AX17" s="147"/>
      <c r="AY17" s="147"/>
      <c r="AZ17" s="147"/>
      <c r="BA17" s="147"/>
      <c r="BB17" s="147"/>
      <c r="BC17" s="147"/>
      <c r="BD17" s="147"/>
      <c r="BE17" s="147"/>
      <c r="BF17" s="147"/>
      <c r="BG17" s="147"/>
      <c r="BH17" s="147"/>
      <c r="BI17" s="147"/>
      <c r="BJ17" s="147"/>
      <c r="BK17" s="147"/>
      <c r="BL17" s="147"/>
      <c r="BM17" s="147"/>
      <c r="BN17" s="147"/>
      <c r="BO17" s="147"/>
      <c r="BP17" s="147"/>
      <c r="BQ17" s="147"/>
      <c r="BR17" s="147"/>
      <c r="BS17" s="147"/>
      <c r="BT17" s="147"/>
      <c r="BU17" s="147"/>
      <c r="BV17" s="147"/>
      <c r="BW17" s="147"/>
      <c r="BX17" s="147"/>
      <c r="BY17" s="147"/>
      <c r="BZ17" s="147"/>
      <c r="CA17" s="147"/>
      <c r="CB17" s="147"/>
      <c r="CC17" s="147"/>
      <c r="CD17" s="147"/>
      <c r="CE17" s="147"/>
      <c r="CF17" s="147"/>
      <c r="CG17" s="147"/>
      <c r="CH17" s="147"/>
      <c r="CI17" s="147"/>
      <c r="CJ17" s="147"/>
      <c r="CK17" s="147"/>
      <c r="CL17" s="147"/>
      <c r="CM17" s="147"/>
      <c r="CN17" s="147"/>
      <c r="CO17" s="147"/>
      <c r="CP17" s="147"/>
      <c r="CQ17" s="147"/>
      <c r="CR17" s="147"/>
      <c r="CS17" s="147"/>
      <c r="CT17" s="147"/>
      <c r="CU17" s="147"/>
      <c r="CV17" s="147"/>
      <c r="CW17" s="147"/>
      <c r="CX17" s="147"/>
      <c r="CY17" s="147"/>
      <c r="CZ17" s="147"/>
      <c r="DA17" s="147"/>
      <c r="DB17" s="147"/>
      <c r="DC17" s="147"/>
      <c r="DD17" s="147"/>
      <c r="DE17" s="147"/>
      <c r="DF17" s="147"/>
      <c r="DG17" s="147"/>
      <c r="DH17" s="147"/>
      <c r="DI17" s="147"/>
      <c r="DJ17" s="147"/>
      <c r="DK17" s="147"/>
      <c r="DL17" s="147"/>
      <c r="DM17" s="147"/>
      <c r="DN17" s="147"/>
      <c r="DO17" s="147"/>
      <c r="DP17" s="147"/>
      <c r="DQ17" s="147"/>
      <c r="DR17" s="147"/>
      <c r="DS17" s="147"/>
      <c r="DT17" s="147"/>
      <c r="DU17" s="147"/>
      <c r="DV17" s="147"/>
      <c r="DW17" s="147"/>
      <c r="DX17" s="147"/>
      <c r="DY17" s="147"/>
      <c r="DZ17" s="147"/>
      <c r="EA17" s="147"/>
      <c r="EB17" s="147"/>
      <c r="EC17" s="147"/>
      <c r="ED17" s="147"/>
      <c r="EE17" s="147"/>
      <c r="EF17" s="147"/>
      <c r="EG17" s="147"/>
      <c r="EH17" s="147"/>
      <c r="EI17" s="147"/>
      <c r="EJ17" s="147"/>
      <c r="EK17" s="147"/>
      <c r="EL17" s="147"/>
      <c r="EM17" s="147"/>
      <c r="EN17" s="147"/>
      <c r="EO17" s="147"/>
      <c r="EP17" s="147"/>
      <c r="EQ17" s="147"/>
      <c r="ER17" s="147"/>
      <c r="ES17" s="147"/>
      <c r="ET17" s="147"/>
      <c r="EU17" s="147"/>
      <c r="EV17" s="147"/>
      <c r="EW17" s="147"/>
      <c r="EX17" s="147"/>
      <c r="EY17" s="147"/>
      <c r="EZ17" s="147"/>
      <c r="FA17" s="147"/>
      <c r="FB17" s="147"/>
      <c r="FC17" s="147"/>
      <c r="FD17" s="147"/>
      <c r="FE17" s="147"/>
      <c r="FF17" s="147"/>
      <c r="FG17" s="147"/>
      <c r="FH17" s="147"/>
      <c r="FI17" s="147"/>
      <c r="FJ17" s="147"/>
      <c r="FK17" s="147"/>
      <c r="FL17" s="147"/>
      <c r="FM17" s="147"/>
      <c r="FN17" s="147"/>
      <c r="FO17" s="147"/>
      <c r="FP17" s="147"/>
      <c r="FQ17" s="147"/>
      <c r="FR17" s="147"/>
      <c r="FS17" s="147"/>
      <c r="FT17" s="147"/>
      <c r="FU17" s="147"/>
      <c r="FV17" s="147"/>
      <c r="FW17" s="147"/>
      <c r="FX17" s="147"/>
      <c r="FY17" s="147"/>
      <c r="FZ17" s="147"/>
      <c r="GA17" s="147"/>
      <c r="GB17" s="147"/>
      <c r="GC17" s="147"/>
      <c r="GD17" s="147"/>
      <c r="GE17" s="147"/>
      <c r="GF17" s="147"/>
      <c r="GG17" s="147"/>
      <c r="GH17" s="147"/>
      <c r="GI17" s="147"/>
      <c r="GJ17" s="147"/>
      <c r="GK17" s="147"/>
      <c r="GL17" s="147"/>
      <c r="GM17" s="147"/>
      <c r="GN17" s="147"/>
      <c r="GO17" s="147"/>
      <c r="GP17" s="147"/>
      <c r="GQ17" s="147"/>
      <c r="GR17" s="147"/>
      <c r="GS17" s="147"/>
      <c r="GT17" s="147"/>
      <c r="GU17" s="147"/>
      <c r="GV17" s="147"/>
      <c r="GW17" s="147"/>
      <c r="GX17" s="147"/>
      <c r="GY17" s="147"/>
      <c r="GZ17" s="147"/>
      <c r="HA17" s="147"/>
      <c r="HB17" s="147"/>
      <c r="HC17" s="147"/>
      <c r="HD17" s="147"/>
      <c r="HE17" s="147"/>
      <c r="HF17" s="147"/>
      <c r="HG17" s="147"/>
      <c r="HH17" s="147"/>
      <c r="HI17" s="147"/>
      <c r="HJ17" s="147"/>
      <c r="HK17" s="147"/>
      <c r="HL17" s="147"/>
      <c r="HM17" s="147"/>
      <c r="HN17" s="147"/>
      <c r="HO17" s="147"/>
      <c r="HP17" s="147"/>
      <c r="HQ17" s="147"/>
      <c r="HR17" s="147"/>
      <c r="HS17" s="147"/>
      <c r="HT17" s="147"/>
      <c r="HU17" s="147"/>
      <c r="HV17" s="147"/>
      <c r="HW17" s="147"/>
      <c r="HX17" s="147"/>
      <c r="HY17" s="147"/>
      <c r="HZ17" s="147"/>
      <c r="IA17" s="147"/>
      <c r="IB17" s="147"/>
      <c r="IC17" s="147"/>
      <c r="ID17" s="147"/>
      <c r="IE17" s="147"/>
      <c r="IF17" s="147"/>
      <c r="IG17" s="147"/>
      <c r="IH17" s="147"/>
      <c r="II17" s="147"/>
      <c r="IJ17" s="147"/>
      <c r="IK17" s="147"/>
      <c r="IL17" s="147"/>
      <c r="IM17" s="147"/>
      <c r="IN17" s="147"/>
      <c r="IO17" s="147"/>
      <c r="IP17" s="147"/>
      <c r="IQ17" s="147"/>
      <c r="IR17" s="147"/>
      <c r="IS17" s="147"/>
      <c r="IT17" s="147"/>
      <c r="IU17" s="147"/>
      <c r="IV17" s="147"/>
      <c r="IW17" s="147"/>
      <c r="IX17" s="147"/>
    </row>
    <row r="18" spans="1:258" ht="24" customHeight="1" x14ac:dyDescent="0.25">
      <c r="A18" s="77">
        <f t="shared" si="0"/>
        <v>11</v>
      </c>
      <c r="B18" s="73">
        <v>0.45833333333333298</v>
      </c>
      <c r="C18" s="213" t="s">
        <v>593</v>
      </c>
      <c r="D18" s="147"/>
      <c r="E18" s="147"/>
      <c r="F18" s="147"/>
      <c r="G18" s="147"/>
      <c r="H18" s="147"/>
      <c r="I18" s="147"/>
      <c r="J18" s="147"/>
      <c r="K18" s="147"/>
      <c r="L18" s="60"/>
      <c r="M18" s="147"/>
      <c r="N18" s="147"/>
      <c r="O18" s="147"/>
      <c r="P18" s="147"/>
      <c r="Q18" s="147"/>
      <c r="R18" s="147"/>
      <c r="S18" s="147"/>
      <c r="T18" s="147"/>
      <c r="U18" s="147"/>
      <c r="V18" s="147"/>
      <c r="W18" s="147"/>
      <c r="X18" s="147"/>
      <c r="Y18" s="147"/>
      <c r="Z18" s="147"/>
      <c r="AA18" s="147"/>
      <c r="AB18" s="147"/>
      <c r="AC18" s="147"/>
      <c r="AD18" s="147"/>
      <c r="AE18" s="147"/>
      <c r="AF18" s="147"/>
      <c r="AG18" s="147"/>
      <c r="AH18" s="147"/>
      <c r="AI18" s="147"/>
      <c r="AJ18" s="147"/>
      <c r="AK18" s="147"/>
      <c r="AL18" s="147"/>
      <c r="AM18" s="147"/>
      <c r="AN18" s="147"/>
      <c r="AO18" s="147"/>
      <c r="AP18" s="147"/>
      <c r="AQ18" s="147"/>
      <c r="AR18" s="147"/>
      <c r="AS18" s="147"/>
      <c r="AT18" s="147"/>
      <c r="AU18" s="147"/>
      <c r="AV18" s="147"/>
      <c r="AW18" s="147"/>
      <c r="AX18" s="147"/>
      <c r="AY18" s="147"/>
      <c r="AZ18" s="147"/>
      <c r="BA18" s="147"/>
      <c r="BB18" s="147"/>
      <c r="BC18" s="147"/>
      <c r="BD18" s="147"/>
      <c r="BE18" s="147"/>
      <c r="BF18" s="147"/>
      <c r="BG18" s="147"/>
      <c r="BH18" s="147"/>
      <c r="BI18" s="147"/>
      <c r="BJ18" s="147"/>
      <c r="BK18" s="147"/>
      <c r="BL18" s="147"/>
      <c r="BM18" s="147"/>
      <c r="BN18" s="147"/>
      <c r="BO18" s="147"/>
      <c r="BP18" s="147"/>
      <c r="BQ18" s="147"/>
      <c r="BR18" s="147"/>
      <c r="BS18" s="147"/>
      <c r="BT18" s="147"/>
      <c r="BU18" s="147"/>
      <c r="BV18" s="147"/>
      <c r="BW18" s="147"/>
      <c r="BX18" s="147"/>
      <c r="BY18" s="147"/>
      <c r="BZ18" s="147"/>
      <c r="CA18" s="147"/>
      <c r="CB18" s="147"/>
      <c r="CC18" s="147"/>
      <c r="CD18" s="147"/>
      <c r="CE18" s="147"/>
      <c r="CF18" s="147"/>
      <c r="CG18" s="147"/>
      <c r="CH18" s="147"/>
      <c r="CI18" s="147"/>
      <c r="CJ18" s="147"/>
      <c r="CK18" s="147"/>
      <c r="CL18" s="147"/>
      <c r="CM18" s="147"/>
      <c r="CN18" s="147"/>
      <c r="CO18" s="147"/>
      <c r="CP18" s="147"/>
      <c r="CQ18" s="147"/>
      <c r="CR18" s="147"/>
      <c r="CS18" s="147"/>
      <c r="CT18" s="147"/>
      <c r="CU18" s="147"/>
      <c r="CV18" s="147"/>
      <c r="CW18" s="147"/>
      <c r="CX18" s="147"/>
      <c r="CY18" s="147"/>
      <c r="CZ18" s="147"/>
      <c r="DA18" s="147"/>
      <c r="DB18" s="147"/>
      <c r="DC18" s="147"/>
      <c r="DD18" s="147"/>
      <c r="DE18" s="147"/>
      <c r="DF18" s="147"/>
      <c r="DG18" s="147"/>
      <c r="DH18" s="147"/>
      <c r="DI18" s="147"/>
      <c r="DJ18" s="147"/>
      <c r="DK18" s="147"/>
      <c r="DL18" s="147"/>
      <c r="DM18" s="147"/>
      <c r="DN18" s="147"/>
      <c r="DO18" s="147"/>
      <c r="DP18" s="147"/>
      <c r="DQ18" s="147"/>
      <c r="DR18" s="147"/>
      <c r="DS18" s="147"/>
      <c r="DT18" s="147"/>
      <c r="DU18" s="147"/>
      <c r="DV18" s="147"/>
      <c r="DW18" s="147"/>
      <c r="DX18" s="147"/>
      <c r="DY18" s="147"/>
      <c r="DZ18" s="147"/>
      <c r="EA18" s="147"/>
      <c r="EB18" s="147"/>
      <c r="EC18" s="147"/>
      <c r="ED18" s="147"/>
      <c r="EE18" s="147"/>
      <c r="EF18" s="147"/>
      <c r="EG18" s="147"/>
      <c r="EH18" s="147"/>
      <c r="EI18" s="147"/>
      <c r="EJ18" s="147"/>
      <c r="EK18" s="147"/>
      <c r="EL18" s="147"/>
      <c r="EM18" s="147"/>
      <c r="EN18" s="147"/>
      <c r="EO18" s="147"/>
      <c r="EP18" s="147"/>
      <c r="EQ18" s="147"/>
      <c r="ER18" s="147"/>
      <c r="ES18" s="147"/>
      <c r="ET18" s="147"/>
      <c r="EU18" s="147"/>
      <c r="EV18" s="147"/>
      <c r="EW18" s="147"/>
      <c r="EX18" s="147"/>
      <c r="EY18" s="147"/>
      <c r="EZ18" s="147"/>
      <c r="FA18" s="147"/>
      <c r="FB18" s="147"/>
      <c r="FC18" s="147"/>
      <c r="FD18" s="147"/>
      <c r="FE18" s="147"/>
      <c r="FF18" s="147"/>
      <c r="FG18" s="147"/>
      <c r="FH18" s="147"/>
      <c r="FI18" s="147"/>
      <c r="FJ18" s="147"/>
      <c r="FK18" s="147"/>
      <c r="FL18" s="147"/>
      <c r="FM18" s="147"/>
      <c r="FN18" s="147"/>
      <c r="FO18" s="147"/>
      <c r="FP18" s="147"/>
      <c r="FQ18" s="147"/>
      <c r="FR18" s="147"/>
      <c r="FS18" s="147"/>
      <c r="FT18" s="147"/>
      <c r="FU18" s="147"/>
      <c r="FV18" s="147"/>
      <c r="FW18" s="147"/>
      <c r="FX18" s="147"/>
      <c r="FY18" s="147"/>
      <c r="FZ18" s="147"/>
      <c r="GA18" s="147"/>
      <c r="GB18" s="147"/>
      <c r="GC18" s="147"/>
      <c r="GD18" s="147"/>
      <c r="GE18" s="147"/>
      <c r="GF18" s="147"/>
      <c r="GG18" s="147"/>
      <c r="GH18" s="147"/>
      <c r="GI18" s="147"/>
      <c r="GJ18" s="147"/>
      <c r="GK18" s="147"/>
      <c r="GL18" s="147"/>
      <c r="GM18" s="147"/>
      <c r="GN18" s="147"/>
      <c r="GO18" s="147"/>
      <c r="GP18" s="147"/>
      <c r="GQ18" s="147"/>
      <c r="GR18" s="147"/>
      <c r="GS18" s="147"/>
      <c r="GT18" s="147"/>
      <c r="GU18" s="147"/>
      <c r="GV18" s="147"/>
      <c r="GW18" s="147"/>
      <c r="GX18" s="147"/>
      <c r="GY18" s="147"/>
      <c r="GZ18" s="147"/>
      <c r="HA18" s="147"/>
      <c r="HB18" s="147"/>
      <c r="HC18" s="147"/>
      <c r="HD18" s="147"/>
      <c r="HE18" s="147"/>
      <c r="HF18" s="147"/>
      <c r="HG18" s="147"/>
      <c r="HH18" s="147"/>
      <c r="HI18" s="147"/>
      <c r="HJ18" s="147"/>
      <c r="HK18" s="147"/>
      <c r="HL18" s="147"/>
      <c r="HM18" s="147"/>
      <c r="HN18" s="147"/>
      <c r="HO18" s="147"/>
      <c r="HP18" s="147"/>
      <c r="HQ18" s="147"/>
      <c r="HR18" s="147"/>
      <c r="HS18" s="147"/>
      <c r="HT18" s="147"/>
      <c r="HU18" s="147"/>
      <c r="HV18" s="147"/>
      <c r="HW18" s="147"/>
      <c r="HX18" s="147"/>
      <c r="HY18" s="147"/>
      <c r="HZ18" s="147"/>
      <c r="IA18" s="147"/>
      <c r="IB18" s="147"/>
      <c r="IC18" s="147"/>
      <c r="ID18" s="147"/>
      <c r="IE18" s="147"/>
      <c r="IF18" s="147"/>
      <c r="IG18" s="147"/>
      <c r="IH18" s="147"/>
      <c r="II18" s="147"/>
      <c r="IJ18" s="147"/>
      <c r="IK18" s="147"/>
      <c r="IL18" s="147"/>
      <c r="IM18" s="147"/>
      <c r="IN18" s="147"/>
      <c r="IO18" s="147"/>
      <c r="IP18" s="147"/>
      <c r="IQ18" s="147"/>
      <c r="IR18" s="147"/>
      <c r="IS18" s="147"/>
      <c r="IT18" s="147"/>
      <c r="IU18" s="147"/>
      <c r="IV18" s="147"/>
      <c r="IW18" s="147"/>
      <c r="IX18" s="147"/>
    </row>
    <row r="19" spans="1:258" ht="20.100000000000001" customHeight="1" x14ac:dyDescent="0.25">
      <c r="A19" s="77">
        <f t="shared" si="0"/>
        <v>12</v>
      </c>
      <c r="B19" s="73">
        <v>0.5</v>
      </c>
      <c r="C19" s="214" t="s">
        <v>587</v>
      </c>
      <c r="D19" s="147"/>
      <c r="E19" s="147"/>
      <c r="F19" s="147"/>
      <c r="G19" s="147"/>
      <c r="H19" s="147"/>
      <c r="I19" s="147"/>
      <c r="J19" s="147"/>
      <c r="K19" s="147"/>
      <c r="L19" s="60"/>
      <c r="M19" s="147"/>
      <c r="N19" s="147"/>
      <c r="O19" s="147"/>
      <c r="P19" s="147"/>
      <c r="Q19" s="147"/>
      <c r="R19" s="147"/>
      <c r="S19" s="147"/>
      <c r="T19" s="147"/>
      <c r="U19" s="147"/>
      <c r="V19" s="147"/>
      <c r="W19" s="147"/>
      <c r="X19" s="147"/>
      <c r="Y19" s="147"/>
      <c r="Z19" s="147"/>
      <c r="AA19" s="147"/>
      <c r="AB19" s="147"/>
      <c r="AC19" s="147"/>
      <c r="AD19" s="147"/>
      <c r="AE19" s="147"/>
      <c r="AF19" s="147"/>
      <c r="AG19" s="147"/>
      <c r="AH19" s="147"/>
      <c r="AI19" s="147"/>
      <c r="AJ19" s="147"/>
      <c r="AK19" s="147"/>
      <c r="AL19" s="147"/>
      <c r="AM19" s="147"/>
      <c r="AN19" s="147"/>
      <c r="AO19" s="147"/>
      <c r="AP19" s="147"/>
      <c r="AQ19" s="147"/>
      <c r="AR19" s="147"/>
      <c r="AS19" s="147"/>
      <c r="AT19" s="147"/>
      <c r="AU19" s="147"/>
      <c r="AV19" s="147"/>
      <c r="AW19" s="147"/>
      <c r="AX19" s="147"/>
      <c r="AY19" s="147"/>
      <c r="AZ19" s="147"/>
      <c r="BA19" s="147"/>
      <c r="BB19" s="147"/>
      <c r="BC19" s="147"/>
      <c r="BD19" s="147"/>
      <c r="BE19" s="147"/>
      <c r="BF19" s="147"/>
      <c r="BG19" s="147"/>
      <c r="BH19" s="147"/>
      <c r="BI19" s="147"/>
      <c r="BJ19" s="147"/>
      <c r="BK19" s="147"/>
      <c r="BL19" s="147"/>
      <c r="BM19" s="147"/>
      <c r="BN19" s="147"/>
      <c r="BO19" s="147"/>
      <c r="BP19" s="147"/>
      <c r="BQ19" s="147"/>
      <c r="BR19" s="147"/>
      <c r="BS19" s="147"/>
      <c r="BT19" s="147"/>
      <c r="BU19" s="147"/>
      <c r="BV19" s="147"/>
      <c r="BW19" s="147"/>
      <c r="BX19" s="147"/>
      <c r="BY19" s="147"/>
      <c r="BZ19" s="147"/>
      <c r="CA19" s="147"/>
      <c r="CB19" s="147"/>
      <c r="CC19" s="147"/>
      <c r="CD19" s="147"/>
      <c r="CE19" s="147"/>
      <c r="CF19" s="147"/>
      <c r="CG19" s="147"/>
      <c r="CH19" s="147"/>
      <c r="CI19" s="147"/>
      <c r="CJ19" s="147"/>
      <c r="CK19" s="147"/>
      <c r="CL19" s="147"/>
      <c r="CM19" s="147"/>
      <c r="CN19" s="147"/>
      <c r="CO19" s="147"/>
      <c r="CP19" s="147"/>
      <c r="CQ19" s="147"/>
      <c r="CR19" s="147"/>
      <c r="CS19" s="147"/>
      <c r="CT19" s="147"/>
      <c r="CU19" s="147"/>
      <c r="CV19" s="147"/>
      <c r="CW19" s="147"/>
      <c r="CX19" s="147"/>
      <c r="CY19" s="147"/>
      <c r="CZ19" s="147"/>
      <c r="DA19" s="147"/>
      <c r="DB19" s="147"/>
      <c r="DC19" s="147"/>
      <c r="DD19" s="147"/>
      <c r="DE19" s="147"/>
      <c r="DF19" s="147"/>
      <c r="DG19" s="147"/>
      <c r="DH19" s="147"/>
      <c r="DI19" s="147"/>
      <c r="DJ19" s="147"/>
      <c r="DK19" s="147"/>
      <c r="DL19" s="147"/>
      <c r="DM19" s="147"/>
      <c r="DN19" s="147"/>
      <c r="DO19" s="147"/>
      <c r="DP19" s="147"/>
      <c r="DQ19" s="147"/>
      <c r="DR19" s="147"/>
      <c r="DS19" s="147"/>
      <c r="DT19" s="147"/>
      <c r="DU19" s="147"/>
      <c r="DV19" s="147"/>
      <c r="DW19" s="147"/>
      <c r="DX19" s="147"/>
      <c r="DY19" s="147"/>
      <c r="DZ19" s="147"/>
      <c r="EA19" s="147"/>
      <c r="EB19" s="147"/>
      <c r="EC19" s="147"/>
      <c r="ED19" s="147"/>
      <c r="EE19" s="147"/>
      <c r="EF19" s="147"/>
      <c r="EG19" s="147"/>
      <c r="EH19" s="147"/>
      <c r="EI19" s="147"/>
      <c r="EJ19" s="147"/>
      <c r="EK19" s="147"/>
      <c r="EL19" s="147"/>
      <c r="EM19" s="147"/>
      <c r="EN19" s="147"/>
      <c r="EO19" s="147"/>
      <c r="EP19" s="147"/>
      <c r="EQ19" s="147"/>
      <c r="ER19" s="147"/>
      <c r="ES19" s="147"/>
      <c r="ET19" s="147"/>
      <c r="EU19" s="147"/>
      <c r="EV19" s="147"/>
      <c r="EW19" s="147"/>
      <c r="EX19" s="147"/>
      <c r="EY19" s="147"/>
      <c r="EZ19" s="147"/>
      <c r="FA19" s="147"/>
      <c r="FB19" s="147"/>
      <c r="FC19" s="147"/>
      <c r="FD19" s="147"/>
      <c r="FE19" s="147"/>
      <c r="FF19" s="147"/>
      <c r="FG19" s="147"/>
      <c r="FH19" s="147"/>
      <c r="FI19" s="147"/>
      <c r="FJ19" s="147"/>
      <c r="FK19" s="147"/>
      <c r="FL19" s="147"/>
      <c r="FM19" s="147"/>
      <c r="FN19" s="147"/>
      <c r="FO19" s="147"/>
      <c r="FP19" s="147"/>
      <c r="FQ19" s="147"/>
      <c r="FR19" s="147"/>
      <c r="FS19" s="147"/>
      <c r="FT19" s="147"/>
      <c r="FU19" s="147"/>
      <c r="FV19" s="147"/>
      <c r="FW19" s="147"/>
      <c r="FX19" s="147"/>
      <c r="FY19" s="147"/>
      <c r="FZ19" s="147"/>
      <c r="GA19" s="147"/>
      <c r="GB19" s="147"/>
      <c r="GC19" s="147"/>
      <c r="GD19" s="147"/>
      <c r="GE19" s="147"/>
      <c r="GF19" s="147"/>
      <c r="GG19" s="147"/>
      <c r="GH19" s="147"/>
      <c r="GI19" s="147"/>
      <c r="GJ19" s="147"/>
      <c r="GK19" s="147"/>
      <c r="GL19" s="147"/>
      <c r="GM19" s="147"/>
      <c r="GN19" s="147"/>
      <c r="GO19" s="147"/>
      <c r="GP19" s="147"/>
      <c r="GQ19" s="147"/>
      <c r="GR19" s="147"/>
      <c r="GS19" s="147"/>
      <c r="GT19" s="147"/>
      <c r="GU19" s="147"/>
      <c r="GV19" s="147"/>
      <c r="GW19" s="147"/>
      <c r="GX19" s="147"/>
      <c r="GY19" s="147"/>
      <c r="GZ19" s="147"/>
      <c r="HA19" s="147"/>
      <c r="HB19" s="147"/>
      <c r="HC19" s="147"/>
      <c r="HD19" s="147"/>
      <c r="HE19" s="147"/>
      <c r="HF19" s="147"/>
      <c r="HG19" s="147"/>
      <c r="HH19" s="147"/>
      <c r="HI19" s="147"/>
      <c r="HJ19" s="147"/>
      <c r="HK19" s="147"/>
      <c r="HL19" s="147"/>
      <c r="HM19" s="147"/>
      <c r="HN19" s="147"/>
      <c r="HO19" s="147"/>
      <c r="HP19" s="147"/>
      <c r="HQ19" s="147"/>
      <c r="HR19" s="147"/>
      <c r="HS19" s="147"/>
      <c r="HT19" s="147"/>
      <c r="HU19" s="147"/>
      <c r="HV19" s="147"/>
      <c r="HW19" s="147"/>
      <c r="HX19" s="147"/>
      <c r="HY19" s="147"/>
      <c r="HZ19" s="147"/>
      <c r="IA19" s="147"/>
      <c r="IB19" s="147"/>
      <c r="IC19" s="147"/>
      <c r="ID19" s="147"/>
      <c r="IE19" s="147"/>
      <c r="IF19" s="147"/>
      <c r="IG19" s="147"/>
      <c r="IH19" s="147"/>
      <c r="II19" s="147"/>
      <c r="IJ19" s="147"/>
      <c r="IK19" s="147"/>
      <c r="IL19" s="147"/>
      <c r="IM19" s="147"/>
      <c r="IN19" s="147"/>
      <c r="IO19" s="147"/>
      <c r="IP19" s="147"/>
      <c r="IQ19" s="147"/>
      <c r="IR19" s="147"/>
      <c r="IS19" s="147"/>
      <c r="IT19" s="147"/>
      <c r="IU19" s="147"/>
      <c r="IV19" s="147"/>
      <c r="IW19" s="147"/>
      <c r="IX19" s="147"/>
    </row>
    <row r="20" spans="1:258" ht="15.75" customHeight="1" x14ac:dyDescent="0.25">
      <c r="A20" s="77">
        <f t="shared" si="0"/>
        <v>13</v>
      </c>
      <c r="B20" s="73">
        <v>0.54166666666666696</v>
      </c>
      <c r="C20" s="212" t="s">
        <v>607</v>
      </c>
      <c r="D20" s="147"/>
      <c r="E20" s="147"/>
      <c r="F20" s="147"/>
      <c r="G20" s="147"/>
      <c r="H20" s="147"/>
      <c r="I20" s="147"/>
      <c r="J20" s="147"/>
      <c r="K20" s="147"/>
      <c r="L20" s="60"/>
      <c r="M20" s="147"/>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147"/>
      <c r="BU20" s="147"/>
      <c r="BV20" s="147"/>
      <c r="BW20" s="147"/>
      <c r="BX20" s="147"/>
      <c r="BY20" s="147"/>
      <c r="BZ20" s="147"/>
      <c r="CA20" s="147"/>
      <c r="CB20" s="147"/>
      <c r="CC20" s="147"/>
      <c r="CD20" s="147"/>
      <c r="CE20" s="147"/>
      <c r="CF20" s="147"/>
      <c r="CG20" s="147"/>
      <c r="CH20" s="147"/>
      <c r="CI20" s="147"/>
      <c r="CJ20" s="147"/>
      <c r="CK20" s="147"/>
      <c r="CL20" s="147"/>
      <c r="CM20" s="147"/>
      <c r="CN20" s="147"/>
      <c r="CO20" s="147"/>
      <c r="CP20" s="147"/>
      <c r="CQ20" s="147"/>
      <c r="CR20" s="147"/>
      <c r="CS20" s="147"/>
      <c r="CT20" s="147"/>
      <c r="CU20" s="147"/>
      <c r="CV20" s="147"/>
      <c r="CW20" s="147"/>
      <c r="CX20" s="147"/>
      <c r="CY20" s="147"/>
      <c r="CZ20" s="147"/>
      <c r="DA20" s="147"/>
      <c r="DB20" s="147"/>
      <c r="DC20" s="147"/>
      <c r="DD20" s="147"/>
      <c r="DE20" s="147"/>
      <c r="DF20" s="147"/>
      <c r="DG20" s="147"/>
      <c r="DH20" s="147"/>
      <c r="DI20" s="147"/>
      <c r="DJ20" s="147"/>
      <c r="DK20" s="147"/>
      <c r="DL20" s="147"/>
      <c r="DM20" s="147"/>
      <c r="DN20" s="147"/>
      <c r="DO20" s="147"/>
      <c r="DP20" s="147"/>
      <c r="DQ20" s="147"/>
      <c r="DR20" s="147"/>
      <c r="DS20" s="147"/>
      <c r="DT20" s="147"/>
      <c r="DU20" s="147"/>
      <c r="DV20" s="147"/>
      <c r="DW20" s="147"/>
      <c r="DX20" s="147"/>
      <c r="DY20" s="147"/>
      <c r="DZ20" s="147"/>
      <c r="EA20" s="147"/>
      <c r="EB20" s="147"/>
      <c r="EC20" s="147"/>
      <c r="ED20" s="147"/>
      <c r="EE20" s="147"/>
      <c r="EF20" s="147"/>
      <c r="EG20" s="147"/>
      <c r="EH20" s="147"/>
      <c r="EI20" s="147"/>
      <c r="EJ20" s="147"/>
      <c r="EK20" s="147"/>
      <c r="EL20" s="147"/>
      <c r="EM20" s="147"/>
      <c r="EN20" s="147"/>
      <c r="EO20" s="147"/>
      <c r="EP20" s="147"/>
      <c r="EQ20" s="147"/>
      <c r="ER20" s="147"/>
      <c r="ES20" s="147"/>
      <c r="ET20" s="147"/>
      <c r="EU20" s="147"/>
      <c r="EV20" s="147"/>
      <c r="EW20" s="147"/>
      <c r="EX20" s="147"/>
      <c r="EY20" s="147"/>
      <c r="EZ20" s="147"/>
      <c r="FA20" s="147"/>
      <c r="FB20" s="147"/>
      <c r="FC20" s="147"/>
      <c r="FD20" s="147"/>
      <c r="FE20" s="147"/>
      <c r="FF20" s="147"/>
      <c r="FG20" s="147"/>
      <c r="FH20" s="147"/>
      <c r="FI20" s="147"/>
      <c r="FJ20" s="147"/>
      <c r="FK20" s="147"/>
      <c r="FL20" s="147"/>
      <c r="FM20" s="147"/>
      <c r="FN20" s="147"/>
      <c r="FO20" s="147"/>
      <c r="FP20" s="147"/>
      <c r="FQ20" s="147"/>
      <c r="FR20" s="147"/>
      <c r="FS20" s="147"/>
      <c r="FT20" s="147"/>
      <c r="FU20" s="147"/>
      <c r="FV20" s="147"/>
      <c r="FW20" s="147"/>
      <c r="FX20" s="147"/>
      <c r="FY20" s="147"/>
      <c r="FZ20" s="147"/>
      <c r="GA20" s="147"/>
      <c r="GB20" s="147"/>
      <c r="GC20" s="147"/>
      <c r="GD20" s="147"/>
      <c r="GE20" s="147"/>
      <c r="GF20" s="147"/>
      <c r="GG20" s="147"/>
      <c r="GH20" s="147"/>
      <c r="GI20" s="147"/>
      <c r="GJ20" s="147"/>
      <c r="GK20" s="147"/>
      <c r="GL20" s="147"/>
      <c r="GM20" s="147"/>
      <c r="GN20" s="147"/>
      <c r="GO20" s="147"/>
      <c r="GP20" s="147"/>
      <c r="GQ20" s="147"/>
      <c r="GR20" s="147"/>
      <c r="GS20" s="147"/>
      <c r="GT20" s="147"/>
      <c r="GU20" s="147"/>
      <c r="GV20" s="147"/>
      <c r="GW20" s="147"/>
      <c r="GX20" s="147"/>
      <c r="GY20" s="147"/>
      <c r="GZ20" s="147"/>
      <c r="HA20" s="147"/>
      <c r="HB20" s="147"/>
      <c r="HC20" s="147"/>
      <c r="HD20" s="147"/>
      <c r="HE20" s="147"/>
      <c r="HF20" s="147"/>
      <c r="HG20" s="147"/>
      <c r="HH20" s="147"/>
      <c r="HI20" s="147"/>
      <c r="HJ20" s="147"/>
      <c r="HK20" s="147"/>
      <c r="HL20" s="147"/>
      <c r="HM20" s="147"/>
      <c r="HN20" s="147"/>
      <c r="HO20" s="147"/>
      <c r="HP20" s="147"/>
      <c r="HQ20" s="147"/>
      <c r="HR20" s="147"/>
      <c r="HS20" s="147"/>
      <c r="HT20" s="147"/>
      <c r="HU20" s="147"/>
      <c r="HV20" s="147"/>
      <c r="HW20" s="147"/>
      <c r="HX20" s="147"/>
      <c r="HY20" s="147"/>
      <c r="HZ20" s="147"/>
      <c r="IA20" s="147"/>
      <c r="IB20" s="147"/>
      <c r="IC20" s="147"/>
      <c r="ID20" s="147"/>
      <c r="IE20" s="147"/>
      <c r="IF20" s="147"/>
      <c r="IG20" s="147"/>
      <c r="IH20" s="147"/>
      <c r="II20" s="147"/>
      <c r="IJ20" s="147"/>
      <c r="IK20" s="147"/>
      <c r="IL20" s="147"/>
      <c r="IM20" s="147"/>
      <c r="IN20" s="147"/>
      <c r="IO20" s="147"/>
      <c r="IP20" s="147"/>
      <c r="IQ20" s="147"/>
      <c r="IR20" s="147"/>
      <c r="IS20" s="147"/>
      <c r="IT20" s="147"/>
      <c r="IU20" s="147"/>
      <c r="IV20" s="147"/>
      <c r="IW20" s="147"/>
      <c r="IX20" s="147"/>
    </row>
    <row r="21" spans="1:258" ht="20.100000000000001" customHeight="1" x14ac:dyDescent="0.25">
      <c r="A21" s="77">
        <f t="shared" si="0"/>
        <v>14</v>
      </c>
      <c r="B21" s="73">
        <v>0.58333333333333304</v>
      </c>
      <c r="C21" s="216" t="s">
        <v>594</v>
      </c>
      <c r="D21" s="147"/>
      <c r="E21" s="147"/>
      <c r="F21" s="147"/>
      <c r="G21" s="147"/>
      <c r="H21" s="147"/>
      <c r="I21" s="147"/>
      <c r="J21" s="147"/>
      <c r="K21" s="147"/>
      <c r="L21" s="60"/>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47"/>
      <c r="AK21" s="147"/>
      <c r="AL21" s="147"/>
      <c r="AM21" s="147"/>
      <c r="AN21" s="147"/>
      <c r="AO21" s="147"/>
      <c r="AP21" s="147"/>
      <c r="AQ21" s="147"/>
      <c r="AR21" s="147"/>
      <c r="AS21" s="147"/>
      <c r="AT21" s="147"/>
      <c r="AU21" s="147"/>
      <c r="AV21" s="147"/>
      <c r="AW21" s="147"/>
      <c r="AX21" s="147"/>
      <c r="AY21" s="147"/>
      <c r="AZ21" s="147"/>
      <c r="BA21" s="147"/>
      <c r="BB21" s="147"/>
      <c r="BC21" s="147"/>
      <c r="BD21" s="147"/>
      <c r="BE21" s="147"/>
      <c r="BF21" s="147"/>
      <c r="BG21" s="147"/>
      <c r="BH21" s="147"/>
      <c r="BI21" s="147"/>
      <c r="BJ21" s="147"/>
      <c r="BK21" s="147"/>
      <c r="BL21" s="147"/>
      <c r="BM21" s="147"/>
      <c r="BN21" s="147"/>
      <c r="BO21" s="147"/>
      <c r="BP21" s="147"/>
      <c r="BQ21" s="147"/>
      <c r="BR21" s="147"/>
      <c r="BS21" s="147"/>
      <c r="BT21" s="147"/>
      <c r="BU21" s="147"/>
      <c r="BV21" s="147"/>
      <c r="BW21" s="147"/>
      <c r="BX21" s="147"/>
      <c r="BY21" s="147"/>
      <c r="BZ21" s="147"/>
      <c r="CA21" s="147"/>
      <c r="CB21" s="147"/>
      <c r="CC21" s="147"/>
      <c r="CD21" s="147"/>
      <c r="CE21" s="147"/>
      <c r="CF21" s="147"/>
      <c r="CG21" s="147"/>
      <c r="CH21" s="147"/>
      <c r="CI21" s="147"/>
      <c r="CJ21" s="147"/>
      <c r="CK21" s="147"/>
      <c r="CL21" s="147"/>
      <c r="CM21" s="147"/>
      <c r="CN21" s="147"/>
      <c r="CO21" s="147"/>
      <c r="CP21" s="147"/>
      <c r="CQ21" s="147"/>
      <c r="CR21" s="147"/>
      <c r="CS21" s="147"/>
      <c r="CT21" s="147"/>
      <c r="CU21" s="147"/>
      <c r="CV21" s="147"/>
      <c r="CW21" s="147"/>
      <c r="CX21" s="147"/>
      <c r="CY21" s="147"/>
      <c r="CZ21" s="147"/>
      <c r="DA21" s="147"/>
      <c r="DB21" s="147"/>
      <c r="DC21" s="147"/>
      <c r="DD21" s="147"/>
      <c r="DE21" s="147"/>
      <c r="DF21" s="147"/>
      <c r="DG21" s="147"/>
      <c r="DH21" s="147"/>
      <c r="DI21" s="147"/>
      <c r="DJ21" s="147"/>
      <c r="DK21" s="147"/>
      <c r="DL21" s="147"/>
      <c r="DM21" s="147"/>
      <c r="DN21" s="147"/>
      <c r="DO21" s="147"/>
      <c r="DP21" s="147"/>
      <c r="DQ21" s="147"/>
      <c r="DR21" s="147"/>
      <c r="DS21" s="147"/>
      <c r="DT21" s="147"/>
      <c r="DU21" s="147"/>
      <c r="DV21" s="147"/>
      <c r="DW21" s="147"/>
      <c r="DX21" s="147"/>
      <c r="DY21" s="147"/>
      <c r="DZ21" s="147"/>
      <c r="EA21" s="147"/>
      <c r="EB21" s="147"/>
      <c r="EC21" s="147"/>
      <c r="ED21" s="147"/>
      <c r="EE21" s="147"/>
      <c r="EF21" s="147"/>
      <c r="EG21" s="147"/>
      <c r="EH21" s="147"/>
      <c r="EI21" s="147"/>
      <c r="EJ21" s="147"/>
      <c r="EK21" s="147"/>
      <c r="EL21" s="147"/>
      <c r="EM21" s="147"/>
      <c r="EN21" s="147"/>
      <c r="EO21" s="147"/>
      <c r="EP21" s="147"/>
      <c r="EQ21" s="147"/>
      <c r="ER21" s="147"/>
      <c r="ES21" s="147"/>
      <c r="ET21" s="147"/>
      <c r="EU21" s="147"/>
      <c r="EV21" s="147"/>
      <c r="EW21" s="147"/>
      <c r="EX21" s="147"/>
      <c r="EY21" s="147"/>
      <c r="EZ21" s="147"/>
      <c r="FA21" s="147"/>
      <c r="FB21" s="147"/>
      <c r="FC21" s="147"/>
      <c r="FD21" s="147"/>
      <c r="FE21" s="147"/>
      <c r="FF21" s="147"/>
      <c r="FG21" s="147"/>
      <c r="FH21" s="147"/>
      <c r="FI21" s="147"/>
      <c r="FJ21" s="147"/>
      <c r="FK21" s="147"/>
      <c r="FL21" s="147"/>
      <c r="FM21" s="147"/>
      <c r="FN21" s="147"/>
      <c r="FO21" s="147"/>
      <c r="FP21" s="147"/>
      <c r="FQ21" s="147"/>
      <c r="FR21" s="147"/>
      <c r="FS21" s="147"/>
      <c r="FT21" s="147"/>
      <c r="FU21" s="147"/>
      <c r="FV21" s="147"/>
      <c r="FW21" s="147"/>
      <c r="FX21" s="147"/>
      <c r="FY21" s="147"/>
      <c r="FZ21" s="147"/>
      <c r="GA21" s="147"/>
      <c r="GB21" s="147"/>
      <c r="GC21" s="147"/>
      <c r="GD21" s="147"/>
      <c r="GE21" s="147"/>
      <c r="GF21" s="147"/>
      <c r="GG21" s="147"/>
      <c r="GH21" s="147"/>
      <c r="GI21" s="147"/>
      <c r="GJ21" s="147"/>
      <c r="GK21" s="147"/>
      <c r="GL21" s="147"/>
      <c r="GM21" s="147"/>
      <c r="GN21" s="147"/>
      <c r="GO21" s="147"/>
      <c r="GP21" s="147"/>
      <c r="GQ21" s="147"/>
      <c r="GR21" s="147"/>
      <c r="GS21" s="147"/>
      <c r="GT21" s="147"/>
      <c r="GU21" s="147"/>
      <c r="GV21" s="147"/>
      <c r="GW21" s="147"/>
      <c r="GX21" s="147"/>
      <c r="GY21" s="147"/>
      <c r="GZ21" s="147"/>
      <c r="HA21" s="147"/>
      <c r="HB21" s="147"/>
      <c r="HC21" s="147"/>
      <c r="HD21" s="147"/>
      <c r="HE21" s="147"/>
      <c r="HF21" s="147"/>
      <c r="HG21" s="147"/>
      <c r="HH21" s="147"/>
      <c r="HI21" s="147"/>
      <c r="HJ21" s="147"/>
      <c r="HK21" s="147"/>
      <c r="HL21" s="147"/>
      <c r="HM21" s="147"/>
      <c r="HN21" s="147"/>
      <c r="HO21" s="147"/>
      <c r="HP21" s="147"/>
      <c r="HQ21" s="147"/>
      <c r="HR21" s="147"/>
      <c r="HS21" s="147"/>
      <c r="HT21" s="147"/>
      <c r="HU21" s="147"/>
      <c r="HV21" s="147"/>
      <c r="HW21" s="147"/>
      <c r="HX21" s="147"/>
      <c r="HY21" s="147"/>
      <c r="HZ21" s="147"/>
      <c r="IA21" s="147"/>
      <c r="IB21" s="147"/>
      <c r="IC21" s="147"/>
      <c r="ID21" s="147"/>
      <c r="IE21" s="147"/>
      <c r="IF21" s="147"/>
      <c r="IG21" s="147"/>
      <c r="IH21" s="147"/>
      <c r="II21" s="147"/>
      <c r="IJ21" s="147"/>
      <c r="IK21" s="147"/>
      <c r="IL21" s="147"/>
      <c r="IM21" s="147"/>
      <c r="IN21" s="147"/>
      <c r="IO21" s="147"/>
      <c r="IP21" s="147"/>
      <c r="IQ21" s="147"/>
      <c r="IR21" s="147"/>
      <c r="IS21" s="147"/>
      <c r="IT21" s="147"/>
      <c r="IU21" s="147"/>
      <c r="IV21" s="147"/>
      <c r="IW21" s="147"/>
      <c r="IX21" s="147"/>
    </row>
    <row r="22" spans="1:258" ht="20.100000000000001" customHeight="1" x14ac:dyDescent="0.25">
      <c r="A22" s="77">
        <f t="shared" si="0"/>
        <v>15</v>
      </c>
      <c r="B22" s="73">
        <v>0.625</v>
      </c>
      <c r="C22" s="216" t="s">
        <v>594</v>
      </c>
      <c r="D22" s="147"/>
      <c r="E22" s="147"/>
      <c r="F22" s="147"/>
      <c r="G22" s="147"/>
      <c r="H22" s="147"/>
      <c r="I22" s="147"/>
      <c r="J22" s="147"/>
      <c r="K22" s="147"/>
      <c r="L22" s="60"/>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47"/>
      <c r="BL22" s="147"/>
      <c r="BM22" s="147"/>
      <c r="BN22" s="147"/>
      <c r="BO22" s="147"/>
      <c r="BP22" s="147"/>
      <c r="BQ22" s="147"/>
      <c r="BR22" s="147"/>
      <c r="BS22" s="147"/>
      <c r="BT22" s="147"/>
      <c r="BU22" s="147"/>
      <c r="BV22" s="147"/>
      <c r="BW22" s="147"/>
      <c r="BX22" s="147"/>
      <c r="BY22" s="147"/>
      <c r="BZ22" s="147"/>
      <c r="CA22" s="147"/>
      <c r="CB22" s="147"/>
      <c r="CC22" s="147"/>
      <c r="CD22" s="147"/>
      <c r="CE22" s="147"/>
      <c r="CF22" s="147"/>
      <c r="CG22" s="147"/>
      <c r="CH22" s="147"/>
      <c r="CI22" s="147"/>
      <c r="CJ22" s="147"/>
      <c r="CK22" s="147"/>
      <c r="CL22" s="147"/>
      <c r="CM22" s="147"/>
      <c r="CN22" s="147"/>
      <c r="CO22" s="147"/>
      <c r="CP22" s="147"/>
      <c r="CQ22" s="147"/>
      <c r="CR22" s="147"/>
      <c r="CS22" s="147"/>
      <c r="CT22" s="147"/>
      <c r="CU22" s="147"/>
      <c r="CV22" s="147"/>
      <c r="CW22" s="147"/>
      <c r="CX22" s="147"/>
      <c r="CY22" s="147"/>
      <c r="CZ22" s="147"/>
      <c r="DA22" s="147"/>
      <c r="DB22" s="147"/>
      <c r="DC22" s="147"/>
      <c r="DD22" s="147"/>
      <c r="DE22" s="147"/>
      <c r="DF22" s="147"/>
      <c r="DG22" s="147"/>
      <c r="DH22" s="147"/>
      <c r="DI22" s="147"/>
      <c r="DJ22" s="147"/>
      <c r="DK22" s="147"/>
      <c r="DL22" s="147"/>
      <c r="DM22" s="147"/>
      <c r="DN22" s="147"/>
      <c r="DO22" s="147"/>
      <c r="DP22" s="147"/>
      <c r="DQ22" s="147"/>
      <c r="DR22" s="147"/>
      <c r="DS22" s="147"/>
      <c r="DT22" s="147"/>
      <c r="DU22" s="147"/>
      <c r="DV22" s="147"/>
      <c r="DW22" s="147"/>
      <c r="DX22" s="147"/>
      <c r="DY22" s="147"/>
      <c r="DZ22" s="147"/>
      <c r="EA22" s="147"/>
      <c r="EB22" s="147"/>
      <c r="EC22" s="147"/>
      <c r="ED22" s="147"/>
      <c r="EE22" s="147"/>
      <c r="EF22" s="147"/>
      <c r="EG22" s="147"/>
      <c r="EH22" s="147"/>
      <c r="EI22" s="147"/>
      <c r="EJ22" s="147"/>
      <c r="EK22" s="147"/>
      <c r="EL22" s="147"/>
      <c r="EM22" s="147"/>
      <c r="EN22" s="147"/>
      <c r="EO22" s="147"/>
      <c r="EP22" s="147"/>
      <c r="EQ22" s="147"/>
      <c r="ER22" s="147"/>
      <c r="ES22" s="147"/>
      <c r="ET22" s="147"/>
      <c r="EU22" s="147"/>
      <c r="EV22" s="147"/>
      <c r="EW22" s="147"/>
      <c r="EX22" s="147"/>
      <c r="EY22" s="147"/>
      <c r="EZ22" s="147"/>
      <c r="FA22" s="147"/>
      <c r="FB22" s="147"/>
      <c r="FC22" s="147"/>
      <c r="FD22" s="147"/>
      <c r="FE22" s="147"/>
      <c r="FF22" s="147"/>
      <c r="FG22" s="147"/>
      <c r="FH22" s="147"/>
      <c r="FI22" s="147"/>
      <c r="FJ22" s="147"/>
      <c r="FK22" s="147"/>
      <c r="FL22" s="147"/>
      <c r="FM22" s="147"/>
      <c r="FN22" s="147"/>
      <c r="FO22" s="147"/>
      <c r="FP22" s="147"/>
      <c r="FQ22" s="147"/>
      <c r="FR22" s="147"/>
      <c r="FS22" s="147"/>
      <c r="FT22" s="147"/>
      <c r="FU22" s="147"/>
      <c r="FV22" s="147"/>
      <c r="FW22" s="147"/>
      <c r="FX22" s="147"/>
      <c r="FY22" s="147"/>
      <c r="FZ22" s="147"/>
      <c r="GA22" s="147"/>
      <c r="GB22" s="147"/>
      <c r="GC22" s="147"/>
      <c r="GD22" s="147"/>
      <c r="GE22" s="147"/>
      <c r="GF22" s="147"/>
      <c r="GG22" s="147"/>
      <c r="GH22" s="147"/>
      <c r="GI22" s="147"/>
      <c r="GJ22" s="147"/>
      <c r="GK22" s="147"/>
      <c r="GL22" s="147"/>
      <c r="GM22" s="147"/>
      <c r="GN22" s="147"/>
      <c r="GO22" s="147"/>
      <c r="GP22" s="147"/>
      <c r="GQ22" s="147"/>
      <c r="GR22" s="147"/>
      <c r="GS22" s="147"/>
      <c r="GT22" s="147"/>
      <c r="GU22" s="147"/>
      <c r="GV22" s="147"/>
      <c r="GW22" s="147"/>
      <c r="GX22" s="147"/>
      <c r="GY22" s="147"/>
      <c r="GZ22" s="147"/>
      <c r="HA22" s="147"/>
      <c r="HB22" s="147"/>
      <c r="HC22" s="147"/>
      <c r="HD22" s="147"/>
      <c r="HE22" s="147"/>
      <c r="HF22" s="147"/>
      <c r="HG22" s="147"/>
      <c r="HH22" s="147"/>
      <c r="HI22" s="147"/>
      <c r="HJ22" s="147"/>
      <c r="HK22" s="147"/>
      <c r="HL22" s="147"/>
      <c r="HM22" s="147"/>
      <c r="HN22" s="147"/>
      <c r="HO22" s="147"/>
      <c r="HP22" s="147"/>
      <c r="HQ22" s="147"/>
      <c r="HR22" s="147"/>
      <c r="HS22" s="147"/>
      <c r="HT22" s="147"/>
      <c r="HU22" s="147"/>
      <c r="HV22" s="147"/>
      <c r="HW22" s="147"/>
      <c r="HX22" s="147"/>
      <c r="HY22" s="147"/>
      <c r="HZ22" s="147"/>
      <c r="IA22" s="147"/>
      <c r="IB22" s="147"/>
      <c r="IC22" s="147"/>
      <c r="ID22" s="147"/>
      <c r="IE22" s="147"/>
      <c r="IF22" s="147"/>
      <c r="IG22" s="147"/>
      <c r="IH22" s="147"/>
      <c r="II22" s="147"/>
      <c r="IJ22" s="147"/>
      <c r="IK22" s="147"/>
      <c r="IL22" s="147"/>
      <c r="IM22" s="147"/>
      <c r="IN22" s="147"/>
      <c r="IO22" s="147"/>
      <c r="IP22" s="147"/>
      <c r="IQ22" s="147"/>
      <c r="IR22" s="147"/>
      <c r="IS22" s="147"/>
      <c r="IT22" s="147"/>
      <c r="IU22" s="147"/>
      <c r="IV22" s="147"/>
      <c r="IW22" s="147"/>
      <c r="IX22" s="147"/>
    </row>
    <row r="23" spans="1:258" ht="45" x14ac:dyDescent="0.25">
      <c r="A23" s="77">
        <f t="shared" si="0"/>
        <v>16</v>
      </c>
      <c r="B23" s="73">
        <v>0.66666666666666696</v>
      </c>
      <c r="C23" s="212" t="s">
        <v>595</v>
      </c>
      <c r="D23" s="147"/>
      <c r="E23" s="147"/>
      <c r="F23" s="147"/>
      <c r="G23" s="147"/>
      <c r="H23" s="147"/>
      <c r="I23" s="147"/>
      <c r="J23" s="147"/>
      <c r="K23" s="147"/>
      <c r="L23" s="60"/>
      <c r="M23" s="147"/>
      <c r="N23" s="147"/>
      <c r="O23" s="147"/>
      <c r="P23" s="147"/>
      <c r="Q23" s="147"/>
      <c r="R23" s="147"/>
      <c r="S23" s="147"/>
      <c r="T23" s="147"/>
      <c r="U23" s="147"/>
      <c r="V23" s="147"/>
      <c r="W23" s="147"/>
      <c r="X23" s="147"/>
      <c r="Y23" s="147"/>
      <c r="Z23" s="147"/>
      <c r="AA23" s="147"/>
      <c r="AB23" s="147"/>
      <c r="AC23" s="147"/>
      <c r="AD23" s="147"/>
      <c r="AE23" s="147"/>
      <c r="AF23" s="147"/>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47"/>
      <c r="BL23" s="147"/>
      <c r="BM23" s="147"/>
      <c r="BN23" s="147"/>
      <c r="BO23" s="147"/>
      <c r="BP23" s="147"/>
      <c r="BQ23" s="147"/>
      <c r="BR23" s="147"/>
      <c r="BS23" s="147"/>
      <c r="BT23" s="147"/>
      <c r="BU23" s="147"/>
      <c r="BV23" s="147"/>
      <c r="BW23" s="147"/>
      <c r="BX23" s="147"/>
      <c r="BY23" s="147"/>
      <c r="BZ23" s="147"/>
      <c r="CA23" s="147"/>
      <c r="CB23" s="147"/>
      <c r="CC23" s="147"/>
      <c r="CD23" s="147"/>
      <c r="CE23" s="147"/>
      <c r="CF23" s="147"/>
      <c r="CG23" s="147"/>
      <c r="CH23" s="147"/>
      <c r="CI23" s="147"/>
      <c r="CJ23" s="147"/>
      <c r="CK23" s="147"/>
      <c r="CL23" s="147"/>
      <c r="CM23" s="147"/>
      <c r="CN23" s="147"/>
      <c r="CO23" s="147"/>
      <c r="CP23" s="147"/>
      <c r="CQ23" s="147"/>
      <c r="CR23" s="147"/>
      <c r="CS23" s="147"/>
      <c r="CT23" s="147"/>
      <c r="CU23" s="147"/>
      <c r="CV23" s="147"/>
      <c r="CW23" s="147"/>
      <c r="CX23" s="147"/>
      <c r="CY23" s="147"/>
      <c r="CZ23" s="147"/>
      <c r="DA23" s="147"/>
      <c r="DB23" s="147"/>
      <c r="DC23" s="147"/>
      <c r="DD23" s="147"/>
      <c r="DE23" s="147"/>
      <c r="DF23" s="147"/>
      <c r="DG23" s="147"/>
      <c r="DH23" s="147"/>
      <c r="DI23" s="147"/>
      <c r="DJ23" s="147"/>
      <c r="DK23" s="147"/>
      <c r="DL23" s="147"/>
      <c r="DM23" s="147"/>
      <c r="DN23" s="147"/>
      <c r="DO23" s="147"/>
      <c r="DP23" s="147"/>
      <c r="DQ23" s="147"/>
      <c r="DR23" s="147"/>
      <c r="DS23" s="147"/>
      <c r="DT23" s="147"/>
      <c r="DU23" s="147"/>
      <c r="DV23" s="147"/>
      <c r="DW23" s="147"/>
      <c r="DX23" s="147"/>
      <c r="DY23" s="147"/>
      <c r="DZ23" s="147"/>
      <c r="EA23" s="147"/>
      <c r="EB23" s="147"/>
      <c r="EC23" s="147"/>
      <c r="ED23" s="147"/>
      <c r="EE23" s="147"/>
      <c r="EF23" s="147"/>
      <c r="EG23" s="147"/>
      <c r="EH23" s="147"/>
      <c r="EI23" s="147"/>
      <c r="EJ23" s="147"/>
      <c r="EK23" s="147"/>
      <c r="EL23" s="147"/>
      <c r="EM23" s="147"/>
      <c r="EN23" s="147"/>
      <c r="EO23" s="147"/>
      <c r="EP23" s="147"/>
      <c r="EQ23" s="147"/>
      <c r="ER23" s="147"/>
      <c r="ES23" s="147"/>
      <c r="ET23" s="147"/>
      <c r="EU23" s="147"/>
      <c r="EV23" s="147"/>
      <c r="EW23" s="147"/>
      <c r="EX23" s="147"/>
      <c r="EY23" s="147"/>
      <c r="EZ23" s="147"/>
      <c r="FA23" s="147"/>
      <c r="FB23" s="147"/>
      <c r="FC23" s="147"/>
      <c r="FD23" s="147"/>
      <c r="FE23" s="147"/>
      <c r="FF23" s="147"/>
      <c r="FG23" s="147"/>
      <c r="FH23" s="147"/>
      <c r="FI23" s="147"/>
      <c r="FJ23" s="147"/>
      <c r="FK23" s="147"/>
      <c r="FL23" s="147"/>
      <c r="FM23" s="147"/>
      <c r="FN23" s="147"/>
      <c r="FO23" s="147"/>
      <c r="FP23" s="147"/>
      <c r="FQ23" s="147"/>
      <c r="FR23" s="147"/>
      <c r="FS23" s="147"/>
      <c r="FT23" s="147"/>
      <c r="FU23" s="147"/>
      <c r="FV23" s="147"/>
      <c r="FW23" s="147"/>
      <c r="FX23" s="147"/>
      <c r="FY23" s="147"/>
      <c r="FZ23" s="147"/>
      <c r="GA23" s="147"/>
      <c r="GB23" s="147"/>
      <c r="GC23" s="147"/>
      <c r="GD23" s="147"/>
      <c r="GE23" s="147"/>
      <c r="GF23" s="147"/>
      <c r="GG23" s="147"/>
      <c r="GH23" s="147"/>
      <c r="GI23" s="147"/>
      <c r="GJ23" s="147"/>
      <c r="GK23" s="147"/>
      <c r="GL23" s="147"/>
      <c r="GM23" s="147"/>
      <c r="GN23" s="147"/>
      <c r="GO23" s="147"/>
      <c r="GP23" s="147"/>
      <c r="GQ23" s="147"/>
      <c r="GR23" s="147"/>
      <c r="GS23" s="147"/>
      <c r="GT23" s="147"/>
      <c r="GU23" s="147"/>
      <c r="GV23" s="147"/>
      <c r="GW23" s="147"/>
      <c r="GX23" s="147"/>
      <c r="GY23" s="147"/>
      <c r="GZ23" s="147"/>
      <c r="HA23" s="147"/>
      <c r="HB23" s="147"/>
      <c r="HC23" s="147"/>
      <c r="HD23" s="147"/>
      <c r="HE23" s="147"/>
      <c r="HF23" s="147"/>
      <c r="HG23" s="147"/>
      <c r="HH23" s="147"/>
      <c r="HI23" s="147"/>
      <c r="HJ23" s="147"/>
      <c r="HK23" s="147"/>
      <c r="HL23" s="147"/>
      <c r="HM23" s="147"/>
      <c r="HN23" s="147"/>
      <c r="HO23" s="147"/>
      <c r="HP23" s="147"/>
      <c r="HQ23" s="147"/>
      <c r="HR23" s="147"/>
      <c r="HS23" s="147"/>
      <c r="HT23" s="147"/>
      <c r="HU23" s="147"/>
      <c r="HV23" s="147"/>
      <c r="HW23" s="147"/>
      <c r="HX23" s="147"/>
      <c r="HY23" s="147"/>
      <c r="HZ23" s="147"/>
      <c r="IA23" s="147"/>
      <c r="IB23" s="147"/>
      <c r="IC23" s="147"/>
      <c r="ID23" s="147"/>
      <c r="IE23" s="147"/>
      <c r="IF23" s="147"/>
      <c r="IG23" s="147"/>
      <c r="IH23" s="147"/>
      <c r="II23" s="147"/>
      <c r="IJ23" s="147"/>
      <c r="IK23" s="147"/>
      <c r="IL23" s="147"/>
      <c r="IM23" s="147"/>
      <c r="IN23" s="147"/>
      <c r="IO23" s="147"/>
      <c r="IP23" s="147"/>
      <c r="IQ23" s="147"/>
      <c r="IR23" s="147"/>
      <c r="IS23" s="147"/>
      <c r="IT23" s="147"/>
      <c r="IU23" s="147"/>
      <c r="IV23" s="147"/>
      <c r="IW23" s="147"/>
      <c r="IX23" s="147"/>
    </row>
    <row r="24" spans="1:258" ht="29.25" customHeight="1" x14ac:dyDescent="0.25">
      <c r="A24" s="77">
        <f t="shared" si="0"/>
        <v>17</v>
      </c>
      <c r="B24" s="73">
        <v>0.70833333333333304</v>
      </c>
      <c r="C24" s="213" t="s">
        <v>593</v>
      </c>
      <c r="D24" s="147" t="s">
        <v>596</v>
      </c>
      <c r="E24" s="147" t="s">
        <v>600</v>
      </c>
      <c r="F24" s="147" t="s">
        <v>602</v>
      </c>
      <c r="G24" s="147" t="s">
        <v>604</v>
      </c>
      <c r="H24" s="147"/>
      <c r="I24" s="147"/>
      <c r="J24" s="147"/>
      <c r="K24" s="147"/>
      <c r="L24" s="60"/>
      <c r="M24" s="147"/>
      <c r="N24" s="147"/>
      <c r="O24" s="147"/>
      <c r="P24" s="147"/>
      <c r="Q24" s="147"/>
      <c r="R24" s="147"/>
      <c r="S24" s="147"/>
      <c r="T24" s="147"/>
      <c r="U24" s="147"/>
      <c r="V24" s="147"/>
      <c r="W24" s="147"/>
      <c r="X24" s="147"/>
      <c r="Y24" s="147"/>
      <c r="Z24" s="147"/>
      <c r="AA24" s="147"/>
      <c r="AB24" s="147"/>
      <c r="AC24" s="147"/>
      <c r="AD24" s="147"/>
      <c r="AE24" s="147"/>
      <c r="AF24" s="147"/>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47"/>
      <c r="BL24" s="147"/>
      <c r="BM24" s="147"/>
      <c r="BN24" s="147"/>
      <c r="BO24" s="147"/>
      <c r="BP24" s="147"/>
      <c r="BQ24" s="147"/>
      <c r="BR24" s="147"/>
      <c r="BS24" s="147"/>
      <c r="BT24" s="147"/>
      <c r="BU24" s="147"/>
      <c r="BV24" s="147"/>
      <c r="BW24" s="147"/>
      <c r="BX24" s="147"/>
      <c r="BY24" s="147"/>
      <c r="BZ24" s="147"/>
      <c r="CA24" s="147"/>
      <c r="CB24" s="147"/>
      <c r="CC24" s="147"/>
      <c r="CD24" s="147"/>
      <c r="CE24" s="147"/>
      <c r="CF24" s="147"/>
      <c r="CG24" s="147"/>
      <c r="CH24" s="147"/>
      <c r="CI24" s="147"/>
      <c r="CJ24" s="147"/>
      <c r="CK24" s="147"/>
      <c r="CL24" s="147"/>
      <c r="CM24" s="147"/>
      <c r="CN24" s="147"/>
      <c r="CO24" s="147"/>
      <c r="CP24" s="147"/>
      <c r="CQ24" s="147"/>
      <c r="CR24" s="147"/>
      <c r="CS24" s="147"/>
      <c r="CT24" s="147"/>
      <c r="CU24" s="147"/>
      <c r="CV24" s="147"/>
      <c r="CW24" s="147"/>
      <c r="CX24" s="147"/>
      <c r="CY24" s="147"/>
      <c r="CZ24" s="147"/>
      <c r="DA24" s="147"/>
      <c r="DB24" s="147"/>
      <c r="DC24" s="147"/>
      <c r="DD24" s="147"/>
      <c r="DE24" s="147"/>
      <c r="DF24" s="147"/>
      <c r="DG24" s="147"/>
      <c r="DH24" s="147"/>
      <c r="DI24" s="147"/>
      <c r="DJ24" s="147"/>
      <c r="DK24" s="147"/>
      <c r="DL24" s="147"/>
      <c r="DM24" s="147"/>
      <c r="DN24" s="147"/>
      <c r="DO24" s="147"/>
      <c r="DP24" s="147"/>
      <c r="DQ24" s="147"/>
      <c r="DR24" s="147"/>
      <c r="DS24" s="147"/>
      <c r="DT24" s="147"/>
      <c r="DU24" s="147"/>
      <c r="DV24" s="147"/>
      <c r="DW24" s="147"/>
      <c r="DX24" s="147"/>
      <c r="DY24" s="147"/>
      <c r="DZ24" s="147"/>
      <c r="EA24" s="147"/>
      <c r="EB24" s="147"/>
      <c r="EC24" s="147"/>
      <c r="ED24" s="147"/>
      <c r="EE24" s="147"/>
      <c r="EF24" s="147"/>
      <c r="EG24" s="147"/>
      <c r="EH24" s="147"/>
      <c r="EI24" s="147"/>
      <c r="EJ24" s="147"/>
      <c r="EK24" s="147"/>
      <c r="EL24" s="147"/>
      <c r="EM24" s="147"/>
      <c r="EN24" s="147"/>
      <c r="EO24" s="147"/>
      <c r="EP24" s="147"/>
      <c r="EQ24" s="147"/>
      <c r="ER24" s="147"/>
      <c r="ES24" s="147"/>
      <c r="ET24" s="147"/>
      <c r="EU24" s="147"/>
      <c r="EV24" s="147"/>
      <c r="EW24" s="147"/>
      <c r="EX24" s="147"/>
      <c r="EY24" s="147"/>
      <c r="EZ24" s="147"/>
      <c r="FA24" s="147"/>
      <c r="FB24" s="147"/>
      <c r="FC24" s="147"/>
      <c r="FD24" s="147"/>
      <c r="FE24" s="147"/>
      <c r="FF24" s="147"/>
      <c r="FG24" s="147"/>
      <c r="FH24" s="147"/>
      <c r="FI24" s="147"/>
      <c r="FJ24" s="147"/>
      <c r="FK24" s="147"/>
      <c r="FL24" s="147"/>
      <c r="FM24" s="147"/>
      <c r="FN24" s="147"/>
      <c r="FO24" s="147"/>
      <c r="FP24" s="147"/>
      <c r="FQ24" s="147"/>
      <c r="FR24" s="147"/>
      <c r="FS24" s="147"/>
      <c r="FT24" s="147"/>
      <c r="FU24" s="147"/>
      <c r="FV24" s="147"/>
      <c r="FW24" s="147"/>
      <c r="FX24" s="147"/>
      <c r="FY24" s="147"/>
      <c r="FZ24" s="147"/>
      <c r="GA24" s="147"/>
      <c r="GB24" s="147"/>
      <c r="GC24" s="147"/>
      <c r="GD24" s="147"/>
      <c r="GE24" s="147"/>
      <c r="GF24" s="147"/>
      <c r="GG24" s="147"/>
      <c r="GH24" s="147"/>
      <c r="GI24" s="147"/>
      <c r="GJ24" s="147"/>
      <c r="GK24" s="147"/>
      <c r="GL24" s="147"/>
      <c r="GM24" s="147"/>
      <c r="GN24" s="147"/>
      <c r="GO24" s="147"/>
      <c r="GP24" s="147"/>
      <c r="GQ24" s="147"/>
      <c r="GR24" s="147"/>
      <c r="GS24" s="147"/>
      <c r="GT24" s="147"/>
      <c r="GU24" s="147"/>
      <c r="GV24" s="147"/>
      <c r="GW24" s="147"/>
      <c r="GX24" s="147"/>
      <c r="GY24" s="147"/>
      <c r="GZ24" s="147"/>
      <c r="HA24" s="147"/>
      <c r="HB24" s="147"/>
      <c r="HC24" s="147"/>
      <c r="HD24" s="147"/>
      <c r="HE24" s="147"/>
      <c r="HF24" s="147"/>
      <c r="HG24" s="147"/>
      <c r="HH24" s="147"/>
      <c r="HI24" s="147"/>
      <c r="HJ24" s="147"/>
      <c r="HK24" s="147"/>
      <c r="HL24" s="147"/>
      <c r="HM24" s="147"/>
      <c r="HN24" s="147"/>
      <c r="HO24" s="147"/>
      <c r="HP24" s="147"/>
      <c r="HQ24" s="147"/>
      <c r="HR24" s="147"/>
      <c r="HS24" s="147"/>
      <c r="HT24" s="147"/>
      <c r="HU24" s="147"/>
      <c r="HV24" s="147"/>
      <c r="HW24" s="147"/>
      <c r="HX24" s="147"/>
      <c r="HY24" s="147"/>
      <c r="HZ24" s="147"/>
      <c r="IA24" s="147"/>
      <c r="IB24" s="147"/>
      <c r="IC24" s="147"/>
      <c r="ID24" s="147"/>
      <c r="IE24" s="147"/>
      <c r="IF24" s="147"/>
      <c r="IG24" s="147"/>
      <c r="IH24" s="147"/>
      <c r="II24" s="147"/>
      <c r="IJ24" s="147"/>
      <c r="IK24" s="147"/>
      <c r="IL24" s="147"/>
      <c r="IM24" s="147"/>
      <c r="IN24" s="147"/>
      <c r="IO24" s="147"/>
      <c r="IP24" s="147"/>
      <c r="IQ24" s="147"/>
      <c r="IR24" s="147"/>
      <c r="IS24" s="147"/>
      <c r="IT24" s="147"/>
      <c r="IU24" s="147"/>
      <c r="IV24" s="147"/>
      <c r="IW24" s="147"/>
      <c r="IX24" s="147"/>
    </row>
    <row r="25" spans="1:258" ht="30" x14ac:dyDescent="0.25">
      <c r="A25" s="77">
        <f t="shared" si="0"/>
        <v>18</v>
      </c>
      <c r="B25" s="73">
        <v>0.75</v>
      </c>
      <c r="C25" s="213" t="s">
        <v>610</v>
      </c>
      <c r="D25" s="147" t="s">
        <v>598</v>
      </c>
      <c r="E25" s="147" t="s">
        <v>601</v>
      </c>
      <c r="F25" s="147" t="s">
        <v>603</v>
      </c>
      <c r="G25" s="147" t="s">
        <v>486</v>
      </c>
      <c r="H25" s="147"/>
      <c r="I25" s="147"/>
      <c r="J25" s="147"/>
      <c r="K25" s="147"/>
      <c r="L25" s="60"/>
      <c r="M25" s="147"/>
      <c r="N25" s="147"/>
      <c r="O25" s="147"/>
      <c r="P25" s="147"/>
      <c r="Q25" s="147"/>
      <c r="R25" s="147"/>
      <c r="S25" s="147"/>
      <c r="T25" s="147"/>
      <c r="U25" s="147"/>
      <c r="V25" s="147"/>
      <c r="W25" s="147"/>
      <c r="X25" s="147"/>
      <c r="Y25" s="147"/>
      <c r="Z25" s="147"/>
      <c r="AA25" s="147"/>
      <c r="AB25" s="147"/>
      <c r="AC25" s="147"/>
      <c r="AD25" s="14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47"/>
      <c r="BL25" s="147"/>
      <c r="BM25" s="147"/>
      <c r="BN25" s="147"/>
      <c r="BO25" s="147"/>
      <c r="BP25" s="147"/>
      <c r="BQ25" s="147"/>
      <c r="BR25" s="147"/>
      <c r="BS25" s="147"/>
      <c r="BT25" s="147"/>
      <c r="BU25" s="147"/>
      <c r="BV25" s="147"/>
      <c r="BW25" s="147"/>
      <c r="BX25" s="147"/>
      <c r="BY25" s="147"/>
      <c r="BZ25" s="147"/>
      <c r="CA25" s="147"/>
      <c r="CB25" s="147"/>
      <c r="CC25" s="147"/>
      <c r="CD25" s="147"/>
      <c r="CE25" s="147"/>
      <c r="CF25" s="147"/>
      <c r="CG25" s="147"/>
      <c r="CH25" s="147"/>
      <c r="CI25" s="147"/>
      <c r="CJ25" s="147"/>
      <c r="CK25" s="147"/>
      <c r="CL25" s="147"/>
      <c r="CM25" s="147"/>
      <c r="CN25" s="147"/>
      <c r="CO25" s="147"/>
      <c r="CP25" s="147"/>
      <c r="CQ25" s="147"/>
      <c r="CR25" s="147"/>
      <c r="CS25" s="147"/>
      <c r="CT25" s="147"/>
      <c r="CU25" s="147"/>
      <c r="CV25" s="147"/>
      <c r="CW25" s="147"/>
      <c r="CX25" s="147"/>
      <c r="CY25" s="147"/>
      <c r="CZ25" s="147"/>
      <c r="DA25" s="147"/>
      <c r="DB25" s="147"/>
      <c r="DC25" s="147"/>
      <c r="DD25" s="147"/>
      <c r="DE25" s="147"/>
      <c r="DF25" s="147"/>
      <c r="DG25" s="147"/>
      <c r="DH25" s="147"/>
      <c r="DI25" s="147"/>
      <c r="DJ25" s="147"/>
      <c r="DK25" s="147"/>
      <c r="DL25" s="147"/>
      <c r="DM25" s="147"/>
      <c r="DN25" s="147"/>
      <c r="DO25" s="147"/>
      <c r="DP25" s="147"/>
      <c r="DQ25" s="147"/>
      <c r="DR25" s="147"/>
      <c r="DS25" s="147"/>
      <c r="DT25" s="147"/>
      <c r="DU25" s="147"/>
      <c r="DV25" s="147"/>
      <c r="DW25" s="147"/>
      <c r="DX25" s="147"/>
      <c r="DY25" s="147"/>
      <c r="DZ25" s="147"/>
      <c r="EA25" s="147"/>
      <c r="EB25" s="147"/>
      <c r="EC25" s="147"/>
      <c r="ED25" s="147"/>
      <c r="EE25" s="147"/>
      <c r="EF25" s="147"/>
      <c r="EG25" s="147"/>
      <c r="EH25" s="147"/>
      <c r="EI25" s="147"/>
      <c r="EJ25" s="147"/>
      <c r="EK25" s="147"/>
      <c r="EL25" s="147"/>
      <c r="EM25" s="147"/>
      <c r="EN25" s="147"/>
      <c r="EO25" s="147"/>
      <c r="EP25" s="147"/>
      <c r="EQ25" s="147"/>
      <c r="ER25" s="147"/>
      <c r="ES25" s="147"/>
      <c r="ET25" s="147"/>
      <c r="EU25" s="147"/>
      <c r="EV25" s="147"/>
      <c r="EW25" s="147"/>
      <c r="EX25" s="147"/>
      <c r="EY25" s="147"/>
      <c r="EZ25" s="147"/>
      <c r="FA25" s="147"/>
      <c r="FB25" s="147"/>
      <c r="FC25" s="147"/>
      <c r="FD25" s="147"/>
      <c r="FE25" s="147"/>
      <c r="FF25" s="147"/>
      <c r="FG25" s="147"/>
      <c r="FH25" s="147"/>
      <c r="FI25" s="147"/>
      <c r="FJ25" s="147"/>
      <c r="FK25" s="147"/>
      <c r="FL25" s="147"/>
      <c r="FM25" s="147"/>
      <c r="FN25" s="147"/>
      <c r="FO25" s="147"/>
      <c r="FP25" s="147"/>
      <c r="FQ25" s="147"/>
      <c r="FR25" s="147"/>
      <c r="FS25" s="147"/>
      <c r="FT25" s="147"/>
      <c r="FU25" s="147"/>
      <c r="FV25" s="147"/>
      <c r="FW25" s="147"/>
      <c r="FX25" s="147"/>
      <c r="FY25" s="147"/>
      <c r="FZ25" s="147"/>
      <c r="GA25" s="147"/>
      <c r="GB25" s="147"/>
      <c r="GC25" s="147"/>
      <c r="GD25" s="147"/>
      <c r="GE25" s="147"/>
      <c r="GF25" s="147"/>
      <c r="GG25" s="147"/>
      <c r="GH25" s="147"/>
      <c r="GI25" s="147"/>
      <c r="GJ25" s="147"/>
      <c r="GK25" s="147"/>
      <c r="GL25" s="147"/>
      <c r="GM25" s="147"/>
      <c r="GN25" s="147"/>
      <c r="GO25" s="147"/>
      <c r="GP25" s="147"/>
      <c r="GQ25" s="147"/>
      <c r="GR25" s="147"/>
      <c r="GS25" s="147"/>
      <c r="GT25" s="147"/>
      <c r="GU25" s="147"/>
      <c r="GV25" s="147"/>
      <c r="GW25" s="147"/>
      <c r="GX25" s="147"/>
      <c r="GY25" s="147"/>
      <c r="GZ25" s="147"/>
      <c r="HA25" s="147"/>
      <c r="HB25" s="147"/>
      <c r="HC25" s="147"/>
      <c r="HD25" s="147"/>
      <c r="HE25" s="147"/>
      <c r="HF25" s="147"/>
      <c r="HG25" s="147"/>
      <c r="HH25" s="147"/>
      <c r="HI25" s="147"/>
      <c r="HJ25" s="147"/>
      <c r="HK25" s="147"/>
      <c r="HL25" s="147"/>
      <c r="HM25" s="147"/>
      <c r="HN25" s="147"/>
      <c r="HO25" s="147"/>
      <c r="HP25" s="147"/>
      <c r="HQ25" s="147"/>
      <c r="HR25" s="147"/>
      <c r="HS25" s="147"/>
      <c r="HT25" s="147"/>
      <c r="HU25" s="147"/>
      <c r="HV25" s="147"/>
      <c r="HW25" s="147"/>
      <c r="HX25" s="147"/>
      <c r="HY25" s="147"/>
      <c r="HZ25" s="147"/>
      <c r="IA25" s="147"/>
      <c r="IB25" s="147"/>
      <c r="IC25" s="147"/>
      <c r="ID25" s="147"/>
      <c r="IE25" s="147"/>
      <c r="IF25" s="147"/>
      <c r="IG25" s="147"/>
      <c r="IH25" s="147"/>
      <c r="II25" s="147"/>
      <c r="IJ25" s="147"/>
      <c r="IK25" s="147"/>
      <c r="IL25" s="147"/>
      <c r="IM25" s="147"/>
      <c r="IN25" s="147"/>
      <c r="IO25" s="147"/>
      <c r="IP25" s="147"/>
      <c r="IQ25" s="147"/>
      <c r="IR25" s="147"/>
      <c r="IS25" s="147"/>
      <c r="IT25" s="147"/>
      <c r="IU25" s="147"/>
      <c r="IV25" s="147"/>
      <c r="IW25" s="147"/>
      <c r="IX25" s="147"/>
    </row>
    <row r="26" spans="1:258" ht="30" x14ac:dyDescent="0.25">
      <c r="A26" s="77">
        <f t="shared" si="0"/>
        <v>19</v>
      </c>
      <c r="B26" s="73">
        <v>0.79166666666666696</v>
      </c>
      <c r="C26" s="213" t="s">
        <v>610</v>
      </c>
      <c r="D26" s="147" t="s">
        <v>599</v>
      </c>
      <c r="E26" s="147" t="s">
        <v>496</v>
      </c>
      <c r="F26" s="147" t="s">
        <v>496</v>
      </c>
      <c r="G26" s="147" t="s">
        <v>496</v>
      </c>
      <c r="H26" s="147"/>
      <c r="I26" s="147"/>
      <c r="J26" s="147"/>
      <c r="K26" s="147"/>
      <c r="L26" s="60"/>
      <c r="M26" s="147"/>
      <c r="N26" s="147"/>
      <c r="O26" s="147"/>
      <c r="P26" s="147"/>
      <c r="Q26" s="147"/>
      <c r="R26" s="147"/>
      <c r="S26" s="147"/>
      <c r="T26" s="147"/>
      <c r="U26" s="147"/>
      <c r="V26" s="147"/>
      <c r="W26" s="147"/>
      <c r="X26" s="147"/>
      <c r="Y26" s="147"/>
      <c r="Z26" s="147"/>
      <c r="AA26" s="147"/>
      <c r="AB26" s="147"/>
      <c r="AC26" s="147"/>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47"/>
      <c r="BL26" s="147"/>
      <c r="BM26" s="147"/>
      <c r="BN26" s="147"/>
      <c r="BO26" s="147"/>
      <c r="BP26" s="147"/>
      <c r="BQ26" s="147"/>
      <c r="BR26" s="147"/>
      <c r="BS26" s="147"/>
      <c r="BT26" s="147"/>
      <c r="BU26" s="147"/>
      <c r="BV26" s="147"/>
      <c r="BW26" s="147"/>
      <c r="BX26" s="147"/>
      <c r="BY26" s="147"/>
      <c r="BZ26" s="147"/>
      <c r="CA26" s="147"/>
      <c r="CB26" s="147"/>
      <c r="CC26" s="147"/>
      <c r="CD26" s="147"/>
      <c r="CE26" s="147"/>
      <c r="CF26" s="147"/>
      <c r="CG26" s="147"/>
      <c r="CH26" s="147"/>
      <c r="CI26" s="147"/>
      <c r="CJ26" s="147"/>
      <c r="CK26" s="147"/>
      <c r="CL26" s="147"/>
      <c r="CM26" s="147"/>
      <c r="CN26" s="147"/>
      <c r="CO26" s="147"/>
      <c r="CP26" s="147"/>
      <c r="CQ26" s="147"/>
      <c r="CR26" s="147"/>
      <c r="CS26" s="147"/>
      <c r="CT26" s="147"/>
      <c r="CU26" s="147"/>
      <c r="CV26" s="147"/>
      <c r="CW26" s="147"/>
      <c r="CX26" s="147"/>
      <c r="CY26" s="147"/>
      <c r="CZ26" s="147"/>
      <c r="DA26" s="147"/>
      <c r="DB26" s="147"/>
      <c r="DC26" s="147"/>
      <c r="DD26" s="147"/>
      <c r="DE26" s="147"/>
      <c r="DF26" s="147"/>
      <c r="DG26" s="147"/>
      <c r="DH26" s="147"/>
      <c r="DI26" s="147"/>
      <c r="DJ26" s="147"/>
      <c r="DK26" s="147"/>
      <c r="DL26" s="147"/>
      <c r="DM26" s="147"/>
      <c r="DN26" s="147"/>
      <c r="DO26" s="147"/>
      <c r="DP26" s="147"/>
      <c r="DQ26" s="147"/>
      <c r="DR26" s="147"/>
      <c r="DS26" s="147"/>
      <c r="DT26" s="147"/>
      <c r="DU26" s="147"/>
      <c r="DV26" s="147"/>
      <c r="DW26" s="147"/>
      <c r="DX26" s="147"/>
      <c r="DY26" s="147"/>
      <c r="DZ26" s="147"/>
      <c r="EA26" s="147"/>
      <c r="EB26" s="147"/>
      <c r="EC26" s="147"/>
      <c r="ED26" s="147"/>
      <c r="EE26" s="147"/>
      <c r="EF26" s="147"/>
      <c r="EG26" s="147"/>
      <c r="EH26" s="147"/>
      <c r="EI26" s="147"/>
      <c r="EJ26" s="147"/>
      <c r="EK26" s="147"/>
      <c r="EL26" s="147"/>
      <c r="EM26" s="147"/>
      <c r="EN26" s="147"/>
      <c r="EO26" s="147"/>
      <c r="EP26" s="147"/>
      <c r="EQ26" s="147"/>
      <c r="ER26" s="147"/>
      <c r="ES26" s="147"/>
      <c r="ET26" s="147"/>
      <c r="EU26" s="147"/>
      <c r="EV26" s="147"/>
      <c r="EW26" s="147"/>
      <c r="EX26" s="147"/>
      <c r="EY26" s="147"/>
      <c r="EZ26" s="147"/>
      <c r="FA26" s="147"/>
      <c r="FB26" s="147"/>
      <c r="FC26" s="147"/>
      <c r="FD26" s="147"/>
      <c r="FE26" s="147"/>
      <c r="FF26" s="147"/>
      <c r="FG26" s="147"/>
      <c r="FH26" s="147"/>
      <c r="FI26" s="147"/>
      <c r="FJ26" s="147"/>
      <c r="FK26" s="147"/>
      <c r="FL26" s="147"/>
      <c r="FM26" s="147"/>
      <c r="FN26" s="147"/>
      <c r="FO26" s="147"/>
      <c r="FP26" s="147"/>
      <c r="FQ26" s="147"/>
      <c r="FR26" s="147"/>
      <c r="FS26" s="147"/>
      <c r="FT26" s="147"/>
      <c r="FU26" s="147"/>
      <c r="FV26" s="147"/>
      <c r="FW26" s="147"/>
      <c r="FX26" s="147"/>
      <c r="FY26" s="147"/>
      <c r="FZ26" s="147"/>
      <c r="GA26" s="147"/>
      <c r="GB26" s="147"/>
      <c r="GC26" s="147"/>
      <c r="GD26" s="147"/>
      <c r="GE26" s="147"/>
      <c r="GF26" s="147"/>
      <c r="GG26" s="147"/>
      <c r="GH26" s="147"/>
      <c r="GI26" s="147"/>
      <c r="GJ26" s="147"/>
      <c r="GK26" s="147"/>
      <c r="GL26" s="147"/>
      <c r="GM26" s="147"/>
      <c r="GN26" s="147"/>
      <c r="GO26" s="147"/>
      <c r="GP26" s="147"/>
      <c r="GQ26" s="147"/>
      <c r="GR26" s="147"/>
      <c r="GS26" s="147"/>
      <c r="GT26" s="147"/>
      <c r="GU26" s="147"/>
      <c r="GV26" s="147"/>
      <c r="GW26" s="147"/>
      <c r="GX26" s="147"/>
      <c r="GY26" s="147"/>
      <c r="GZ26" s="147"/>
      <c r="HA26" s="147"/>
      <c r="HB26" s="147"/>
      <c r="HC26" s="147"/>
      <c r="HD26" s="147"/>
      <c r="HE26" s="147"/>
      <c r="HF26" s="147"/>
      <c r="HG26" s="147"/>
      <c r="HH26" s="147"/>
      <c r="HI26" s="147"/>
      <c r="HJ26" s="147"/>
      <c r="HK26" s="147"/>
      <c r="HL26" s="147"/>
      <c r="HM26" s="147"/>
      <c r="HN26" s="147"/>
      <c r="HO26" s="147"/>
      <c r="HP26" s="147"/>
      <c r="HQ26" s="147"/>
      <c r="HR26" s="147"/>
      <c r="HS26" s="147"/>
      <c r="HT26" s="147"/>
      <c r="HU26" s="147"/>
      <c r="HV26" s="147"/>
      <c r="HW26" s="147"/>
      <c r="HX26" s="147"/>
      <c r="HY26" s="147"/>
      <c r="HZ26" s="147"/>
      <c r="IA26" s="147"/>
      <c r="IB26" s="147"/>
      <c r="IC26" s="147"/>
      <c r="ID26" s="147"/>
      <c r="IE26" s="147"/>
      <c r="IF26" s="147"/>
      <c r="IG26" s="147"/>
      <c r="IH26" s="147"/>
      <c r="II26" s="147"/>
      <c r="IJ26" s="147"/>
      <c r="IK26" s="147"/>
      <c r="IL26" s="147"/>
      <c r="IM26" s="147"/>
      <c r="IN26" s="147"/>
      <c r="IO26" s="147"/>
      <c r="IP26" s="147"/>
      <c r="IQ26" s="147"/>
      <c r="IR26" s="147"/>
      <c r="IS26" s="147"/>
      <c r="IT26" s="147"/>
      <c r="IU26" s="147"/>
      <c r="IV26" s="147"/>
      <c r="IW26" s="147"/>
      <c r="IX26" s="147"/>
    </row>
    <row r="27" spans="1:258" ht="30" x14ac:dyDescent="0.25">
      <c r="A27" s="77">
        <f t="shared" si="0"/>
        <v>20</v>
      </c>
      <c r="B27" s="73">
        <v>0.83333333333333304</v>
      </c>
      <c r="C27" s="211" t="s">
        <v>575</v>
      </c>
      <c r="D27" s="147" t="s">
        <v>597</v>
      </c>
      <c r="E27" s="147" t="s">
        <v>496</v>
      </c>
      <c r="F27" s="147" t="s">
        <v>487</v>
      </c>
      <c r="G27" s="147" t="s">
        <v>487</v>
      </c>
      <c r="H27" s="147"/>
      <c r="I27" s="147"/>
      <c r="J27" s="147"/>
      <c r="K27" s="147"/>
      <c r="L27" s="60"/>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47"/>
      <c r="BL27" s="147"/>
      <c r="BM27" s="147"/>
      <c r="BN27" s="147"/>
      <c r="BO27" s="147"/>
      <c r="BP27" s="147"/>
      <c r="BQ27" s="147"/>
      <c r="BR27" s="147"/>
      <c r="BS27" s="147"/>
      <c r="BT27" s="147"/>
      <c r="BU27" s="147"/>
      <c r="BV27" s="147"/>
      <c r="BW27" s="147"/>
      <c r="BX27" s="147"/>
      <c r="BY27" s="147"/>
      <c r="BZ27" s="147"/>
      <c r="CA27" s="147"/>
      <c r="CB27" s="147"/>
      <c r="CC27" s="147"/>
      <c r="CD27" s="147"/>
      <c r="CE27" s="147"/>
      <c r="CF27" s="147"/>
      <c r="CG27" s="147"/>
      <c r="CH27" s="147"/>
      <c r="CI27" s="147"/>
      <c r="CJ27" s="147"/>
      <c r="CK27" s="147"/>
      <c r="CL27" s="147"/>
      <c r="CM27" s="147"/>
      <c r="CN27" s="147"/>
      <c r="CO27" s="147"/>
      <c r="CP27" s="147"/>
      <c r="CQ27" s="147"/>
      <c r="CR27" s="147"/>
      <c r="CS27" s="147"/>
      <c r="CT27" s="147"/>
      <c r="CU27" s="147"/>
      <c r="CV27" s="147"/>
      <c r="CW27" s="147"/>
      <c r="CX27" s="147"/>
      <c r="CY27" s="147"/>
      <c r="CZ27" s="147"/>
      <c r="DA27" s="147"/>
      <c r="DB27" s="147"/>
      <c r="DC27" s="147"/>
      <c r="DD27" s="147"/>
      <c r="DE27" s="147"/>
      <c r="DF27" s="147"/>
      <c r="DG27" s="147"/>
      <c r="DH27" s="147"/>
      <c r="DI27" s="147"/>
      <c r="DJ27" s="147"/>
      <c r="DK27" s="147"/>
      <c r="DL27" s="147"/>
      <c r="DM27" s="147"/>
      <c r="DN27" s="147"/>
      <c r="DO27" s="147"/>
      <c r="DP27" s="147"/>
      <c r="DQ27" s="147"/>
      <c r="DR27" s="147"/>
      <c r="DS27" s="147"/>
      <c r="DT27" s="147"/>
      <c r="DU27" s="147"/>
      <c r="DV27" s="147"/>
      <c r="DW27" s="147"/>
      <c r="DX27" s="147"/>
      <c r="DY27" s="147"/>
      <c r="DZ27" s="147"/>
      <c r="EA27" s="147"/>
      <c r="EB27" s="147"/>
      <c r="EC27" s="147"/>
      <c r="ED27" s="147"/>
      <c r="EE27" s="147"/>
      <c r="EF27" s="147"/>
      <c r="EG27" s="147"/>
      <c r="EH27" s="147"/>
      <c r="EI27" s="147"/>
      <c r="EJ27" s="147"/>
      <c r="EK27" s="147"/>
      <c r="EL27" s="147"/>
      <c r="EM27" s="147"/>
      <c r="EN27" s="147"/>
      <c r="EO27" s="147"/>
      <c r="EP27" s="147"/>
      <c r="EQ27" s="147"/>
      <c r="ER27" s="147"/>
      <c r="ES27" s="147"/>
      <c r="ET27" s="147"/>
      <c r="EU27" s="147"/>
      <c r="EV27" s="147"/>
      <c r="EW27" s="147"/>
      <c r="EX27" s="147"/>
      <c r="EY27" s="147"/>
      <c r="EZ27" s="147"/>
      <c r="FA27" s="147"/>
      <c r="FB27" s="147"/>
      <c r="FC27" s="147"/>
      <c r="FD27" s="147"/>
      <c r="FE27" s="147"/>
      <c r="FF27" s="147"/>
      <c r="FG27" s="147"/>
      <c r="FH27" s="147"/>
      <c r="FI27" s="147"/>
      <c r="FJ27" s="147"/>
      <c r="FK27" s="147"/>
      <c r="FL27" s="147"/>
      <c r="FM27" s="147"/>
      <c r="FN27" s="147"/>
      <c r="FO27" s="147"/>
      <c r="FP27" s="147"/>
      <c r="FQ27" s="147"/>
      <c r="FR27" s="147"/>
      <c r="FS27" s="147"/>
      <c r="FT27" s="147"/>
      <c r="FU27" s="147"/>
      <c r="FV27" s="147"/>
      <c r="FW27" s="147"/>
      <c r="FX27" s="147"/>
      <c r="FY27" s="147"/>
      <c r="FZ27" s="147"/>
      <c r="GA27" s="147"/>
      <c r="GB27" s="147"/>
      <c r="GC27" s="147"/>
      <c r="GD27" s="147"/>
      <c r="GE27" s="147"/>
      <c r="GF27" s="147"/>
      <c r="GG27" s="147"/>
      <c r="GH27" s="147"/>
      <c r="GI27" s="147"/>
      <c r="GJ27" s="147"/>
      <c r="GK27" s="147"/>
      <c r="GL27" s="147"/>
      <c r="GM27" s="147"/>
      <c r="GN27" s="147"/>
      <c r="GO27" s="147"/>
      <c r="GP27" s="147"/>
      <c r="GQ27" s="147"/>
      <c r="GR27" s="147"/>
      <c r="GS27" s="147"/>
      <c r="GT27" s="147"/>
      <c r="GU27" s="147"/>
      <c r="GV27" s="147"/>
      <c r="GW27" s="147"/>
      <c r="GX27" s="147"/>
      <c r="GY27" s="147"/>
      <c r="GZ27" s="147"/>
      <c r="HA27" s="147"/>
      <c r="HB27" s="147"/>
      <c r="HC27" s="147"/>
      <c r="HD27" s="147"/>
      <c r="HE27" s="147"/>
      <c r="HF27" s="147"/>
      <c r="HG27" s="147"/>
      <c r="HH27" s="147"/>
      <c r="HI27" s="147"/>
      <c r="HJ27" s="147"/>
      <c r="HK27" s="147"/>
      <c r="HL27" s="147"/>
      <c r="HM27" s="147"/>
      <c r="HN27" s="147"/>
      <c r="HO27" s="147"/>
      <c r="HP27" s="147"/>
      <c r="HQ27" s="147"/>
      <c r="HR27" s="147"/>
      <c r="HS27" s="147"/>
      <c r="HT27" s="147"/>
      <c r="HU27" s="147"/>
      <c r="HV27" s="147"/>
      <c r="HW27" s="147"/>
      <c r="HX27" s="147"/>
      <c r="HY27" s="147"/>
      <c r="HZ27" s="147"/>
      <c r="IA27" s="147"/>
      <c r="IB27" s="147"/>
      <c r="IC27" s="147"/>
      <c r="ID27" s="147"/>
      <c r="IE27" s="147"/>
      <c r="IF27" s="147"/>
      <c r="IG27" s="147"/>
      <c r="IH27" s="147"/>
      <c r="II27" s="147"/>
      <c r="IJ27" s="147"/>
      <c r="IK27" s="147"/>
      <c r="IL27" s="147"/>
      <c r="IM27" s="147"/>
      <c r="IN27" s="147"/>
      <c r="IO27" s="147"/>
      <c r="IP27" s="147"/>
      <c r="IQ27" s="147"/>
      <c r="IR27" s="147"/>
      <c r="IS27" s="147"/>
      <c r="IT27" s="147"/>
      <c r="IU27" s="147"/>
      <c r="IV27" s="147"/>
      <c r="IW27" s="147"/>
      <c r="IX27" s="147"/>
    </row>
    <row r="28" spans="1:258" s="69" customFormat="1" ht="20.100000000000001" customHeight="1" x14ac:dyDescent="0.25">
      <c r="A28" s="77">
        <f t="shared" si="0"/>
        <v>21</v>
      </c>
      <c r="B28" s="73">
        <v>0.875</v>
      </c>
      <c r="C28" s="148"/>
      <c r="D28" s="218" t="s">
        <v>605</v>
      </c>
      <c r="E28" s="218" t="s">
        <v>605</v>
      </c>
      <c r="F28" s="218" t="s">
        <v>605</v>
      </c>
      <c r="G28" s="218" t="s">
        <v>605</v>
      </c>
      <c r="H28" s="148"/>
      <c r="I28" s="148"/>
      <c r="J28" s="148"/>
      <c r="K28" s="148"/>
      <c r="L28" s="60"/>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c r="AS28" s="148"/>
      <c r="AT28" s="148"/>
      <c r="AU28" s="148"/>
      <c r="AV28" s="148"/>
      <c r="AW28" s="148"/>
      <c r="AX28" s="148"/>
      <c r="AY28" s="148"/>
      <c r="AZ28" s="148"/>
      <c r="BA28" s="148"/>
      <c r="BB28" s="148"/>
      <c r="BC28" s="148"/>
      <c r="BD28" s="148"/>
      <c r="BE28" s="148"/>
      <c r="BF28" s="148"/>
      <c r="BG28" s="148"/>
      <c r="BH28" s="148"/>
      <c r="BI28" s="148"/>
      <c r="BJ28" s="148"/>
      <c r="BK28" s="148"/>
      <c r="BL28" s="148"/>
      <c r="BM28" s="148"/>
      <c r="BN28" s="148"/>
      <c r="BO28" s="148"/>
      <c r="BP28" s="148"/>
      <c r="BQ28" s="148"/>
      <c r="BR28" s="148"/>
      <c r="BS28" s="148"/>
      <c r="BT28" s="148"/>
      <c r="BU28" s="148"/>
      <c r="BV28" s="148"/>
      <c r="BW28" s="148"/>
      <c r="BX28" s="148"/>
      <c r="BY28" s="148"/>
      <c r="BZ28" s="148"/>
      <c r="CA28" s="148"/>
      <c r="CB28" s="148"/>
      <c r="CC28" s="148"/>
      <c r="CD28" s="148"/>
      <c r="CE28" s="148"/>
      <c r="CF28" s="148"/>
      <c r="CG28" s="148"/>
      <c r="CH28" s="14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c r="DN28" s="148"/>
      <c r="DO28" s="148"/>
      <c r="DP28" s="148"/>
      <c r="DQ28" s="148"/>
      <c r="DR28" s="148"/>
      <c r="DS28" s="148"/>
      <c r="DT28" s="148"/>
      <c r="DU28" s="148"/>
      <c r="DV28" s="148"/>
      <c r="DW28" s="148"/>
      <c r="DX28" s="148"/>
      <c r="DY28" s="148"/>
      <c r="DZ28" s="148"/>
      <c r="EA28" s="148"/>
      <c r="EB28" s="148"/>
      <c r="EC28" s="148"/>
      <c r="ED28" s="148"/>
      <c r="EE28" s="148"/>
      <c r="EF28" s="148"/>
      <c r="EG28" s="148"/>
      <c r="EH28" s="148"/>
      <c r="EI28" s="148"/>
      <c r="EJ28" s="148"/>
      <c r="EK28" s="148"/>
      <c r="EL28" s="148"/>
      <c r="EM28" s="148"/>
      <c r="EN28" s="148"/>
      <c r="EO28" s="148"/>
      <c r="EP28" s="148"/>
      <c r="EQ28" s="148"/>
      <c r="ER28" s="148"/>
      <c r="ES28" s="148"/>
      <c r="ET28" s="148"/>
      <c r="EU28" s="148"/>
      <c r="EV28" s="148"/>
      <c r="EW28" s="148"/>
      <c r="EX28" s="148"/>
      <c r="EY28" s="148"/>
      <c r="EZ28" s="148"/>
      <c r="FA28" s="148"/>
      <c r="FB28" s="148"/>
      <c r="FC28" s="148"/>
      <c r="FD28" s="148"/>
      <c r="FE28" s="148"/>
      <c r="FF28" s="148"/>
      <c r="FG28" s="148"/>
      <c r="FH28" s="148"/>
      <c r="FI28" s="148"/>
      <c r="FJ28" s="148"/>
      <c r="FK28" s="148"/>
      <c r="FL28" s="148"/>
      <c r="FM28" s="148"/>
      <c r="FN28" s="148"/>
      <c r="FO28" s="148"/>
      <c r="FP28" s="148"/>
      <c r="FQ28" s="148"/>
      <c r="FR28" s="148"/>
      <c r="FS28" s="148"/>
      <c r="FT28" s="148"/>
      <c r="FU28" s="148"/>
      <c r="FV28" s="148"/>
      <c r="FW28" s="148"/>
      <c r="FX28" s="148"/>
      <c r="FY28" s="148"/>
      <c r="FZ28" s="148"/>
      <c r="GA28" s="148"/>
      <c r="GB28" s="148"/>
      <c r="GC28" s="148"/>
      <c r="GD28" s="148"/>
      <c r="GE28" s="148"/>
      <c r="GF28" s="148"/>
      <c r="GG28" s="148"/>
      <c r="GH28" s="148"/>
      <c r="GI28" s="148"/>
      <c r="GJ28" s="148"/>
      <c r="GK28" s="148"/>
      <c r="GL28" s="148"/>
      <c r="GM28" s="148"/>
      <c r="GN28" s="148"/>
      <c r="GO28" s="148"/>
      <c r="GP28" s="148"/>
      <c r="GQ28" s="148"/>
      <c r="GR28" s="148"/>
      <c r="GS28" s="148"/>
      <c r="GT28" s="148"/>
      <c r="GU28" s="148"/>
      <c r="GV28" s="148"/>
      <c r="GW28" s="148"/>
      <c r="GX28" s="148"/>
      <c r="GY28" s="148"/>
      <c r="GZ28" s="148"/>
      <c r="HA28" s="148"/>
      <c r="HB28" s="148"/>
      <c r="HC28" s="148"/>
      <c r="HD28" s="148"/>
      <c r="HE28" s="148"/>
      <c r="HF28" s="148"/>
      <c r="HG28" s="148"/>
      <c r="HH28" s="148"/>
      <c r="HI28" s="148"/>
      <c r="HJ28" s="148"/>
      <c r="HK28" s="148"/>
      <c r="HL28" s="148"/>
      <c r="HM28" s="148"/>
      <c r="HN28" s="148"/>
      <c r="HO28" s="148"/>
      <c r="HP28" s="148"/>
      <c r="HQ28" s="148"/>
      <c r="HR28" s="148"/>
      <c r="HS28" s="148"/>
      <c r="HT28" s="148"/>
      <c r="HU28" s="148"/>
      <c r="HV28" s="148"/>
      <c r="HW28" s="148"/>
      <c r="HX28" s="148"/>
      <c r="HY28" s="148"/>
      <c r="HZ28" s="148"/>
      <c r="IA28" s="148"/>
      <c r="IB28" s="148"/>
      <c r="IC28" s="148"/>
      <c r="ID28" s="148"/>
      <c r="IE28" s="148"/>
      <c r="IF28" s="148"/>
      <c r="IG28" s="148"/>
      <c r="IH28" s="148"/>
      <c r="II28" s="148"/>
      <c r="IJ28" s="148"/>
      <c r="IK28" s="148"/>
      <c r="IL28" s="148"/>
      <c r="IM28" s="148"/>
      <c r="IN28" s="148"/>
      <c r="IO28" s="148"/>
      <c r="IP28" s="148"/>
      <c r="IQ28" s="148"/>
      <c r="IR28" s="148"/>
      <c r="IS28" s="148"/>
      <c r="IT28" s="148"/>
      <c r="IU28" s="148"/>
      <c r="IV28" s="148"/>
      <c r="IW28" s="148"/>
      <c r="IX28" s="148"/>
    </row>
    <row r="29" spans="1:258" ht="20.100000000000001" customHeight="1" x14ac:dyDescent="0.25">
      <c r="A29" s="77">
        <f t="shared" si="0"/>
        <v>22</v>
      </c>
      <c r="B29" s="73">
        <v>0.91666666666666696</v>
      </c>
      <c r="C29" s="147"/>
      <c r="D29" s="218" t="s">
        <v>606</v>
      </c>
      <c r="E29" s="218" t="s">
        <v>606</v>
      </c>
      <c r="F29" s="218" t="s">
        <v>606</v>
      </c>
      <c r="G29" s="218" t="s">
        <v>606</v>
      </c>
      <c r="H29" s="147"/>
      <c r="I29" s="147"/>
      <c r="J29" s="147"/>
      <c r="K29" s="147"/>
      <c r="L29" s="60"/>
      <c r="M29" s="147"/>
      <c r="N29" s="147"/>
      <c r="O29" s="147"/>
      <c r="P29" s="147"/>
      <c r="Q29" s="147"/>
      <c r="R29" s="147"/>
      <c r="S29" s="147"/>
      <c r="T29" s="147"/>
      <c r="U29" s="147"/>
      <c r="V29" s="147"/>
      <c r="W29" s="147"/>
      <c r="X29" s="147"/>
      <c r="Y29" s="147"/>
      <c r="Z29" s="147"/>
      <c r="AA29" s="147"/>
      <c r="AB29" s="147"/>
      <c r="AC29" s="147"/>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47"/>
      <c r="BL29" s="147"/>
      <c r="BM29" s="147"/>
      <c r="BN29" s="147"/>
      <c r="BO29" s="147"/>
      <c r="BP29" s="147"/>
      <c r="BQ29" s="147"/>
      <c r="BR29" s="147"/>
      <c r="BS29" s="147"/>
      <c r="BT29" s="147"/>
      <c r="BU29" s="147"/>
      <c r="BV29" s="147"/>
      <c r="BW29" s="147"/>
      <c r="BX29" s="147"/>
      <c r="BY29" s="147"/>
      <c r="BZ29" s="147"/>
      <c r="CA29" s="147"/>
      <c r="CB29" s="147"/>
      <c r="CC29" s="147"/>
      <c r="CD29" s="147"/>
      <c r="CE29" s="147"/>
      <c r="CF29" s="147"/>
      <c r="CG29" s="147"/>
      <c r="CH29" s="147"/>
      <c r="CI29" s="147"/>
      <c r="CJ29" s="147"/>
      <c r="CK29" s="147"/>
      <c r="CL29" s="147"/>
      <c r="CM29" s="147"/>
      <c r="CN29" s="147"/>
      <c r="CO29" s="147"/>
      <c r="CP29" s="147"/>
      <c r="CQ29" s="147"/>
      <c r="CR29" s="147"/>
      <c r="CS29" s="147"/>
      <c r="CT29" s="147"/>
      <c r="CU29" s="147"/>
      <c r="CV29" s="147"/>
      <c r="CW29" s="147"/>
      <c r="CX29" s="147"/>
      <c r="CY29" s="147"/>
      <c r="CZ29" s="147"/>
      <c r="DA29" s="147"/>
      <c r="DB29" s="147"/>
      <c r="DC29" s="147"/>
      <c r="DD29" s="147"/>
      <c r="DE29" s="147"/>
      <c r="DF29" s="147"/>
      <c r="DG29" s="147"/>
      <c r="DH29" s="147"/>
      <c r="DI29" s="147"/>
      <c r="DJ29" s="147"/>
      <c r="DK29" s="147"/>
      <c r="DL29" s="147"/>
      <c r="DM29" s="147"/>
      <c r="DN29" s="147"/>
      <c r="DO29" s="147"/>
      <c r="DP29" s="147"/>
      <c r="DQ29" s="147"/>
      <c r="DR29" s="147"/>
      <c r="DS29" s="147"/>
      <c r="DT29" s="147"/>
      <c r="DU29" s="147"/>
      <c r="DV29" s="147"/>
      <c r="DW29" s="147"/>
      <c r="DX29" s="147"/>
      <c r="DY29" s="147"/>
      <c r="DZ29" s="147"/>
      <c r="EA29" s="147"/>
      <c r="EB29" s="147"/>
      <c r="EC29" s="147"/>
      <c r="ED29" s="147"/>
      <c r="EE29" s="147"/>
      <c r="EF29" s="147"/>
      <c r="EG29" s="147"/>
      <c r="EH29" s="147"/>
      <c r="EI29" s="147"/>
      <c r="EJ29" s="147"/>
      <c r="EK29" s="147"/>
      <c r="EL29" s="147"/>
      <c r="EM29" s="147"/>
      <c r="EN29" s="147"/>
      <c r="EO29" s="147"/>
      <c r="EP29" s="147"/>
      <c r="EQ29" s="147"/>
      <c r="ER29" s="147"/>
      <c r="ES29" s="147"/>
      <c r="ET29" s="147"/>
      <c r="EU29" s="147"/>
      <c r="EV29" s="147"/>
      <c r="EW29" s="147"/>
      <c r="EX29" s="147"/>
      <c r="EY29" s="147"/>
      <c r="EZ29" s="147"/>
      <c r="FA29" s="147"/>
      <c r="FB29" s="147"/>
      <c r="FC29" s="147"/>
      <c r="FD29" s="147"/>
      <c r="FE29" s="147"/>
      <c r="FF29" s="147"/>
      <c r="FG29" s="147"/>
      <c r="FH29" s="147"/>
      <c r="FI29" s="147"/>
      <c r="FJ29" s="147"/>
      <c r="FK29" s="147"/>
      <c r="FL29" s="147"/>
      <c r="FM29" s="147"/>
      <c r="FN29" s="147"/>
      <c r="FO29" s="147"/>
      <c r="FP29" s="147"/>
      <c r="FQ29" s="147"/>
      <c r="FR29" s="147"/>
      <c r="FS29" s="147"/>
      <c r="FT29" s="147"/>
      <c r="FU29" s="147"/>
      <c r="FV29" s="147"/>
      <c r="FW29" s="147"/>
      <c r="FX29" s="147"/>
      <c r="FY29" s="147"/>
      <c r="FZ29" s="147"/>
      <c r="GA29" s="147"/>
      <c r="GB29" s="147"/>
      <c r="GC29" s="147"/>
      <c r="GD29" s="147"/>
      <c r="GE29" s="147"/>
      <c r="GF29" s="147"/>
      <c r="GG29" s="147"/>
      <c r="GH29" s="147"/>
      <c r="GI29" s="147"/>
      <c r="GJ29" s="147"/>
      <c r="GK29" s="147"/>
      <c r="GL29" s="147"/>
      <c r="GM29" s="147"/>
      <c r="GN29" s="147"/>
      <c r="GO29" s="147"/>
      <c r="GP29" s="147"/>
      <c r="GQ29" s="147"/>
      <c r="GR29" s="147"/>
      <c r="GS29" s="147"/>
      <c r="GT29" s="147"/>
      <c r="GU29" s="147"/>
      <c r="GV29" s="147"/>
      <c r="GW29" s="147"/>
      <c r="GX29" s="147"/>
      <c r="GY29" s="147"/>
      <c r="GZ29" s="147"/>
      <c r="HA29" s="147"/>
      <c r="HB29" s="147"/>
      <c r="HC29" s="147"/>
      <c r="HD29" s="147"/>
      <c r="HE29" s="147"/>
      <c r="HF29" s="147"/>
      <c r="HG29" s="147"/>
      <c r="HH29" s="147"/>
      <c r="HI29" s="147"/>
      <c r="HJ29" s="147"/>
      <c r="HK29" s="147"/>
      <c r="HL29" s="147"/>
      <c r="HM29" s="147"/>
      <c r="HN29" s="147"/>
      <c r="HO29" s="147"/>
      <c r="HP29" s="147"/>
      <c r="HQ29" s="147"/>
      <c r="HR29" s="147"/>
      <c r="HS29" s="147"/>
      <c r="HT29" s="147"/>
      <c r="HU29" s="147"/>
      <c r="HV29" s="147"/>
      <c r="HW29" s="147"/>
      <c r="HX29" s="147"/>
      <c r="HY29" s="147"/>
      <c r="HZ29" s="147"/>
      <c r="IA29" s="147"/>
      <c r="IB29" s="147"/>
      <c r="IC29" s="147"/>
      <c r="ID29" s="147"/>
      <c r="IE29" s="147"/>
      <c r="IF29" s="147"/>
      <c r="IG29" s="147"/>
      <c r="IH29" s="147"/>
      <c r="II29" s="147"/>
      <c r="IJ29" s="147"/>
      <c r="IK29" s="147"/>
      <c r="IL29" s="147"/>
      <c r="IM29" s="147"/>
      <c r="IN29" s="147"/>
      <c r="IO29" s="147"/>
      <c r="IP29" s="147"/>
      <c r="IQ29" s="147"/>
      <c r="IR29" s="147"/>
      <c r="IS29" s="147"/>
      <c r="IT29" s="147"/>
      <c r="IU29" s="147"/>
      <c r="IV29" s="147"/>
      <c r="IW29" s="147"/>
      <c r="IX29" s="147"/>
    </row>
    <row r="30" spans="1:258" ht="20.100000000000001" customHeight="1" x14ac:dyDescent="0.25">
      <c r="A30" s="77">
        <f t="shared" si="0"/>
        <v>23</v>
      </c>
      <c r="B30" s="73">
        <v>0.95833333333333304</v>
      </c>
      <c r="C30" s="147"/>
      <c r="D30" s="147"/>
      <c r="E30" s="147"/>
      <c r="F30" s="147"/>
      <c r="G30" s="147"/>
      <c r="H30" s="147"/>
      <c r="I30" s="147"/>
      <c r="J30" s="147"/>
      <c r="K30" s="147"/>
      <c r="L30" s="60"/>
      <c r="M30" s="147"/>
      <c r="N30" s="147"/>
      <c r="O30" s="147"/>
      <c r="P30" s="147"/>
      <c r="Q30" s="147"/>
      <c r="R30" s="147"/>
      <c r="S30" s="147"/>
      <c r="T30" s="147"/>
      <c r="U30" s="147"/>
      <c r="V30" s="147"/>
      <c r="W30" s="147"/>
      <c r="X30" s="147"/>
      <c r="Y30" s="147"/>
      <c r="Z30" s="147"/>
      <c r="AA30" s="147"/>
      <c r="AB30" s="147"/>
      <c r="AC30" s="147"/>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47"/>
      <c r="BL30" s="147"/>
      <c r="BM30" s="147"/>
      <c r="BN30" s="147"/>
      <c r="BO30" s="147"/>
      <c r="BP30" s="147"/>
      <c r="BQ30" s="147"/>
      <c r="BR30" s="147"/>
      <c r="BS30" s="147"/>
      <c r="BT30" s="147"/>
      <c r="BU30" s="147"/>
      <c r="BV30" s="147"/>
      <c r="BW30" s="147"/>
      <c r="BX30" s="147"/>
      <c r="BY30" s="147"/>
      <c r="BZ30" s="147"/>
      <c r="CA30" s="147"/>
      <c r="CB30" s="147"/>
      <c r="CC30" s="147"/>
      <c r="CD30" s="147"/>
      <c r="CE30" s="147"/>
      <c r="CF30" s="147"/>
      <c r="CG30" s="147"/>
      <c r="CH30" s="147"/>
      <c r="CI30" s="147"/>
      <c r="CJ30" s="147"/>
      <c r="CK30" s="147"/>
      <c r="CL30" s="147"/>
      <c r="CM30" s="147"/>
      <c r="CN30" s="147"/>
      <c r="CO30" s="147"/>
      <c r="CP30" s="147"/>
      <c r="CQ30" s="147"/>
      <c r="CR30" s="147"/>
      <c r="CS30" s="147"/>
      <c r="CT30" s="147"/>
      <c r="CU30" s="147"/>
      <c r="CV30" s="147"/>
      <c r="CW30" s="147"/>
      <c r="CX30" s="147"/>
      <c r="CY30" s="147"/>
      <c r="CZ30" s="147"/>
      <c r="DA30" s="147"/>
      <c r="DB30" s="147"/>
      <c r="DC30" s="147"/>
      <c r="DD30" s="147"/>
      <c r="DE30" s="147"/>
      <c r="DF30" s="147"/>
      <c r="DG30" s="147"/>
      <c r="DH30" s="147"/>
      <c r="DI30" s="147"/>
      <c r="DJ30" s="147"/>
      <c r="DK30" s="147"/>
      <c r="DL30" s="147"/>
      <c r="DM30" s="147"/>
      <c r="DN30" s="147"/>
      <c r="DO30" s="147"/>
      <c r="DP30" s="147"/>
      <c r="DQ30" s="147"/>
      <c r="DR30" s="147"/>
      <c r="DS30" s="147"/>
      <c r="DT30" s="147"/>
      <c r="DU30" s="147"/>
      <c r="DV30" s="147"/>
      <c r="DW30" s="147"/>
      <c r="DX30" s="147"/>
      <c r="DY30" s="147"/>
      <c r="DZ30" s="147"/>
      <c r="EA30" s="147"/>
      <c r="EB30" s="147"/>
      <c r="EC30" s="147"/>
      <c r="ED30" s="147"/>
      <c r="EE30" s="147"/>
      <c r="EF30" s="147"/>
      <c r="EG30" s="147"/>
      <c r="EH30" s="147"/>
      <c r="EI30" s="147"/>
      <c r="EJ30" s="147"/>
      <c r="EK30" s="147"/>
      <c r="EL30" s="147"/>
      <c r="EM30" s="147"/>
      <c r="EN30" s="147"/>
      <c r="EO30" s="147"/>
      <c r="EP30" s="147"/>
      <c r="EQ30" s="147"/>
      <c r="ER30" s="147"/>
      <c r="ES30" s="147"/>
      <c r="ET30" s="147"/>
      <c r="EU30" s="147"/>
      <c r="EV30" s="147"/>
      <c r="EW30" s="147"/>
      <c r="EX30" s="147"/>
      <c r="EY30" s="147"/>
      <c r="EZ30" s="147"/>
      <c r="FA30" s="147"/>
      <c r="FB30" s="147"/>
      <c r="FC30" s="147"/>
      <c r="FD30" s="147"/>
      <c r="FE30" s="147"/>
      <c r="FF30" s="147"/>
      <c r="FG30" s="147"/>
      <c r="FH30" s="147"/>
      <c r="FI30" s="147"/>
      <c r="FJ30" s="147"/>
      <c r="FK30" s="147"/>
      <c r="FL30" s="147"/>
      <c r="FM30" s="147"/>
      <c r="FN30" s="147"/>
      <c r="FO30" s="147"/>
      <c r="FP30" s="147"/>
      <c r="FQ30" s="147"/>
      <c r="FR30" s="147"/>
      <c r="FS30" s="147"/>
      <c r="FT30" s="147"/>
      <c r="FU30" s="147"/>
      <c r="FV30" s="147"/>
      <c r="FW30" s="147"/>
      <c r="FX30" s="147"/>
      <c r="FY30" s="147"/>
      <c r="FZ30" s="147"/>
      <c r="GA30" s="147"/>
      <c r="GB30" s="147"/>
      <c r="GC30" s="147"/>
      <c r="GD30" s="147"/>
      <c r="GE30" s="147"/>
      <c r="GF30" s="147"/>
      <c r="GG30" s="147"/>
      <c r="GH30" s="147"/>
      <c r="GI30" s="147"/>
      <c r="GJ30" s="147"/>
      <c r="GK30" s="147"/>
      <c r="GL30" s="147"/>
      <c r="GM30" s="147"/>
      <c r="GN30" s="147"/>
      <c r="GO30" s="147"/>
      <c r="GP30" s="147"/>
      <c r="GQ30" s="147"/>
      <c r="GR30" s="147"/>
      <c r="GS30" s="147"/>
      <c r="GT30" s="147"/>
      <c r="GU30" s="147"/>
      <c r="GV30" s="147"/>
      <c r="GW30" s="147"/>
      <c r="GX30" s="147"/>
      <c r="GY30" s="147"/>
      <c r="GZ30" s="147"/>
      <c r="HA30" s="147"/>
      <c r="HB30" s="147"/>
      <c r="HC30" s="147"/>
      <c r="HD30" s="147"/>
      <c r="HE30" s="147"/>
      <c r="HF30" s="147"/>
      <c r="HG30" s="147"/>
      <c r="HH30" s="147"/>
      <c r="HI30" s="147"/>
      <c r="HJ30" s="147"/>
      <c r="HK30" s="147"/>
      <c r="HL30" s="147"/>
      <c r="HM30" s="147"/>
      <c r="HN30" s="147"/>
      <c r="HO30" s="147"/>
      <c r="HP30" s="147"/>
      <c r="HQ30" s="147"/>
      <c r="HR30" s="147"/>
      <c r="HS30" s="147"/>
      <c r="HT30" s="147"/>
      <c r="HU30" s="147"/>
      <c r="HV30" s="147"/>
      <c r="HW30" s="147"/>
      <c r="HX30" s="147"/>
      <c r="HY30" s="147"/>
      <c r="HZ30" s="147"/>
      <c r="IA30" s="147"/>
      <c r="IB30" s="147"/>
      <c r="IC30" s="147"/>
      <c r="ID30" s="147"/>
      <c r="IE30" s="147"/>
      <c r="IF30" s="147"/>
      <c r="IG30" s="147"/>
      <c r="IH30" s="147"/>
      <c r="II30" s="147"/>
      <c r="IJ30" s="147"/>
      <c r="IK30" s="147"/>
      <c r="IL30" s="147"/>
      <c r="IM30" s="147"/>
      <c r="IN30" s="147"/>
      <c r="IO30" s="147"/>
      <c r="IP30" s="147"/>
      <c r="IQ30" s="147"/>
      <c r="IR30" s="147"/>
      <c r="IS30" s="147"/>
      <c r="IT30" s="147"/>
      <c r="IU30" s="147"/>
      <c r="IV30" s="147"/>
      <c r="IW30" s="147"/>
      <c r="IX30" s="147"/>
    </row>
    <row r="31" spans="1:258" s="76" customFormat="1" ht="37.5" customHeight="1" x14ac:dyDescent="0.25">
      <c r="B31" s="149" t="s">
        <v>396</v>
      </c>
      <c r="C31" s="217">
        <f t="shared" ref="C31:G31" si="1">SUM(C7:C30)</f>
        <v>0</v>
      </c>
      <c r="D31" s="217">
        <f t="shared" si="1"/>
        <v>0</v>
      </c>
      <c r="E31" s="217">
        <f t="shared" si="1"/>
        <v>0</v>
      </c>
      <c r="F31" s="217">
        <f t="shared" si="1"/>
        <v>0</v>
      </c>
      <c r="G31" s="217">
        <f t="shared" si="1"/>
        <v>0</v>
      </c>
      <c r="H31" s="217">
        <f t="shared" ref="H31:AM31" si="2">SUM(H7:H30)</f>
        <v>0</v>
      </c>
      <c r="I31" s="217">
        <f t="shared" si="2"/>
        <v>0</v>
      </c>
      <c r="J31" s="217">
        <f t="shared" si="2"/>
        <v>0</v>
      </c>
      <c r="K31" s="217">
        <f t="shared" si="2"/>
        <v>0</v>
      </c>
      <c r="L31" s="217">
        <f t="shared" si="2"/>
        <v>0</v>
      </c>
      <c r="M31" s="217">
        <f t="shared" si="2"/>
        <v>0</v>
      </c>
      <c r="N31" s="217">
        <f t="shared" si="2"/>
        <v>0</v>
      </c>
      <c r="O31" s="217">
        <f t="shared" si="2"/>
        <v>0</v>
      </c>
      <c r="P31" s="217">
        <f t="shared" si="2"/>
        <v>0</v>
      </c>
      <c r="Q31" s="217">
        <f t="shared" si="2"/>
        <v>0</v>
      </c>
      <c r="R31" s="217">
        <f t="shared" si="2"/>
        <v>0</v>
      </c>
      <c r="S31" s="217">
        <f t="shared" si="2"/>
        <v>0</v>
      </c>
      <c r="T31" s="217">
        <f t="shared" si="2"/>
        <v>0</v>
      </c>
      <c r="U31" s="217">
        <f t="shared" si="2"/>
        <v>0</v>
      </c>
      <c r="V31" s="217">
        <f t="shared" si="2"/>
        <v>0</v>
      </c>
      <c r="W31" s="217">
        <f t="shared" si="2"/>
        <v>0</v>
      </c>
      <c r="X31" s="217">
        <f t="shared" si="2"/>
        <v>0</v>
      </c>
      <c r="Y31" s="217">
        <f t="shared" si="2"/>
        <v>0</v>
      </c>
      <c r="Z31" s="217">
        <f t="shared" si="2"/>
        <v>0</v>
      </c>
      <c r="AA31" s="217">
        <f t="shared" si="2"/>
        <v>0</v>
      </c>
      <c r="AB31" s="217">
        <f t="shared" si="2"/>
        <v>0</v>
      </c>
      <c r="AC31" s="217">
        <f t="shared" si="2"/>
        <v>0</v>
      </c>
      <c r="AD31" s="217">
        <f t="shared" si="2"/>
        <v>0</v>
      </c>
      <c r="AE31" s="217">
        <f t="shared" si="2"/>
        <v>0</v>
      </c>
      <c r="AF31" s="217">
        <f t="shared" si="2"/>
        <v>0</v>
      </c>
      <c r="AG31" s="217">
        <f t="shared" si="2"/>
        <v>0</v>
      </c>
      <c r="AH31" s="217">
        <f t="shared" si="2"/>
        <v>0</v>
      </c>
      <c r="AI31" s="217">
        <f t="shared" si="2"/>
        <v>0</v>
      </c>
      <c r="AJ31" s="217">
        <f t="shared" si="2"/>
        <v>0</v>
      </c>
      <c r="AK31" s="217">
        <f t="shared" si="2"/>
        <v>0</v>
      </c>
      <c r="AL31" s="217">
        <f t="shared" si="2"/>
        <v>0</v>
      </c>
      <c r="AM31" s="217">
        <f t="shared" si="2"/>
        <v>0</v>
      </c>
      <c r="AN31" s="217">
        <f t="shared" ref="AN31:BS31" si="3">SUM(AN7:AN30)</f>
        <v>0</v>
      </c>
      <c r="AO31" s="217">
        <f t="shared" si="3"/>
        <v>0</v>
      </c>
      <c r="AP31" s="217">
        <f t="shared" si="3"/>
        <v>0</v>
      </c>
      <c r="AQ31" s="217">
        <f t="shared" si="3"/>
        <v>0</v>
      </c>
      <c r="AR31" s="217">
        <f t="shared" si="3"/>
        <v>0</v>
      </c>
      <c r="AS31" s="217">
        <f t="shared" si="3"/>
        <v>0</v>
      </c>
      <c r="AT31" s="217">
        <f t="shared" si="3"/>
        <v>0</v>
      </c>
      <c r="AU31" s="217">
        <f t="shared" si="3"/>
        <v>0</v>
      </c>
      <c r="AV31" s="217">
        <f t="shared" si="3"/>
        <v>0</v>
      </c>
      <c r="AW31" s="217">
        <f t="shared" si="3"/>
        <v>0</v>
      </c>
      <c r="AX31" s="217">
        <f t="shared" si="3"/>
        <v>0</v>
      </c>
      <c r="AY31" s="217">
        <f t="shared" si="3"/>
        <v>0</v>
      </c>
      <c r="AZ31" s="217">
        <f t="shared" si="3"/>
        <v>0</v>
      </c>
      <c r="BA31" s="217">
        <f t="shared" si="3"/>
        <v>0</v>
      </c>
      <c r="BB31" s="217">
        <f t="shared" si="3"/>
        <v>0</v>
      </c>
      <c r="BC31" s="217">
        <f t="shared" si="3"/>
        <v>0</v>
      </c>
      <c r="BD31" s="217">
        <f t="shared" si="3"/>
        <v>0</v>
      </c>
      <c r="BE31" s="217">
        <f t="shared" si="3"/>
        <v>0</v>
      </c>
      <c r="BF31" s="217">
        <f t="shared" si="3"/>
        <v>0</v>
      </c>
      <c r="BG31" s="217">
        <f t="shared" si="3"/>
        <v>0</v>
      </c>
      <c r="BH31" s="217">
        <f t="shared" si="3"/>
        <v>0</v>
      </c>
      <c r="BI31" s="217">
        <f t="shared" si="3"/>
        <v>0</v>
      </c>
      <c r="BJ31" s="217">
        <f t="shared" si="3"/>
        <v>0</v>
      </c>
      <c r="BK31" s="217">
        <f t="shared" si="3"/>
        <v>0</v>
      </c>
      <c r="BL31" s="217">
        <f t="shared" si="3"/>
        <v>0</v>
      </c>
      <c r="BM31" s="217">
        <f t="shared" si="3"/>
        <v>0</v>
      </c>
      <c r="BN31" s="217">
        <f t="shared" si="3"/>
        <v>0</v>
      </c>
      <c r="BO31" s="217">
        <f t="shared" si="3"/>
        <v>0</v>
      </c>
      <c r="BP31" s="217">
        <f t="shared" si="3"/>
        <v>0</v>
      </c>
      <c r="BQ31" s="217">
        <f t="shared" si="3"/>
        <v>0</v>
      </c>
      <c r="BR31" s="217">
        <f t="shared" si="3"/>
        <v>0</v>
      </c>
      <c r="BS31" s="217">
        <f t="shared" si="3"/>
        <v>0</v>
      </c>
      <c r="BT31" s="217">
        <f t="shared" ref="BT31:CY31" si="4">SUM(BT7:BT30)</f>
        <v>0</v>
      </c>
      <c r="BU31" s="217">
        <f t="shared" si="4"/>
        <v>0</v>
      </c>
      <c r="BV31" s="217">
        <f t="shared" si="4"/>
        <v>0</v>
      </c>
      <c r="BW31" s="217">
        <f t="shared" si="4"/>
        <v>0</v>
      </c>
      <c r="BX31" s="217">
        <f t="shared" si="4"/>
        <v>0</v>
      </c>
      <c r="BY31" s="217">
        <f t="shared" si="4"/>
        <v>0</v>
      </c>
      <c r="BZ31" s="217">
        <f t="shared" si="4"/>
        <v>0</v>
      </c>
      <c r="CA31" s="217">
        <f t="shared" si="4"/>
        <v>0</v>
      </c>
      <c r="CB31" s="217">
        <f t="shared" si="4"/>
        <v>0</v>
      </c>
      <c r="CC31" s="217">
        <f t="shared" si="4"/>
        <v>0</v>
      </c>
      <c r="CD31" s="217">
        <f t="shared" si="4"/>
        <v>0</v>
      </c>
      <c r="CE31" s="217">
        <f t="shared" si="4"/>
        <v>0</v>
      </c>
      <c r="CF31" s="217">
        <f t="shared" si="4"/>
        <v>0</v>
      </c>
      <c r="CG31" s="217">
        <f t="shared" si="4"/>
        <v>0</v>
      </c>
      <c r="CH31" s="217">
        <f t="shared" si="4"/>
        <v>0</v>
      </c>
      <c r="CI31" s="217">
        <f t="shared" si="4"/>
        <v>0</v>
      </c>
      <c r="CJ31" s="217">
        <f t="shared" si="4"/>
        <v>0</v>
      </c>
      <c r="CK31" s="217">
        <f t="shared" si="4"/>
        <v>0</v>
      </c>
      <c r="CL31" s="217">
        <f t="shared" si="4"/>
        <v>0</v>
      </c>
      <c r="CM31" s="217">
        <f t="shared" si="4"/>
        <v>0</v>
      </c>
      <c r="CN31" s="217">
        <f t="shared" si="4"/>
        <v>0</v>
      </c>
      <c r="CO31" s="217">
        <f t="shared" si="4"/>
        <v>0</v>
      </c>
      <c r="CP31" s="217">
        <f t="shared" si="4"/>
        <v>0</v>
      </c>
      <c r="CQ31" s="217">
        <f t="shared" si="4"/>
        <v>0</v>
      </c>
      <c r="CR31" s="217">
        <f t="shared" si="4"/>
        <v>0</v>
      </c>
      <c r="CS31" s="217">
        <f t="shared" si="4"/>
        <v>0</v>
      </c>
      <c r="CT31" s="217">
        <f t="shared" si="4"/>
        <v>0</v>
      </c>
      <c r="CU31" s="217">
        <f t="shared" si="4"/>
        <v>0</v>
      </c>
      <c r="CV31" s="217">
        <f t="shared" si="4"/>
        <v>0</v>
      </c>
      <c r="CW31" s="217">
        <f t="shared" si="4"/>
        <v>0</v>
      </c>
      <c r="CX31" s="217">
        <f t="shared" si="4"/>
        <v>0</v>
      </c>
      <c r="CY31" s="217">
        <f t="shared" si="4"/>
        <v>0</v>
      </c>
      <c r="CZ31" s="217">
        <f t="shared" ref="CZ31:DV31" si="5">SUM(CZ7:CZ30)</f>
        <v>0</v>
      </c>
      <c r="DA31" s="217">
        <f t="shared" si="5"/>
        <v>0</v>
      </c>
      <c r="DB31" s="217">
        <f t="shared" si="5"/>
        <v>0</v>
      </c>
      <c r="DC31" s="217">
        <f t="shared" si="5"/>
        <v>0</v>
      </c>
      <c r="DD31" s="217">
        <f t="shared" si="5"/>
        <v>0</v>
      </c>
      <c r="DE31" s="217">
        <f t="shared" si="5"/>
        <v>0</v>
      </c>
      <c r="DF31" s="217">
        <f t="shared" si="5"/>
        <v>0</v>
      </c>
      <c r="DG31" s="217">
        <f t="shared" si="5"/>
        <v>0</v>
      </c>
      <c r="DH31" s="217">
        <f t="shared" si="5"/>
        <v>0</v>
      </c>
      <c r="DI31" s="217">
        <f t="shared" si="5"/>
        <v>0</v>
      </c>
      <c r="DJ31" s="217">
        <f t="shared" si="5"/>
        <v>0</v>
      </c>
      <c r="DK31" s="217">
        <f t="shared" si="5"/>
        <v>0</v>
      </c>
      <c r="DL31" s="217">
        <f t="shared" si="5"/>
        <v>0</v>
      </c>
      <c r="DM31" s="217">
        <f t="shared" si="5"/>
        <v>0</v>
      </c>
      <c r="DN31" s="217">
        <f t="shared" si="5"/>
        <v>0</v>
      </c>
      <c r="DO31" s="217">
        <f t="shared" si="5"/>
        <v>0</v>
      </c>
      <c r="DP31" s="217">
        <f t="shared" si="5"/>
        <v>0</v>
      </c>
      <c r="DQ31" s="217">
        <f t="shared" si="5"/>
        <v>0</v>
      </c>
      <c r="DR31" s="217">
        <f t="shared" si="5"/>
        <v>0</v>
      </c>
      <c r="DS31" s="217">
        <f t="shared" si="5"/>
        <v>0</v>
      </c>
      <c r="DT31" s="217">
        <f t="shared" si="5"/>
        <v>0</v>
      </c>
      <c r="DU31" s="217">
        <f t="shared" si="5"/>
        <v>0</v>
      </c>
      <c r="DV31" s="217">
        <f t="shared" si="5"/>
        <v>0</v>
      </c>
      <c r="DW31" s="217"/>
      <c r="DX31" s="217"/>
      <c r="DY31" s="217"/>
      <c r="DZ31" s="217"/>
      <c r="EA31" s="217"/>
      <c r="EB31" s="217"/>
      <c r="EC31" s="217"/>
      <c r="ED31" s="217"/>
      <c r="EE31" s="217"/>
      <c r="EF31" s="217"/>
      <c r="EG31" s="217"/>
      <c r="EH31" s="217"/>
      <c r="EI31" s="217"/>
      <c r="EJ31" s="217"/>
      <c r="EK31" s="217"/>
      <c r="EL31" s="217"/>
      <c r="EM31" s="217"/>
      <c r="EN31" s="217"/>
      <c r="EO31" s="217"/>
      <c r="EP31" s="217"/>
      <c r="EQ31" s="217"/>
      <c r="ER31" s="217"/>
      <c r="ES31" s="217"/>
      <c r="ET31" s="217"/>
      <c r="EU31" s="217"/>
      <c r="EV31" s="217"/>
      <c r="EW31" s="217"/>
      <c r="EX31" s="217"/>
      <c r="EY31" s="217"/>
      <c r="EZ31" s="217"/>
      <c r="FA31" s="217"/>
      <c r="FB31" s="217"/>
      <c r="FC31" s="217"/>
      <c r="FD31" s="217"/>
      <c r="FE31" s="217"/>
      <c r="FF31" s="217"/>
      <c r="FG31" s="217"/>
      <c r="FH31" s="217"/>
      <c r="FI31" s="217"/>
      <c r="FJ31" s="217"/>
      <c r="FK31" s="217"/>
      <c r="FL31" s="217"/>
      <c r="FM31" s="217"/>
      <c r="FN31" s="217"/>
      <c r="FO31" s="217"/>
      <c r="FP31" s="217"/>
      <c r="FQ31" s="217"/>
      <c r="FR31" s="217"/>
      <c r="FS31" s="217"/>
      <c r="FT31" s="217"/>
      <c r="FU31" s="217"/>
      <c r="FV31" s="217"/>
      <c r="FW31" s="217"/>
      <c r="FX31" s="217"/>
      <c r="FY31" s="217"/>
      <c r="FZ31" s="217"/>
      <c r="GA31" s="217"/>
      <c r="GB31" s="217"/>
      <c r="GC31" s="217"/>
      <c r="GD31" s="217"/>
      <c r="GE31" s="217"/>
      <c r="GF31" s="217"/>
      <c r="GG31" s="217"/>
      <c r="GH31" s="217"/>
      <c r="GI31" s="217"/>
      <c r="GJ31" s="217"/>
      <c r="GK31" s="217"/>
      <c r="GL31" s="217"/>
      <c r="GM31" s="217"/>
      <c r="GN31" s="217"/>
      <c r="GO31" s="217"/>
      <c r="GP31" s="217"/>
      <c r="GQ31" s="217"/>
      <c r="GR31" s="217"/>
      <c r="GS31" s="217"/>
      <c r="GT31" s="217"/>
      <c r="GU31" s="217"/>
      <c r="GV31" s="217"/>
      <c r="GW31" s="217"/>
      <c r="GX31" s="217"/>
      <c r="GY31" s="217"/>
      <c r="GZ31" s="217"/>
      <c r="HA31" s="217"/>
      <c r="HB31" s="217"/>
      <c r="HC31" s="217"/>
      <c r="HD31" s="217"/>
      <c r="HE31" s="217"/>
      <c r="HF31" s="217"/>
      <c r="HG31" s="217"/>
      <c r="HH31" s="217"/>
      <c r="HI31" s="217"/>
      <c r="HJ31" s="217"/>
      <c r="HK31" s="217"/>
      <c r="HL31" s="217"/>
      <c r="HM31" s="217"/>
      <c r="HN31" s="217"/>
      <c r="HO31" s="217"/>
      <c r="HP31" s="217"/>
      <c r="HQ31" s="217"/>
      <c r="HR31" s="217"/>
      <c r="HS31" s="217"/>
      <c r="HT31" s="217"/>
      <c r="HU31" s="217"/>
      <c r="HV31" s="217"/>
      <c r="HW31" s="217"/>
      <c r="HX31" s="217"/>
      <c r="HY31" s="217"/>
      <c r="HZ31" s="217"/>
      <c r="IA31" s="217"/>
      <c r="IB31" s="217"/>
      <c r="IC31" s="217"/>
      <c r="ID31" s="217"/>
      <c r="IE31" s="217"/>
      <c r="IF31" s="217"/>
      <c r="IG31" s="217"/>
      <c r="IH31" s="217"/>
      <c r="II31" s="217"/>
      <c r="IJ31" s="217"/>
      <c r="IK31" s="217"/>
      <c r="IL31" s="217"/>
      <c r="IM31" s="217"/>
      <c r="IN31" s="217"/>
      <c r="IO31" s="217"/>
      <c r="IP31" s="217"/>
      <c r="IQ31" s="217"/>
      <c r="IR31" s="217"/>
      <c r="IS31" s="217"/>
      <c r="IT31" s="217"/>
      <c r="IU31" s="217"/>
      <c r="IV31" s="217"/>
      <c r="IW31" s="217"/>
      <c r="IX31" s="217"/>
    </row>
    <row r="32" spans="1:258" s="75" customFormat="1" x14ac:dyDescent="0.25">
      <c r="A32" s="76"/>
    </row>
    <row r="34" ht="39.950000000000003" customHeight="1" x14ac:dyDescent="0.25"/>
    <row r="38" ht="53.1" customHeight="1" x14ac:dyDescent="0.25"/>
    <row r="39" ht="50.1" customHeight="1" x14ac:dyDescent="0.25"/>
    <row r="40" ht="57" customHeight="1" x14ac:dyDescent="0.25"/>
    <row r="41" ht="60.95" customHeight="1" x14ac:dyDescent="0.25"/>
  </sheetData>
  <conditionalFormatting sqref="C7:Q30">
    <cfRule type="expression" dxfId="587" priority="1184">
      <formula xml:space="preserve"> INDIRECT(CHAR(COLUMN()+96) &amp; 4) = TODAY() * NOT(ISBLANK(INDIRECT(CHAR(COLUMN()+96) &amp; ROW())))</formula>
    </cfRule>
    <cfRule type="expression" dxfId="586" priority="1187">
      <formula xml:space="preserve"> INDIRECT(CHAR(COLUMN()+96) &amp; 4) = TODAY() * ISBLANK(INDIRECT(CHAR(COLUMN()+96) &amp; ROW()))</formula>
    </cfRule>
  </conditionalFormatting>
  <conditionalFormatting sqref="A4:XFD6">
    <cfRule type="timePeriod" dxfId="585" priority="1190" timePeriod="today">
      <formula>FLOOR(A4,1)=TODAY()</formula>
    </cfRule>
    <cfRule type="timePeriod" dxfId="584" priority="1191" timePeriod="tomorrow">
      <formula>FLOOR(A4,1)=TODAY()+1</formula>
    </cfRule>
    <cfRule type="timePeriod" dxfId="583" priority="1192" timePeriod="yesterday">
      <formula>FLOOR(A4,1)=TODAY()-1</formula>
    </cfRule>
  </conditionalFormatting>
  <conditionalFormatting sqref="A7:IX30">
    <cfRule type="expression" dxfId="582" priority="1163">
      <formula>INDIRECT("A"&amp;3) = INDIRECT("A"&amp;ROW())</formula>
    </cfRule>
  </conditionalFormatting>
  <conditionalFormatting sqref="A2:A3 A1:XFD1 B2:XFD2">
    <cfRule type="expression" dxfId="581" priority="1164">
      <formula xml:space="preserve"> INDIRECT(CHAR(COLUMN()+96) &amp; 4) = TODAY() * ISBLANK(INDIRECT(CHAR(COLUMN()+96) &amp; ROW()))</formula>
    </cfRule>
  </conditionalFormatting>
  <conditionalFormatting sqref="A31:XFD31 C7:IW30">
    <cfRule type="colorScale" priority="1175">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B120" zoomScaleNormal="100" workbookViewId="0">
      <selection activeCell="B135" sqref="B135"/>
    </sheetView>
  </sheetViews>
  <sheetFormatPr defaultColWidth="9.140625" defaultRowHeight="15" x14ac:dyDescent="0.25"/>
  <cols>
    <col min="1" max="1" width="9.140625" style="42"/>
    <col min="2" max="2" width="28.85546875" style="51" customWidth="1"/>
    <col min="3" max="3" width="81.140625" style="59" customWidth="1"/>
    <col min="4" max="4" width="77.5703125" style="59" customWidth="1"/>
    <col min="5" max="5" width="84.28515625" style="59" customWidth="1"/>
    <col min="6" max="6" width="18.85546875" style="64" customWidth="1"/>
    <col min="7" max="9" width="9.140625" style="1"/>
    <col min="10" max="10" width="255.57031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95" customHeight="1" x14ac:dyDescent="0.25">
      <c r="B8" s="80" t="s">
        <v>13</v>
      </c>
      <c r="C8" s="88" t="s">
        <v>9</v>
      </c>
      <c r="D8" s="88" t="s">
        <v>11</v>
      </c>
      <c r="E8" s="88" t="s">
        <v>8</v>
      </c>
      <c r="F8" s="89" t="s">
        <v>10</v>
      </c>
      <c r="G8" s="90"/>
      <c r="H8" s="90"/>
      <c r="I8" s="90"/>
      <c r="J8" s="45"/>
    </row>
    <row r="9" spans="1:10" ht="208.7" customHeight="1" x14ac:dyDescent="0.25">
      <c r="A9" s="42">
        <v>1</v>
      </c>
      <c r="B9" s="81">
        <v>43128</v>
      </c>
      <c r="C9" s="91" t="s">
        <v>16</v>
      </c>
      <c r="D9" s="87" t="s">
        <v>17</v>
      </c>
      <c r="E9" s="87" t="s">
        <v>18</v>
      </c>
      <c r="F9" s="92">
        <v>12.8</v>
      </c>
      <c r="G9" s="93"/>
      <c r="H9" s="93"/>
      <c r="I9" s="93"/>
      <c r="J9" s="94"/>
    </row>
    <row r="10" spans="1:10" ht="206.25" customHeight="1" x14ac:dyDescent="0.25">
      <c r="A10" s="42">
        <v>2</v>
      </c>
      <c r="B10" s="81">
        <v>43129</v>
      </c>
      <c r="C10" s="91" t="s">
        <v>19</v>
      </c>
      <c r="D10" s="87" t="s">
        <v>22</v>
      </c>
      <c r="E10" s="87" t="s">
        <v>20</v>
      </c>
      <c r="F10" s="92">
        <v>7.6</v>
      </c>
      <c r="G10" s="93"/>
      <c r="H10" s="93"/>
      <c r="I10" s="93"/>
      <c r="J10" s="94"/>
    </row>
    <row r="11" spans="1:10" ht="156.19999999999999" customHeight="1" x14ac:dyDescent="0.25">
      <c r="A11" s="42">
        <v>3</v>
      </c>
      <c r="B11" s="81">
        <v>43130</v>
      </c>
      <c r="C11" s="91" t="s">
        <v>23</v>
      </c>
      <c r="D11" s="87" t="s">
        <v>26</v>
      </c>
      <c r="E11" s="87"/>
      <c r="F11" s="92">
        <v>8</v>
      </c>
      <c r="G11" s="93"/>
      <c r="H11" s="93"/>
      <c r="I11" s="93"/>
      <c r="J11" s="94"/>
    </row>
    <row r="12" spans="1:10" ht="48" x14ac:dyDescent="0.25">
      <c r="A12" s="42">
        <v>4</v>
      </c>
      <c r="B12" s="81">
        <v>43131</v>
      </c>
      <c r="C12" s="91"/>
      <c r="D12" s="87" t="s">
        <v>24</v>
      </c>
      <c r="E12" s="87" t="s">
        <v>25</v>
      </c>
      <c r="F12" s="92">
        <v>14.5</v>
      </c>
      <c r="G12" s="93"/>
      <c r="H12" s="93"/>
      <c r="I12" s="93"/>
      <c r="J12" s="94"/>
    </row>
    <row r="13" spans="1:10" ht="323.25" customHeight="1" x14ac:dyDescent="0.25">
      <c r="A13" s="42">
        <v>5</v>
      </c>
      <c r="B13" s="81">
        <v>43132</v>
      </c>
      <c r="C13" s="91" t="s">
        <v>27</v>
      </c>
      <c r="D13" s="87" t="s">
        <v>29</v>
      </c>
      <c r="E13" s="87" t="s">
        <v>28</v>
      </c>
      <c r="F13" s="92">
        <v>15</v>
      </c>
      <c r="G13" s="93"/>
      <c r="H13" s="93"/>
      <c r="I13" s="93"/>
      <c r="J13" s="94"/>
    </row>
    <row r="14" spans="1:10" ht="36" x14ac:dyDescent="0.25">
      <c r="A14" s="42">
        <v>6</v>
      </c>
      <c r="B14" s="81">
        <v>43133</v>
      </c>
      <c r="C14" s="91" t="s">
        <v>30</v>
      </c>
      <c r="D14" s="87" t="s">
        <v>31</v>
      </c>
      <c r="E14" s="87"/>
      <c r="F14" s="92">
        <v>14.6</v>
      </c>
      <c r="G14" s="93"/>
      <c r="H14" s="93"/>
      <c r="I14" s="93"/>
      <c r="J14" s="94"/>
    </row>
    <row r="15" spans="1:10" ht="72" x14ac:dyDescent="0.25">
      <c r="A15" s="42">
        <v>7</v>
      </c>
      <c r="B15" s="81">
        <v>43134</v>
      </c>
      <c r="C15" s="95" t="s">
        <v>33</v>
      </c>
      <c r="D15" s="87" t="s">
        <v>32</v>
      </c>
      <c r="E15" s="87" t="s">
        <v>35</v>
      </c>
      <c r="F15" s="92">
        <v>11</v>
      </c>
      <c r="G15" s="93"/>
      <c r="H15" s="93"/>
      <c r="I15" s="93"/>
      <c r="J15" s="94"/>
    </row>
    <row r="16" spans="1:10" ht="60" x14ac:dyDescent="0.25">
      <c r="A16" s="42">
        <v>8</v>
      </c>
      <c r="B16" s="81">
        <v>43135</v>
      </c>
      <c r="C16" s="91" t="s">
        <v>34</v>
      </c>
      <c r="D16" s="87" t="s">
        <v>36</v>
      </c>
      <c r="E16" s="87" t="s">
        <v>37</v>
      </c>
      <c r="F16" s="92">
        <v>18.25</v>
      </c>
      <c r="G16" s="93"/>
      <c r="H16" s="93"/>
      <c r="I16" s="93"/>
      <c r="J16" s="94"/>
    </row>
    <row r="17" spans="1:10" ht="36" x14ac:dyDescent="0.25">
      <c r="A17" s="42">
        <v>9</v>
      </c>
      <c r="B17" s="81">
        <v>43136</v>
      </c>
      <c r="C17" s="91" t="s">
        <v>39</v>
      </c>
      <c r="D17" s="87" t="s">
        <v>38</v>
      </c>
      <c r="E17" s="87" t="s">
        <v>41</v>
      </c>
      <c r="F17" s="92">
        <v>18.25</v>
      </c>
      <c r="G17" s="93"/>
      <c r="H17" s="93"/>
      <c r="I17" s="93"/>
      <c r="J17" s="94"/>
    </row>
    <row r="18" spans="1:10" ht="36" x14ac:dyDescent="0.25">
      <c r="A18" s="42">
        <v>10</v>
      </c>
      <c r="B18" s="81">
        <v>43137</v>
      </c>
      <c r="C18" s="91" t="s">
        <v>42</v>
      </c>
      <c r="D18" s="87" t="s">
        <v>43</v>
      </c>
      <c r="E18" s="87" t="s">
        <v>44</v>
      </c>
      <c r="F18" s="92">
        <v>16</v>
      </c>
      <c r="G18" s="93"/>
      <c r="H18" s="93"/>
      <c r="I18" s="93"/>
      <c r="J18" s="94"/>
    </row>
    <row r="19" spans="1:10" ht="48" x14ac:dyDescent="0.25">
      <c r="A19" s="42">
        <v>11</v>
      </c>
      <c r="B19" s="81">
        <v>43138</v>
      </c>
      <c r="C19" s="91" t="s">
        <v>45</v>
      </c>
      <c r="D19" s="87" t="s">
        <v>46</v>
      </c>
      <c r="E19" s="87"/>
      <c r="F19" s="92">
        <v>15</v>
      </c>
      <c r="G19" s="93"/>
      <c r="H19" s="93"/>
      <c r="I19" s="93"/>
      <c r="J19" s="94"/>
    </row>
    <row r="20" spans="1:10" ht="93.75" customHeight="1" x14ac:dyDescent="0.25">
      <c r="A20" s="42">
        <v>12</v>
      </c>
      <c r="B20" s="81">
        <v>43139</v>
      </c>
      <c r="C20" s="91" t="s">
        <v>47</v>
      </c>
      <c r="D20" s="87" t="s">
        <v>48</v>
      </c>
      <c r="E20" s="87"/>
      <c r="F20" s="92">
        <v>16</v>
      </c>
      <c r="G20" s="93"/>
      <c r="H20" s="93"/>
      <c r="I20" s="93"/>
      <c r="J20" s="94"/>
    </row>
    <row r="21" spans="1:10" x14ac:dyDescent="0.25">
      <c r="A21" s="42">
        <v>13</v>
      </c>
      <c r="B21" s="81">
        <v>43140</v>
      </c>
      <c r="C21" s="91"/>
      <c r="D21" s="87" t="s">
        <v>50</v>
      </c>
      <c r="E21" s="87"/>
      <c r="F21" s="92">
        <v>16</v>
      </c>
      <c r="G21" s="93"/>
      <c r="H21" s="93"/>
      <c r="I21" s="93"/>
      <c r="J21" s="94"/>
    </row>
    <row r="22" spans="1:10" ht="69" customHeight="1" x14ac:dyDescent="0.25">
      <c r="A22" s="42">
        <v>14</v>
      </c>
      <c r="B22" s="81">
        <v>43141</v>
      </c>
      <c r="C22" s="91"/>
      <c r="D22" s="87" t="s">
        <v>49</v>
      </c>
      <c r="E22" s="87"/>
      <c r="F22" s="92">
        <v>19</v>
      </c>
      <c r="G22" s="93"/>
      <c r="H22" s="93"/>
      <c r="I22" s="93"/>
      <c r="J22" s="94"/>
    </row>
    <row r="23" spans="1:10" ht="101.45" customHeight="1" x14ac:dyDescent="0.25">
      <c r="A23" s="42">
        <v>15</v>
      </c>
      <c r="B23" s="81">
        <v>43142</v>
      </c>
      <c r="C23" s="91"/>
      <c r="D23" s="87" t="s">
        <v>51</v>
      </c>
      <c r="E23" s="87"/>
      <c r="F23" s="92">
        <v>11</v>
      </c>
      <c r="G23" s="93"/>
      <c r="H23" s="93"/>
      <c r="I23" s="93"/>
      <c r="J23" s="94"/>
    </row>
    <row r="24" spans="1:10" ht="152.25" customHeight="1" x14ac:dyDescent="0.25">
      <c r="A24" s="42">
        <v>16</v>
      </c>
      <c r="B24" s="81">
        <v>43148</v>
      </c>
      <c r="C24" s="91"/>
      <c r="D24" s="87" t="s">
        <v>56</v>
      </c>
      <c r="E24" s="87" t="s">
        <v>58</v>
      </c>
      <c r="F24" s="92">
        <v>16</v>
      </c>
      <c r="G24" s="93"/>
      <c r="H24" s="93"/>
      <c r="I24" s="93"/>
      <c r="J24" s="94"/>
    </row>
    <row r="25" spans="1:10" ht="138.19999999999999" customHeight="1" x14ac:dyDescent="0.25">
      <c r="A25" s="42">
        <v>17</v>
      </c>
      <c r="B25" s="81">
        <v>43149</v>
      </c>
      <c r="C25" s="91" t="s">
        <v>57</v>
      </c>
      <c r="D25" s="87" t="s">
        <v>60</v>
      </c>
      <c r="E25" s="96" t="s">
        <v>59</v>
      </c>
      <c r="F25" s="92">
        <v>16</v>
      </c>
      <c r="G25" s="93"/>
      <c r="H25" s="93"/>
      <c r="I25" s="93"/>
      <c r="J25" s="94"/>
    </row>
    <row r="26" spans="1:10" ht="168" x14ac:dyDescent="0.25">
      <c r="A26" s="42">
        <v>18</v>
      </c>
      <c r="B26" s="81">
        <v>43150</v>
      </c>
      <c r="C26" s="91" t="s">
        <v>63</v>
      </c>
      <c r="D26" s="87" t="s">
        <v>61</v>
      </c>
      <c r="E26" s="87" t="s">
        <v>62</v>
      </c>
      <c r="F26" s="92">
        <v>16</v>
      </c>
      <c r="G26" s="93"/>
      <c r="H26" s="93"/>
      <c r="I26" s="93"/>
      <c r="J26" s="94"/>
    </row>
    <row r="27" spans="1:10" ht="108" customHeight="1" x14ac:dyDescent="0.25">
      <c r="A27" s="42">
        <v>19</v>
      </c>
      <c r="B27" s="81">
        <v>43151</v>
      </c>
      <c r="C27" s="91" t="s">
        <v>64</v>
      </c>
      <c r="D27" s="87" t="s">
        <v>66</v>
      </c>
      <c r="E27" s="87" t="s">
        <v>65</v>
      </c>
      <c r="F27" s="92">
        <v>16</v>
      </c>
      <c r="G27" s="93"/>
      <c r="H27" s="93"/>
      <c r="I27" s="93"/>
      <c r="J27" s="94"/>
    </row>
    <row r="28" spans="1:10" ht="248.1" customHeight="1" x14ac:dyDescent="0.25">
      <c r="A28" s="42">
        <v>20</v>
      </c>
      <c r="B28" s="81">
        <v>43152</v>
      </c>
      <c r="C28" s="91" t="s">
        <v>68</v>
      </c>
      <c r="D28" s="87" t="s">
        <v>69</v>
      </c>
      <c r="E28" s="87" t="s">
        <v>67</v>
      </c>
      <c r="F28" s="92">
        <v>16</v>
      </c>
      <c r="G28" s="93"/>
      <c r="H28" s="93"/>
      <c r="I28" s="93"/>
      <c r="J28" s="94"/>
    </row>
    <row r="29" spans="1:10" ht="74.099999999999994" customHeight="1" x14ac:dyDescent="0.25">
      <c r="A29" s="42">
        <v>21</v>
      </c>
      <c r="B29" s="81">
        <v>43153</v>
      </c>
      <c r="C29" s="91"/>
      <c r="D29" s="87" t="s">
        <v>70</v>
      </c>
      <c r="E29" s="87"/>
      <c r="F29" s="92">
        <v>16</v>
      </c>
      <c r="G29" s="93"/>
      <c r="H29" s="93"/>
      <c r="I29" s="93"/>
      <c r="J29" s="94"/>
    </row>
    <row r="30" spans="1:10" ht="131.25" customHeight="1" x14ac:dyDescent="0.25">
      <c r="A30" s="42">
        <v>22</v>
      </c>
      <c r="B30" s="81">
        <v>43154</v>
      </c>
      <c r="C30" s="91"/>
      <c r="D30" s="87" t="s">
        <v>71</v>
      </c>
      <c r="E30" s="87"/>
      <c r="F30" s="92">
        <v>16</v>
      </c>
      <c r="G30" s="93"/>
      <c r="H30" s="93"/>
      <c r="I30" s="93"/>
      <c r="J30" s="94"/>
    </row>
    <row r="31" spans="1:10" ht="245.45" customHeight="1" x14ac:dyDescent="0.25">
      <c r="A31" s="42">
        <v>23</v>
      </c>
      <c r="B31" s="81">
        <v>43155</v>
      </c>
      <c r="C31" s="91" t="s">
        <v>329</v>
      </c>
      <c r="D31" s="87" t="s">
        <v>331</v>
      </c>
      <c r="E31" s="87" t="s">
        <v>330</v>
      </c>
      <c r="F31" s="92">
        <v>16</v>
      </c>
      <c r="G31" s="93"/>
      <c r="H31" s="93"/>
      <c r="I31" s="93"/>
      <c r="J31" s="94"/>
    </row>
    <row r="32" spans="1:10" ht="162.75" customHeight="1" x14ac:dyDescent="0.25">
      <c r="A32" s="42">
        <v>24</v>
      </c>
      <c r="B32" s="81">
        <v>43156</v>
      </c>
      <c r="C32" s="91" t="s">
        <v>332</v>
      </c>
      <c r="D32" s="87" t="s">
        <v>334</v>
      </c>
      <c r="E32" s="87" t="s">
        <v>333</v>
      </c>
      <c r="F32" s="92"/>
      <c r="G32" s="93"/>
      <c r="H32" s="93"/>
      <c r="I32" s="93"/>
      <c r="J32" s="94"/>
    </row>
    <row r="33" spans="1:10" ht="108" x14ac:dyDescent="0.25">
      <c r="A33" s="42">
        <v>25</v>
      </c>
      <c r="B33" s="81">
        <v>43157</v>
      </c>
      <c r="C33" s="91"/>
      <c r="D33" s="87" t="s">
        <v>343</v>
      </c>
      <c r="E33" s="87"/>
      <c r="F33" s="92"/>
      <c r="G33" s="93"/>
      <c r="H33" s="93"/>
      <c r="I33" s="93"/>
      <c r="J33" s="94"/>
    </row>
    <row r="34" spans="1:10" ht="161.25" customHeight="1" x14ac:dyDescent="0.25">
      <c r="A34" s="42">
        <v>26</v>
      </c>
      <c r="B34" s="81">
        <v>43158</v>
      </c>
      <c r="C34" s="91"/>
      <c r="D34" s="87" t="s">
        <v>347</v>
      </c>
      <c r="E34" s="87" t="s">
        <v>348</v>
      </c>
      <c r="F34" s="92"/>
      <c r="G34" s="93"/>
      <c r="H34" s="93"/>
      <c r="I34" s="93"/>
      <c r="J34" s="94"/>
    </row>
    <row r="35" spans="1:10" ht="129" customHeight="1" x14ac:dyDescent="0.25">
      <c r="A35" s="42">
        <v>27</v>
      </c>
      <c r="B35" s="81">
        <v>43159</v>
      </c>
      <c r="C35" s="91"/>
      <c r="D35" s="87" t="s">
        <v>349</v>
      </c>
      <c r="E35" s="87" t="s">
        <v>350</v>
      </c>
      <c r="F35" s="92"/>
      <c r="G35" s="93"/>
      <c r="H35" s="93"/>
      <c r="I35" s="93"/>
      <c r="J35" s="94"/>
    </row>
    <row r="36" spans="1:10" ht="171.2" customHeight="1" x14ac:dyDescent="0.25">
      <c r="A36" s="42">
        <v>28</v>
      </c>
      <c r="B36" s="81">
        <v>43160</v>
      </c>
      <c r="C36" s="91"/>
      <c r="D36" s="87" t="s">
        <v>352</v>
      </c>
      <c r="E36" s="87" t="s">
        <v>351</v>
      </c>
      <c r="F36" s="92"/>
      <c r="G36" s="93"/>
      <c r="H36" s="93"/>
      <c r="I36" s="93"/>
      <c r="J36" s="94"/>
    </row>
    <row r="37" spans="1:10" ht="36" x14ac:dyDescent="0.25">
      <c r="A37" s="42">
        <v>29</v>
      </c>
      <c r="B37" s="81">
        <v>43161</v>
      </c>
      <c r="C37" s="91"/>
      <c r="D37" s="87" t="s">
        <v>353</v>
      </c>
      <c r="E37" s="87"/>
      <c r="F37" s="92"/>
      <c r="G37" s="93"/>
      <c r="H37" s="93"/>
      <c r="I37" s="93"/>
      <c r="J37" s="94"/>
    </row>
    <row r="38" spans="1:10" ht="114" customHeight="1" x14ac:dyDescent="0.25">
      <c r="A38" s="42">
        <v>30</v>
      </c>
      <c r="B38" s="81">
        <v>43162</v>
      </c>
      <c r="C38" s="91" t="s">
        <v>356</v>
      </c>
      <c r="D38" s="87" t="s">
        <v>354</v>
      </c>
      <c r="E38" s="96" t="s">
        <v>355</v>
      </c>
      <c r="F38" s="92"/>
      <c r="G38" s="93"/>
      <c r="H38" s="93"/>
      <c r="I38" s="93"/>
      <c r="J38" s="94"/>
    </row>
    <row r="39" spans="1:10" ht="189.95" customHeight="1" x14ac:dyDescent="0.25">
      <c r="A39" s="42">
        <v>31</v>
      </c>
      <c r="B39" s="81">
        <v>43163</v>
      </c>
      <c r="C39" s="91"/>
      <c r="D39" s="87" t="s">
        <v>357</v>
      </c>
      <c r="E39" s="96" t="s">
        <v>358</v>
      </c>
      <c r="F39" s="92"/>
      <c r="G39" s="93"/>
      <c r="H39" s="93"/>
      <c r="I39" s="93"/>
      <c r="J39" s="94"/>
    </row>
    <row r="40" spans="1:10" ht="209.45" customHeight="1" x14ac:dyDescent="0.25">
      <c r="A40" s="42">
        <v>32</v>
      </c>
      <c r="B40" s="81">
        <v>43164</v>
      </c>
      <c r="C40" s="91"/>
      <c r="D40" s="87" t="s">
        <v>359</v>
      </c>
      <c r="E40" s="96" t="s">
        <v>358</v>
      </c>
      <c r="F40" s="92"/>
      <c r="G40" s="93"/>
      <c r="H40" s="93"/>
      <c r="I40" s="93"/>
      <c r="J40" s="94"/>
    </row>
    <row r="41" spans="1:10" ht="123.75" customHeight="1" x14ac:dyDescent="0.25">
      <c r="A41" s="42">
        <v>33</v>
      </c>
      <c r="B41" s="81">
        <v>43165</v>
      </c>
      <c r="C41" s="91"/>
      <c r="D41" s="87" t="s">
        <v>381</v>
      </c>
      <c r="E41" s="96" t="s">
        <v>358</v>
      </c>
      <c r="F41" s="92"/>
      <c r="G41" s="93"/>
      <c r="H41" s="93"/>
      <c r="I41" s="93"/>
      <c r="J41" s="94"/>
    </row>
    <row r="42" spans="1:10" ht="60" customHeight="1" x14ac:dyDescent="0.25">
      <c r="A42" s="42">
        <v>34</v>
      </c>
      <c r="B42" s="81">
        <v>43166</v>
      </c>
      <c r="C42" s="91"/>
      <c r="D42" s="87" t="s">
        <v>382</v>
      </c>
      <c r="E42" s="96" t="s">
        <v>358</v>
      </c>
      <c r="F42" s="92"/>
      <c r="G42" s="93"/>
      <c r="H42" s="93"/>
      <c r="I42" s="93"/>
      <c r="J42" s="94"/>
    </row>
    <row r="43" spans="1:10" x14ac:dyDescent="0.25">
      <c r="A43" s="42">
        <v>35</v>
      </c>
      <c r="B43" s="81">
        <v>43167</v>
      </c>
      <c r="C43" s="91"/>
      <c r="D43" s="87" t="s">
        <v>387</v>
      </c>
      <c r="E43" s="96" t="s">
        <v>358</v>
      </c>
      <c r="F43" s="92"/>
      <c r="G43" s="93"/>
      <c r="H43" s="93"/>
      <c r="I43" s="93"/>
      <c r="J43" s="94"/>
    </row>
    <row r="44" spans="1:10" ht="85.5" customHeight="1" x14ac:dyDescent="0.25">
      <c r="A44" s="42">
        <v>36</v>
      </c>
      <c r="B44" s="81">
        <v>43168</v>
      </c>
      <c r="C44" s="91"/>
      <c r="D44" s="87" t="s">
        <v>388</v>
      </c>
      <c r="E44" s="96" t="s">
        <v>358</v>
      </c>
      <c r="F44" s="92"/>
      <c r="G44" s="93"/>
      <c r="H44" s="93"/>
      <c r="I44" s="93"/>
      <c r="J44" s="94"/>
    </row>
    <row r="45" spans="1:10" ht="120" x14ac:dyDescent="0.25">
      <c r="A45" s="42">
        <v>37</v>
      </c>
      <c r="B45" s="81">
        <v>43169</v>
      </c>
      <c r="C45" s="91"/>
      <c r="D45" s="87" t="s">
        <v>391</v>
      </c>
      <c r="E45" s="96" t="s">
        <v>358</v>
      </c>
      <c r="F45" s="92"/>
      <c r="G45" s="93"/>
      <c r="H45" s="93"/>
      <c r="I45" s="93"/>
      <c r="J45" s="94"/>
    </row>
    <row r="46" spans="1:10" ht="85.5" customHeight="1" x14ac:dyDescent="0.25">
      <c r="A46" s="42">
        <v>38</v>
      </c>
      <c r="B46" s="81">
        <v>43170</v>
      </c>
      <c r="C46" s="91"/>
      <c r="D46" s="87" t="s">
        <v>392</v>
      </c>
      <c r="E46" s="96" t="s">
        <v>393</v>
      </c>
      <c r="F46" s="92"/>
      <c r="G46" s="93"/>
      <c r="H46" s="93"/>
      <c r="I46" s="93"/>
      <c r="J46" s="94"/>
    </row>
    <row r="47" spans="1:10" ht="102.2" customHeight="1" x14ac:dyDescent="0.25">
      <c r="A47" s="42">
        <v>39</v>
      </c>
      <c r="B47" s="81">
        <v>43171</v>
      </c>
      <c r="C47" s="91"/>
      <c r="D47" s="87" t="s">
        <v>394</v>
      </c>
      <c r="E47" s="87"/>
      <c r="F47" s="92"/>
      <c r="G47" s="93"/>
      <c r="H47" s="93"/>
      <c r="I47" s="93"/>
      <c r="J47" s="94"/>
    </row>
    <row r="48" spans="1:10" ht="183" customHeight="1" x14ac:dyDescent="0.25">
      <c r="A48" s="42">
        <v>40</v>
      </c>
      <c r="B48" s="81">
        <v>43172</v>
      </c>
      <c r="C48" s="91"/>
      <c r="D48" s="87" t="s">
        <v>397</v>
      </c>
      <c r="E48" s="87" t="s">
        <v>395</v>
      </c>
      <c r="F48" s="92"/>
      <c r="G48" s="93"/>
      <c r="H48" s="93"/>
      <c r="I48" s="93"/>
      <c r="J48" s="94"/>
    </row>
    <row r="49" spans="1:10" ht="69" customHeight="1" x14ac:dyDescent="0.25">
      <c r="A49" s="42">
        <v>41</v>
      </c>
      <c r="B49" s="81">
        <v>43173</v>
      </c>
      <c r="C49" s="91"/>
      <c r="D49" s="87" t="s">
        <v>398</v>
      </c>
      <c r="E49" s="87"/>
      <c r="F49" s="92"/>
      <c r="G49" s="93"/>
      <c r="H49" s="93"/>
      <c r="I49" s="93"/>
      <c r="J49" s="94"/>
    </row>
    <row r="50" spans="1:10" s="198" customFormat="1" ht="174.75" customHeight="1" x14ac:dyDescent="0.25">
      <c r="A50" s="42">
        <v>42</v>
      </c>
      <c r="B50" s="199">
        <v>43174</v>
      </c>
      <c r="C50" s="200"/>
      <c r="D50" s="201" t="s">
        <v>399</v>
      </c>
      <c r="E50" s="205" t="s">
        <v>519</v>
      </c>
      <c r="F50" s="202"/>
      <c r="G50" s="203"/>
      <c r="H50" s="203"/>
      <c r="I50" s="203"/>
      <c r="J50" s="204"/>
    </row>
    <row r="51" spans="1:10" ht="108" customHeight="1" x14ac:dyDescent="0.25">
      <c r="A51" s="42">
        <v>43</v>
      </c>
      <c r="B51" s="81">
        <v>43175</v>
      </c>
      <c r="C51" s="91"/>
      <c r="D51" s="87" t="s">
        <v>400</v>
      </c>
      <c r="E51" s="87"/>
      <c r="F51" s="92"/>
      <c r="G51" s="93"/>
      <c r="H51" s="93"/>
      <c r="I51" s="93"/>
      <c r="J51" s="94"/>
    </row>
    <row r="52" spans="1:10" ht="120.2" customHeight="1" x14ac:dyDescent="0.25">
      <c r="A52" s="42">
        <v>44</v>
      </c>
      <c r="B52" s="81">
        <v>43176</v>
      </c>
      <c r="C52" s="91"/>
      <c r="D52" s="87" t="s">
        <v>423</v>
      </c>
      <c r="E52" s="87"/>
      <c r="F52" s="92"/>
      <c r="G52" s="93"/>
      <c r="H52" s="93"/>
      <c r="I52" s="93"/>
      <c r="J52" s="94"/>
    </row>
    <row r="53" spans="1:10" ht="139.5" customHeight="1" x14ac:dyDescent="0.25">
      <c r="A53" s="42">
        <v>45</v>
      </c>
      <c r="B53" s="81">
        <v>43177</v>
      </c>
      <c r="C53" s="91"/>
      <c r="D53" s="87" t="s">
        <v>424</v>
      </c>
      <c r="E53" s="87"/>
      <c r="F53" s="92"/>
      <c r="G53" s="93"/>
      <c r="H53" s="93"/>
      <c r="I53" s="93"/>
      <c r="J53" s="94"/>
    </row>
    <row r="54" spans="1:10" ht="24" x14ac:dyDescent="0.25">
      <c r="A54" s="42">
        <v>46</v>
      </c>
      <c r="B54" s="81">
        <v>43178</v>
      </c>
      <c r="C54" s="91"/>
      <c r="D54" s="87" t="s">
        <v>433</v>
      </c>
      <c r="E54" s="87"/>
      <c r="F54" s="92"/>
      <c r="G54" s="93"/>
      <c r="H54" s="93"/>
      <c r="I54" s="93"/>
      <c r="J54" s="94"/>
    </row>
    <row r="55" spans="1:10" ht="132" x14ac:dyDescent="0.25">
      <c r="A55" s="42">
        <v>47</v>
      </c>
      <c r="B55" s="81">
        <v>43179</v>
      </c>
      <c r="C55" s="91"/>
      <c r="D55" s="87" t="s">
        <v>434</v>
      </c>
      <c r="E55" s="87" t="s">
        <v>435</v>
      </c>
      <c r="F55" s="92"/>
      <c r="G55" s="93"/>
      <c r="H55" s="93"/>
      <c r="I55" s="93"/>
      <c r="J55" s="94"/>
    </row>
    <row r="56" spans="1:10" ht="227.45" customHeight="1" x14ac:dyDescent="0.25">
      <c r="A56" s="42">
        <v>48</v>
      </c>
      <c r="B56" s="81">
        <v>43180</v>
      </c>
      <c r="C56" s="91"/>
      <c r="D56" s="87" t="s">
        <v>436</v>
      </c>
      <c r="E56" s="87" t="s">
        <v>437</v>
      </c>
      <c r="F56" s="92"/>
      <c r="G56" s="93"/>
      <c r="H56" s="93"/>
      <c r="I56" s="93"/>
      <c r="J56" s="94"/>
    </row>
    <row r="57" spans="1:10" ht="151.5" customHeight="1" x14ac:dyDescent="0.25">
      <c r="A57" s="42">
        <v>49</v>
      </c>
      <c r="B57" s="81">
        <v>43181</v>
      </c>
      <c r="C57" s="91"/>
      <c r="D57" s="87" t="s">
        <v>438</v>
      </c>
      <c r="E57" s="87" t="s">
        <v>439</v>
      </c>
      <c r="F57" s="92"/>
      <c r="G57" s="93"/>
      <c r="H57" s="93"/>
      <c r="I57" s="93"/>
      <c r="J57" s="94"/>
    </row>
    <row r="58" spans="1:10" ht="409.5" customHeight="1" x14ac:dyDescent="0.25">
      <c r="A58" s="42">
        <v>50</v>
      </c>
      <c r="B58" s="81">
        <v>43182</v>
      </c>
      <c r="C58" s="91"/>
      <c r="D58" s="87" t="s">
        <v>440</v>
      </c>
      <c r="E58" s="87" t="s">
        <v>441</v>
      </c>
      <c r="F58" s="92"/>
      <c r="G58" s="93"/>
      <c r="H58" s="93"/>
      <c r="I58" s="93"/>
      <c r="J58" s="94"/>
    </row>
    <row r="59" spans="1:10" ht="146.25" customHeight="1" x14ac:dyDescent="0.25">
      <c r="A59" s="42">
        <v>51</v>
      </c>
      <c r="B59" s="81">
        <v>43183</v>
      </c>
      <c r="C59" s="91"/>
      <c r="D59" s="87" t="s">
        <v>453</v>
      </c>
      <c r="E59" s="87" t="s">
        <v>454</v>
      </c>
      <c r="F59" s="92"/>
      <c r="G59" s="93"/>
      <c r="H59" s="93"/>
      <c r="I59" s="93"/>
      <c r="J59" s="94"/>
    </row>
    <row r="60" spans="1:10" ht="147.75" customHeight="1" x14ac:dyDescent="0.25">
      <c r="A60" s="42">
        <v>52</v>
      </c>
      <c r="B60" s="81">
        <v>43184</v>
      </c>
      <c r="C60" s="91"/>
      <c r="D60" s="87" t="s">
        <v>463</v>
      </c>
      <c r="E60" s="87" t="s">
        <v>455</v>
      </c>
      <c r="F60" s="92"/>
      <c r="G60" s="93"/>
      <c r="H60" s="93"/>
      <c r="I60" s="93"/>
      <c r="J60" s="94"/>
    </row>
    <row r="61" spans="1:10" ht="63.2" customHeight="1" x14ac:dyDescent="0.25">
      <c r="A61" s="42">
        <v>53</v>
      </c>
      <c r="B61" s="81">
        <v>43185</v>
      </c>
      <c r="C61" s="91"/>
      <c r="D61" s="87" t="s">
        <v>456</v>
      </c>
      <c r="E61" s="87"/>
      <c r="F61" s="92"/>
      <c r="G61" s="93"/>
      <c r="H61" s="93"/>
      <c r="I61" s="93"/>
      <c r="J61" s="94"/>
    </row>
    <row r="62" spans="1:10" x14ac:dyDescent="0.25">
      <c r="A62" s="42">
        <v>54</v>
      </c>
      <c r="B62" s="81">
        <v>43186</v>
      </c>
      <c r="C62" s="194"/>
      <c r="D62" s="195"/>
      <c r="E62" s="195"/>
      <c r="F62" s="196"/>
      <c r="G62" s="93"/>
      <c r="H62" s="93"/>
      <c r="I62" s="93"/>
      <c r="J62" s="94"/>
    </row>
    <row r="63" spans="1:10" x14ac:dyDescent="0.25">
      <c r="A63" s="42">
        <v>55</v>
      </c>
      <c r="B63" s="81">
        <v>43187</v>
      </c>
      <c r="C63" s="194"/>
      <c r="D63" s="195" t="s">
        <v>465</v>
      </c>
      <c r="E63" s="195"/>
      <c r="F63" s="196"/>
      <c r="G63" s="93"/>
      <c r="H63" s="93"/>
      <c r="I63" s="93"/>
      <c r="J63" s="94"/>
    </row>
    <row r="64" spans="1:10" x14ac:dyDescent="0.25">
      <c r="A64" s="42">
        <v>56</v>
      </c>
      <c r="B64" s="81">
        <v>43188</v>
      </c>
      <c r="C64" s="194"/>
      <c r="D64" s="195"/>
      <c r="E64" s="195"/>
      <c r="F64" s="196"/>
      <c r="G64" s="93"/>
      <c r="H64" s="93"/>
      <c r="I64" s="93"/>
      <c r="J64" s="94"/>
    </row>
    <row r="65" spans="1:10" ht="204" customHeight="1" x14ac:dyDescent="0.25">
      <c r="A65" s="42">
        <v>57</v>
      </c>
      <c r="B65" s="81">
        <v>43189</v>
      </c>
      <c r="C65" s="91"/>
      <c r="D65" s="87" t="s">
        <v>457</v>
      </c>
      <c r="E65" s="87"/>
      <c r="F65" s="92"/>
      <c r="G65" s="93"/>
      <c r="H65" s="93"/>
      <c r="I65" s="93"/>
      <c r="J65" s="94"/>
    </row>
    <row r="66" spans="1:10" ht="181.5" customHeight="1" x14ac:dyDescent="0.25">
      <c r="A66" s="42">
        <v>58</v>
      </c>
      <c r="B66" s="81">
        <v>43190</v>
      </c>
      <c r="C66" s="91" t="s">
        <v>460</v>
      </c>
      <c r="D66" s="87" t="s">
        <v>458</v>
      </c>
      <c r="E66" s="87" t="s">
        <v>459</v>
      </c>
      <c r="F66" s="92"/>
      <c r="G66" s="93"/>
      <c r="H66" s="93"/>
      <c r="I66" s="93"/>
      <c r="J66" s="94"/>
    </row>
    <row r="67" spans="1:10" ht="299.45" customHeight="1" x14ac:dyDescent="0.25">
      <c r="A67" s="42">
        <v>59</v>
      </c>
      <c r="B67" s="81">
        <v>43191</v>
      </c>
      <c r="C67" s="91" t="s">
        <v>461</v>
      </c>
      <c r="D67" s="87" t="s">
        <v>462</v>
      </c>
      <c r="E67" s="87" t="s">
        <v>464</v>
      </c>
      <c r="F67" s="92"/>
      <c r="G67" s="93"/>
      <c r="H67" s="93"/>
      <c r="I67" s="93"/>
      <c r="J67" s="94"/>
    </row>
    <row r="68" spans="1:10" ht="24" x14ac:dyDescent="0.25">
      <c r="A68" s="42">
        <v>60</v>
      </c>
      <c r="B68" s="81">
        <v>43192</v>
      </c>
      <c r="C68" s="91"/>
      <c r="D68" s="87" t="s">
        <v>466</v>
      </c>
      <c r="E68" s="87"/>
      <c r="F68" s="92"/>
      <c r="G68" s="93"/>
      <c r="H68" s="93"/>
      <c r="I68" s="93"/>
      <c r="J68" s="94"/>
    </row>
    <row r="69" spans="1:10" ht="201.75" customHeight="1" x14ac:dyDescent="0.25">
      <c r="A69" s="42">
        <v>61</v>
      </c>
      <c r="B69" s="81">
        <v>43193</v>
      </c>
      <c r="C69" s="91" t="s">
        <v>469</v>
      </c>
      <c r="D69" s="87" t="s">
        <v>467</v>
      </c>
      <c r="E69" s="87" t="s">
        <v>468</v>
      </c>
      <c r="F69" s="92"/>
      <c r="G69" s="93"/>
      <c r="H69" s="93"/>
      <c r="I69" s="93"/>
      <c r="J69" s="94"/>
    </row>
    <row r="70" spans="1:10" ht="96" x14ac:dyDescent="0.25">
      <c r="A70" s="42">
        <v>62</v>
      </c>
      <c r="B70" s="81">
        <v>43194</v>
      </c>
      <c r="C70" s="91"/>
      <c r="D70" s="87"/>
      <c r="E70" s="87" t="s">
        <v>470</v>
      </c>
      <c r="F70" s="92"/>
      <c r="G70" s="93"/>
      <c r="H70" s="93"/>
      <c r="I70" s="93"/>
      <c r="J70" s="94"/>
    </row>
    <row r="71" spans="1:10" ht="48" x14ac:dyDescent="0.25">
      <c r="A71" s="42">
        <v>63</v>
      </c>
      <c r="B71" s="81">
        <v>43195</v>
      </c>
      <c r="C71" s="91"/>
      <c r="D71" s="87" t="s">
        <v>471</v>
      </c>
      <c r="E71" s="87"/>
      <c r="F71" s="92"/>
      <c r="G71" s="93"/>
      <c r="H71" s="93"/>
      <c r="I71" s="93"/>
      <c r="J71" s="94"/>
    </row>
    <row r="72" spans="1:10" ht="24" x14ac:dyDescent="0.25">
      <c r="A72" s="42">
        <v>64</v>
      </c>
      <c r="B72" s="81">
        <v>43196</v>
      </c>
      <c r="C72" s="91"/>
      <c r="D72" s="87" t="s">
        <v>472</v>
      </c>
      <c r="E72" s="87"/>
      <c r="F72" s="92"/>
      <c r="G72" s="93"/>
      <c r="H72" s="93"/>
      <c r="I72" s="93"/>
      <c r="J72" s="94"/>
    </row>
    <row r="73" spans="1:10" ht="36" x14ac:dyDescent="0.25">
      <c r="A73" s="42">
        <v>65</v>
      </c>
      <c r="B73" s="81">
        <v>43197</v>
      </c>
      <c r="C73" s="91"/>
      <c r="D73" s="87" t="s">
        <v>473</v>
      </c>
      <c r="E73" s="87"/>
      <c r="F73" s="92"/>
      <c r="G73" s="93"/>
      <c r="H73" s="93"/>
      <c r="I73" s="93"/>
      <c r="J73" s="94"/>
    </row>
    <row r="74" spans="1:10" ht="96" x14ac:dyDescent="0.25">
      <c r="A74" s="42">
        <v>66</v>
      </c>
      <c r="B74" s="81">
        <v>43198</v>
      </c>
      <c r="C74" s="91"/>
      <c r="D74" s="87" t="s">
        <v>474</v>
      </c>
      <c r="E74" s="87"/>
      <c r="F74" s="92"/>
      <c r="G74" s="93"/>
      <c r="H74" s="93"/>
      <c r="I74" s="93"/>
      <c r="J74" s="94"/>
    </row>
    <row r="75" spans="1:10" ht="408" x14ac:dyDescent="0.25">
      <c r="A75" s="42">
        <v>67</v>
      </c>
      <c r="B75" s="81">
        <v>43199</v>
      </c>
      <c r="C75" s="91" t="s">
        <v>475</v>
      </c>
      <c r="D75" s="87" t="s">
        <v>476</v>
      </c>
      <c r="E75" s="87" t="s">
        <v>477</v>
      </c>
      <c r="F75" s="92"/>
      <c r="G75" s="93"/>
      <c r="H75" s="93"/>
      <c r="I75" s="93"/>
      <c r="J75" s="94"/>
    </row>
    <row r="76" spans="1:10" ht="48" x14ac:dyDescent="0.25">
      <c r="A76" s="42">
        <v>68</v>
      </c>
      <c r="B76" s="81">
        <v>43200</v>
      </c>
      <c r="C76" s="91"/>
      <c r="D76" s="87" t="s">
        <v>478</v>
      </c>
      <c r="E76" s="87"/>
      <c r="F76" s="92"/>
      <c r="G76" s="93"/>
      <c r="H76" s="93"/>
      <c r="I76" s="93"/>
      <c r="J76" s="94"/>
    </row>
    <row r="77" spans="1:10" ht="132" x14ac:dyDescent="0.25">
      <c r="A77" s="42">
        <v>69</v>
      </c>
      <c r="B77" s="81">
        <v>43201</v>
      </c>
      <c r="C77" s="91"/>
      <c r="D77" s="87" t="s">
        <v>479</v>
      </c>
      <c r="E77" s="87" t="s">
        <v>480</v>
      </c>
      <c r="F77" s="92"/>
      <c r="G77" s="93"/>
      <c r="H77" s="93"/>
      <c r="I77" s="93"/>
      <c r="J77" s="94"/>
    </row>
    <row r="78" spans="1:10" ht="72" x14ac:dyDescent="0.25">
      <c r="A78" s="42">
        <v>70</v>
      </c>
      <c r="B78" s="81">
        <v>43202</v>
      </c>
      <c r="C78" s="91"/>
      <c r="D78" s="87" t="s">
        <v>481</v>
      </c>
      <c r="E78" s="87" t="s">
        <v>482</v>
      </c>
      <c r="F78" s="92"/>
      <c r="G78" s="93"/>
      <c r="H78" s="93"/>
      <c r="I78" s="93"/>
      <c r="J78" s="94"/>
    </row>
    <row r="79" spans="1:10" x14ac:dyDescent="0.25">
      <c r="A79" s="42">
        <v>71</v>
      </c>
      <c r="B79" s="81">
        <v>43203</v>
      </c>
      <c r="C79" s="91"/>
      <c r="D79" s="87"/>
      <c r="E79" s="87" t="s">
        <v>483</v>
      </c>
      <c r="F79" s="92"/>
      <c r="G79" s="93"/>
      <c r="H79" s="93"/>
      <c r="I79" s="93"/>
      <c r="J79" s="94"/>
    </row>
    <row r="80" spans="1:10" x14ac:dyDescent="0.25">
      <c r="A80" s="42">
        <v>72</v>
      </c>
      <c r="B80" s="81">
        <v>43204</v>
      </c>
      <c r="C80" s="91"/>
      <c r="D80" s="87"/>
      <c r="E80" s="87"/>
      <c r="F80" s="92"/>
      <c r="G80" s="93"/>
      <c r="H80" s="93"/>
      <c r="I80" s="93"/>
      <c r="J80" s="94"/>
    </row>
    <row r="81" spans="1:10" ht="96" x14ac:dyDescent="0.25">
      <c r="A81" s="42">
        <v>73</v>
      </c>
      <c r="B81" s="81">
        <v>43205</v>
      </c>
      <c r="C81" s="91"/>
      <c r="D81" s="87"/>
      <c r="E81" s="87" t="s">
        <v>484</v>
      </c>
      <c r="F81" s="92"/>
      <c r="G81" s="93"/>
      <c r="H81" s="93"/>
      <c r="I81" s="93"/>
      <c r="J81" s="94"/>
    </row>
    <row r="82" spans="1:10" ht="24" x14ac:dyDescent="0.25">
      <c r="A82" s="42">
        <v>74</v>
      </c>
      <c r="B82" s="81">
        <v>43206</v>
      </c>
      <c r="C82" s="91"/>
      <c r="D82" s="87"/>
      <c r="E82" s="87" t="s">
        <v>485</v>
      </c>
      <c r="F82" s="92"/>
      <c r="G82" s="93"/>
      <c r="H82" s="93"/>
      <c r="I82" s="93"/>
      <c r="J82" s="94"/>
    </row>
    <row r="83" spans="1:10" ht="162.6" customHeight="1" x14ac:dyDescent="0.25">
      <c r="A83" s="42">
        <v>75</v>
      </c>
      <c r="B83" s="81">
        <v>43207</v>
      </c>
      <c r="C83" s="91" t="s">
        <v>490</v>
      </c>
      <c r="D83" s="87" t="s">
        <v>488</v>
      </c>
      <c r="E83" s="87"/>
      <c r="F83" s="92"/>
      <c r="G83" s="93"/>
      <c r="H83" s="93"/>
      <c r="I83" s="93"/>
      <c r="J83" s="94"/>
    </row>
    <row r="84" spans="1:10" x14ac:dyDescent="0.25">
      <c r="A84" s="42">
        <v>76</v>
      </c>
      <c r="B84" s="81">
        <v>43208</v>
      </c>
      <c r="C84" s="91"/>
      <c r="D84" s="87" t="s">
        <v>495</v>
      </c>
      <c r="E84" s="87"/>
      <c r="F84" s="92"/>
      <c r="G84" s="93"/>
      <c r="H84" s="93"/>
      <c r="I84" s="93"/>
      <c r="J84" s="94"/>
    </row>
    <row r="85" spans="1:10" ht="96" x14ac:dyDescent="0.25">
      <c r="A85" s="42">
        <v>77</v>
      </c>
      <c r="B85" s="81">
        <v>43209</v>
      </c>
      <c r="C85" s="91" t="s">
        <v>497</v>
      </c>
      <c r="D85" s="87" t="s">
        <v>499</v>
      </c>
      <c r="E85" s="87" t="s">
        <v>498</v>
      </c>
      <c r="F85" s="92"/>
      <c r="G85" s="93"/>
      <c r="H85" s="93"/>
      <c r="I85" s="93"/>
      <c r="J85" s="94"/>
    </row>
    <row r="86" spans="1:10" ht="144" x14ac:dyDescent="0.25">
      <c r="A86" s="42">
        <v>78</v>
      </c>
      <c r="B86" s="81">
        <v>43210</v>
      </c>
      <c r="C86" s="91" t="s">
        <v>502</v>
      </c>
      <c r="D86" s="87" t="s">
        <v>500</v>
      </c>
      <c r="E86" s="87" t="s">
        <v>501</v>
      </c>
      <c r="F86" s="92"/>
      <c r="G86" s="93"/>
      <c r="H86" s="93"/>
      <c r="I86" s="93"/>
      <c r="J86" s="94"/>
    </row>
    <row r="87" spans="1:10" x14ac:dyDescent="0.25">
      <c r="A87" s="42">
        <v>79</v>
      </c>
      <c r="B87" s="81">
        <v>43211</v>
      </c>
      <c r="C87" s="91"/>
      <c r="D87" s="87"/>
      <c r="E87" s="87"/>
      <c r="F87" s="92"/>
      <c r="G87" s="93"/>
      <c r="H87" s="93"/>
      <c r="I87" s="93"/>
      <c r="J87" s="94"/>
    </row>
    <row r="88" spans="1:10" x14ac:dyDescent="0.25">
      <c r="A88" s="42">
        <v>80</v>
      </c>
      <c r="B88" s="81">
        <v>43212</v>
      </c>
      <c r="C88" s="91"/>
      <c r="D88" s="87"/>
      <c r="E88" s="87"/>
      <c r="F88" s="92"/>
      <c r="G88" s="93"/>
      <c r="H88" s="93"/>
      <c r="I88" s="93"/>
      <c r="J88" s="94"/>
    </row>
    <row r="89" spans="1:10" ht="60" x14ac:dyDescent="0.25">
      <c r="A89" s="42">
        <v>81</v>
      </c>
      <c r="B89" s="81">
        <v>43213</v>
      </c>
      <c r="C89" s="91"/>
      <c r="D89" s="87"/>
      <c r="E89" s="197" t="s">
        <v>503</v>
      </c>
      <c r="F89" s="92"/>
      <c r="G89" s="93"/>
      <c r="H89" s="93"/>
      <c r="I89" s="93"/>
      <c r="J89" s="94"/>
    </row>
    <row r="90" spans="1:10" ht="409.5" x14ac:dyDescent="0.25">
      <c r="A90" s="42">
        <v>82</v>
      </c>
      <c r="B90" s="81">
        <v>43214</v>
      </c>
      <c r="C90" s="91" t="s">
        <v>505</v>
      </c>
      <c r="D90" s="87" t="s">
        <v>504</v>
      </c>
      <c r="E90" s="87" t="s">
        <v>506</v>
      </c>
      <c r="F90" s="92"/>
      <c r="G90" s="93"/>
      <c r="H90" s="93"/>
      <c r="I90" s="93"/>
      <c r="J90" s="94"/>
    </row>
    <row r="91" spans="1:10" ht="36" x14ac:dyDescent="0.25">
      <c r="A91" s="42">
        <v>83</v>
      </c>
      <c r="B91" s="81">
        <v>43215</v>
      </c>
      <c r="C91" s="91"/>
      <c r="D91" s="87"/>
      <c r="E91" s="87" t="s">
        <v>514</v>
      </c>
      <c r="F91" s="92"/>
      <c r="G91" s="93"/>
      <c r="H91" s="93"/>
      <c r="I91" s="93"/>
      <c r="J91" s="94"/>
    </row>
    <row r="92" spans="1:10" ht="74.25" customHeight="1" x14ac:dyDescent="0.25">
      <c r="A92" s="42">
        <v>84</v>
      </c>
      <c r="B92" s="81">
        <v>43216</v>
      </c>
      <c r="C92" s="91" t="s">
        <v>517</v>
      </c>
      <c r="D92" s="87" t="s">
        <v>516</v>
      </c>
      <c r="E92" s="87" t="s">
        <v>515</v>
      </c>
      <c r="F92" s="92"/>
      <c r="G92" s="93"/>
      <c r="H92" s="93"/>
      <c r="I92" s="93"/>
      <c r="J92" s="94"/>
    </row>
    <row r="93" spans="1:10" x14ac:dyDescent="0.25">
      <c r="A93" s="42">
        <v>85</v>
      </c>
      <c r="B93" s="81">
        <v>43217</v>
      </c>
      <c r="C93" s="91"/>
      <c r="D93" s="87"/>
      <c r="E93" s="87"/>
      <c r="F93" s="92"/>
      <c r="G93" s="93"/>
      <c r="H93" s="93"/>
      <c r="I93" s="93"/>
      <c r="J93" s="94"/>
    </row>
    <row r="94" spans="1:10" ht="132" x14ac:dyDescent="0.25">
      <c r="A94" s="42">
        <v>86</v>
      </c>
      <c r="B94" s="81">
        <v>43218</v>
      </c>
      <c r="C94" s="91"/>
      <c r="D94" s="87" t="s">
        <v>518</v>
      </c>
      <c r="E94" s="87"/>
      <c r="F94" s="92"/>
      <c r="G94" s="93"/>
      <c r="H94" s="93"/>
      <c r="I94" s="93"/>
      <c r="J94" s="94"/>
    </row>
    <row r="95" spans="1:10" ht="144" x14ac:dyDescent="0.25">
      <c r="A95" s="42">
        <v>87</v>
      </c>
      <c r="B95" s="81">
        <v>43219</v>
      </c>
      <c r="C95" s="91"/>
      <c r="D95" s="87" t="s">
        <v>520</v>
      </c>
      <c r="E95" s="87" t="s">
        <v>521</v>
      </c>
      <c r="F95" s="92"/>
      <c r="G95" s="93"/>
      <c r="H95" s="93"/>
      <c r="I95" s="93"/>
      <c r="J95" s="94"/>
    </row>
    <row r="96" spans="1:10" ht="60" x14ac:dyDescent="0.25">
      <c r="A96" s="42">
        <v>88</v>
      </c>
      <c r="B96" s="81">
        <v>43220</v>
      </c>
      <c r="C96" s="91"/>
      <c r="D96" s="87" t="s">
        <v>522</v>
      </c>
      <c r="E96" s="87"/>
      <c r="F96" s="92"/>
      <c r="G96" s="93"/>
      <c r="H96" s="93"/>
      <c r="I96" s="93"/>
      <c r="J96" s="94"/>
    </row>
    <row r="97" spans="1:10" ht="48" x14ac:dyDescent="0.25">
      <c r="A97" s="42">
        <v>89</v>
      </c>
      <c r="B97" s="81">
        <v>43221</v>
      </c>
      <c r="C97" s="91"/>
      <c r="D97" s="87" t="s">
        <v>523</v>
      </c>
      <c r="E97" s="206" t="s">
        <v>524</v>
      </c>
      <c r="F97" s="92"/>
      <c r="G97" s="93"/>
      <c r="H97" s="93"/>
      <c r="I97" s="93"/>
      <c r="J97" s="94"/>
    </row>
    <row r="98" spans="1:10" ht="36" x14ac:dyDescent="0.25">
      <c r="A98" s="42">
        <v>90</v>
      </c>
      <c r="B98" s="81">
        <v>43222</v>
      </c>
      <c r="C98" s="91"/>
      <c r="D98" s="87" t="s">
        <v>525</v>
      </c>
      <c r="E98" s="87" t="s">
        <v>526</v>
      </c>
      <c r="F98" s="92"/>
      <c r="G98" s="93"/>
      <c r="H98" s="93"/>
      <c r="I98" s="93"/>
      <c r="J98" s="94"/>
    </row>
    <row r="99" spans="1:10" x14ac:dyDescent="0.25">
      <c r="A99" s="42">
        <v>91</v>
      </c>
      <c r="B99" s="81">
        <v>43223</v>
      </c>
      <c r="C99" s="91"/>
      <c r="D99" s="87" t="s">
        <v>527</v>
      </c>
      <c r="E99" s="87"/>
      <c r="F99" s="92"/>
      <c r="G99" s="93"/>
      <c r="H99" s="93"/>
      <c r="I99" s="93"/>
      <c r="J99" s="94"/>
    </row>
    <row r="100" spans="1:10" ht="36" x14ac:dyDescent="0.25">
      <c r="A100" s="42">
        <v>92</v>
      </c>
      <c r="B100" s="81">
        <v>43224</v>
      </c>
      <c r="C100" s="91"/>
      <c r="D100" s="87" t="s">
        <v>528</v>
      </c>
      <c r="E100" s="87"/>
      <c r="F100" s="92"/>
      <c r="G100" s="93"/>
      <c r="H100" s="93"/>
      <c r="I100" s="93"/>
      <c r="J100" s="94"/>
    </row>
    <row r="101" spans="1:10" ht="36" x14ac:dyDescent="0.25">
      <c r="A101" s="42">
        <v>93</v>
      </c>
      <c r="B101" s="81">
        <v>43225</v>
      </c>
      <c r="C101" s="91"/>
      <c r="D101" s="87" t="s">
        <v>529</v>
      </c>
      <c r="E101" s="87"/>
      <c r="F101" s="92"/>
      <c r="G101" s="93"/>
      <c r="H101" s="93"/>
      <c r="I101" s="93"/>
      <c r="J101" s="94"/>
    </row>
    <row r="102" spans="1:10" ht="240" x14ac:dyDescent="0.25">
      <c r="A102" s="42">
        <v>94</v>
      </c>
      <c r="B102" s="81">
        <v>43226</v>
      </c>
      <c r="C102" s="91" t="s">
        <v>532</v>
      </c>
      <c r="D102" s="87" t="s">
        <v>530</v>
      </c>
      <c r="E102" s="87" t="s">
        <v>531</v>
      </c>
      <c r="F102" s="92"/>
      <c r="G102" s="93"/>
      <c r="H102" s="93"/>
      <c r="I102" s="93"/>
      <c r="J102" s="94"/>
    </row>
    <row r="103" spans="1:10" x14ac:dyDescent="0.25">
      <c r="A103" s="42">
        <v>95</v>
      </c>
      <c r="B103" s="81">
        <v>43227</v>
      </c>
      <c r="C103" s="91"/>
      <c r="D103" s="87"/>
      <c r="E103" s="87"/>
      <c r="F103" s="92"/>
      <c r="G103" s="93"/>
      <c r="H103" s="93"/>
      <c r="I103" s="93"/>
      <c r="J103" s="94"/>
    </row>
    <row r="104" spans="1:10" x14ac:dyDescent="0.25">
      <c r="A104" s="42">
        <v>96</v>
      </c>
      <c r="B104" s="81">
        <v>43228</v>
      </c>
      <c r="C104" s="91"/>
      <c r="D104" s="87"/>
      <c r="E104" s="87"/>
      <c r="F104" s="92"/>
      <c r="G104" s="93"/>
      <c r="H104" s="93"/>
      <c r="I104" s="93"/>
      <c r="J104" s="94"/>
    </row>
    <row r="105" spans="1:10" x14ac:dyDescent="0.25">
      <c r="A105" s="42">
        <v>97</v>
      </c>
      <c r="B105" s="81">
        <v>43229</v>
      </c>
      <c r="C105" s="91"/>
      <c r="D105" s="87"/>
      <c r="E105" s="87"/>
      <c r="F105" s="92"/>
      <c r="G105" s="93"/>
      <c r="H105" s="93"/>
      <c r="I105" s="93"/>
      <c r="J105" s="94"/>
    </row>
    <row r="106" spans="1:10" ht="36" x14ac:dyDescent="0.25">
      <c r="A106" s="42">
        <v>98</v>
      </c>
      <c r="B106" s="81">
        <v>43230</v>
      </c>
      <c r="C106" s="91"/>
      <c r="D106" s="87" t="s">
        <v>534</v>
      </c>
      <c r="E106" s="87"/>
      <c r="F106" s="92"/>
      <c r="G106" s="93"/>
      <c r="H106" s="93"/>
      <c r="I106" s="93"/>
      <c r="J106" s="94"/>
    </row>
    <row r="107" spans="1:10" x14ac:dyDescent="0.25">
      <c r="A107" s="42">
        <v>99</v>
      </c>
      <c r="B107" s="81">
        <v>43231</v>
      </c>
      <c r="C107" s="91"/>
      <c r="D107" s="87"/>
      <c r="E107" s="87"/>
      <c r="F107" s="92"/>
      <c r="G107" s="93"/>
      <c r="H107" s="93"/>
      <c r="I107" s="93"/>
      <c r="J107" s="94"/>
    </row>
    <row r="108" spans="1:10" ht="108" x14ac:dyDescent="0.25">
      <c r="A108" s="42">
        <v>100</v>
      </c>
      <c r="B108" s="81">
        <v>43232</v>
      </c>
      <c r="C108" s="91"/>
      <c r="D108" s="87" t="s">
        <v>535</v>
      </c>
      <c r="E108" s="87" t="s">
        <v>536</v>
      </c>
      <c r="F108" s="92"/>
      <c r="G108" s="93"/>
      <c r="H108" s="93"/>
      <c r="I108" s="93"/>
      <c r="J108" s="94"/>
    </row>
    <row r="109" spans="1:10" ht="240" x14ac:dyDescent="0.25">
      <c r="A109" s="42">
        <v>101</v>
      </c>
      <c r="B109" s="81">
        <v>43233</v>
      </c>
      <c r="C109" s="91" t="s">
        <v>538</v>
      </c>
      <c r="D109" s="87" t="s">
        <v>537</v>
      </c>
      <c r="E109" s="87" t="s">
        <v>539</v>
      </c>
      <c r="F109" s="92"/>
      <c r="G109" s="93"/>
      <c r="H109" s="93"/>
      <c r="I109" s="93"/>
      <c r="J109" s="94"/>
    </row>
    <row r="110" spans="1:10" ht="36" x14ac:dyDescent="0.25">
      <c r="A110" s="42">
        <v>102</v>
      </c>
      <c r="B110" s="81">
        <v>43234</v>
      </c>
      <c r="C110" s="91"/>
      <c r="D110" s="87" t="s">
        <v>555</v>
      </c>
      <c r="E110" s="87"/>
      <c r="F110" s="92"/>
      <c r="G110" s="93"/>
      <c r="H110" s="93"/>
      <c r="I110" s="93"/>
      <c r="J110" s="94"/>
    </row>
    <row r="111" spans="1:10" x14ac:dyDescent="0.25">
      <c r="A111" s="42">
        <v>103</v>
      </c>
      <c r="B111" s="81">
        <v>43235</v>
      </c>
      <c r="C111" s="91"/>
      <c r="D111" s="87"/>
      <c r="E111" s="87"/>
      <c r="F111" s="92"/>
      <c r="G111" s="93"/>
      <c r="H111" s="93"/>
      <c r="I111" s="93"/>
      <c r="J111" s="94"/>
    </row>
    <row r="112" spans="1:10" ht="72" x14ac:dyDescent="0.25">
      <c r="A112" s="42">
        <v>104</v>
      </c>
      <c r="B112" s="81">
        <v>43236</v>
      </c>
      <c r="C112" s="91" t="s">
        <v>560</v>
      </c>
      <c r="D112" s="87" t="s">
        <v>559</v>
      </c>
      <c r="E112" s="87"/>
      <c r="F112" s="92"/>
      <c r="G112" s="93"/>
      <c r="H112" s="93"/>
      <c r="I112" s="93"/>
      <c r="J112" s="94"/>
    </row>
    <row r="113" spans="1:10" ht="72" x14ac:dyDescent="0.25">
      <c r="A113" s="42">
        <v>105</v>
      </c>
      <c r="B113" s="81">
        <v>43237</v>
      </c>
      <c r="C113" s="91"/>
      <c r="D113" s="87" t="s">
        <v>561</v>
      </c>
      <c r="E113" s="87" t="s">
        <v>562</v>
      </c>
      <c r="F113" s="92"/>
      <c r="G113" s="93"/>
      <c r="H113" s="93"/>
      <c r="I113" s="93"/>
      <c r="J113" s="94"/>
    </row>
    <row r="114" spans="1:10" ht="144" x14ac:dyDescent="0.25">
      <c r="A114" s="42">
        <v>106</v>
      </c>
      <c r="B114" s="81">
        <v>43238</v>
      </c>
      <c r="C114" s="91" t="s">
        <v>564</v>
      </c>
      <c r="D114" s="87" t="s">
        <v>563</v>
      </c>
      <c r="E114" s="87" t="s">
        <v>565</v>
      </c>
      <c r="F114" s="92" t="s">
        <v>566</v>
      </c>
      <c r="G114" s="93"/>
      <c r="H114" s="93"/>
      <c r="I114" s="93"/>
      <c r="J114" s="94"/>
    </row>
    <row r="115" spans="1:10" ht="132" x14ac:dyDescent="0.25">
      <c r="A115" s="42">
        <v>107</v>
      </c>
      <c r="B115" s="81">
        <v>43239</v>
      </c>
      <c r="C115" s="91"/>
      <c r="D115" s="87" t="s">
        <v>567</v>
      </c>
      <c r="E115" s="87" t="s">
        <v>568</v>
      </c>
      <c r="F115" s="92"/>
      <c r="G115" s="93"/>
      <c r="H115" s="93"/>
      <c r="I115" s="93"/>
      <c r="J115" s="94"/>
    </row>
    <row r="116" spans="1:10" ht="409.5" customHeight="1" x14ac:dyDescent="0.25">
      <c r="A116" s="42">
        <v>108</v>
      </c>
      <c r="B116" s="81">
        <v>43240</v>
      </c>
      <c r="C116" s="91" t="s">
        <v>571</v>
      </c>
      <c r="D116" s="87" t="s">
        <v>570</v>
      </c>
      <c r="E116" s="87" t="s">
        <v>569</v>
      </c>
      <c r="F116" s="92"/>
      <c r="G116" s="93"/>
      <c r="H116" s="93"/>
      <c r="I116" s="93"/>
      <c r="J116" s="94"/>
    </row>
    <row r="117" spans="1:10" x14ac:dyDescent="0.25">
      <c r="A117" s="42">
        <v>109</v>
      </c>
      <c r="B117" s="81">
        <v>43241</v>
      </c>
      <c r="C117" s="91"/>
      <c r="D117" s="87" t="s">
        <v>572</v>
      </c>
      <c r="E117" s="87"/>
      <c r="F117" s="92"/>
      <c r="G117" s="93"/>
      <c r="H117" s="93"/>
      <c r="I117" s="93"/>
      <c r="J117" s="94"/>
    </row>
    <row r="118" spans="1:10" ht="60" x14ac:dyDescent="0.25">
      <c r="A118" s="42">
        <v>110</v>
      </c>
      <c r="B118" s="81">
        <v>43242</v>
      </c>
      <c r="C118" s="91"/>
      <c r="D118" s="87" t="s">
        <v>573</v>
      </c>
      <c r="E118" s="87"/>
      <c r="F118" s="92"/>
      <c r="G118" s="93"/>
      <c r="H118" s="93"/>
      <c r="I118" s="93"/>
      <c r="J118" s="94"/>
    </row>
    <row r="119" spans="1:10" ht="24" x14ac:dyDescent="0.25">
      <c r="A119" s="42">
        <v>111</v>
      </c>
      <c r="B119" s="81">
        <v>43243</v>
      </c>
      <c r="C119" s="91"/>
      <c r="D119" s="87" t="s">
        <v>574</v>
      </c>
      <c r="E119" s="87" t="s">
        <v>576</v>
      </c>
      <c r="F119" s="92"/>
      <c r="G119" s="93"/>
      <c r="H119" s="93"/>
      <c r="I119" s="93"/>
      <c r="J119" s="94"/>
    </row>
    <row r="120" spans="1:10" ht="36" x14ac:dyDescent="0.25">
      <c r="A120" s="42">
        <v>112</v>
      </c>
      <c r="B120" s="81">
        <v>43244</v>
      </c>
      <c r="C120" s="91"/>
      <c r="D120" s="87"/>
      <c r="E120" s="87" t="s">
        <v>585</v>
      </c>
      <c r="F120" s="92"/>
      <c r="G120" s="93"/>
      <c r="H120" s="93"/>
      <c r="I120" s="93"/>
      <c r="J120" s="94"/>
    </row>
    <row r="121" spans="1:10" x14ac:dyDescent="0.25">
      <c r="A121" s="42">
        <v>113</v>
      </c>
      <c r="B121" s="81">
        <v>43245</v>
      </c>
      <c r="C121" s="91"/>
      <c r="D121" s="87"/>
      <c r="E121" s="87"/>
      <c r="F121" s="92"/>
      <c r="G121" s="93"/>
      <c r="H121" s="93"/>
      <c r="I121" s="93"/>
      <c r="J121" s="94"/>
    </row>
    <row r="122" spans="1:10" ht="120" x14ac:dyDescent="0.25">
      <c r="A122" s="42">
        <v>114</v>
      </c>
      <c r="B122" s="81">
        <v>43246</v>
      </c>
      <c r="C122" s="91" t="s">
        <v>590</v>
      </c>
      <c r="D122" s="87" t="s">
        <v>589</v>
      </c>
      <c r="E122" s="87" t="s">
        <v>588</v>
      </c>
      <c r="F122" s="92"/>
      <c r="G122" s="93"/>
      <c r="H122" s="93"/>
      <c r="I122" s="93"/>
      <c r="J122" s="94"/>
    </row>
    <row r="123" spans="1:10" ht="24" x14ac:dyDescent="0.25">
      <c r="A123" s="42">
        <v>115</v>
      </c>
      <c r="B123" s="81">
        <v>43247</v>
      </c>
      <c r="C123" s="91" t="s">
        <v>591</v>
      </c>
      <c r="D123" s="87" t="s">
        <v>609</v>
      </c>
      <c r="E123" s="87"/>
      <c r="F123" s="92"/>
      <c r="G123" s="93"/>
      <c r="H123" s="93"/>
      <c r="I123" s="93"/>
      <c r="J123" s="94"/>
    </row>
    <row r="124" spans="1:10" x14ac:dyDescent="0.25">
      <c r="A124" s="42">
        <v>116</v>
      </c>
      <c r="B124" s="81">
        <v>43248</v>
      </c>
      <c r="C124" s="91"/>
      <c r="D124" s="87"/>
      <c r="E124" s="87"/>
      <c r="F124" s="92"/>
      <c r="G124" s="93"/>
      <c r="H124" s="93"/>
      <c r="I124" s="93"/>
      <c r="J124" s="94"/>
    </row>
    <row r="125" spans="1:10" x14ac:dyDescent="0.25">
      <c r="A125" s="42">
        <v>117</v>
      </c>
      <c r="B125" s="81">
        <v>43249</v>
      </c>
      <c r="C125" s="91"/>
      <c r="D125" s="87"/>
      <c r="E125" s="87"/>
      <c r="F125" s="92"/>
      <c r="G125" s="93"/>
      <c r="H125" s="93"/>
      <c r="I125" s="93"/>
      <c r="J125" s="94"/>
    </row>
    <row r="126" spans="1:10" x14ac:dyDescent="0.25">
      <c r="A126" s="42">
        <v>118</v>
      </c>
      <c r="B126" s="81">
        <v>43250</v>
      </c>
      <c r="C126" s="91"/>
      <c r="D126" s="87"/>
      <c r="E126" s="87"/>
      <c r="F126" s="92"/>
      <c r="G126" s="93"/>
      <c r="H126" s="93"/>
      <c r="I126" s="93"/>
      <c r="J126" s="94"/>
    </row>
    <row r="127" spans="1:10" x14ac:dyDescent="0.25">
      <c r="A127" s="42">
        <v>119</v>
      </c>
      <c r="B127" s="81">
        <v>43251</v>
      </c>
      <c r="C127" s="91"/>
      <c r="D127" s="87"/>
      <c r="E127" s="87"/>
      <c r="F127" s="92"/>
      <c r="G127" s="93"/>
      <c r="H127" s="93"/>
      <c r="I127" s="93"/>
      <c r="J127" s="94"/>
    </row>
    <row r="128" spans="1:10" x14ac:dyDescent="0.25">
      <c r="A128" s="42">
        <v>120</v>
      </c>
      <c r="B128" s="81">
        <v>43252</v>
      </c>
      <c r="C128" s="91"/>
      <c r="D128" s="87"/>
      <c r="E128" s="87"/>
      <c r="F128" s="92"/>
      <c r="G128" s="93"/>
      <c r="H128" s="93"/>
      <c r="I128" s="93"/>
      <c r="J128" s="94"/>
    </row>
    <row r="129" spans="1:10" x14ac:dyDescent="0.25">
      <c r="A129" s="42">
        <v>121</v>
      </c>
      <c r="B129" s="81">
        <v>43253</v>
      </c>
      <c r="C129" s="91"/>
      <c r="D129" s="87"/>
      <c r="E129" s="87"/>
      <c r="F129" s="92"/>
      <c r="G129" s="93"/>
      <c r="H129" s="93"/>
      <c r="I129" s="93"/>
      <c r="J129" s="94"/>
    </row>
    <row r="130" spans="1:10" x14ac:dyDescent="0.25">
      <c r="A130" s="42">
        <v>122</v>
      </c>
      <c r="B130" s="81">
        <v>43254</v>
      </c>
      <c r="C130" s="91"/>
      <c r="D130" s="87"/>
      <c r="E130" s="87"/>
      <c r="F130" s="92"/>
      <c r="G130" s="93"/>
      <c r="H130" s="93"/>
      <c r="I130" s="93"/>
      <c r="J130" s="94"/>
    </row>
    <row r="131" spans="1:10" x14ac:dyDescent="0.25">
      <c r="A131" s="42">
        <v>123</v>
      </c>
      <c r="B131" s="81">
        <v>43255</v>
      </c>
      <c r="C131" s="91"/>
      <c r="D131" s="87"/>
      <c r="E131" s="87"/>
      <c r="F131" s="92"/>
      <c r="G131" s="93"/>
      <c r="H131" s="93"/>
      <c r="I131" s="93"/>
      <c r="J131" s="94"/>
    </row>
    <row r="132" spans="1:10" x14ac:dyDescent="0.25">
      <c r="A132" s="42">
        <v>124</v>
      </c>
      <c r="B132" s="81">
        <v>43256</v>
      </c>
      <c r="C132" s="91"/>
      <c r="D132" s="87"/>
      <c r="E132" s="87"/>
      <c r="F132" s="92"/>
      <c r="G132" s="93"/>
      <c r="H132" s="93"/>
      <c r="I132" s="93"/>
      <c r="J132" s="94"/>
    </row>
    <row r="133" spans="1:10" x14ac:dyDescent="0.25">
      <c r="A133" s="42">
        <v>125</v>
      </c>
      <c r="B133" s="81">
        <v>43257</v>
      </c>
      <c r="C133" s="91"/>
      <c r="D133" s="87"/>
      <c r="E133" s="87"/>
      <c r="F133" s="92"/>
      <c r="G133" s="93"/>
      <c r="H133" s="93"/>
      <c r="I133" s="93"/>
      <c r="J133" s="94"/>
    </row>
    <row r="134" spans="1:10" x14ac:dyDescent="0.25">
      <c r="A134" s="42">
        <v>126</v>
      </c>
      <c r="B134" s="81">
        <v>43258</v>
      </c>
      <c r="C134" s="91"/>
      <c r="D134" s="87"/>
      <c r="E134" s="87"/>
      <c r="F134" s="92"/>
      <c r="G134" s="93"/>
      <c r="H134" s="93"/>
      <c r="I134" s="93"/>
      <c r="J134" s="94"/>
    </row>
    <row r="135" spans="1:10" x14ac:dyDescent="0.25">
      <c r="A135" s="42">
        <v>127</v>
      </c>
      <c r="B135" s="81">
        <v>43259</v>
      </c>
      <c r="C135" s="91"/>
      <c r="D135" s="87"/>
      <c r="E135" s="87"/>
      <c r="F135" s="92"/>
      <c r="G135" s="93"/>
      <c r="H135" s="93"/>
      <c r="I135" s="93"/>
      <c r="J135" s="94"/>
    </row>
    <row r="136" spans="1:10" x14ac:dyDescent="0.25">
      <c r="A136" s="42">
        <v>128</v>
      </c>
      <c r="B136" s="81">
        <v>43260</v>
      </c>
      <c r="C136" s="91"/>
      <c r="D136" s="87"/>
      <c r="E136" s="87"/>
      <c r="F136" s="92"/>
      <c r="G136" s="93"/>
      <c r="H136" s="93"/>
      <c r="I136" s="93"/>
      <c r="J136" s="94"/>
    </row>
    <row r="137" spans="1:10" x14ac:dyDescent="0.25">
      <c r="A137" s="42">
        <v>129</v>
      </c>
      <c r="B137" s="81">
        <v>43261</v>
      </c>
      <c r="C137" s="91"/>
      <c r="D137" s="87"/>
      <c r="E137" s="87"/>
      <c r="F137" s="92"/>
      <c r="G137" s="93"/>
      <c r="H137" s="93"/>
      <c r="I137" s="93"/>
      <c r="J137" s="94"/>
    </row>
    <row r="138" spans="1:10" x14ac:dyDescent="0.25">
      <c r="A138" s="42">
        <v>130</v>
      </c>
      <c r="B138" s="81">
        <v>43262</v>
      </c>
      <c r="C138" s="91"/>
      <c r="D138" s="87"/>
      <c r="E138" s="87"/>
      <c r="F138" s="92"/>
      <c r="G138" s="93"/>
      <c r="H138" s="93"/>
      <c r="I138" s="93"/>
      <c r="J138" s="94"/>
    </row>
    <row r="139" spans="1:10" x14ac:dyDescent="0.25">
      <c r="A139" s="42">
        <v>131</v>
      </c>
      <c r="B139" s="81">
        <v>43263</v>
      </c>
      <c r="C139" s="91"/>
      <c r="D139" s="87"/>
      <c r="E139" s="87"/>
      <c r="F139" s="92"/>
      <c r="G139" s="93"/>
      <c r="H139" s="93"/>
      <c r="I139" s="93"/>
      <c r="J139" s="94"/>
    </row>
    <row r="140" spans="1:10" x14ac:dyDescent="0.25">
      <c r="A140" s="42">
        <v>132</v>
      </c>
      <c r="B140" s="81">
        <v>43264</v>
      </c>
      <c r="C140" s="91"/>
      <c r="D140" s="87"/>
      <c r="E140" s="87"/>
      <c r="F140" s="92"/>
      <c r="G140" s="93"/>
      <c r="H140" s="93"/>
      <c r="I140" s="93"/>
      <c r="J140" s="94"/>
    </row>
    <row r="141" spans="1:10" x14ac:dyDescent="0.25">
      <c r="A141" s="42">
        <v>133</v>
      </c>
      <c r="B141" s="81">
        <v>43265</v>
      </c>
      <c r="C141" s="91"/>
      <c r="D141" s="87"/>
      <c r="E141" s="87"/>
      <c r="F141" s="92"/>
      <c r="G141" s="93"/>
      <c r="H141" s="93"/>
      <c r="I141" s="93"/>
      <c r="J141" s="94"/>
    </row>
    <row r="142" spans="1:10" x14ac:dyDescent="0.25">
      <c r="A142" s="42">
        <v>134</v>
      </c>
      <c r="B142" s="81">
        <v>43266</v>
      </c>
      <c r="C142" s="91"/>
      <c r="D142" s="87"/>
      <c r="E142" s="87"/>
      <c r="F142" s="92"/>
      <c r="G142" s="93"/>
      <c r="H142" s="93"/>
      <c r="I142" s="93"/>
      <c r="J142" s="94"/>
    </row>
    <row r="143" spans="1:10" x14ac:dyDescent="0.25">
      <c r="A143" s="42">
        <v>135</v>
      </c>
      <c r="B143" s="81">
        <v>43267</v>
      </c>
      <c r="C143" s="91"/>
      <c r="D143" s="87"/>
      <c r="E143" s="87"/>
      <c r="F143" s="92"/>
      <c r="G143" s="93"/>
      <c r="H143" s="93"/>
      <c r="I143" s="93"/>
      <c r="J143" s="94"/>
    </row>
    <row r="144" spans="1:10" x14ac:dyDescent="0.25">
      <c r="A144" s="42">
        <v>136</v>
      </c>
      <c r="B144" s="81">
        <v>43268</v>
      </c>
      <c r="C144" s="91"/>
      <c r="D144" s="87"/>
      <c r="E144" s="87"/>
      <c r="F144" s="92"/>
      <c r="G144" s="93"/>
      <c r="H144" s="93"/>
      <c r="I144" s="93"/>
      <c r="J144" s="94"/>
    </row>
    <row r="145" spans="1:10" x14ac:dyDescent="0.25">
      <c r="A145" s="42">
        <v>137</v>
      </c>
      <c r="B145" s="81">
        <v>43269</v>
      </c>
      <c r="C145" s="91"/>
      <c r="D145" s="87"/>
      <c r="E145" s="87"/>
      <c r="F145" s="92"/>
      <c r="G145" s="93"/>
      <c r="H145" s="93"/>
      <c r="I145" s="93"/>
      <c r="J145" s="94"/>
    </row>
    <row r="146" spans="1:10" x14ac:dyDescent="0.25">
      <c r="A146" s="42">
        <v>138</v>
      </c>
      <c r="B146" s="81">
        <v>43270</v>
      </c>
      <c r="C146" s="91"/>
      <c r="D146" s="87"/>
      <c r="E146" s="87"/>
      <c r="F146" s="92"/>
      <c r="G146" s="93"/>
      <c r="H146" s="93"/>
      <c r="I146" s="93"/>
      <c r="J146" s="94"/>
    </row>
    <row r="147" spans="1:10" x14ac:dyDescent="0.25">
      <c r="A147" s="42">
        <v>139</v>
      </c>
      <c r="B147" s="81">
        <v>43271</v>
      </c>
      <c r="C147" s="91"/>
      <c r="D147" s="87"/>
      <c r="E147" s="87"/>
      <c r="F147" s="92"/>
      <c r="G147" s="93"/>
      <c r="H147" s="93"/>
      <c r="I147" s="93"/>
      <c r="J147" s="94"/>
    </row>
    <row r="148" spans="1:10" x14ac:dyDescent="0.25">
      <c r="A148" s="42">
        <v>140</v>
      </c>
      <c r="B148" s="81">
        <v>43272</v>
      </c>
      <c r="C148" s="91"/>
      <c r="D148" s="87"/>
      <c r="E148" s="87"/>
      <c r="F148" s="92"/>
      <c r="G148" s="93"/>
      <c r="H148" s="93"/>
      <c r="I148" s="93"/>
      <c r="J148" s="94"/>
    </row>
    <row r="149" spans="1:10" x14ac:dyDescent="0.25">
      <c r="A149" s="42">
        <v>141</v>
      </c>
      <c r="B149" s="81">
        <v>43273</v>
      </c>
      <c r="C149" s="91"/>
      <c r="D149" s="87"/>
      <c r="E149" s="87"/>
      <c r="F149" s="92"/>
      <c r="G149" s="93"/>
      <c r="H149" s="93"/>
      <c r="I149" s="93"/>
      <c r="J149" s="94"/>
    </row>
    <row r="150" spans="1:10" x14ac:dyDescent="0.25">
      <c r="A150" s="42">
        <v>142</v>
      </c>
      <c r="B150" s="81">
        <v>43274</v>
      </c>
      <c r="C150" s="91"/>
      <c r="D150" s="87"/>
      <c r="E150" s="87"/>
      <c r="F150" s="92"/>
      <c r="G150" s="93"/>
      <c r="H150" s="93"/>
      <c r="I150" s="93"/>
      <c r="J150" s="94"/>
    </row>
    <row r="151" spans="1:10" x14ac:dyDescent="0.25">
      <c r="A151" s="42">
        <v>143</v>
      </c>
      <c r="B151" s="81">
        <v>43275</v>
      </c>
      <c r="C151" s="91"/>
      <c r="D151" s="87"/>
      <c r="E151" s="87"/>
      <c r="F151" s="92"/>
      <c r="G151" s="93"/>
      <c r="H151" s="93"/>
      <c r="I151" s="93"/>
      <c r="J151" s="94"/>
    </row>
    <row r="152" spans="1:10" x14ac:dyDescent="0.25">
      <c r="A152" s="42">
        <v>144</v>
      </c>
      <c r="B152" s="81">
        <v>43276</v>
      </c>
      <c r="C152" s="91"/>
      <c r="D152" s="87"/>
      <c r="E152" s="87"/>
      <c r="F152" s="92"/>
      <c r="G152" s="93"/>
      <c r="H152" s="93"/>
      <c r="I152" s="93"/>
      <c r="J152" s="94"/>
    </row>
    <row r="153" spans="1:10" x14ac:dyDescent="0.25">
      <c r="A153" s="42">
        <v>145</v>
      </c>
      <c r="B153" s="81">
        <v>43277</v>
      </c>
      <c r="C153" s="91"/>
      <c r="D153" s="87"/>
      <c r="E153" s="87"/>
      <c r="F153" s="92"/>
      <c r="G153" s="93"/>
      <c r="H153" s="93"/>
      <c r="I153" s="93"/>
      <c r="J153" s="94"/>
    </row>
    <row r="154" spans="1:10" x14ac:dyDescent="0.25">
      <c r="A154" s="42">
        <v>146</v>
      </c>
      <c r="B154" s="81">
        <v>43278</v>
      </c>
      <c r="C154" s="91"/>
      <c r="D154" s="87"/>
      <c r="E154" s="87"/>
      <c r="F154" s="92"/>
      <c r="G154" s="93"/>
      <c r="H154" s="93"/>
      <c r="I154" s="93"/>
      <c r="J154" s="94"/>
    </row>
    <row r="155" spans="1:10" x14ac:dyDescent="0.25">
      <c r="A155" s="42">
        <v>147</v>
      </c>
      <c r="B155" s="81">
        <v>43279</v>
      </c>
      <c r="C155" s="91"/>
      <c r="D155" s="87"/>
      <c r="E155" s="87"/>
      <c r="F155" s="92"/>
      <c r="G155" s="93"/>
      <c r="H155" s="93"/>
      <c r="I155" s="93"/>
      <c r="J155" s="94"/>
    </row>
    <row r="156" spans="1:10" x14ac:dyDescent="0.25">
      <c r="A156" s="42">
        <v>148</v>
      </c>
      <c r="B156" s="81">
        <v>43280</v>
      </c>
      <c r="C156" s="91"/>
      <c r="D156" s="87"/>
      <c r="E156" s="87"/>
      <c r="F156" s="92"/>
      <c r="G156" s="93"/>
      <c r="H156" s="93"/>
      <c r="I156" s="93"/>
      <c r="J156" s="94"/>
    </row>
    <row r="157" spans="1:10" x14ac:dyDescent="0.25">
      <c r="A157" s="42">
        <v>149</v>
      </c>
      <c r="B157" s="81">
        <v>43281</v>
      </c>
      <c r="C157" s="91"/>
      <c r="D157" s="87"/>
      <c r="E157" s="87"/>
      <c r="F157" s="92"/>
      <c r="G157" s="93"/>
      <c r="H157" s="93"/>
      <c r="I157" s="93"/>
      <c r="J157" s="94"/>
    </row>
    <row r="158" spans="1:10" x14ac:dyDescent="0.25">
      <c r="A158" s="42">
        <v>150</v>
      </c>
      <c r="B158" s="81">
        <v>43282</v>
      </c>
      <c r="C158" s="91"/>
      <c r="D158" s="87"/>
      <c r="E158" s="87"/>
      <c r="F158" s="92"/>
      <c r="G158" s="93"/>
      <c r="H158" s="93"/>
      <c r="I158" s="93"/>
      <c r="J158" s="94"/>
    </row>
    <row r="159" spans="1:10" x14ac:dyDescent="0.25">
      <c r="A159" s="42">
        <v>151</v>
      </c>
      <c r="B159" s="81">
        <v>43283</v>
      </c>
      <c r="C159" s="91"/>
      <c r="D159" s="87"/>
      <c r="E159" s="87"/>
      <c r="F159" s="92"/>
      <c r="G159" s="93"/>
      <c r="H159" s="93"/>
      <c r="I159" s="93"/>
      <c r="J159" s="94"/>
    </row>
    <row r="160" spans="1:10" x14ac:dyDescent="0.25">
      <c r="A160" s="42">
        <v>152</v>
      </c>
      <c r="B160" s="81">
        <v>43284</v>
      </c>
      <c r="C160" s="91"/>
      <c r="D160" s="87"/>
      <c r="E160" s="87"/>
      <c r="F160" s="92"/>
      <c r="G160" s="93"/>
      <c r="H160" s="93"/>
      <c r="I160" s="93"/>
      <c r="J160" s="94"/>
    </row>
    <row r="161" spans="1:10" x14ac:dyDescent="0.25">
      <c r="A161" s="42">
        <v>153</v>
      </c>
      <c r="B161" s="81">
        <v>43285</v>
      </c>
      <c r="C161" s="91"/>
      <c r="D161" s="87"/>
      <c r="E161" s="87"/>
      <c r="F161" s="92"/>
      <c r="G161" s="93"/>
      <c r="H161" s="93"/>
      <c r="I161" s="93"/>
      <c r="J161" s="94"/>
    </row>
    <row r="162" spans="1:10" x14ac:dyDescent="0.25">
      <c r="A162" s="42">
        <v>154</v>
      </c>
      <c r="B162" s="81">
        <v>43286</v>
      </c>
      <c r="C162" s="91"/>
      <c r="D162" s="87"/>
      <c r="E162" s="87"/>
      <c r="F162" s="92"/>
      <c r="G162" s="93"/>
      <c r="H162" s="93"/>
      <c r="I162" s="93"/>
      <c r="J162" s="94"/>
    </row>
    <row r="163" spans="1:10" x14ac:dyDescent="0.25">
      <c r="A163" s="42">
        <v>155</v>
      </c>
      <c r="B163" s="81">
        <v>43287</v>
      </c>
      <c r="C163" s="91"/>
      <c r="D163" s="87"/>
      <c r="E163" s="87"/>
      <c r="F163" s="92"/>
      <c r="G163" s="93"/>
      <c r="H163" s="93"/>
      <c r="I163" s="93"/>
      <c r="J163" s="94"/>
    </row>
    <row r="164" spans="1:10" x14ac:dyDescent="0.25">
      <c r="A164" s="42">
        <v>156</v>
      </c>
      <c r="B164" s="81">
        <v>43288</v>
      </c>
      <c r="C164" s="91"/>
      <c r="D164" s="87"/>
      <c r="E164" s="87"/>
      <c r="F164" s="92"/>
      <c r="G164" s="93"/>
      <c r="H164" s="93"/>
      <c r="I164" s="93"/>
      <c r="J164" s="94"/>
    </row>
    <row r="165" spans="1:10" x14ac:dyDescent="0.25">
      <c r="A165" s="42">
        <v>157</v>
      </c>
      <c r="B165" s="81">
        <v>43289</v>
      </c>
      <c r="C165" s="91"/>
      <c r="D165" s="87"/>
      <c r="E165" s="87"/>
      <c r="F165" s="92"/>
      <c r="G165" s="93"/>
      <c r="H165" s="93"/>
      <c r="I165" s="93"/>
      <c r="J165" s="94"/>
    </row>
    <row r="166" spans="1:10" x14ac:dyDescent="0.25">
      <c r="A166" s="42">
        <v>158</v>
      </c>
      <c r="B166" s="81">
        <v>43290</v>
      </c>
      <c r="C166" s="91"/>
      <c r="D166" s="87"/>
      <c r="E166" s="87"/>
      <c r="F166" s="92"/>
      <c r="G166" s="93"/>
      <c r="H166" s="93"/>
      <c r="I166" s="93"/>
      <c r="J166" s="94"/>
    </row>
    <row r="167" spans="1:10" x14ac:dyDescent="0.25">
      <c r="A167" s="42">
        <v>159</v>
      </c>
      <c r="B167" s="81">
        <v>43291</v>
      </c>
      <c r="C167" s="91"/>
      <c r="D167" s="87"/>
      <c r="E167" s="87"/>
      <c r="F167" s="92"/>
      <c r="G167" s="93"/>
      <c r="H167" s="93"/>
      <c r="I167" s="93"/>
      <c r="J167" s="94"/>
    </row>
    <row r="168" spans="1:10" x14ac:dyDescent="0.25">
      <c r="A168" s="42">
        <v>160</v>
      </c>
      <c r="B168" s="81">
        <v>43292</v>
      </c>
      <c r="C168" s="91"/>
      <c r="D168" s="87"/>
      <c r="E168" s="87"/>
      <c r="F168" s="92"/>
      <c r="G168" s="93"/>
      <c r="H168" s="93"/>
      <c r="I168" s="93"/>
      <c r="J168" s="94"/>
    </row>
    <row r="169" spans="1:10" x14ac:dyDescent="0.25">
      <c r="A169" s="42">
        <v>161</v>
      </c>
      <c r="B169" s="81">
        <v>43293</v>
      </c>
      <c r="C169" s="91"/>
      <c r="D169" s="87"/>
      <c r="E169" s="87"/>
      <c r="F169" s="92"/>
      <c r="G169" s="93"/>
      <c r="H169" s="93"/>
      <c r="I169" s="93"/>
      <c r="J169" s="94"/>
    </row>
    <row r="170" spans="1:10" x14ac:dyDescent="0.25">
      <c r="A170" s="42">
        <v>162</v>
      </c>
      <c r="B170" s="81">
        <v>43294</v>
      </c>
      <c r="C170" s="91"/>
      <c r="D170" s="87"/>
      <c r="E170" s="87"/>
      <c r="F170" s="92"/>
      <c r="G170" s="93"/>
      <c r="H170" s="93"/>
      <c r="I170" s="93"/>
      <c r="J170" s="94"/>
    </row>
    <row r="171" spans="1:10" x14ac:dyDescent="0.25">
      <c r="A171" s="42">
        <v>163</v>
      </c>
      <c r="B171" s="81">
        <v>43295</v>
      </c>
      <c r="C171" s="91"/>
      <c r="D171" s="87"/>
      <c r="E171" s="87"/>
      <c r="F171" s="92"/>
      <c r="G171" s="93"/>
      <c r="H171" s="93"/>
      <c r="I171" s="93"/>
      <c r="J171" s="94"/>
    </row>
    <row r="172" spans="1:10" x14ac:dyDescent="0.25">
      <c r="A172" s="42">
        <v>164</v>
      </c>
      <c r="B172" s="81">
        <v>43296</v>
      </c>
      <c r="C172" s="91"/>
      <c r="D172" s="87"/>
      <c r="E172" s="87"/>
      <c r="F172" s="92"/>
      <c r="G172" s="93"/>
      <c r="H172" s="93"/>
      <c r="I172" s="93"/>
      <c r="J172" s="94"/>
    </row>
    <row r="173" spans="1:10" x14ac:dyDescent="0.25">
      <c r="A173" s="42">
        <v>165</v>
      </c>
      <c r="B173" s="81">
        <v>43297</v>
      </c>
      <c r="C173" s="91"/>
      <c r="D173" s="87"/>
      <c r="E173" s="87"/>
      <c r="F173" s="92"/>
      <c r="G173" s="93"/>
      <c r="H173" s="93"/>
      <c r="I173" s="93"/>
      <c r="J173" s="94"/>
    </row>
    <row r="174" spans="1:10" x14ac:dyDescent="0.25">
      <c r="A174" s="42">
        <v>166</v>
      </c>
      <c r="B174" s="81">
        <v>43298</v>
      </c>
      <c r="C174" s="91"/>
      <c r="D174" s="87"/>
      <c r="E174" s="87"/>
      <c r="F174" s="92"/>
      <c r="G174" s="93"/>
      <c r="H174" s="93"/>
      <c r="I174" s="93"/>
      <c r="J174" s="94"/>
    </row>
    <row r="175" spans="1:10" x14ac:dyDescent="0.25">
      <c r="A175" s="42">
        <v>167</v>
      </c>
      <c r="B175" s="81">
        <v>43299</v>
      </c>
      <c r="C175" s="91"/>
      <c r="D175" s="87"/>
      <c r="E175" s="87"/>
      <c r="F175" s="92"/>
      <c r="G175" s="93"/>
      <c r="H175" s="93"/>
      <c r="I175" s="93"/>
      <c r="J175" s="94"/>
    </row>
    <row r="176" spans="1:10" x14ac:dyDescent="0.25">
      <c r="A176" s="42">
        <v>168</v>
      </c>
      <c r="B176" s="81">
        <v>43300</v>
      </c>
      <c r="C176" s="91"/>
      <c r="D176" s="87"/>
      <c r="E176" s="87"/>
      <c r="F176" s="92"/>
      <c r="G176" s="93"/>
      <c r="H176" s="93"/>
      <c r="I176" s="93"/>
      <c r="J176" s="94"/>
    </row>
    <row r="177" spans="1:10" x14ac:dyDescent="0.25">
      <c r="A177" s="42">
        <v>169</v>
      </c>
      <c r="B177" s="81">
        <v>43301</v>
      </c>
      <c r="C177" s="91"/>
      <c r="D177" s="87"/>
      <c r="E177" s="87"/>
      <c r="F177" s="92"/>
      <c r="G177" s="93"/>
      <c r="H177" s="93"/>
      <c r="I177" s="93"/>
      <c r="J177" s="94"/>
    </row>
    <row r="178" spans="1:10" x14ac:dyDescent="0.25">
      <c r="A178" s="42">
        <v>170</v>
      </c>
      <c r="B178" s="81">
        <v>43302</v>
      </c>
      <c r="C178" s="91"/>
      <c r="D178" s="87"/>
      <c r="E178" s="87"/>
      <c r="F178" s="92"/>
      <c r="G178" s="93"/>
      <c r="H178" s="93"/>
      <c r="I178" s="93"/>
      <c r="J178" s="94"/>
    </row>
    <row r="179" spans="1:10" x14ac:dyDescent="0.25">
      <c r="A179" s="42">
        <v>171</v>
      </c>
      <c r="B179" s="81">
        <v>43303</v>
      </c>
      <c r="C179" s="91"/>
      <c r="D179" s="87"/>
      <c r="E179" s="87"/>
      <c r="F179" s="92"/>
      <c r="G179" s="93"/>
      <c r="H179" s="93"/>
      <c r="I179" s="93"/>
      <c r="J179" s="94"/>
    </row>
    <row r="180" spans="1:10" x14ac:dyDescent="0.25">
      <c r="A180" s="42">
        <v>172</v>
      </c>
      <c r="B180" s="81">
        <v>43304</v>
      </c>
      <c r="C180" s="91"/>
      <c r="D180" s="87"/>
      <c r="E180" s="87"/>
      <c r="F180" s="92"/>
      <c r="G180" s="93"/>
      <c r="H180" s="93"/>
      <c r="I180" s="93"/>
      <c r="J180" s="94"/>
    </row>
    <row r="181" spans="1:10" x14ac:dyDescent="0.25">
      <c r="A181" s="42">
        <v>173</v>
      </c>
      <c r="B181" s="81">
        <v>43305</v>
      </c>
      <c r="C181" s="91"/>
      <c r="D181" s="87"/>
      <c r="E181" s="87"/>
      <c r="F181" s="92"/>
      <c r="G181" s="93"/>
      <c r="H181" s="93"/>
      <c r="I181" s="93"/>
      <c r="J181" s="94"/>
    </row>
    <row r="182" spans="1:10" x14ac:dyDescent="0.25">
      <c r="A182" s="42">
        <v>174</v>
      </c>
      <c r="B182" s="81">
        <v>43306</v>
      </c>
      <c r="C182" s="91"/>
      <c r="D182" s="87"/>
      <c r="E182" s="87"/>
      <c r="F182" s="92"/>
      <c r="G182" s="93"/>
      <c r="H182" s="93"/>
      <c r="I182" s="93"/>
      <c r="J182" s="94"/>
    </row>
    <row r="183" spans="1:10" x14ac:dyDescent="0.25">
      <c r="A183" s="42">
        <v>175</v>
      </c>
      <c r="B183" s="81">
        <v>43307</v>
      </c>
      <c r="C183" s="91"/>
      <c r="D183" s="87"/>
      <c r="E183" s="87"/>
      <c r="F183" s="92"/>
      <c r="G183" s="93"/>
      <c r="H183" s="93"/>
      <c r="I183" s="93"/>
      <c r="J183" s="94"/>
    </row>
    <row r="184" spans="1:10" x14ac:dyDescent="0.25">
      <c r="A184" s="42">
        <v>176</v>
      </c>
      <c r="B184" s="81">
        <v>43308</v>
      </c>
      <c r="C184" s="91"/>
      <c r="D184" s="87"/>
      <c r="E184" s="87"/>
      <c r="F184" s="92"/>
      <c r="G184" s="93"/>
      <c r="H184" s="93"/>
      <c r="I184" s="93"/>
      <c r="J184" s="94"/>
    </row>
    <row r="185" spans="1:10" x14ac:dyDescent="0.25">
      <c r="A185" s="42">
        <v>177</v>
      </c>
      <c r="B185" s="81">
        <v>43309</v>
      </c>
      <c r="C185" s="91"/>
      <c r="D185" s="87"/>
      <c r="E185" s="87"/>
      <c r="F185" s="92"/>
      <c r="G185" s="93"/>
      <c r="H185" s="93"/>
      <c r="I185" s="93"/>
      <c r="J185" s="94"/>
    </row>
    <row r="186" spans="1:10" x14ac:dyDescent="0.25">
      <c r="A186" s="42">
        <v>178</v>
      </c>
      <c r="B186" s="81">
        <v>43310</v>
      </c>
      <c r="C186" s="91"/>
      <c r="D186" s="87"/>
      <c r="E186" s="87"/>
      <c r="F186" s="92"/>
      <c r="G186" s="93"/>
      <c r="H186" s="93"/>
      <c r="I186" s="93"/>
      <c r="J186" s="94"/>
    </row>
    <row r="187" spans="1:10" x14ac:dyDescent="0.25">
      <c r="A187" s="42">
        <v>179</v>
      </c>
      <c r="B187" s="81">
        <v>43311</v>
      </c>
      <c r="C187" s="91"/>
      <c r="D187" s="87"/>
      <c r="E187" s="87"/>
      <c r="F187" s="92"/>
      <c r="G187" s="93"/>
      <c r="H187" s="93"/>
      <c r="I187" s="93"/>
      <c r="J187" s="94"/>
    </row>
    <row r="188" spans="1:10" x14ac:dyDescent="0.25">
      <c r="A188" s="42">
        <v>180</v>
      </c>
      <c r="B188" s="81">
        <v>43312</v>
      </c>
      <c r="C188" s="91"/>
      <c r="D188" s="87"/>
      <c r="E188" s="87"/>
      <c r="F188" s="92"/>
      <c r="G188" s="93"/>
      <c r="H188" s="93"/>
      <c r="I188" s="93"/>
      <c r="J188" s="94"/>
    </row>
    <row r="189" spans="1:10" x14ac:dyDescent="0.25">
      <c r="A189" s="42">
        <v>181</v>
      </c>
      <c r="B189" s="81">
        <v>43313</v>
      </c>
      <c r="C189" s="91"/>
      <c r="D189" s="87"/>
      <c r="E189" s="87"/>
      <c r="F189" s="92"/>
      <c r="G189" s="93"/>
      <c r="H189" s="93"/>
      <c r="I189" s="93"/>
      <c r="J189" s="94"/>
    </row>
    <row r="190" spans="1:10" x14ac:dyDescent="0.25">
      <c r="A190" s="42">
        <v>182</v>
      </c>
      <c r="B190" s="81">
        <v>43314</v>
      </c>
      <c r="C190" s="91"/>
      <c r="D190" s="87"/>
      <c r="E190" s="87"/>
      <c r="F190" s="92"/>
      <c r="G190" s="93"/>
      <c r="H190" s="93"/>
      <c r="I190" s="93"/>
      <c r="J190" s="94"/>
    </row>
    <row r="191" spans="1:10" x14ac:dyDescent="0.25">
      <c r="A191" s="42">
        <v>183</v>
      </c>
      <c r="B191" s="81">
        <v>43315</v>
      </c>
      <c r="C191" s="91"/>
      <c r="D191" s="87"/>
      <c r="E191" s="87"/>
      <c r="F191" s="92"/>
      <c r="G191" s="93"/>
      <c r="H191" s="93"/>
      <c r="I191" s="93"/>
      <c r="J191" s="94"/>
    </row>
    <row r="192" spans="1:10" x14ac:dyDescent="0.25">
      <c r="A192" s="42">
        <v>184</v>
      </c>
      <c r="B192" s="81">
        <v>43316</v>
      </c>
      <c r="C192" s="91"/>
      <c r="D192" s="87"/>
      <c r="E192" s="87"/>
      <c r="F192" s="92"/>
      <c r="G192" s="93"/>
      <c r="H192" s="93"/>
      <c r="I192" s="93"/>
      <c r="J192" s="94"/>
    </row>
    <row r="193" spans="1:10" x14ac:dyDescent="0.25">
      <c r="A193" s="42">
        <v>185</v>
      </c>
      <c r="B193" s="81">
        <v>43317</v>
      </c>
      <c r="C193" s="91"/>
      <c r="D193" s="87"/>
      <c r="E193" s="87"/>
      <c r="F193" s="92"/>
      <c r="G193" s="93"/>
      <c r="H193" s="93"/>
      <c r="I193" s="93"/>
      <c r="J193" s="94"/>
    </row>
    <row r="194" spans="1:10" x14ac:dyDescent="0.25">
      <c r="A194" s="42">
        <v>186</v>
      </c>
      <c r="B194" s="81">
        <v>43318</v>
      </c>
      <c r="C194" s="91"/>
      <c r="D194" s="87"/>
      <c r="E194" s="87"/>
      <c r="F194" s="92"/>
      <c r="G194" s="93"/>
      <c r="H194" s="93"/>
      <c r="I194" s="93"/>
      <c r="J194" s="94"/>
    </row>
    <row r="195" spans="1:10" x14ac:dyDescent="0.25">
      <c r="A195" s="42">
        <v>187</v>
      </c>
      <c r="B195" s="81">
        <v>43319</v>
      </c>
      <c r="C195" s="91"/>
      <c r="D195" s="87"/>
      <c r="E195" s="87"/>
      <c r="F195" s="92"/>
      <c r="G195" s="93"/>
      <c r="H195" s="93"/>
      <c r="I195" s="93"/>
      <c r="J195" s="94"/>
    </row>
    <row r="196" spans="1:10" x14ac:dyDescent="0.25">
      <c r="A196" s="42">
        <v>188</v>
      </c>
      <c r="B196" s="81">
        <v>43320</v>
      </c>
      <c r="C196" s="91"/>
      <c r="D196" s="87"/>
      <c r="E196" s="87"/>
      <c r="F196" s="92"/>
      <c r="G196" s="93"/>
      <c r="H196" s="93"/>
      <c r="I196" s="93"/>
      <c r="J196" s="94"/>
    </row>
    <row r="197" spans="1:10" x14ac:dyDescent="0.25">
      <c r="A197" s="42">
        <v>189</v>
      </c>
      <c r="B197" s="81">
        <v>43321</v>
      </c>
      <c r="C197" s="91"/>
      <c r="D197" s="87"/>
      <c r="E197" s="87"/>
      <c r="F197" s="92"/>
      <c r="G197" s="93"/>
      <c r="H197" s="93"/>
      <c r="I197" s="93"/>
      <c r="J197" s="94"/>
    </row>
    <row r="198" spans="1:10" x14ac:dyDescent="0.25">
      <c r="A198" s="42">
        <v>190</v>
      </c>
      <c r="B198" s="81">
        <v>43322</v>
      </c>
      <c r="C198" s="91"/>
      <c r="D198" s="87"/>
      <c r="E198" s="87"/>
      <c r="F198" s="92"/>
      <c r="G198" s="93"/>
      <c r="H198" s="93"/>
      <c r="I198" s="93"/>
      <c r="J198" s="94"/>
    </row>
    <row r="199" spans="1:10" x14ac:dyDescent="0.25">
      <c r="A199" s="42">
        <v>191</v>
      </c>
      <c r="B199" s="81">
        <v>43323</v>
      </c>
      <c r="C199" s="91"/>
      <c r="D199" s="87"/>
      <c r="E199" s="87"/>
      <c r="F199" s="92"/>
      <c r="G199" s="93"/>
      <c r="H199" s="93"/>
      <c r="I199" s="93"/>
      <c r="J199" s="94"/>
    </row>
    <row r="200" spans="1:10" x14ac:dyDescent="0.25">
      <c r="A200" s="42">
        <v>192</v>
      </c>
      <c r="B200" s="81">
        <v>43324</v>
      </c>
      <c r="C200" s="91"/>
      <c r="D200" s="87"/>
      <c r="E200" s="87"/>
      <c r="F200" s="92"/>
      <c r="G200" s="93"/>
      <c r="H200" s="93"/>
      <c r="I200" s="93"/>
      <c r="J200" s="94"/>
    </row>
    <row r="201" spans="1:10" x14ac:dyDescent="0.25">
      <c r="A201" s="42">
        <v>193</v>
      </c>
      <c r="B201" s="81">
        <v>43325</v>
      </c>
      <c r="C201" s="91"/>
      <c r="D201" s="87"/>
      <c r="E201" s="87"/>
      <c r="F201" s="92"/>
      <c r="G201" s="93"/>
      <c r="H201" s="93"/>
      <c r="I201" s="93"/>
      <c r="J201" s="94"/>
    </row>
    <row r="202" spans="1:10" x14ac:dyDescent="0.25">
      <c r="A202" s="42">
        <v>194</v>
      </c>
      <c r="B202" s="81">
        <v>43326</v>
      </c>
      <c r="C202" s="91"/>
      <c r="D202" s="87"/>
      <c r="E202" s="87"/>
      <c r="F202" s="92"/>
      <c r="G202" s="93"/>
      <c r="H202" s="93"/>
      <c r="I202" s="93"/>
      <c r="J202" s="94"/>
    </row>
    <row r="203" spans="1:10" x14ac:dyDescent="0.25">
      <c r="A203" s="42">
        <v>195</v>
      </c>
      <c r="B203" s="81">
        <v>43327</v>
      </c>
      <c r="C203" s="91"/>
      <c r="D203" s="87"/>
      <c r="E203" s="87"/>
      <c r="F203" s="92"/>
      <c r="G203" s="93"/>
      <c r="H203" s="93"/>
      <c r="I203" s="93"/>
      <c r="J203" s="94"/>
    </row>
    <row r="204" spans="1:10" x14ac:dyDescent="0.25">
      <c r="A204" s="42">
        <v>196</v>
      </c>
      <c r="B204" s="81">
        <v>43328</v>
      </c>
      <c r="C204" s="91"/>
      <c r="D204" s="87"/>
      <c r="E204" s="87"/>
      <c r="F204" s="92"/>
      <c r="G204" s="93"/>
      <c r="H204" s="93"/>
      <c r="I204" s="93"/>
      <c r="J204" s="94"/>
    </row>
    <row r="205" spans="1:10" x14ac:dyDescent="0.25">
      <c r="A205" s="42">
        <v>197</v>
      </c>
      <c r="B205" s="81">
        <v>43329</v>
      </c>
      <c r="C205" s="91"/>
      <c r="D205" s="87"/>
      <c r="E205" s="87"/>
      <c r="F205" s="92"/>
      <c r="G205" s="93"/>
      <c r="H205" s="93"/>
      <c r="I205" s="93"/>
      <c r="J205" s="94"/>
    </row>
    <row r="206" spans="1:10" x14ac:dyDescent="0.25">
      <c r="A206" s="42">
        <v>198</v>
      </c>
      <c r="B206" s="81">
        <v>43330</v>
      </c>
      <c r="C206" s="91"/>
      <c r="D206" s="87"/>
      <c r="E206" s="87"/>
      <c r="F206" s="92"/>
      <c r="G206" s="93"/>
      <c r="H206" s="93"/>
      <c r="I206" s="93"/>
      <c r="J206" s="94"/>
    </row>
    <row r="207" spans="1:10" x14ac:dyDescent="0.25">
      <c r="A207" s="42">
        <v>199</v>
      </c>
      <c r="B207" s="81">
        <v>43331</v>
      </c>
      <c r="C207" s="91"/>
      <c r="D207" s="87"/>
      <c r="E207" s="87"/>
      <c r="F207" s="92"/>
      <c r="G207" s="93"/>
      <c r="H207" s="93"/>
      <c r="I207" s="93"/>
      <c r="J207" s="94"/>
    </row>
    <row r="208" spans="1:10" x14ac:dyDescent="0.25">
      <c r="A208" s="42">
        <v>200</v>
      </c>
      <c r="B208" s="81">
        <v>43332</v>
      </c>
      <c r="C208" s="91"/>
      <c r="D208" s="87"/>
      <c r="E208" s="87"/>
      <c r="F208" s="92"/>
      <c r="G208" s="93"/>
      <c r="H208" s="93"/>
      <c r="I208" s="93"/>
      <c r="J208" s="94"/>
    </row>
    <row r="209" spans="1:10" x14ac:dyDescent="0.25">
      <c r="A209" s="42">
        <v>201</v>
      </c>
      <c r="B209" s="81">
        <v>43333</v>
      </c>
      <c r="C209" s="91"/>
      <c r="D209" s="87"/>
      <c r="E209" s="87"/>
      <c r="F209" s="92"/>
      <c r="G209" s="93"/>
      <c r="H209" s="93"/>
      <c r="I209" s="93"/>
      <c r="J209" s="94"/>
    </row>
    <row r="210" spans="1:10" x14ac:dyDescent="0.25">
      <c r="A210" s="42">
        <v>202</v>
      </c>
      <c r="B210" s="81">
        <v>43334</v>
      </c>
      <c r="C210" s="91"/>
      <c r="D210" s="87"/>
      <c r="E210" s="87"/>
      <c r="F210" s="92"/>
      <c r="G210" s="93"/>
      <c r="H210" s="93"/>
      <c r="I210" s="93"/>
      <c r="J210" s="94"/>
    </row>
    <row r="211" spans="1:10" x14ac:dyDescent="0.25">
      <c r="A211" s="42">
        <v>203</v>
      </c>
      <c r="B211" s="81">
        <v>43335</v>
      </c>
      <c r="C211" s="91"/>
      <c r="D211" s="87"/>
      <c r="E211" s="87"/>
      <c r="F211" s="92"/>
      <c r="G211" s="93"/>
      <c r="H211" s="93"/>
      <c r="I211" s="93"/>
      <c r="J211" s="94"/>
    </row>
    <row r="212" spans="1:10" x14ac:dyDescent="0.25">
      <c r="A212" s="42">
        <v>204</v>
      </c>
      <c r="B212" s="81">
        <v>43336</v>
      </c>
      <c r="C212" s="91"/>
      <c r="D212" s="87"/>
      <c r="E212" s="87"/>
      <c r="F212" s="92"/>
      <c r="G212" s="93"/>
      <c r="H212" s="93"/>
      <c r="I212" s="93"/>
      <c r="J212" s="94"/>
    </row>
    <row r="213" spans="1:10" x14ac:dyDescent="0.25">
      <c r="A213" s="42">
        <v>205</v>
      </c>
      <c r="B213" s="81">
        <v>43337</v>
      </c>
      <c r="C213" s="91"/>
      <c r="D213" s="87"/>
      <c r="E213" s="87"/>
      <c r="F213" s="92"/>
      <c r="G213" s="93"/>
      <c r="H213" s="93"/>
      <c r="I213" s="93"/>
      <c r="J213" s="94"/>
    </row>
    <row r="214" spans="1:10" x14ac:dyDescent="0.25">
      <c r="A214" s="42">
        <v>206</v>
      </c>
      <c r="B214" s="81">
        <v>43338</v>
      </c>
      <c r="C214" s="91"/>
      <c r="D214" s="87"/>
      <c r="E214" s="87"/>
      <c r="F214" s="92"/>
      <c r="G214" s="93"/>
      <c r="H214" s="93"/>
      <c r="I214" s="93"/>
      <c r="J214" s="94"/>
    </row>
    <row r="215" spans="1:10" x14ac:dyDescent="0.25">
      <c r="A215" s="42">
        <v>207</v>
      </c>
      <c r="B215" s="81">
        <v>43339</v>
      </c>
      <c r="C215" s="91"/>
      <c r="D215" s="87"/>
      <c r="E215" s="87"/>
      <c r="F215" s="92"/>
      <c r="G215" s="93"/>
      <c r="H215" s="93"/>
      <c r="I215" s="93"/>
      <c r="J215" s="94"/>
    </row>
    <row r="216" spans="1:10" x14ac:dyDescent="0.25">
      <c r="A216" s="42">
        <v>208</v>
      </c>
      <c r="B216" s="81">
        <v>43340</v>
      </c>
      <c r="C216" s="91"/>
      <c r="D216" s="87"/>
      <c r="E216" s="87"/>
      <c r="F216" s="92"/>
      <c r="G216" s="93"/>
      <c r="H216" s="93"/>
      <c r="I216" s="93"/>
      <c r="J216" s="94"/>
    </row>
    <row r="217" spans="1:10" x14ac:dyDescent="0.25">
      <c r="A217" s="42">
        <v>209</v>
      </c>
      <c r="B217" s="81">
        <v>43341</v>
      </c>
      <c r="C217" s="91"/>
      <c r="D217" s="87"/>
      <c r="E217" s="87"/>
      <c r="F217" s="92"/>
      <c r="G217" s="93"/>
      <c r="H217" s="93"/>
      <c r="I217" s="93"/>
      <c r="J217" s="94"/>
    </row>
    <row r="218" spans="1:10" x14ac:dyDescent="0.25">
      <c r="A218" s="42">
        <v>210</v>
      </c>
      <c r="B218" s="81">
        <v>43342</v>
      </c>
      <c r="C218" s="91"/>
      <c r="D218" s="87"/>
      <c r="E218" s="87"/>
      <c r="F218" s="92"/>
      <c r="G218" s="93"/>
      <c r="H218" s="93"/>
      <c r="I218" s="93"/>
      <c r="J218" s="94"/>
    </row>
    <row r="219" spans="1:10" x14ac:dyDescent="0.25">
      <c r="A219" s="42">
        <v>211</v>
      </c>
      <c r="B219" s="81">
        <v>43343</v>
      </c>
      <c r="C219" s="91"/>
      <c r="D219" s="87"/>
      <c r="E219" s="87"/>
      <c r="F219" s="92"/>
      <c r="G219" s="93"/>
      <c r="H219" s="93"/>
      <c r="I219" s="93"/>
      <c r="J219" s="94"/>
    </row>
    <row r="220" spans="1:10" x14ac:dyDescent="0.25">
      <c r="A220" s="42">
        <v>212</v>
      </c>
      <c r="B220" s="81">
        <v>43344</v>
      </c>
      <c r="C220" s="91"/>
      <c r="D220" s="87"/>
      <c r="E220" s="87"/>
      <c r="F220" s="92"/>
      <c r="G220" s="93"/>
      <c r="H220" s="93"/>
      <c r="I220" s="93"/>
      <c r="J220" s="94"/>
    </row>
    <row r="221" spans="1:10" x14ac:dyDescent="0.25">
      <c r="A221" s="42">
        <v>213</v>
      </c>
      <c r="B221" s="81">
        <v>43345</v>
      </c>
      <c r="C221" s="91"/>
      <c r="D221" s="87"/>
      <c r="E221" s="87"/>
      <c r="F221" s="92"/>
      <c r="G221" s="93"/>
      <c r="H221" s="93"/>
      <c r="I221" s="93"/>
      <c r="J221" s="94"/>
    </row>
    <row r="222" spans="1:10" x14ac:dyDescent="0.25">
      <c r="A222" s="42">
        <v>214</v>
      </c>
      <c r="B222" s="81">
        <v>43346</v>
      </c>
      <c r="C222" s="91"/>
      <c r="D222" s="87"/>
      <c r="E222" s="87"/>
      <c r="F222" s="92"/>
      <c r="G222" s="93"/>
      <c r="H222" s="93"/>
      <c r="I222" s="93"/>
      <c r="J222" s="94"/>
    </row>
    <row r="223" spans="1:10" x14ac:dyDescent="0.25">
      <c r="A223" s="42">
        <v>215</v>
      </c>
      <c r="B223" s="81">
        <v>43347</v>
      </c>
      <c r="C223" s="91"/>
      <c r="D223" s="87"/>
      <c r="E223" s="87"/>
      <c r="F223" s="92"/>
      <c r="G223" s="93"/>
      <c r="H223" s="93"/>
      <c r="I223" s="93"/>
      <c r="J223" s="94"/>
    </row>
    <row r="224" spans="1:10" x14ac:dyDescent="0.25">
      <c r="A224" s="42">
        <v>216</v>
      </c>
      <c r="B224" s="81">
        <v>43348</v>
      </c>
      <c r="C224" s="91"/>
      <c r="D224" s="87"/>
      <c r="E224" s="87"/>
      <c r="F224" s="92"/>
      <c r="G224" s="93"/>
      <c r="H224" s="93"/>
      <c r="I224" s="93"/>
      <c r="J224" s="94"/>
    </row>
    <row r="225" spans="1:10" x14ac:dyDescent="0.25">
      <c r="A225" s="42">
        <v>217</v>
      </c>
      <c r="B225" s="81">
        <v>43349</v>
      </c>
      <c r="C225" s="91"/>
      <c r="D225" s="87"/>
      <c r="E225" s="87"/>
      <c r="F225" s="92"/>
      <c r="G225" s="93"/>
      <c r="H225" s="93"/>
      <c r="I225" s="93"/>
      <c r="J225" s="94"/>
    </row>
    <row r="226" spans="1:10" x14ac:dyDescent="0.25">
      <c r="A226" s="42">
        <v>218</v>
      </c>
      <c r="B226" s="81">
        <v>43350</v>
      </c>
      <c r="C226" s="91"/>
      <c r="D226" s="87"/>
      <c r="E226" s="87"/>
      <c r="F226" s="92"/>
      <c r="G226" s="93"/>
      <c r="H226" s="93"/>
      <c r="I226" s="93"/>
      <c r="J226" s="94"/>
    </row>
    <row r="227" spans="1:10" x14ac:dyDescent="0.25">
      <c r="A227" s="42">
        <v>219</v>
      </c>
      <c r="B227" s="81">
        <v>43351</v>
      </c>
      <c r="C227" s="91"/>
      <c r="D227" s="87"/>
      <c r="E227" s="87"/>
      <c r="F227" s="92"/>
      <c r="G227" s="93"/>
      <c r="H227" s="93"/>
      <c r="I227" s="93"/>
      <c r="J227" s="94"/>
    </row>
    <row r="228" spans="1:10" x14ac:dyDescent="0.25">
      <c r="A228" s="42">
        <v>220</v>
      </c>
      <c r="B228" s="81">
        <v>43352</v>
      </c>
      <c r="C228" s="91"/>
      <c r="D228" s="87"/>
      <c r="E228" s="87"/>
      <c r="F228" s="92"/>
      <c r="G228" s="93"/>
      <c r="H228" s="93"/>
      <c r="I228" s="93"/>
      <c r="J228" s="94"/>
    </row>
    <row r="229" spans="1:10" x14ac:dyDescent="0.25">
      <c r="A229" s="42">
        <v>221</v>
      </c>
      <c r="B229" s="81">
        <v>43353</v>
      </c>
      <c r="C229" s="91"/>
      <c r="D229" s="87"/>
      <c r="E229" s="87"/>
      <c r="F229" s="92"/>
      <c r="G229" s="93"/>
      <c r="H229" s="93"/>
      <c r="I229" s="93"/>
      <c r="J229" s="94"/>
    </row>
    <row r="230" spans="1:10" x14ac:dyDescent="0.25">
      <c r="A230" s="42">
        <v>222</v>
      </c>
      <c r="B230" s="81">
        <v>43354</v>
      </c>
      <c r="C230" s="91"/>
      <c r="D230" s="87"/>
      <c r="E230" s="87"/>
      <c r="F230" s="92"/>
      <c r="G230" s="93"/>
      <c r="H230" s="93"/>
      <c r="I230" s="93"/>
      <c r="J230" s="94"/>
    </row>
    <row r="231" spans="1:10" x14ac:dyDescent="0.25">
      <c r="A231" s="42">
        <v>223</v>
      </c>
      <c r="B231" s="81">
        <v>43355</v>
      </c>
      <c r="C231" s="91"/>
      <c r="D231" s="87"/>
      <c r="E231" s="87"/>
      <c r="F231" s="92"/>
      <c r="G231" s="93"/>
      <c r="H231" s="93"/>
      <c r="I231" s="93"/>
      <c r="J231" s="94"/>
    </row>
    <row r="232" spans="1:10" x14ac:dyDescent="0.25">
      <c r="A232" s="42">
        <v>224</v>
      </c>
      <c r="B232" s="81">
        <v>43356</v>
      </c>
      <c r="C232" s="91"/>
      <c r="D232" s="87"/>
      <c r="E232" s="87"/>
      <c r="F232" s="92"/>
      <c r="G232" s="93"/>
      <c r="H232" s="93"/>
      <c r="I232" s="93"/>
      <c r="J232" s="94"/>
    </row>
    <row r="233" spans="1:10" x14ac:dyDescent="0.25">
      <c r="A233" s="42">
        <v>225</v>
      </c>
      <c r="B233" s="81">
        <v>43357</v>
      </c>
      <c r="C233" s="91"/>
      <c r="D233" s="87"/>
      <c r="E233" s="87"/>
      <c r="F233" s="92"/>
      <c r="G233" s="93"/>
      <c r="H233" s="93"/>
      <c r="I233" s="93"/>
      <c r="J233" s="94"/>
    </row>
    <row r="234" spans="1:10" x14ac:dyDescent="0.25">
      <c r="A234" s="42">
        <v>226</v>
      </c>
      <c r="B234" s="81">
        <v>43358</v>
      </c>
      <c r="C234" s="91"/>
      <c r="D234" s="87"/>
      <c r="E234" s="87"/>
      <c r="F234" s="92"/>
      <c r="G234" s="93"/>
      <c r="H234" s="93"/>
      <c r="I234" s="93"/>
      <c r="J234" s="94"/>
    </row>
    <row r="235" spans="1:10" x14ac:dyDescent="0.25">
      <c r="A235" s="42">
        <v>227</v>
      </c>
      <c r="B235" s="81">
        <v>43359</v>
      </c>
      <c r="C235" s="91"/>
      <c r="D235" s="87"/>
      <c r="E235" s="87"/>
      <c r="F235" s="92"/>
      <c r="G235" s="93"/>
      <c r="H235" s="93"/>
      <c r="I235" s="93"/>
      <c r="J235" s="94"/>
    </row>
    <row r="236" spans="1:10" x14ac:dyDescent="0.25">
      <c r="A236" s="42">
        <v>228</v>
      </c>
      <c r="B236" s="81">
        <v>43360</v>
      </c>
      <c r="C236" s="91"/>
      <c r="D236" s="87"/>
      <c r="E236" s="87"/>
      <c r="F236" s="92"/>
      <c r="G236" s="93"/>
      <c r="H236" s="93"/>
      <c r="I236" s="93"/>
      <c r="J236" s="94"/>
    </row>
    <row r="237" spans="1:10" x14ac:dyDescent="0.25">
      <c r="A237" s="42">
        <v>229</v>
      </c>
      <c r="B237" s="81">
        <v>43361</v>
      </c>
      <c r="C237" s="91"/>
      <c r="D237" s="87"/>
      <c r="E237" s="87"/>
      <c r="F237" s="92"/>
      <c r="G237" s="93"/>
      <c r="H237" s="93"/>
      <c r="I237" s="93"/>
      <c r="J237" s="94"/>
    </row>
    <row r="238" spans="1:10" x14ac:dyDescent="0.25">
      <c r="A238" s="42">
        <v>230</v>
      </c>
      <c r="B238" s="81">
        <v>43362</v>
      </c>
      <c r="C238" s="91"/>
      <c r="D238" s="87"/>
      <c r="E238" s="87"/>
      <c r="F238" s="92"/>
      <c r="G238" s="93"/>
      <c r="H238" s="93"/>
      <c r="I238" s="93"/>
      <c r="J238" s="94"/>
    </row>
    <row r="239" spans="1:10" x14ac:dyDescent="0.25">
      <c r="A239" s="42">
        <v>231</v>
      </c>
      <c r="B239" s="81">
        <v>43363</v>
      </c>
      <c r="C239" s="91"/>
      <c r="D239" s="87"/>
      <c r="E239" s="87"/>
      <c r="F239" s="92"/>
      <c r="G239" s="93"/>
      <c r="H239" s="93"/>
      <c r="I239" s="93"/>
      <c r="J239" s="94"/>
    </row>
    <row r="240" spans="1:10" x14ac:dyDescent="0.25">
      <c r="A240" s="42">
        <v>232</v>
      </c>
      <c r="B240" s="81">
        <v>43364</v>
      </c>
      <c r="C240" s="91"/>
      <c r="D240" s="87"/>
      <c r="E240" s="87"/>
      <c r="F240" s="92"/>
      <c r="G240" s="93"/>
      <c r="H240" s="93"/>
      <c r="I240" s="93"/>
      <c r="J240" s="94"/>
    </row>
    <row r="241" spans="1:10" x14ac:dyDescent="0.25">
      <c r="A241" s="42">
        <v>233</v>
      </c>
      <c r="B241" s="81">
        <v>43365</v>
      </c>
      <c r="C241" s="91"/>
      <c r="D241" s="87"/>
      <c r="E241" s="87"/>
      <c r="F241" s="92"/>
      <c r="G241" s="93"/>
      <c r="H241" s="93"/>
      <c r="I241" s="93"/>
      <c r="J241" s="94"/>
    </row>
    <row r="242" spans="1:10" x14ac:dyDescent="0.25">
      <c r="A242" s="42">
        <v>234</v>
      </c>
      <c r="B242" s="81">
        <v>43366</v>
      </c>
      <c r="C242" s="91"/>
      <c r="D242" s="87"/>
      <c r="E242" s="87"/>
      <c r="F242" s="92"/>
      <c r="G242" s="93"/>
      <c r="H242" s="93"/>
      <c r="I242" s="93"/>
      <c r="J242" s="94"/>
    </row>
    <row r="243" spans="1:10" x14ac:dyDescent="0.25">
      <c r="A243" s="42">
        <v>235</v>
      </c>
      <c r="B243" s="81">
        <v>43367</v>
      </c>
      <c r="C243" s="91"/>
      <c r="D243" s="87"/>
      <c r="E243" s="87"/>
      <c r="F243" s="92"/>
      <c r="G243" s="93"/>
      <c r="H243" s="93"/>
      <c r="I243" s="93"/>
      <c r="J243" s="94"/>
    </row>
    <row r="244" spans="1:10" x14ac:dyDescent="0.25">
      <c r="A244" s="42">
        <v>236</v>
      </c>
      <c r="B244" s="81">
        <v>43368</v>
      </c>
      <c r="C244" s="91"/>
      <c r="D244" s="87"/>
      <c r="E244" s="87"/>
      <c r="F244" s="92"/>
      <c r="G244" s="93"/>
      <c r="H244" s="93"/>
      <c r="I244" s="93"/>
      <c r="J244" s="94"/>
    </row>
    <row r="245" spans="1:10" x14ac:dyDescent="0.25">
      <c r="A245" s="42">
        <v>237</v>
      </c>
      <c r="B245" s="81">
        <v>43369</v>
      </c>
      <c r="C245" s="91"/>
      <c r="D245" s="87"/>
      <c r="E245" s="87"/>
      <c r="F245" s="92"/>
      <c r="G245" s="93"/>
      <c r="H245" s="93"/>
      <c r="I245" s="93"/>
      <c r="J245" s="94"/>
    </row>
    <row r="246" spans="1:10" x14ac:dyDescent="0.25">
      <c r="A246" s="42">
        <v>238</v>
      </c>
      <c r="B246" s="81">
        <v>43370</v>
      </c>
      <c r="C246" s="91"/>
      <c r="D246" s="87"/>
      <c r="E246" s="87"/>
      <c r="F246" s="92"/>
      <c r="G246" s="93"/>
      <c r="H246" s="93"/>
      <c r="I246" s="93"/>
      <c r="J246" s="94"/>
    </row>
    <row r="247" spans="1:10" x14ac:dyDescent="0.25">
      <c r="A247" s="42">
        <v>239</v>
      </c>
      <c r="B247" s="81">
        <v>43371</v>
      </c>
      <c r="C247" s="91"/>
      <c r="D247" s="87"/>
      <c r="E247" s="87"/>
      <c r="F247" s="92"/>
      <c r="G247" s="93"/>
      <c r="H247" s="93"/>
      <c r="I247" s="93"/>
      <c r="J247" s="94"/>
    </row>
    <row r="248" spans="1:10" x14ac:dyDescent="0.25">
      <c r="A248" s="42">
        <v>240</v>
      </c>
      <c r="B248" s="81">
        <v>43372</v>
      </c>
      <c r="C248" s="91"/>
      <c r="D248" s="87"/>
      <c r="E248" s="87"/>
      <c r="F248" s="92"/>
      <c r="G248" s="93"/>
      <c r="H248" s="93"/>
      <c r="I248" s="93"/>
      <c r="J248" s="94"/>
    </row>
    <row r="249" spans="1:10" x14ac:dyDescent="0.25">
      <c r="A249" s="42">
        <v>241</v>
      </c>
      <c r="B249" s="81">
        <v>43373</v>
      </c>
      <c r="C249" s="91"/>
      <c r="D249" s="87"/>
      <c r="E249" s="87"/>
      <c r="F249" s="92"/>
      <c r="G249" s="93"/>
      <c r="H249" s="93"/>
      <c r="I249" s="93"/>
      <c r="J249" s="94"/>
    </row>
    <row r="250" spans="1:10" x14ac:dyDescent="0.25">
      <c r="A250" s="42">
        <v>242</v>
      </c>
      <c r="B250" s="81">
        <v>43374</v>
      </c>
      <c r="C250" s="91"/>
      <c r="D250" s="87"/>
      <c r="E250" s="87"/>
      <c r="F250" s="92"/>
      <c r="G250" s="93"/>
      <c r="H250" s="93"/>
      <c r="I250" s="93"/>
      <c r="J250" s="94"/>
    </row>
    <row r="251" spans="1:10" x14ac:dyDescent="0.25">
      <c r="A251" s="42">
        <v>243</v>
      </c>
      <c r="B251" s="81">
        <v>43375</v>
      </c>
      <c r="C251" s="91"/>
      <c r="D251" s="87"/>
      <c r="E251" s="87"/>
      <c r="F251" s="92"/>
      <c r="G251" s="93"/>
      <c r="H251" s="93"/>
      <c r="I251" s="93"/>
      <c r="J251" s="94"/>
    </row>
    <row r="252" spans="1:10" x14ac:dyDescent="0.25">
      <c r="A252" s="42">
        <v>244</v>
      </c>
      <c r="B252" s="81">
        <v>43376</v>
      </c>
      <c r="C252" s="91"/>
      <c r="D252" s="87"/>
      <c r="E252" s="87"/>
      <c r="F252" s="92"/>
      <c r="G252" s="93"/>
      <c r="H252" s="93"/>
      <c r="I252" s="93"/>
      <c r="J252" s="94"/>
    </row>
    <row r="253" spans="1:10" x14ac:dyDescent="0.25">
      <c r="A253" s="42">
        <v>245</v>
      </c>
      <c r="B253" s="81">
        <v>43377</v>
      </c>
      <c r="C253" s="91"/>
      <c r="D253" s="87"/>
      <c r="E253" s="87"/>
      <c r="F253" s="92"/>
      <c r="G253" s="93"/>
      <c r="H253" s="93"/>
      <c r="I253" s="93"/>
      <c r="J253" s="94"/>
    </row>
    <row r="254" spans="1:10" x14ac:dyDescent="0.25">
      <c r="A254" s="42">
        <v>246</v>
      </c>
      <c r="B254" s="81">
        <v>43378</v>
      </c>
      <c r="C254" s="91"/>
      <c r="D254" s="87"/>
      <c r="E254" s="87"/>
      <c r="F254" s="92"/>
      <c r="G254" s="93"/>
      <c r="H254" s="93"/>
      <c r="I254" s="93"/>
      <c r="J254" s="94"/>
    </row>
    <row r="255" spans="1:10" x14ac:dyDescent="0.25">
      <c r="A255" s="42">
        <v>247</v>
      </c>
      <c r="B255" s="81">
        <v>43379</v>
      </c>
      <c r="C255" s="91"/>
      <c r="D255" s="87"/>
      <c r="E255" s="87"/>
      <c r="F255" s="92"/>
      <c r="G255" s="93"/>
      <c r="H255" s="93"/>
      <c r="I255" s="93"/>
      <c r="J255" s="94"/>
    </row>
    <row r="256" spans="1:10" x14ac:dyDescent="0.25">
      <c r="A256" s="42">
        <v>248</v>
      </c>
      <c r="B256" s="81">
        <v>43380</v>
      </c>
      <c r="C256" s="91"/>
      <c r="D256" s="87"/>
      <c r="E256" s="87"/>
      <c r="F256" s="92"/>
      <c r="G256" s="93"/>
      <c r="H256" s="93"/>
      <c r="I256" s="93"/>
      <c r="J256" s="94"/>
    </row>
    <row r="257" spans="1:10" x14ac:dyDescent="0.25">
      <c r="A257" s="42">
        <v>249</v>
      </c>
      <c r="B257" s="81">
        <v>43381</v>
      </c>
      <c r="C257" s="91"/>
      <c r="D257" s="87"/>
      <c r="E257" s="87"/>
      <c r="F257" s="92"/>
      <c r="G257" s="93"/>
      <c r="H257" s="93"/>
      <c r="I257" s="93"/>
      <c r="J257" s="94"/>
    </row>
    <row r="258" spans="1:10" x14ac:dyDescent="0.25">
      <c r="A258" s="42">
        <v>250</v>
      </c>
      <c r="B258" s="81">
        <v>43382</v>
      </c>
      <c r="C258" s="91"/>
      <c r="D258" s="87"/>
      <c r="E258" s="87"/>
      <c r="F258" s="92"/>
      <c r="G258" s="93"/>
      <c r="H258" s="93"/>
      <c r="I258" s="93"/>
      <c r="J258" s="94"/>
    </row>
    <row r="259" spans="1:10" x14ac:dyDescent="0.25">
      <c r="A259" s="42">
        <v>251</v>
      </c>
      <c r="B259" s="81">
        <v>43383</v>
      </c>
      <c r="C259" s="91"/>
      <c r="D259" s="87"/>
      <c r="E259" s="87"/>
      <c r="F259" s="92"/>
      <c r="G259" s="93"/>
      <c r="H259" s="93"/>
      <c r="I259" s="93"/>
      <c r="J259" s="94"/>
    </row>
    <row r="260" spans="1:10" x14ac:dyDescent="0.25">
      <c r="A260" s="42">
        <v>252</v>
      </c>
      <c r="B260" s="81">
        <v>43384</v>
      </c>
      <c r="C260" s="91"/>
      <c r="D260" s="87"/>
      <c r="E260" s="87"/>
      <c r="F260" s="92"/>
      <c r="G260" s="93"/>
      <c r="H260" s="93"/>
      <c r="I260" s="93"/>
      <c r="J260" s="94"/>
    </row>
    <row r="261" spans="1:10" x14ac:dyDescent="0.25">
      <c r="A261" s="42">
        <v>253</v>
      </c>
      <c r="B261" s="81">
        <v>43385</v>
      </c>
      <c r="C261" s="91"/>
      <c r="D261" s="87"/>
      <c r="E261" s="87"/>
      <c r="F261" s="92"/>
      <c r="G261" s="93"/>
      <c r="H261" s="93"/>
      <c r="I261" s="93"/>
      <c r="J261" s="94"/>
    </row>
    <row r="262" spans="1:10" x14ac:dyDescent="0.25">
      <c r="A262" s="42">
        <v>254</v>
      </c>
      <c r="B262" s="81">
        <v>43386</v>
      </c>
      <c r="C262" s="91"/>
      <c r="D262" s="87"/>
      <c r="E262" s="87"/>
      <c r="F262" s="92"/>
      <c r="G262" s="93"/>
      <c r="H262" s="93"/>
      <c r="I262" s="93"/>
      <c r="J262" s="94"/>
    </row>
    <row r="263" spans="1:10" x14ac:dyDescent="0.25">
      <c r="A263" s="42">
        <v>255</v>
      </c>
      <c r="B263" s="81">
        <v>43387</v>
      </c>
      <c r="C263" s="91"/>
      <c r="D263" s="87"/>
      <c r="E263" s="87"/>
      <c r="F263" s="92"/>
      <c r="G263" s="93"/>
      <c r="H263" s="93"/>
      <c r="I263" s="93"/>
      <c r="J263" s="94"/>
    </row>
    <row r="264" spans="1:10" x14ac:dyDescent="0.25">
      <c r="A264" s="42">
        <v>256</v>
      </c>
      <c r="B264" s="81">
        <v>43388</v>
      </c>
      <c r="C264" s="91"/>
      <c r="D264" s="87"/>
      <c r="E264" s="87"/>
      <c r="F264" s="92"/>
      <c r="G264" s="93"/>
      <c r="H264" s="93"/>
      <c r="I264" s="93"/>
      <c r="J264" s="94"/>
    </row>
    <row r="265" spans="1:10" x14ac:dyDescent="0.25">
      <c r="A265" s="42">
        <v>257</v>
      </c>
      <c r="B265" s="81">
        <v>43389</v>
      </c>
      <c r="C265" s="91"/>
      <c r="D265" s="87"/>
      <c r="E265" s="87"/>
      <c r="F265" s="92"/>
      <c r="G265" s="93"/>
      <c r="H265" s="93"/>
      <c r="I265" s="93"/>
      <c r="J265" s="94"/>
    </row>
    <row r="266" spans="1:10" x14ac:dyDescent="0.25">
      <c r="A266" s="42">
        <v>258</v>
      </c>
      <c r="B266" s="81">
        <v>43390</v>
      </c>
      <c r="C266" s="91"/>
      <c r="D266" s="87"/>
      <c r="E266" s="87"/>
      <c r="F266" s="92"/>
      <c r="G266" s="93"/>
      <c r="H266" s="93"/>
      <c r="I266" s="93"/>
      <c r="J266" s="94"/>
    </row>
    <row r="267" spans="1:10" x14ac:dyDescent="0.25">
      <c r="A267" s="42">
        <v>259</v>
      </c>
      <c r="B267" s="81">
        <v>43391</v>
      </c>
      <c r="C267" s="91"/>
      <c r="D267" s="87"/>
      <c r="E267" s="87"/>
      <c r="F267" s="92"/>
      <c r="G267" s="93"/>
      <c r="H267" s="93"/>
      <c r="I267" s="93"/>
      <c r="J267" s="94"/>
    </row>
    <row r="268" spans="1:10" x14ac:dyDescent="0.25">
      <c r="A268" s="42">
        <v>260</v>
      </c>
      <c r="B268" s="81">
        <v>43392</v>
      </c>
      <c r="C268" s="91"/>
      <c r="D268" s="87"/>
      <c r="E268" s="87"/>
      <c r="F268" s="92"/>
      <c r="G268" s="93"/>
      <c r="H268" s="93"/>
      <c r="I268" s="93"/>
      <c r="J268" s="94"/>
    </row>
    <row r="269" spans="1:10" x14ac:dyDescent="0.25">
      <c r="A269" s="42">
        <v>261</v>
      </c>
      <c r="B269" s="81">
        <v>43393</v>
      </c>
      <c r="C269" s="91"/>
      <c r="D269" s="87"/>
      <c r="E269" s="87"/>
      <c r="F269" s="92"/>
      <c r="G269" s="93"/>
      <c r="H269" s="93"/>
      <c r="I269" s="93"/>
      <c r="J269" s="94"/>
    </row>
    <row r="270" spans="1:10" x14ac:dyDescent="0.25">
      <c r="A270" s="42">
        <v>262</v>
      </c>
      <c r="B270" s="81">
        <v>43394</v>
      </c>
      <c r="C270" s="91"/>
      <c r="D270" s="87"/>
      <c r="E270" s="87"/>
      <c r="F270" s="92"/>
      <c r="G270" s="93"/>
      <c r="H270" s="93"/>
      <c r="I270" s="93"/>
      <c r="J270" s="94"/>
    </row>
    <row r="271" spans="1:10" x14ac:dyDescent="0.25">
      <c r="A271" s="42">
        <v>263</v>
      </c>
      <c r="B271" s="81">
        <v>43395</v>
      </c>
      <c r="C271" s="91"/>
      <c r="D271" s="87"/>
      <c r="E271" s="87"/>
      <c r="F271" s="92"/>
      <c r="G271" s="93"/>
      <c r="H271" s="93"/>
      <c r="I271" s="93"/>
      <c r="J271" s="94"/>
    </row>
    <row r="272" spans="1:10" x14ac:dyDescent="0.25">
      <c r="A272" s="42">
        <v>264</v>
      </c>
      <c r="B272" s="81">
        <v>43396</v>
      </c>
      <c r="C272" s="91"/>
      <c r="D272" s="87"/>
      <c r="E272" s="87"/>
      <c r="F272" s="92"/>
      <c r="G272" s="93"/>
      <c r="H272" s="93"/>
      <c r="I272" s="93"/>
      <c r="J272" s="94"/>
    </row>
    <row r="273" spans="1:10" x14ac:dyDescent="0.25">
      <c r="A273" s="42">
        <v>265</v>
      </c>
      <c r="B273" s="81">
        <v>43397</v>
      </c>
      <c r="C273" s="91"/>
      <c r="D273" s="87"/>
      <c r="E273" s="87"/>
      <c r="F273" s="92"/>
      <c r="G273" s="93"/>
      <c r="H273" s="93"/>
      <c r="I273" s="93"/>
      <c r="J273" s="94"/>
    </row>
    <row r="274" spans="1:10" x14ac:dyDescent="0.25">
      <c r="A274" s="42">
        <v>266</v>
      </c>
      <c r="B274" s="81">
        <v>43398</v>
      </c>
      <c r="C274" s="91"/>
      <c r="D274" s="87"/>
      <c r="E274" s="87"/>
      <c r="F274" s="92"/>
      <c r="G274" s="93"/>
      <c r="H274" s="93"/>
      <c r="I274" s="93"/>
      <c r="J274" s="94"/>
    </row>
    <row r="275" spans="1:10" x14ac:dyDescent="0.25">
      <c r="A275" s="42">
        <v>267</v>
      </c>
      <c r="B275" s="81">
        <v>43399</v>
      </c>
      <c r="C275" s="91"/>
      <c r="D275" s="87"/>
      <c r="E275" s="87"/>
      <c r="F275" s="92"/>
      <c r="G275" s="93"/>
      <c r="H275" s="93"/>
      <c r="I275" s="93"/>
      <c r="J275" s="94"/>
    </row>
    <row r="276" spans="1:10" x14ac:dyDescent="0.25">
      <c r="A276" s="42">
        <v>268</v>
      </c>
      <c r="B276" s="81">
        <v>43400</v>
      </c>
      <c r="C276" s="91"/>
      <c r="D276" s="87"/>
      <c r="E276" s="87"/>
      <c r="F276" s="92"/>
      <c r="G276" s="93"/>
      <c r="H276" s="93"/>
      <c r="I276" s="93"/>
      <c r="J276" s="94"/>
    </row>
    <row r="277" spans="1:10" x14ac:dyDescent="0.25">
      <c r="A277" s="42">
        <v>269</v>
      </c>
      <c r="B277" s="81">
        <v>43401</v>
      </c>
      <c r="C277" s="91"/>
      <c r="D277" s="87"/>
      <c r="E277" s="87"/>
      <c r="F277" s="92"/>
      <c r="G277" s="93"/>
      <c r="H277" s="93"/>
      <c r="I277" s="93"/>
      <c r="J277" s="94"/>
    </row>
    <row r="278" spans="1:10" x14ac:dyDescent="0.25">
      <c r="A278" s="42">
        <v>270</v>
      </c>
      <c r="B278" s="81">
        <v>43402</v>
      </c>
      <c r="C278" s="91"/>
      <c r="D278" s="87"/>
      <c r="E278" s="87"/>
      <c r="F278" s="92"/>
      <c r="G278" s="93"/>
      <c r="H278" s="93"/>
      <c r="I278" s="93"/>
      <c r="J278" s="94"/>
    </row>
    <row r="279" spans="1:10" x14ac:dyDescent="0.25">
      <c r="A279" s="42">
        <v>271</v>
      </c>
      <c r="B279" s="81">
        <v>43403</v>
      </c>
      <c r="C279" s="91"/>
      <c r="D279" s="87"/>
      <c r="E279" s="87"/>
      <c r="F279" s="92"/>
      <c r="G279" s="93"/>
      <c r="H279" s="93"/>
      <c r="I279" s="93"/>
      <c r="J279" s="94"/>
    </row>
    <row r="280" spans="1:10" x14ac:dyDescent="0.25">
      <c r="A280" s="42">
        <v>272</v>
      </c>
      <c r="B280" s="81">
        <v>43404</v>
      </c>
      <c r="C280" s="91"/>
      <c r="D280" s="87"/>
      <c r="E280" s="87"/>
      <c r="F280" s="92"/>
      <c r="G280" s="93"/>
      <c r="H280" s="93"/>
      <c r="I280" s="93"/>
      <c r="J280" s="94"/>
    </row>
    <row r="281" spans="1:10" x14ac:dyDescent="0.25">
      <c r="A281" s="42">
        <v>273</v>
      </c>
      <c r="B281" s="81">
        <v>43405</v>
      </c>
      <c r="C281" s="91"/>
      <c r="D281" s="87"/>
      <c r="E281" s="87"/>
      <c r="F281" s="92"/>
      <c r="G281" s="93"/>
      <c r="H281" s="93"/>
      <c r="I281" s="93"/>
      <c r="J281" s="94"/>
    </row>
    <row r="282" spans="1:10" x14ac:dyDescent="0.25">
      <c r="A282" s="42">
        <v>274</v>
      </c>
      <c r="B282" s="81">
        <v>43406</v>
      </c>
      <c r="C282" s="91"/>
      <c r="D282" s="87"/>
      <c r="E282" s="87"/>
      <c r="F282" s="92"/>
      <c r="G282" s="93"/>
      <c r="H282" s="93"/>
      <c r="I282" s="93"/>
      <c r="J282" s="94"/>
    </row>
    <row r="283" spans="1:10" x14ac:dyDescent="0.25">
      <c r="A283" s="42">
        <v>275</v>
      </c>
      <c r="B283" s="81">
        <v>43407</v>
      </c>
      <c r="C283" s="91"/>
      <c r="D283" s="87"/>
      <c r="E283" s="87"/>
      <c r="F283" s="92"/>
      <c r="G283" s="93"/>
      <c r="H283" s="93"/>
      <c r="I283" s="93"/>
      <c r="J283" s="94"/>
    </row>
    <row r="284" spans="1:10" x14ac:dyDescent="0.25">
      <c r="A284" s="42">
        <v>276</v>
      </c>
      <c r="B284" s="81">
        <v>43408</v>
      </c>
      <c r="C284" s="91"/>
      <c r="D284" s="87"/>
      <c r="E284" s="87"/>
      <c r="F284" s="92"/>
      <c r="G284" s="93"/>
      <c r="H284" s="93"/>
      <c r="I284" s="93"/>
      <c r="J284" s="94"/>
    </row>
    <row r="285" spans="1:10" x14ac:dyDescent="0.25">
      <c r="A285" s="42">
        <v>277</v>
      </c>
      <c r="B285" s="81">
        <v>43409</v>
      </c>
      <c r="C285" s="91"/>
      <c r="D285" s="87"/>
      <c r="E285" s="87"/>
      <c r="F285" s="92"/>
      <c r="G285" s="93"/>
      <c r="H285" s="93"/>
      <c r="I285" s="93"/>
      <c r="J285" s="94"/>
    </row>
    <row r="286" spans="1:10" x14ac:dyDescent="0.25">
      <c r="A286" s="42">
        <v>278</v>
      </c>
      <c r="B286" s="81">
        <v>43410</v>
      </c>
      <c r="C286" s="91"/>
      <c r="D286" s="87"/>
      <c r="E286" s="87"/>
      <c r="F286" s="92"/>
      <c r="G286" s="93"/>
      <c r="H286" s="93"/>
      <c r="I286" s="93"/>
      <c r="J286" s="94"/>
    </row>
    <row r="287" spans="1:10" x14ac:dyDescent="0.25">
      <c r="A287" s="42">
        <v>279</v>
      </c>
      <c r="B287" s="81">
        <v>43411</v>
      </c>
      <c r="C287" s="91"/>
      <c r="D287" s="87"/>
      <c r="E287" s="87"/>
      <c r="F287" s="92"/>
      <c r="G287" s="93"/>
      <c r="H287" s="93"/>
      <c r="I287" s="93"/>
      <c r="J287" s="94"/>
    </row>
    <row r="288" spans="1:10" x14ac:dyDescent="0.25">
      <c r="A288" s="42">
        <v>280</v>
      </c>
      <c r="B288" s="81">
        <v>43412</v>
      </c>
      <c r="C288" s="91"/>
      <c r="D288" s="87"/>
      <c r="E288" s="87"/>
      <c r="F288" s="92"/>
      <c r="G288" s="93"/>
      <c r="H288" s="93"/>
      <c r="I288" s="93"/>
      <c r="J288" s="94"/>
    </row>
    <row r="289" spans="1:10" x14ac:dyDescent="0.25">
      <c r="A289" s="42">
        <v>281</v>
      </c>
      <c r="B289" s="81">
        <v>43413</v>
      </c>
      <c r="C289" s="91"/>
      <c r="D289" s="87"/>
      <c r="E289" s="87"/>
      <c r="F289" s="92"/>
      <c r="G289" s="93"/>
      <c r="H289" s="93"/>
      <c r="I289" s="93"/>
      <c r="J289" s="94"/>
    </row>
    <row r="290" spans="1:10" x14ac:dyDescent="0.25">
      <c r="A290" s="42">
        <v>282</v>
      </c>
      <c r="B290" s="81">
        <v>43414</v>
      </c>
      <c r="C290" s="91"/>
      <c r="D290" s="87"/>
      <c r="E290" s="87"/>
      <c r="F290" s="92"/>
      <c r="G290" s="93"/>
      <c r="H290" s="93"/>
      <c r="I290" s="93"/>
      <c r="J290" s="94"/>
    </row>
    <row r="291" spans="1:10" x14ac:dyDescent="0.25">
      <c r="A291" s="42">
        <v>283</v>
      </c>
      <c r="B291" s="81">
        <v>43415</v>
      </c>
      <c r="C291" s="91"/>
      <c r="D291" s="87"/>
      <c r="E291" s="87"/>
      <c r="F291" s="92"/>
      <c r="G291" s="93"/>
      <c r="H291" s="93"/>
      <c r="I291" s="93"/>
      <c r="J291" s="94"/>
    </row>
    <row r="292" spans="1:10" x14ac:dyDescent="0.25">
      <c r="A292" s="42">
        <v>284</v>
      </c>
      <c r="B292" s="81">
        <v>43416</v>
      </c>
      <c r="C292" s="91"/>
      <c r="D292" s="87"/>
      <c r="E292" s="87"/>
      <c r="F292" s="92"/>
      <c r="G292" s="93"/>
      <c r="H292" s="93"/>
      <c r="I292" s="93"/>
      <c r="J292" s="94"/>
    </row>
    <row r="293" spans="1:10" x14ac:dyDescent="0.25">
      <c r="A293" s="42">
        <v>285</v>
      </c>
      <c r="B293" s="81">
        <v>43417</v>
      </c>
      <c r="C293" s="91"/>
      <c r="D293" s="87"/>
      <c r="E293" s="87"/>
      <c r="F293" s="92"/>
      <c r="G293" s="93"/>
      <c r="H293" s="93"/>
      <c r="I293" s="93"/>
      <c r="J293" s="94"/>
    </row>
    <row r="294" spans="1:10" x14ac:dyDescent="0.25">
      <c r="A294" s="42">
        <v>286</v>
      </c>
      <c r="B294" s="81">
        <v>43418</v>
      </c>
      <c r="C294" s="91"/>
      <c r="D294" s="87"/>
      <c r="E294" s="87"/>
      <c r="F294" s="92"/>
      <c r="G294" s="93"/>
      <c r="H294" s="93"/>
      <c r="I294" s="93"/>
      <c r="J294" s="94"/>
    </row>
    <row r="295" spans="1:10" x14ac:dyDescent="0.25">
      <c r="A295" s="42">
        <v>287</v>
      </c>
      <c r="B295" s="81">
        <v>43419</v>
      </c>
      <c r="C295" s="91"/>
      <c r="D295" s="87"/>
      <c r="E295" s="87"/>
      <c r="F295" s="92"/>
      <c r="G295" s="93"/>
      <c r="H295" s="93"/>
      <c r="I295" s="93"/>
      <c r="J295" s="94"/>
    </row>
    <row r="296" spans="1:10" x14ac:dyDescent="0.25">
      <c r="A296" s="42">
        <v>288</v>
      </c>
      <c r="B296" s="81">
        <v>43420</v>
      </c>
      <c r="C296" s="91"/>
      <c r="D296" s="87"/>
      <c r="E296" s="87"/>
      <c r="F296" s="92"/>
      <c r="G296" s="93"/>
      <c r="H296" s="93"/>
      <c r="I296" s="93"/>
      <c r="J296" s="94"/>
    </row>
    <row r="297" spans="1:10" x14ac:dyDescent="0.25">
      <c r="A297" s="42">
        <v>289</v>
      </c>
      <c r="B297" s="81">
        <v>43421</v>
      </c>
      <c r="C297" s="91"/>
      <c r="D297" s="87"/>
      <c r="E297" s="87"/>
      <c r="F297" s="92"/>
      <c r="G297" s="93"/>
      <c r="H297" s="93"/>
      <c r="I297" s="93"/>
      <c r="J297" s="94"/>
    </row>
    <row r="298" spans="1:10" x14ac:dyDescent="0.25">
      <c r="A298" s="42">
        <v>290</v>
      </c>
      <c r="B298" s="81">
        <v>43422</v>
      </c>
      <c r="C298" s="91"/>
      <c r="D298" s="87"/>
      <c r="E298" s="87"/>
      <c r="F298" s="92"/>
      <c r="G298" s="93"/>
      <c r="H298" s="93"/>
      <c r="I298" s="93"/>
      <c r="J298" s="94"/>
    </row>
    <row r="299" spans="1:10" x14ac:dyDescent="0.25">
      <c r="A299" s="42">
        <v>291</v>
      </c>
      <c r="B299" s="81">
        <v>43423</v>
      </c>
      <c r="C299" s="91"/>
      <c r="D299" s="87"/>
      <c r="E299" s="87"/>
      <c r="F299" s="92"/>
      <c r="G299" s="93"/>
      <c r="H299" s="93"/>
      <c r="I299" s="93"/>
      <c r="J299" s="94"/>
    </row>
    <row r="300" spans="1:10" x14ac:dyDescent="0.25">
      <c r="A300" s="42">
        <v>292</v>
      </c>
      <c r="B300" s="81">
        <v>43424</v>
      </c>
      <c r="C300" s="91"/>
      <c r="D300" s="87"/>
      <c r="E300" s="87"/>
      <c r="F300" s="92"/>
      <c r="G300" s="93"/>
      <c r="H300" s="93"/>
      <c r="I300" s="93"/>
      <c r="J300" s="94"/>
    </row>
    <row r="301" spans="1:10" x14ac:dyDescent="0.25">
      <c r="A301" s="42">
        <v>293</v>
      </c>
      <c r="B301" s="81">
        <v>43425</v>
      </c>
      <c r="C301" s="91"/>
      <c r="D301" s="87"/>
      <c r="E301" s="87"/>
      <c r="F301" s="92"/>
      <c r="G301" s="93"/>
      <c r="H301" s="93"/>
      <c r="I301" s="93"/>
      <c r="J301" s="94"/>
    </row>
    <row r="302" spans="1:10" x14ac:dyDescent="0.25">
      <c r="A302" s="42">
        <v>294</v>
      </c>
      <c r="B302" s="81">
        <v>43426</v>
      </c>
      <c r="C302" s="91"/>
      <c r="D302" s="87"/>
      <c r="E302" s="87"/>
      <c r="F302" s="92"/>
      <c r="G302" s="93"/>
      <c r="H302" s="93"/>
      <c r="I302" s="93"/>
      <c r="J302" s="94"/>
    </row>
    <row r="303" spans="1:10" x14ac:dyDescent="0.25">
      <c r="A303" s="42">
        <v>295</v>
      </c>
      <c r="B303" s="81">
        <v>43427</v>
      </c>
      <c r="C303" s="91"/>
      <c r="D303" s="87"/>
      <c r="E303" s="87"/>
      <c r="F303" s="92"/>
      <c r="G303" s="93"/>
      <c r="H303" s="93"/>
      <c r="I303" s="93"/>
      <c r="J303" s="94"/>
    </row>
    <row r="304" spans="1:10" x14ac:dyDescent="0.25">
      <c r="A304" s="42">
        <v>296</v>
      </c>
      <c r="B304" s="81">
        <v>43428</v>
      </c>
      <c r="C304" s="91"/>
      <c r="D304" s="87"/>
      <c r="E304" s="87"/>
      <c r="F304" s="92"/>
      <c r="G304" s="93"/>
      <c r="H304" s="93"/>
      <c r="I304" s="93"/>
      <c r="J304" s="94"/>
    </row>
    <row r="305" spans="1:10" x14ac:dyDescent="0.25">
      <c r="A305" s="42">
        <v>297</v>
      </c>
      <c r="B305" s="81">
        <v>43429</v>
      </c>
      <c r="C305" s="91"/>
      <c r="D305" s="87"/>
      <c r="E305" s="87"/>
      <c r="F305" s="92"/>
      <c r="G305" s="93"/>
      <c r="H305" s="93"/>
      <c r="I305" s="93"/>
      <c r="J305" s="94"/>
    </row>
    <row r="306" spans="1:10" x14ac:dyDescent="0.25">
      <c r="A306" s="42">
        <v>298</v>
      </c>
      <c r="B306" s="81">
        <v>43430</v>
      </c>
      <c r="C306" s="91"/>
      <c r="D306" s="87"/>
      <c r="E306" s="87"/>
      <c r="F306" s="92"/>
      <c r="G306" s="93"/>
      <c r="H306" s="93"/>
      <c r="I306" s="93"/>
      <c r="J306" s="94"/>
    </row>
    <row r="307" spans="1:10" x14ac:dyDescent="0.25">
      <c r="A307" s="42">
        <v>299</v>
      </c>
      <c r="B307" s="81">
        <v>43431</v>
      </c>
      <c r="C307" s="91"/>
      <c r="D307" s="87"/>
      <c r="E307" s="87"/>
      <c r="F307" s="92"/>
      <c r="G307" s="93"/>
      <c r="H307" s="93"/>
      <c r="I307" s="93"/>
      <c r="J307" s="94"/>
    </row>
    <row r="308" spans="1:10" x14ac:dyDescent="0.25">
      <c r="A308" s="42">
        <v>300</v>
      </c>
      <c r="B308" s="81">
        <v>43432</v>
      </c>
      <c r="C308" s="91"/>
      <c r="D308" s="87"/>
      <c r="E308" s="87"/>
      <c r="F308" s="92"/>
      <c r="G308" s="93"/>
      <c r="H308" s="93"/>
      <c r="I308" s="93"/>
      <c r="J308" s="94"/>
    </row>
    <row r="309" spans="1:10" x14ac:dyDescent="0.25">
      <c r="A309" s="42">
        <v>301</v>
      </c>
      <c r="B309" s="81">
        <v>43433</v>
      </c>
      <c r="C309" s="91"/>
      <c r="D309" s="87"/>
      <c r="E309" s="87"/>
      <c r="F309" s="92"/>
      <c r="G309" s="93"/>
      <c r="H309" s="93"/>
      <c r="I309" s="93"/>
      <c r="J309" s="94"/>
    </row>
    <row r="310" spans="1:10" x14ac:dyDescent="0.25">
      <c r="A310" s="42">
        <v>302</v>
      </c>
      <c r="B310" s="81">
        <v>43434</v>
      </c>
      <c r="C310" s="91"/>
      <c r="D310" s="87"/>
      <c r="E310" s="87"/>
      <c r="F310" s="92"/>
      <c r="G310" s="93"/>
      <c r="H310" s="93"/>
      <c r="I310" s="93"/>
      <c r="J310" s="94"/>
    </row>
    <row r="311" spans="1:10" x14ac:dyDescent="0.25">
      <c r="A311" s="42">
        <v>303</v>
      </c>
      <c r="B311" s="81">
        <v>43435</v>
      </c>
      <c r="C311" s="91"/>
      <c r="D311" s="87"/>
      <c r="E311" s="87"/>
      <c r="F311" s="92"/>
      <c r="G311" s="93"/>
      <c r="H311" s="93"/>
      <c r="I311" s="93"/>
      <c r="J311" s="94"/>
    </row>
    <row r="312" spans="1:10" x14ac:dyDescent="0.25">
      <c r="A312" s="42">
        <v>304</v>
      </c>
      <c r="B312" s="81">
        <v>43436</v>
      </c>
      <c r="C312" s="91"/>
      <c r="D312" s="87"/>
      <c r="E312" s="87"/>
      <c r="F312" s="92"/>
      <c r="G312" s="93"/>
      <c r="H312" s="93"/>
      <c r="I312" s="93"/>
      <c r="J312" s="94"/>
    </row>
    <row r="313" spans="1:10" x14ac:dyDescent="0.25">
      <c r="A313" s="42">
        <v>305</v>
      </c>
      <c r="B313" s="81">
        <v>43437</v>
      </c>
      <c r="C313" s="91"/>
      <c r="D313" s="87"/>
      <c r="E313" s="87"/>
      <c r="F313" s="92"/>
      <c r="G313" s="93"/>
      <c r="H313" s="93"/>
      <c r="I313" s="93"/>
      <c r="J313" s="94"/>
    </row>
    <row r="314" spans="1:10" x14ac:dyDescent="0.25">
      <c r="A314" s="42">
        <v>306</v>
      </c>
      <c r="B314" s="81">
        <v>43438</v>
      </c>
      <c r="C314" s="91"/>
      <c r="D314" s="87"/>
      <c r="E314" s="87"/>
      <c r="F314" s="92"/>
      <c r="G314" s="93"/>
      <c r="H314" s="93"/>
      <c r="I314" s="93"/>
      <c r="J314" s="94"/>
    </row>
    <row r="315" spans="1:10" x14ac:dyDescent="0.25">
      <c r="A315" s="42">
        <v>307</v>
      </c>
      <c r="B315" s="81">
        <v>43439</v>
      </c>
      <c r="C315" s="91"/>
      <c r="D315" s="87"/>
      <c r="E315" s="87"/>
      <c r="F315" s="92"/>
      <c r="G315" s="93"/>
      <c r="H315" s="93"/>
      <c r="I315" s="93"/>
      <c r="J315" s="94"/>
    </row>
    <row r="316" spans="1:10" x14ac:dyDescent="0.25">
      <c r="A316" s="42">
        <v>308</v>
      </c>
      <c r="B316" s="81">
        <v>43440</v>
      </c>
      <c r="C316" s="91"/>
      <c r="D316" s="87"/>
      <c r="E316" s="87"/>
      <c r="F316" s="92"/>
      <c r="G316" s="93"/>
      <c r="H316" s="93"/>
      <c r="I316" s="93"/>
      <c r="J316" s="94"/>
    </row>
    <row r="317" spans="1:10" x14ac:dyDescent="0.25">
      <c r="A317" s="42">
        <v>309</v>
      </c>
      <c r="B317" s="81">
        <v>43441</v>
      </c>
      <c r="C317" s="91"/>
      <c r="D317" s="87"/>
      <c r="E317" s="87"/>
      <c r="F317" s="92"/>
      <c r="G317" s="93"/>
      <c r="H317" s="93"/>
      <c r="I317" s="93"/>
      <c r="J317" s="94"/>
    </row>
    <row r="318" spans="1:10" x14ac:dyDescent="0.25">
      <c r="A318" s="42">
        <v>310</v>
      </c>
      <c r="B318" s="81">
        <v>43442</v>
      </c>
      <c r="C318" s="91"/>
      <c r="D318" s="87"/>
      <c r="E318" s="87"/>
      <c r="F318" s="92"/>
      <c r="G318" s="93"/>
      <c r="H318" s="93"/>
      <c r="I318" s="93"/>
      <c r="J318" s="94"/>
    </row>
    <row r="319" spans="1:10" x14ac:dyDescent="0.25">
      <c r="A319" s="42">
        <v>311</v>
      </c>
      <c r="B319" s="81">
        <v>43443</v>
      </c>
      <c r="C319" s="91"/>
      <c r="D319" s="87"/>
      <c r="E319" s="87"/>
      <c r="F319" s="92"/>
      <c r="G319" s="93"/>
      <c r="H319" s="93"/>
      <c r="I319" s="93"/>
      <c r="J319" s="94"/>
    </row>
    <row r="320" spans="1:10" x14ac:dyDescent="0.25">
      <c r="A320" s="42">
        <v>312</v>
      </c>
      <c r="B320" s="81">
        <v>43444</v>
      </c>
      <c r="C320" s="91"/>
      <c r="D320" s="87"/>
      <c r="E320" s="87"/>
      <c r="F320" s="92"/>
      <c r="G320" s="93"/>
      <c r="H320" s="93"/>
      <c r="I320" s="93"/>
      <c r="J320" s="94"/>
    </row>
    <row r="321" spans="1:10" x14ac:dyDescent="0.25">
      <c r="A321" s="42">
        <v>313</v>
      </c>
      <c r="B321" s="81">
        <v>43445</v>
      </c>
      <c r="C321" s="91"/>
      <c r="D321" s="87"/>
      <c r="E321" s="87"/>
      <c r="F321" s="92"/>
      <c r="G321" s="93"/>
      <c r="H321" s="93"/>
      <c r="I321" s="93"/>
      <c r="J321" s="94"/>
    </row>
    <row r="322" spans="1:10" x14ac:dyDescent="0.25">
      <c r="A322" s="42">
        <v>314</v>
      </c>
      <c r="B322" s="81">
        <v>43446</v>
      </c>
      <c r="C322" s="91"/>
      <c r="D322" s="87"/>
      <c r="E322" s="87"/>
      <c r="F322" s="92"/>
      <c r="G322" s="93"/>
      <c r="H322" s="93"/>
      <c r="I322" s="93"/>
      <c r="J322" s="94"/>
    </row>
    <row r="323" spans="1:10" x14ac:dyDescent="0.25">
      <c r="A323" s="42">
        <v>315</v>
      </c>
      <c r="B323" s="81">
        <v>43447</v>
      </c>
      <c r="C323" s="91"/>
      <c r="D323" s="87"/>
      <c r="E323" s="87"/>
      <c r="F323" s="92"/>
      <c r="G323" s="93"/>
      <c r="H323" s="93"/>
      <c r="I323" s="93"/>
      <c r="J323" s="94"/>
    </row>
    <row r="324" spans="1:10" x14ac:dyDescent="0.25">
      <c r="A324" s="42">
        <v>316</v>
      </c>
      <c r="B324" s="81">
        <v>43448</v>
      </c>
      <c r="C324" s="91"/>
      <c r="D324" s="87"/>
      <c r="E324" s="87"/>
      <c r="F324" s="92"/>
      <c r="G324" s="93"/>
      <c r="H324" s="93"/>
      <c r="I324" s="93"/>
      <c r="J324" s="94"/>
    </row>
    <row r="325" spans="1:10" x14ac:dyDescent="0.25">
      <c r="A325" s="42">
        <v>317</v>
      </c>
      <c r="B325" s="81">
        <v>43449</v>
      </c>
      <c r="C325" s="91"/>
      <c r="D325" s="87"/>
      <c r="E325" s="87"/>
      <c r="F325" s="92"/>
      <c r="G325" s="93"/>
      <c r="H325" s="93"/>
      <c r="I325" s="93"/>
      <c r="J325" s="94"/>
    </row>
    <row r="326" spans="1:10" x14ac:dyDescent="0.25">
      <c r="A326" s="42">
        <v>318</v>
      </c>
      <c r="B326" s="81">
        <v>43450</v>
      </c>
      <c r="C326" s="91"/>
      <c r="D326" s="87"/>
      <c r="E326" s="87"/>
      <c r="F326" s="92"/>
      <c r="G326" s="93"/>
      <c r="H326" s="93"/>
      <c r="I326" s="93"/>
      <c r="J326" s="94"/>
    </row>
    <row r="327" spans="1:10" x14ac:dyDescent="0.25">
      <c r="A327" s="42">
        <v>319</v>
      </c>
      <c r="B327" s="81">
        <v>43451</v>
      </c>
      <c r="C327" s="91"/>
      <c r="D327" s="87"/>
      <c r="E327" s="87"/>
      <c r="F327" s="92"/>
      <c r="G327" s="93"/>
      <c r="H327" s="93"/>
      <c r="I327" s="93"/>
      <c r="J327" s="94"/>
    </row>
    <row r="328" spans="1:10" x14ac:dyDescent="0.25">
      <c r="A328" s="42">
        <v>320</v>
      </c>
      <c r="B328" s="81">
        <v>43452</v>
      </c>
      <c r="C328" s="91"/>
      <c r="D328" s="87"/>
      <c r="E328" s="87"/>
      <c r="F328" s="92"/>
      <c r="G328" s="93"/>
      <c r="H328" s="93"/>
      <c r="I328" s="93"/>
      <c r="J328" s="94"/>
    </row>
    <row r="329" spans="1:10" x14ac:dyDescent="0.25">
      <c r="A329" s="42">
        <v>321</v>
      </c>
      <c r="B329" s="81">
        <v>43453</v>
      </c>
      <c r="C329" s="91"/>
      <c r="D329" s="87"/>
      <c r="E329" s="87"/>
      <c r="F329" s="92"/>
      <c r="G329" s="93"/>
      <c r="H329" s="93"/>
      <c r="I329" s="93"/>
      <c r="J329" s="94"/>
    </row>
    <row r="330" spans="1:10" x14ac:dyDescent="0.25">
      <c r="A330" s="42">
        <v>322</v>
      </c>
      <c r="B330" s="81">
        <v>43454</v>
      </c>
      <c r="C330" s="91"/>
      <c r="D330" s="87"/>
      <c r="E330" s="87"/>
      <c r="F330" s="92"/>
      <c r="G330" s="93"/>
      <c r="H330" s="93"/>
      <c r="I330" s="93"/>
      <c r="J330" s="94"/>
    </row>
    <row r="331" spans="1:10" x14ac:dyDescent="0.25">
      <c r="A331" s="42">
        <v>323</v>
      </c>
      <c r="B331" s="81">
        <v>43455</v>
      </c>
      <c r="C331" s="91"/>
      <c r="D331" s="87"/>
      <c r="E331" s="87"/>
      <c r="F331" s="92"/>
      <c r="G331" s="93"/>
      <c r="H331" s="93"/>
      <c r="I331" s="93"/>
      <c r="J331" s="94"/>
    </row>
    <row r="332" spans="1:10" x14ac:dyDescent="0.25">
      <c r="A332" s="42">
        <v>324</v>
      </c>
      <c r="B332" s="81">
        <v>43456</v>
      </c>
      <c r="C332" s="91"/>
      <c r="D332" s="87"/>
      <c r="E332" s="87"/>
      <c r="F332" s="92"/>
      <c r="G332" s="93"/>
      <c r="H332" s="93"/>
      <c r="I332" s="93"/>
      <c r="J332" s="94"/>
    </row>
    <row r="333" spans="1:10" x14ac:dyDescent="0.25">
      <c r="A333" s="42">
        <v>325</v>
      </c>
      <c r="B333" s="81">
        <v>43457</v>
      </c>
      <c r="C333" s="91"/>
      <c r="D333" s="87"/>
      <c r="E333" s="87"/>
      <c r="F333" s="92"/>
      <c r="G333" s="93"/>
      <c r="H333" s="93"/>
      <c r="I333" s="93"/>
      <c r="J333" s="94"/>
    </row>
    <row r="334" spans="1:10" x14ac:dyDescent="0.25">
      <c r="A334" s="42">
        <v>326</v>
      </c>
      <c r="B334" s="81">
        <v>43458</v>
      </c>
      <c r="C334" s="91"/>
      <c r="D334" s="87"/>
      <c r="E334" s="87"/>
      <c r="F334" s="92"/>
      <c r="G334" s="93"/>
      <c r="H334" s="93"/>
      <c r="I334" s="93"/>
      <c r="J334" s="94"/>
    </row>
    <row r="335" spans="1:10" x14ac:dyDescent="0.25">
      <c r="A335" s="42">
        <v>327</v>
      </c>
      <c r="B335" s="81">
        <v>43459</v>
      </c>
      <c r="C335" s="91"/>
      <c r="D335" s="87"/>
      <c r="E335" s="87"/>
      <c r="F335" s="92"/>
      <c r="G335" s="93"/>
      <c r="H335" s="93"/>
      <c r="I335" s="93"/>
      <c r="J335" s="94"/>
    </row>
    <row r="336" spans="1:10" x14ac:dyDescent="0.25">
      <c r="A336" s="42">
        <v>328</v>
      </c>
      <c r="B336" s="81">
        <v>43460</v>
      </c>
      <c r="C336" s="91"/>
      <c r="D336" s="87"/>
      <c r="E336" s="87"/>
      <c r="F336" s="92"/>
      <c r="G336" s="93"/>
      <c r="H336" s="93"/>
      <c r="I336" s="93"/>
      <c r="J336" s="94"/>
    </row>
    <row r="337" spans="1:10" x14ac:dyDescent="0.25">
      <c r="A337" s="42">
        <v>329</v>
      </c>
      <c r="B337" s="81">
        <v>43461</v>
      </c>
      <c r="C337" s="91"/>
      <c r="D337" s="87"/>
      <c r="E337" s="87"/>
      <c r="F337" s="92"/>
      <c r="G337" s="93"/>
      <c r="H337" s="93"/>
      <c r="I337" s="93"/>
      <c r="J337" s="94"/>
    </row>
    <row r="338" spans="1:10" x14ac:dyDescent="0.25">
      <c r="A338" s="42">
        <v>330</v>
      </c>
      <c r="B338" s="81">
        <v>43462</v>
      </c>
      <c r="C338" s="91"/>
      <c r="D338" s="87"/>
      <c r="E338" s="87"/>
      <c r="F338" s="92"/>
      <c r="G338" s="93"/>
      <c r="H338" s="93"/>
      <c r="I338" s="93"/>
      <c r="J338" s="94"/>
    </row>
    <row r="339" spans="1:10" x14ac:dyDescent="0.25">
      <c r="A339" s="42">
        <v>331</v>
      </c>
      <c r="B339" s="81">
        <v>43463</v>
      </c>
      <c r="C339" s="91"/>
      <c r="D339" s="87"/>
      <c r="E339" s="87"/>
      <c r="F339" s="92"/>
      <c r="G339" s="93"/>
      <c r="H339" s="93"/>
      <c r="I339" s="93"/>
      <c r="J339" s="94"/>
    </row>
    <row r="340" spans="1:10" x14ac:dyDescent="0.25">
      <c r="A340" s="42">
        <v>332</v>
      </c>
      <c r="B340" s="81">
        <v>43464</v>
      </c>
      <c r="C340" s="91"/>
      <c r="D340" s="87"/>
      <c r="E340" s="87"/>
      <c r="F340" s="92"/>
      <c r="G340" s="93"/>
      <c r="H340" s="93"/>
      <c r="I340" s="93"/>
      <c r="J340" s="94"/>
    </row>
    <row r="341" spans="1:10" x14ac:dyDescent="0.25">
      <c r="A341" s="42">
        <v>333</v>
      </c>
      <c r="B341" s="81">
        <v>43465</v>
      </c>
      <c r="C341" s="91"/>
      <c r="D341" s="87"/>
      <c r="E341" s="87"/>
      <c r="F341" s="92"/>
      <c r="G341" s="93"/>
      <c r="H341" s="93"/>
      <c r="I341" s="93"/>
      <c r="J341" s="94"/>
    </row>
    <row r="342" spans="1:10" x14ac:dyDescent="0.25">
      <c r="A342" s="42">
        <v>334</v>
      </c>
      <c r="B342" s="81">
        <v>43466</v>
      </c>
      <c r="C342" s="91"/>
      <c r="D342" s="87"/>
      <c r="E342" s="87"/>
      <c r="F342" s="92"/>
      <c r="G342" s="93"/>
      <c r="H342" s="93"/>
      <c r="I342" s="93"/>
      <c r="J342" s="94"/>
    </row>
    <row r="343" spans="1:10" x14ac:dyDescent="0.25">
      <c r="A343" s="42">
        <v>335</v>
      </c>
      <c r="B343" s="81">
        <v>43467</v>
      </c>
      <c r="C343" s="91"/>
      <c r="D343" s="87"/>
      <c r="E343" s="87"/>
      <c r="F343" s="92"/>
      <c r="G343" s="93"/>
      <c r="H343" s="93"/>
      <c r="I343" s="93"/>
      <c r="J343" s="94"/>
    </row>
    <row r="344" spans="1:10" x14ac:dyDescent="0.25">
      <c r="A344" s="42">
        <v>336</v>
      </c>
      <c r="B344" s="81">
        <v>43468</v>
      </c>
      <c r="C344" s="91"/>
      <c r="D344" s="87"/>
      <c r="E344" s="87"/>
      <c r="F344" s="92"/>
      <c r="G344" s="93"/>
      <c r="H344" s="93"/>
      <c r="I344" s="93"/>
      <c r="J344" s="94"/>
    </row>
    <row r="345" spans="1:10" x14ac:dyDescent="0.25">
      <c r="A345" s="42">
        <v>337</v>
      </c>
      <c r="B345" s="81">
        <v>43469</v>
      </c>
      <c r="C345" s="91"/>
      <c r="D345" s="87"/>
      <c r="E345" s="87"/>
      <c r="F345" s="92"/>
      <c r="G345" s="93"/>
      <c r="H345" s="93"/>
      <c r="I345" s="93"/>
      <c r="J345" s="94"/>
    </row>
    <row r="346" spans="1:10" x14ac:dyDescent="0.25">
      <c r="A346" s="42">
        <v>338</v>
      </c>
      <c r="B346" s="81">
        <v>43470</v>
      </c>
      <c r="C346" s="91"/>
      <c r="D346" s="87"/>
      <c r="E346" s="87"/>
      <c r="F346" s="92"/>
      <c r="G346" s="93"/>
      <c r="H346" s="93"/>
      <c r="I346" s="93"/>
      <c r="J346" s="94"/>
    </row>
    <row r="347" spans="1:10" x14ac:dyDescent="0.25">
      <c r="A347" s="42">
        <v>339</v>
      </c>
      <c r="B347" s="81">
        <v>43471</v>
      </c>
      <c r="C347" s="91"/>
      <c r="D347" s="87"/>
      <c r="E347" s="87"/>
      <c r="F347" s="92"/>
      <c r="G347" s="93"/>
      <c r="H347" s="93"/>
      <c r="I347" s="93"/>
      <c r="J347" s="94"/>
    </row>
    <row r="348" spans="1:10" x14ac:dyDescent="0.25">
      <c r="A348" s="42">
        <v>340</v>
      </c>
      <c r="B348" s="81">
        <v>43472</v>
      </c>
      <c r="C348" s="91"/>
      <c r="D348" s="87"/>
      <c r="E348" s="87"/>
      <c r="F348" s="92"/>
      <c r="G348" s="93"/>
      <c r="H348" s="93"/>
      <c r="I348" s="93"/>
      <c r="J348" s="94"/>
    </row>
    <row r="349" spans="1:10" x14ac:dyDescent="0.25">
      <c r="A349" s="42">
        <v>341</v>
      </c>
      <c r="B349" s="81">
        <v>43473</v>
      </c>
      <c r="C349" s="91"/>
      <c r="D349" s="87"/>
      <c r="E349" s="87"/>
      <c r="F349" s="92"/>
      <c r="G349" s="93"/>
      <c r="H349" s="93"/>
      <c r="I349" s="93"/>
      <c r="J349" s="94"/>
    </row>
    <row r="350" spans="1:10" x14ac:dyDescent="0.25">
      <c r="A350" s="42">
        <v>342</v>
      </c>
      <c r="B350" s="81">
        <v>43474</v>
      </c>
      <c r="C350" s="91"/>
      <c r="D350" s="87"/>
      <c r="E350" s="87"/>
      <c r="F350" s="92"/>
      <c r="G350" s="93"/>
      <c r="H350" s="93"/>
      <c r="I350" s="93"/>
      <c r="J350" s="94"/>
    </row>
    <row r="351" spans="1:10" x14ac:dyDescent="0.25">
      <c r="A351" s="42">
        <v>343</v>
      </c>
      <c r="B351" s="81">
        <v>43475</v>
      </c>
      <c r="C351" s="91"/>
      <c r="D351" s="87"/>
      <c r="E351" s="87"/>
      <c r="F351" s="92"/>
      <c r="G351" s="93"/>
      <c r="H351" s="93"/>
      <c r="I351" s="93"/>
      <c r="J351" s="94"/>
    </row>
    <row r="352" spans="1:10" x14ac:dyDescent="0.25">
      <c r="A352" s="42">
        <v>344</v>
      </c>
      <c r="B352" s="81">
        <v>43476</v>
      </c>
      <c r="C352" s="91"/>
      <c r="D352" s="87"/>
      <c r="E352" s="87"/>
      <c r="F352" s="92"/>
      <c r="G352" s="93"/>
      <c r="H352" s="93"/>
      <c r="I352" s="93"/>
      <c r="J352" s="94"/>
    </row>
    <row r="353" spans="1:10" x14ac:dyDescent="0.25">
      <c r="A353" s="42">
        <v>345</v>
      </c>
      <c r="B353" s="81">
        <v>43477</v>
      </c>
      <c r="C353" s="91"/>
      <c r="D353" s="87"/>
      <c r="E353" s="87"/>
      <c r="F353" s="92"/>
      <c r="G353" s="93"/>
      <c r="H353" s="93"/>
      <c r="I353" s="93"/>
      <c r="J353" s="94"/>
    </row>
    <row r="354" spans="1:10" x14ac:dyDescent="0.25">
      <c r="A354" s="42">
        <v>346</v>
      </c>
      <c r="B354" s="81">
        <v>43478</v>
      </c>
      <c r="C354" s="91"/>
      <c r="D354" s="87"/>
      <c r="E354" s="87"/>
      <c r="F354" s="92"/>
      <c r="G354" s="93"/>
      <c r="H354" s="93"/>
      <c r="I354" s="93"/>
      <c r="J354" s="94"/>
    </row>
    <row r="355" spans="1:10" x14ac:dyDescent="0.25">
      <c r="A355" s="42">
        <v>347</v>
      </c>
      <c r="B355" s="81">
        <v>43479</v>
      </c>
      <c r="C355" s="91"/>
      <c r="D355" s="87"/>
      <c r="E355" s="87"/>
      <c r="F355" s="92"/>
      <c r="G355" s="93"/>
      <c r="H355" s="93"/>
      <c r="I355" s="93"/>
      <c r="J355" s="94"/>
    </row>
    <row r="356" spans="1:10" x14ac:dyDescent="0.25">
      <c r="A356" s="42">
        <v>348</v>
      </c>
      <c r="B356" s="81">
        <v>43480</v>
      </c>
      <c r="C356" s="91"/>
      <c r="D356" s="87"/>
      <c r="E356" s="87"/>
      <c r="F356" s="92"/>
      <c r="G356" s="93"/>
      <c r="H356" s="93"/>
      <c r="I356" s="93"/>
      <c r="J356" s="94"/>
    </row>
    <row r="357" spans="1:10" x14ac:dyDescent="0.25">
      <c r="A357" s="42">
        <v>349</v>
      </c>
      <c r="B357" s="81">
        <v>43481</v>
      </c>
      <c r="C357" s="91"/>
      <c r="D357" s="87"/>
      <c r="E357" s="87"/>
      <c r="F357" s="92"/>
      <c r="G357" s="93"/>
      <c r="H357" s="93"/>
      <c r="I357" s="93"/>
      <c r="J357" s="94"/>
    </row>
    <row r="358" spans="1:10" x14ac:dyDescent="0.25">
      <c r="A358" s="42">
        <v>350</v>
      </c>
      <c r="B358" s="81">
        <v>43482</v>
      </c>
      <c r="C358" s="91"/>
      <c r="D358" s="87"/>
      <c r="E358" s="87"/>
      <c r="F358" s="92"/>
      <c r="G358" s="93"/>
      <c r="H358" s="93"/>
      <c r="I358" s="93"/>
      <c r="J358" s="94"/>
    </row>
    <row r="359" spans="1:10" x14ac:dyDescent="0.25">
      <c r="A359" s="42">
        <v>351</v>
      </c>
      <c r="B359" s="81">
        <v>43483</v>
      </c>
      <c r="C359" s="91"/>
      <c r="D359" s="87"/>
      <c r="E359" s="87"/>
      <c r="F359" s="92"/>
      <c r="G359" s="93"/>
      <c r="H359" s="93"/>
      <c r="I359" s="93"/>
      <c r="J359" s="94"/>
    </row>
    <row r="360" spans="1:10" x14ac:dyDescent="0.25">
      <c r="A360" s="42">
        <v>352</v>
      </c>
      <c r="B360" s="81">
        <v>43484</v>
      </c>
      <c r="C360" s="91"/>
      <c r="D360" s="87"/>
      <c r="E360" s="87"/>
      <c r="F360" s="92"/>
      <c r="G360" s="93"/>
      <c r="H360" s="93"/>
      <c r="I360" s="93"/>
      <c r="J360" s="94"/>
    </row>
    <row r="361" spans="1:10" x14ac:dyDescent="0.25">
      <c r="A361" s="42">
        <v>353</v>
      </c>
      <c r="B361" s="81">
        <v>43485</v>
      </c>
      <c r="C361" s="91"/>
      <c r="D361" s="87"/>
      <c r="E361" s="87"/>
      <c r="F361" s="92"/>
      <c r="G361" s="93"/>
      <c r="H361" s="93"/>
      <c r="I361" s="93"/>
      <c r="J361" s="94"/>
    </row>
    <row r="362" spans="1:10" x14ac:dyDescent="0.25">
      <c r="A362" s="42">
        <v>354</v>
      </c>
      <c r="B362" s="81">
        <v>43486</v>
      </c>
      <c r="C362" s="91"/>
      <c r="D362" s="87"/>
      <c r="E362" s="87"/>
      <c r="F362" s="92"/>
      <c r="G362" s="93"/>
      <c r="H362" s="93"/>
      <c r="I362" s="93"/>
      <c r="J362" s="94"/>
    </row>
    <row r="363" spans="1:10" x14ac:dyDescent="0.25">
      <c r="A363" s="42">
        <v>355</v>
      </c>
      <c r="B363" s="81">
        <v>43487</v>
      </c>
      <c r="C363" s="91"/>
      <c r="D363" s="87"/>
      <c r="E363" s="87"/>
      <c r="F363" s="92"/>
      <c r="G363" s="93"/>
      <c r="H363" s="93"/>
      <c r="I363" s="93"/>
      <c r="J363" s="94"/>
    </row>
    <row r="364" spans="1:10" x14ac:dyDescent="0.25">
      <c r="A364" s="42">
        <v>356</v>
      </c>
      <c r="B364" s="81">
        <v>43488</v>
      </c>
      <c r="C364" s="91"/>
      <c r="D364" s="87"/>
      <c r="E364" s="87"/>
      <c r="F364" s="92"/>
      <c r="G364" s="93"/>
      <c r="H364" s="93"/>
      <c r="I364" s="93"/>
      <c r="J364" s="94"/>
    </row>
    <row r="365" spans="1:10" x14ac:dyDescent="0.25">
      <c r="A365" s="42">
        <v>357</v>
      </c>
      <c r="B365" s="81">
        <v>43489</v>
      </c>
      <c r="C365" s="91"/>
      <c r="D365" s="87"/>
      <c r="E365" s="87"/>
      <c r="F365" s="92"/>
      <c r="G365" s="93"/>
      <c r="H365" s="93"/>
      <c r="I365" s="93"/>
      <c r="J365" s="94"/>
    </row>
    <row r="366" spans="1:10" x14ac:dyDescent="0.25">
      <c r="A366" s="42">
        <v>358</v>
      </c>
      <c r="B366" s="81">
        <v>43490</v>
      </c>
      <c r="C366" s="91"/>
      <c r="D366" s="87"/>
      <c r="E366" s="87"/>
      <c r="F366" s="92"/>
      <c r="G366" s="93"/>
      <c r="H366" s="93"/>
      <c r="I366" s="93"/>
      <c r="J366" s="94"/>
    </row>
    <row r="367" spans="1:10" x14ac:dyDescent="0.25">
      <c r="A367" s="42">
        <v>359</v>
      </c>
      <c r="B367" s="81">
        <v>43491</v>
      </c>
      <c r="C367" s="91"/>
      <c r="D367" s="87"/>
      <c r="E367" s="87"/>
      <c r="F367" s="92"/>
      <c r="G367" s="93"/>
      <c r="H367" s="93"/>
      <c r="I367" s="93"/>
      <c r="J367" s="94"/>
    </row>
    <row r="368" spans="1:10" x14ac:dyDescent="0.25">
      <c r="A368" s="42">
        <v>360</v>
      </c>
      <c r="B368" s="81">
        <v>43492</v>
      </c>
      <c r="C368" s="91"/>
      <c r="D368" s="87"/>
      <c r="E368" s="87"/>
      <c r="F368" s="92"/>
      <c r="G368" s="93"/>
      <c r="H368" s="93"/>
      <c r="I368" s="93"/>
      <c r="J368" s="94"/>
    </row>
    <row r="369" spans="1:10" x14ac:dyDescent="0.25">
      <c r="A369" s="42">
        <v>361</v>
      </c>
      <c r="B369" s="81">
        <v>43493</v>
      </c>
      <c r="C369" s="91"/>
      <c r="D369" s="87"/>
      <c r="E369" s="87"/>
      <c r="F369" s="92"/>
      <c r="G369" s="93"/>
      <c r="H369" s="93"/>
      <c r="I369" s="93"/>
      <c r="J369" s="94"/>
    </row>
    <row r="370" spans="1:10" x14ac:dyDescent="0.25">
      <c r="A370" s="42">
        <v>362</v>
      </c>
      <c r="B370" s="81">
        <v>43494</v>
      </c>
      <c r="C370" s="91"/>
      <c r="D370" s="87"/>
      <c r="E370" s="87"/>
      <c r="F370" s="92"/>
      <c r="G370" s="93"/>
      <c r="H370" s="93"/>
      <c r="I370" s="93"/>
      <c r="J370" s="94"/>
    </row>
    <row r="371" spans="1:10" x14ac:dyDescent="0.25">
      <c r="A371" s="42">
        <v>363</v>
      </c>
      <c r="B371" s="81">
        <v>43495</v>
      </c>
      <c r="C371" s="91"/>
      <c r="D371" s="87"/>
      <c r="E371" s="87"/>
      <c r="F371" s="92"/>
      <c r="G371" s="93"/>
      <c r="H371" s="93"/>
      <c r="I371" s="93"/>
      <c r="J371" s="94"/>
    </row>
    <row r="372" spans="1:10" x14ac:dyDescent="0.25">
      <c r="A372" s="42">
        <v>364</v>
      </c>
      <c r="B372" s="81">
        <v>43496</v>
      </c>
      <c r="C372" s="91"/>
      <c r="D372" s="87"/>
      <c r="E372" s="87"/>
      <c r="F372" s="92"/>
      <c r="G372" s="93"/>
      <c r="H372" s="93"/>
      <c r="I372" s="93"/>
      <c r="J372" s="94"/>
    </row>
    <row r="373" spans="1:10" x14ac:dyDescent="0.25">
      <c r="A373" s="42">
        <v>365</v>
      </c>
      <c r="B373" s="81">
        <v>43497</v>
      </c>
      <c r="C373" s="91"/>
      <c r="D373" s="87"/>
      <c r="E373" s="87"/>
      <c r="F373" s="92"/>
      <c r="G373" s="93"/>
      <c r="H373" s="93"/>
      <c r="I373" s="93"/>
      <c r="J373" s="94"/>
    </row>
    <row r="374" spans="1:10" x14ac:dyDescent="0.25">
      <c r="A374" s="42">
        <v>366</v>
      </c>
      <c r="B374" s="81">
        <v>43498</v>
      </c>
      <c r="C374" s="91"/>
      <c r="D374" s="87"/>
      <c r="E374" s="87"/>
      <c r="F374" s="92"/>
      <c r="G374" s="93"/>
      <c r="H374" s="93"/>
      <c r="I374" s="93"/>
      <c r="J374" s="94"/>
    </row>
    <row r="375" spans="1:10" x14ac:dyDescent="0.25">
      <c r="A375" s="42">
        <v>367</v>
      </c>
      <c r="B375" s="81">
        <v>43499</v>
      </c>
      <c r="C375" s="91"/>
      <c r="D375" s="87"/>
      <c r="E375" s="87"/>
      <c r="F375" s="92"/>
      <c r="G375" s="93"/>
      <c r="H375" s="93"/>
      <c r="I375" s="93"/>
      <c r="J375" s="94"/>
    </row>
    <row r="376" spans="1:10" x14ac:dyDescent="0.25">
      <c r="A376" s="42">
        <v>368</v>
      </c>
      <c r="B376" s="81">
        <v>43500</v>
      </c>
      <c r="C376" s="91"/>
      <c r="D376" s="87"/>
      <c r="E376" s="87"/>
      <c r="F376" s="92"/>
      <c r="G376" s="93"/>
      <c r="H376" s="93"/>
      <c r="I376" s="93"/>
      <c r="J376" s="94"/>
    </row>
    <row r="377" spans="1:10" x14ac:dyDescent="0.25">
      <c r="A377" s="42">
        <v>369</v>
      </c>
      <c r="B377" s="81">
        <v>43501</v>
      </c>
      <c r="C377" s="91"/>
      <c r="D377" s="87"/>
      <c r="E377" s="87"/>
      <c r="F377" s="92"/>
      <c r="G377" s="93"/>
      <c r="H377" s="93"/>
      <c r="I377" s="93"/>
      <c r="J377" s="94"/>
    </row>
    <row r="378" spans="1:10" x14ac:dyDescent="0.25">
      <c r="A378" s="42">
        <v>370</v>
      </c>
      <c r="B378" s="81">
        <v>43502</v>
      </c>
      <c r="C378" s="91"/>
      <c r="D378" s="87"/>
      <c r="E378" s="87"/>
      <c r="F378" s="92"/>
      <c r="G378" s="93"/>
      <c r="H378" s="93"/>
      <c r="I378" s="93"/>
      <c r="J378" s="94"/>
    </row>
    <row r="379" spans="1:10" x14ac:dyDescent="0.25">
      <c r="A379" s="42">
        <v>371</v>
      </c>
      <c r="B379" s="81">
        <v>43503</v>
      </c>
      <c r="C379" s="91"/>
      <c r="D379" s="87"/>
      <c r="E379" s="87"/>
      <c r="F379" s="92"/>
      <c r="G379" s="93"/>
      <c r="H379" s="93"/>
      <c r="I379" s="93"/>
      <c r="J379" s="94"/>
    </row>
    <row r="380" spans="1:10" x14ac:dyDescent="0.25">
      <c r="A380" s="42">
        <v>372</v>
      </c>
      <c r="B380" s="81">
        <v>43504</v>
      </c>
      <c r="C380" s="91"/>
      <c r="D380" s="87"/>
      <c r="E380" s="87"/>
      <c r="F380" s="92"/>
      <c r="G380" s="93"/>
      <c r="H380" s="93"/>
      <c r="I380" s="93"/>
      <c r="J380" s="94"/>
    </row>
    <row r="381" spans="1:10" x14ac:dyDescent="0.25">
      <c r="A381" s="42">
        <v>373</v>
      </c>
      <c r="B381" s="81">
        <v>43505</v>
      </c>
      <c r="C381" s="91"/>
      <c r="D381" s="87"/>
      <c r="E381" s="87"/>
      <c r="F381" s="92"/>
      <c r="G381" s="93"/>
      <c r="H381" s="93"/>
      <c r="I381" s="93"/>
      <c r="J381" s="94"/>
    </row>
    <row r="382" spans="1:10" x14ac:dyDescent="0.25">
      <c r="A382" s="42">
        <v>374</v>
      </c>
      <c r="B382" s="81">
        <v>43506</v>
      </c>
      <c r="C382" s="91"/>
      <c r="D382" s="87"/>
      <c r="E382" s="87"/>
      <c r="F382" s="92"/>
      <c r="G382" s="93"/>
      <c r="H382" s="93"/>
      <c r="I382" s="93"/>
      <c r="J382" s="94"/>
    </row>
    <row r="383" spans="1:10" x14ac:dyDescent="0.25">
      <c r="A383" s="42">
        <v>375</v>
      </c>
      <c r="B383" s="81">
        <v>43507</v>
      </c>
      <c r="C383" s="91"/>
      <c r="D383" s="87"/>
      <c r="E383" s="87"/>
      <c r="F383" s="92"/>
      <c r="G383" s="93"/>
      <c r="H383" s="93"/>
      <c r="I383" s="93"/>
      <c r="J383" s="94"/>
    </row>
    <row r="384" spans="1:10" x14ac:dyDescent="0.25">
      <c r="A384" s="42">
        <v>376</v>
      </c>
      <c r="B384" s="81">
        <v>43508</v>
      </c>
      <c r="C384" s="91"/>
      <c r="D384" s="87"/>
      <c r="E384" s="87"/>
      <c r="F384" s="92"/>
      <c r="G384" s="93"/>
      <c r="H384" s="93"/>
      <c r="I384" s="93"/>
      <c r="J384" s="94"/>
    </row>
    <row r="385" spans="1:10" x14ac:dyDescent="0.25">
      <c r="A385" s="42">
        <v>377</v>
      </c>
      <c r="B385" s="81">
        <v>43509</v>
      </c>
      <c r="C385" s="91"/>
      <c r="D385" s="87"/>
      <c r="E385" s="87"/>
      <c r="F385" s="92"/>
      <c r="G385" s="93"/>
      <c r="H385" s="93"/>
      <c r="I385" s="93"/>
      <c r="J385" s="94"/>
    </row>
    <row r="386" spans="1:10" x14ac:dyDescent="0.25">
      <c r="A386" s="42">
        <v>378</v>
      </c>
      <c r="B386" s="81">
        <v>43510</v>
      </c>
      <c r="C386" s="91"/>
      <c r="D386" s="87"/>
      <c r="E386" s="87"/>
      <c r="F386" s="92"/>
      <c r="G386" s="93"/>
      <c r="H386" s="93"/>
      <c r="I386" s="93"/>
      <c r="J386" s="94"/>
    </row>
    <row r="387" spans="1:10" x14ac:dyDescent="0.25">
      <c r="A387" s="42">
        <v>379</v>
      </c>
      <c r="B387" s="81">
        <v>43511</v>
      </c>
      <c r="C387" s="91"/>
      <c r="D387" s="87"/>
      <c r="E387" s="87"/>
      <c r="F387" s="92"/>
      <c r="G387" s="93"/>
      <c r="H387" s="93"/>
      <c r="I387" s="93"/>
      <c r="J387" s="94"/>
    </row>
    <row r="388" spans="1:10" x14ac:dyDescent="0.25">
      <c r="A388" s="42">
        <v>380</v>
      </c>
      <c r="B388" s="81">
        <v>43512</v>
      </c>
      <c r="C388" s="91"/>
      <c r="D388" s="87"/>
      <c r="E388" s="87"/>
      <c r="F388" s="92"/>
      <c r="G388" s="93"/>
      <c r="H388" s="93"/>
      <c r="I388" s="93"/>
      <c r="J388" s="94"/>
    </row>
    <row r="389" spans="1:10" x14ac:dyDescent="0.25">
      <c r="A389" s="42">
        <v>381</v>
      </c>
      <c r="B389" s="81">
        <v>43513</v>
      </c>
      <c r="C389" s="91"/>
      <c r="D389" s="87"/>
      <c r="E389" s="87"/>
      <c r="F389" s="92"/>
      <c r="G389" s="93"/>
      <c r="H389" s="93"/>
      <c r="I389" s="93"/>
      <c r="J389" s="94"/>
    </row>
    <row r="390" spans="1:10" x14ac:dyDescent="0.25">
      <c r="A390" s="42">
        <v>382</v>
      </c>
      <c r="B390" s="81">
        <v>43514</v>
      </c>
      <c r="C390" s="91"/>
      <c r="D390" s="87"/>
      <c r="E390" s="87"/>
      <c r="F390" s="92"/>
      <c r="G390" s="93"/>
      <c r="H390" s="93"/>
      <c r="I390" s="93"/>
      <c r="J390" s="94"/>
    </row>
    <row r="391" spans="1:10" x14ac:dyDescent="0.25">
      <c r="A391" s="42">
        <v>383</v>
      </c>
      <c r="B391" s="81">
        <v>43515</v>
      </c>
      <c r="C391" s="91"/>
      <c r="D391" s="87"/>
      <c r="E391" s="87"/>
      <c r="F391" s="92"/>
      <c r="G391" s="93"/>
      <c r="H391" s="93"/>
      <c r="I391" s="93"/>
      <c r="J391" s="94"/>
    </row>
    <row r="392" spans="1:10" x14ac:dyDescent="0.25">
      <c r="A392" s="42">
        <v>384</v>
      </c>
      <c r="B392" s="81">
        <v>43516</v>
      </c>
      <c r="C392" s="91"/>
      <c r="D392" s="87"/>
      <c r="E392" s="87"/>
      <c r="F392" s="92"/>
      <c r="G392" s="93"/>
      <c r="H392" s="93"/>
      <c r="I392" s="93"/>
      <c r="J392" s="94"/>
    </row>
    <row r="393" spans="1:10" x14ac:dyDescent="0.25">
      <c r="B393" s="81">
        <v>43517</v>
      </c>
      <c r="C393" s="91"/>
      <c r="D393" s="87"/>
      <c r="E393" s="87"/>
      <c r="F393" s="92"/>
      <c r="G393" s="93"/>
      <c r="H393" s="93"/>
      <c r="I393" s="93"/>
      <c r="J393" s="94"/>
    </row>
    <row r="394" spans="1:10" x14ac:dyDescent="0.25">
      <c r="B394" s="81">
        <v>43518</v>
      </c>
      <c r="C394" s="91"/>
      <c r="D394" s="87"/>
      <c r="E394" s="87"/>
      <c r="F394" s="92"/>
      <c r="G394" s="93"/>
      <c r="H394" s="93"/>
      <c r="I394" s="93"/>
      <c r="J394" s="94"/>
    </row>
    <row r="395" spans="1:10" x14ac:dyDescent="0.25">
      <c r="B395" s="81">
        <v>43519</v>
      </c>
      <c r="C395" s="91"/>
      <c r="D395" s="87"/>
      <c r="E395" s="87"/>
      <c r="F395" s="92"/>
      <c r="G395" s="93"/>
      <c r="H395" s="93"/>
      <c r="I395" s="93"/>
      <c r="J395" s="94"/>
    </row>
    <row r="396" spans="1:10" x14ac:dyDescent="0.25">
      <c r="B396" s="81">
        <v>43520</v>
      </c>
      <c r="C396" s="91"/>
      <c r="D396" s="87"/>
      <c r="E396" s="87"/>
      <c r="F396" s="92"/>
      <c r="G396" s="93"/>
      <c r="H396" s="93"/>
      <c r="I396" s="93"/>
      <c r="J396" s="94"/>
    </row>
    <row r="397" spans="1:10" x14ac:dyDescent="0.25">
      <c r="B397" s="81">
        <v>43521</v>
      </c>
      <c r="C397" s="91"/>
      <c r="D397" s="87"/>
      <c r="E397" s="87"/>
      <c r="F397" s="92"/>
      <c r="G397" s="93"/>
      <c r="H397" s="93"/>
      <c r="I397" s="93"/>
      <c r="J397" s="94"/>
    </row>
    <row r="398" spans="1:10" x14ac:dyDescent="0.25">
      <c r="B398" s="81">
        <v>43522</v>
      </c>
      <c r="C398" s="91"/>
      <c r="D398" s="87"/>
      <c r="E398" s="87"/>
      <c r="F398" s="92"/>
      <c r="G398" s="93"/>
      <c r="H398" s="93"/>
      <c r="I398" s="93"/>
      <c r="J398" s="94"/>
    </row>
    <row r="399" spans="1:10" x14ac:dyDescent="0.25">
      <c r="B399" s="81">
        <v>43523</v>
      </c>
      <c r="C399" s="91"/>
      <c r="D399" s="87"/>
      <c r="E399" s="87"/>
      <c r="F399" s="92"/>
      <c r="G399" s="93"/>
      <c r="H399" s="93"/>
      <c r="I399" s="93"/>
      <c r="J399" s="94"/>
    </row>
    <row r="400" spans="1:10" x14ac:dyDescent="0.25">
      <c r="B400" s="81">
        <v>43524</v>
      </c>
      <c r="C400" s="91"/>
      <c r="D400" s="87"/>
      <c r="E400" s="87"/>
      <c r="F400" s="92"/>
      <c r="G400" s="93"/>
      <c r="H400" s="93"/>
      <c r="I400" s="93"/>
      <c r="J400" s="94"/>
    </row>
    <row r="401" spans="2:10" x14ac:dyDescent="0.25">
      <c r="B401" s="81">
        <v>43525</v>
      </c>
      <c r="C401" s="91"/>
      <c r="D401" s="87"/>
      <c r="E401" s="87"/>
      <c r="F401" s="92"/>
      <c r="G401" s="93"/>
      <c r="H401" s="93"/>
      <c r="I401" s="93"/>
      <c r="J401" s="94"/>
    </row>
    <row r="402" spans="2:10" x14ac:dyDescent="0.25">
      <c r="B402" s="81">
        <v>43526</v>
      </c>
      <c r="C402" s="91"/>
      <c r="D402" s="87"/>
      <c r="E402" s="87"/>
      <c r="F402" s="92"/>
      <c r="G402" s="93"/>
      <c r="H402" s="93"/>
      <c r="I402" s="93"/>
      <c r="J402" s="94"/>
    </row>
    <row r="403" spans="2:10" x14ac:dyDescent="0.25">
      <c r="B403" s="81">
        <v>43527</v>
      </c>
      <c r="C403" s="91"/>
      <c r="D403" s="87"/>
      <c r="E403" s="87"/>
      <c r="F403" s="92"/>
      <c r="G403" s="93"/>
      <c r="H403" s="93"/>
      <c r="I403" s="93"/>
      <c r="J403" s="94"/>
    </row>
    <row r="404" spans="2:10" x14ac:dyDescent="0.25">
      <c r="B404" s="81">
        <v>43528</v>
      </c>
      <c r="C404" s="91"/>
      <c r="D404" s="87"/>
      <c r="E404" s="87"/>
      <c r="F404" s="92"/>
      <c r="G404" s="93"/>
      <c r="H404" s="93"/>
      <c r="I404" s="93"/>
      <c r="J404" s="94"/>
    </row>
    <row r="405" spans="2:10" x14ac:dyDescent="0.25">
      <c r="B405" s="81">
        <v>43529</v>
      </c>
      <c r="C405" s="91"/>
      <c r="D405" s="87"/>
      <c r="E405" s="87"/>
      <c r="F405" s="92"/>
      <c r="G405" s="93"/>
      <c r="H405" s="93"/>
      <c r="I405" s="93"/>
      <c r="J405" s="94"/>
    </row>
    <row r="406" spans="2:10" x14ac:dyDescent="0.25">
      <c r="B406" s="81">
        <v>43530</v>
      </c>
      <c r="C406" s="91"/>
      <c r="D406" s="87"/>
      <c r="E406" s="87"/>
      <c r="F406" s="92"/>
      <c r="G406" s="93"/>
      <c r="H406" s="93"/>
      <c r="I406" s="93"/>
      <c r="J406" s="94"/>
    </row>
    <row r="407" spans="2:10" x14ac:dyDescent="0.25">
      <c r="B407" s="81">
        <v>43531</v>
      </c>
      <c r="C407" s="91"/>
      <c r="D407" s="87"/>
      <c r="E407" s="87"/>
      <c r="F407" s="92"/>
      <c r="G407" s="93"/>
      <c r="H407" s="93"/>
      <c r="I407" s="93"/>
      <c r="J407" s="94"/>
    </row>
    <row r="408" spans="2:10" x14ac:dyDescent="0.25">
      <c r="B408" s="81">
        <v>43532</v>
      </c>
      <c r="C408" s="91"/>
      <c r="D408" s="87"/>
      <c r="E408" s="87"/>
      <c r="F408" s="92"/>
      <c r="G408" s="93"/>
      <c r="H408" s="93"/>
      <c r="I408" s="93"/>
      <c r="J408" s="94"/>
    </row>
    <row r="409" spans="2:10" x14ac:dyDescent="0.25">
      <c r="B409" s="81">
        <v>43533</v>
      </c>
      <c r="C409" s="91"/>
      <c r="D409" s="87"/>
      <c r="E409" s="87"/>
      <c r="F409" s="92"/>
      <c r="G409" s="93"/>
      <c r="H409" s="93"/>
      <c r="I409" s="93"/>
      <c r="J409" s="94"/>
    </row>
    <row r="410" spans="2:10" x14ac:dyDescent="0.25">
      <c r="B410" s="81">
        <v>43534</v>
      </c>
      <c r="C410" s="91"/>
      <c r="D410" s="87"/>
      <c r="E410" s="87"/>
      <c r="F410" s="92"/>
      <c r="G410" s="93"/>
      <c r="H410" s="93"/>
      <c r="I410" s="93"/>
      <c r="J410" s="94"/>
    </row>
    <row r="411" spans="2:10" x14ac:dyDescent="0.25">
      <c r="B411" s="81">
        <v>43535</v>
      </c>
      <c r="C411" s="91"/>
      <c r="D411" s="87"/>
      <c r="E411" s="87"/>
      <c r="F411" s="92"/>
      <c r="G411" s="93"/>
      <c r="H411" s="93"/>
      <c r="I411" s="93"/>
      <c r="J411" s="94"/>
    </row>
    <row r="412" spans="2:10" x14ac:dyDescent="0.25">
      <c r="B412" s="81">
        <v>43536</v>
      </c>
      <c r="C412" s="91"/>
      <c r="D412" s="87"/>
      <c r="E412" s="87"/>
      <c r="F412" s="92"/>
      <c r="G412" s="93"/>
      <c r="H412" s="93"/>
      <c r="I412" s="93"/>
      <c r="J412" s="94"/>
    </row>
    <row r="413" spans="2:10" x14ac:dyDescent="0.25">
      <c r="B413" s="81">
        <v>43537</v>
      </c>
      <c r="C413" s="91"/>
      <c r="D413" s="87"/>
      <c r="E413" s="87"/>
      <c r="F413" s="92"/>
      <c r="G413" s="93"/>
      <c r="H413" s="93"/>
      <c r="I413" s="93"/>
      <c r="J413" s="94"/>
    </row>
    <row r="414" spans="2:10" x14ac:dyDescent="0.25">
      <c r="B414" s="81">
        <v>43538</v>
      </c>
      <c r="C414" s="91"/>
      <c r="D414" s="87"/>
      <c r="E414" s="87"/>
      <c r="F414" s="92"/>
      <c r="G414" s="93"/>
      <c r="H414" s="93"/>
      <c r="I414" s="93"/>
      <c r="J414" s="94"/>
    </row>
    <row r="415" spans="2:10" x14ac:dyDescent="0.25">
      <c r="B415" s="81">
        <v>43539</v>
      </c>
      <c r="C415" s="91"/>
      <c r="D415" s="87"/>
      <c r="E415" s="87"/>
      <c r="F415" s="92"/>
      <c r="G415" s="93"/>
      <c r="H415" s="93"/>
      <c r="I415" s="93"/>
      <c r="J415" s="94"/>
    </row>
    <row r="416" spans="2:10" x14ac:dyDescent="0.25">
      <c r="B416" s="81">
        <v>43540</v>
      </c>
      <c r="C416" s="91"/>
      <c r="D416" s="87"/>
      <c r="E416" s="87"/>
      <c r="F416" s="92"/>
      <c r="G416" s="93"/>
      <c r="H416" s="93"/>
      <c r="I416" s="93"/>
      <c r="J416" s="94"/>
    </row>
    <row r="417" spans="2:10" x14ac:dyDescent="0.25">
      <c r="B417" s="81">
        <v>43541</v>
      </c>
      <c r="C417" s="91"/>
      <c r="D417" s="87"/>
      <c r="E417" s="87"/>
      <c r="F417" s="92"/>
      <c r="G417" s="93"/>
      <c r="H417" s="93"/>
      <c r="I417" s="93"/>
      <c r="J417" s="94"/>
    </row>
    <row r="418" spans="2:10" x14ac:dyDescent="0.25">
      <c r="B418" s="81">
        <v>43542</v>
      </c>
      <c r="C418" s="91"/>
      <c r="D418" s="87"/>
      <c r="E418" s="87"/>
      <c r="F418" s="92"/>
      <c r="G418" s="93"/>
      <c r="H418" s="93"/>
      <c r="I418" s="93"/>
      <c r="J418" s="94"/>
    </row>
    <row r="419" spans="2:10" x14ac:dyDescent="0.25">
      <c r="B419" s="81">
        <v>43543</v>
      </c>
      <c r="C419" s="91"/>
      <c r="D419" s="87"/>
      <c r="E419" s="87"/>
      <c r="F419" s="92"/>
      <c r="G419" s="93"/>
      <c r="H419" s="93"/>
      <c r="I419" s="93"/>
      <c r="J419" s="94"/>
    </row>
    <row r="420" spans="2:10" x14ac:dyDescent="0.25">
      <c r="B420" s="81">
        <v>43544</v>
      </c>
      <c r="C420" s="91"/>
      <c r="D420" s="87"/>
      <c r="E420" s="87"/>
      <c r="F420" s="92"/>
      <c r="G420" s="93"/>
      <c r="H420" s="93"/>
      <c r="I420" s="93"/>
      <c r="J420" s="94"/>
    </row>
    <row r="421" spans="2:10" x14ac:dyDescent="0.25">
      <c r="B421" s="81">
        <v>43545</v>
      </c>
      <c r="C421" s="91"/>
      <c r="D421" s="87"/>
      <c r="E421" s="87"/>
      <c r="F421" s="92"/>
      <c r="G421" s="93"/>
      <c r="H421" s="93"/>
      <c r="I421" s="93"/>
      <c r="J421" s="94"/>
    </row>
    <row r="422" spans="2:10" x14ac:dyDescent="0.25">
      <c r="B422" s="81">
        <v>43546</v>
      </c>
      <c r="C422" s="91"/>
      <c r="D422" s="87"/>
      <c r="E422" s="87"/>
      <c r="F422" s="92"/>
      <c r="G422" s="93"/>
      <c r="H422" s="93"/>
      <c r="I422" s="93"/>
      <c r="J422" s="94"/>
    </row>
    <row r="423" spans="2:10" x14ac:dyDescent="0.25">
      <c r="B423" s="81">
        <v>43547</v>
      </c>
      <c r="C423" s="91"/>
      <c r="D423" s="87"/>
      <c r="E423" s="87"/>
      <c r="F423" s="92"/>
      <c r="G423" s="93"/>
      <c r="H423" s="93"/>
      <c r="I423" s="93"/>
      <c r="J423" s="94"/>
    </row>
    <row r="424" spans="2:10" x14ac:dyDescent="0.25">
      <c r="B424" s="81">
        <v>43548</v>
      </c>
      <c r="C424" s="91"/>
      <c r="D424" s="87"/>
      <c r="E424" s="87"/>
      <c r="F424" s="92"/>
      <c r="G424" s="93"/>
      <c r="H424" s="93"/>
      <c r="I424" s="93"/>
      <c r="J424" s="94"/>
    </row>
    <row r="425" spans="2:10" x14ac:dyDescent="0.25">
      <c r="B425" s="81">
        <v>43549</v>
      </c>
      <c r="C425" s="91"/>
      <c r="D425" s="87"/>
      <c r="E425" s="87"/>
      <c r="F425" s="92"/>
      <c r="G425" s="93"/>
      <c r="H425" s="93"/>
      <c r="I425" s="93"/>
      <c r="J425" s="94"/>
    </row>
    <row r="426" spans="2:10" x14ac:dyDescent="0.25">
      <c r="B426" s="81">
        <v>43550</v>
      </c>
      <c r="C426" s="91"/>
      <c r="D426" s="87"/>
      <c r="E426" s="87"/>
      <c r="F426" s="92"/>
      <c r="G426" s="93"/>
      <c r="H426" s="93"/>
      <c r="I426" s="93"/>
      <c r="J426" s="94"/>
    </row>
    <row r="427" spans="2:10" x14ac:dyDescent="0.25">
      <c r="B427" s="81">
        <v>43551</v>
      </c>
      <c r="C427" s="91"/>
      <c r="D427" s="87"/>
      <c r="E427" s="87"/>
      <c r="F427" s="92"/>
      <c r="G427" s="93"/>
      <c r="H427" s="93"/>
      <c r="I427" s="93"/>
      <c r="J427" s="94"/>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321" priority="6">
      <formula>INDIRECT("B"&amp;ROW())=TODAY()</formula>
    </cfRule>
  </conditionalFormatting>
  <conditionalFormatting sqref="B9:B427">
    <cfRule type="timePeriod" dxfId="320" priority="5" timePeriod="today">
      <formula>FLOOR(B9,1)=TODAY()</formula>
    </cfRule>
  </conditionalFormatting>
  <hyperlinks>
    <hyperlink ref="E89" r:id="rId1"/>
    <hyperlink ref="E97" r:id="rId2"/>
  </hyperlinks>
  <pageMargins left="0.7" right="0.7" top="0.75" bottom="0.75" header="0.3" footer="0.3"/>
  <pageSetup paperSize="9"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B3:P10"/>
  <sheetViews>
    <sheetView workbookViewId="0">
      <selection activeCell="B8" sqref="B8"/>
    </sheetView>
  </sheetViews>
  <sheetFormatPr defaultRowHeight="15" x14ac:dyDescent="0.25"/>
  <cols>
    <col min="1" max="1" width="9.140625" style="207"/>
    <col min="2" max="2" width="25.85546875" style="207" customWidth="1"/>
    <col min="3" max="3" width="16.42578125" style="207" customWidth="1"/>
    <col min="4" max="4" width="16.28515625" style="207" customWidth="1"/>
    <col min="5" max="16" width="15.7109375" style="207" customWidth="1"/>
    <col min="17" max="16384" width="9.140625" style="207"/>
  </cols>
  <sheetData>
    <row r="3" spans="2:16" ht="23.25" customHeight="1" x14ac:dyDescent="0.25">
      <c r="C3" s="42" t="s">
        <v>540</v>
      </c>
      <c r="J3" s="42" t="s">
        <v>548</v>
      </c>
    </row>
    <row r="5" spans="2:16" ht="20.25" customHeight="1" x14ac:dyDescent="0.25">
      <c r="C5" s="1" t="s">
        <v>547</v>
      </c>
      <c r="D5" s="1" t="s">
        <v>541</v>
      </c>
      <c r="E5" s="1" t="s">
        <v>542</v>
      </c>
      <c r="F5" s="1" t="s">
        <v>543</v>
      </c>
      <c r="G5" s="1" t="s">
        <v>544</v>
      </c>
      <c r="H5" s="1" t="s">
        <v>545</v>
      </c>
      <c r="I5" s="1" t="s">
        <v>546</v>
      </c>
      <c r="J5" s="1" t="s">
        <v>547</v>
      </c>
      <c r="K5" s="1" t="s">
        <v>541</v>
      </c>
      <c r="L5" s="1" t="s">
        <v>542</v>
      </c>
      <c r="M5" s="1" t="s">
        <v>543</v>
      </c>
      <c r="N5" s="1" t="s">
        <v>544</v>
      </c>
      <c r="O5" s="1" t="s">
        <v>545</v>
      </c>
      <c r="P5" s="1" t="s">
        <v>546</v>
      </c>
    </row>
    <row r="6" spans="2:16" ht="21.75" customHeight="1" x14ac:dyDescent="0.25">
      <c r="B6" s="207" t="s">
        <v>549</v>
      </c>
      <c r="C6" s="42" t="s">
        <v>551</v>
      </c>
      <c r="E6" s="42" t="s">
        <v>551</v>
      </c>
      <c r="G6" s="42" t="s">
        <v>551</v>
      </c>
      <c r="I6" s="42" t="s">
        <v>551</v>
      </c>
      <c r="K6" s="42" t="s">
        <v>551</v>
      </c>
      <c r="M6" s="42" t="s">
        <v>551</v>
      </c>
      <c r="O6" s="42" t="s">
        <v>551</v>
      </c>
    </row>
    <row r="7" spans="2:16" ht="25.5" customHeight="1" x14ac:dyDescent="0.25">
      <c r="B7" s="207" t="s">
        <v>550</v>
      </c>
      <c r="C7" s="208" t="s">
        <v>552</v>
      </c>
      <c r="D7" s="209" t="s">
        <v>553</v>
      </c>
      <c r="E7" s="209" t="s">
        <v>553</v>
      </c>
      <c r="F7" s="209" t="s">
        <v>553</v>
      </c>
      <c r="G7" s="209" t="s">
        <v>553</v>
      </c>
      <c r="H7" s="209" t="s">
        <v>553</v>
      </c>
      <c r="I7" s="209" t="s">
        <v>553</v>
      </c>
      <c r="J7" s="210" t="s">
        <v>554</v>
      </c>
      <c r="K7" s="209" t="s">
        <v>553</v>
      </c>
      <c r="L7" s="209" t="s">
        <v>553</v>
      </c>
      <c r="M7" s="209" t="s">
        <v>553</v>
      </c>
      <c r="N7" s="209" t="s">
        <v>553</v>
      </c>
      <c r="O7" s="209" t="s">
        <v>553</v>
      </c>
      <c r="P7" s="208" t="s">
        <v>552</v>
      </c>
    </row>
    <row r="8" spans="2:16" ht="21" customHeight="1" x14ac:dyDescent="0.25"/>
    <row r="10" spans="2:16" ht="24.75" customHeight="1" x14ac:dyDescent="0.25">
      <c r="C10" s="193"/>
      <c r="D10" s="193"/>
      <c r="E10" s="193"/>
      <c r="F10" s="193"/>
      <c r="G10" s="193"/>
      <c r="H10" s="193"/>
      <c r="I10" s="193"/>
      <c r="J10" s="193"/>
      <c r="K10" s="193"/>
      <c r="L10" s="193"/>
      <c r="M10" s="193"/>
      <c r="N10" s="193"/>
      <c r="O10" s="193"/>
      <c r="P10" s="19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3" zoomScale="91" workbookViewId="0">
      <selection activeCell="C23" sqref="C23"/>
    </sheetView>
  </sheetViews>
  <sheetFormatPr defaultColWidth="8.85546875" defaultRowHeight="15" x14ac:dyDescent="0.25"/>
  <cols>
    <col min="1" max="1" width="21.140625" style="65" customWidth="1"/>
    <col min="2" max="2" width="8.85546875" style="134"/>
    <col min="3" max="3" width="40.42578125" style="134" customWidth="1"/>
    <col min="4" max="4" width="61.140625" style="134" customWidth="1"/>
    <col min="5" max="5" width="18.42578125" style="134" customWidth="1"/>
    <col min="6" max="6" width="24.42578125" style="134" customWidth="1"/>
    <col min="7" max="7" width="27.28515625" style="134" customWidth="1"/>
    <col min="8" max="8" width="42.28515625" style="134" customWidth="1"/>
    <col min="9" max="9" width="36.28515625" style="134" customWidth="1"/>
    <col min="10" max="16384" width="8.85546875" style="134"/>
  </cols>
  <sheetData>
    <row r="1" spans="1:12" s="67" customFormat="1" ht="33.75" customHeight="1" x14ac:dyDescent="0.25">
      <c r="A1" s="68">
        <f ca="1">TODAY()</f>
        <v>43247</v>
      </c>
      <c r="B1" s="68"/>
    </row>
    <row r="2" spans="1:12" s="98" customFormat="1" ht="33.75" customHeight="1" x14ac:dyDescent="0.25">
      <c r="A2" s="97">
        <f ca="1">NOW()</f>
        <v>43247.72935439815</v>
      </c>
      <c r="B2" s="97"/>
      <c r="E2" s="99" t="s">
        <v>336</v>
      </c>
      <c r="F2" s="99"/>
      <c r="G2" s="99"/>
      <c r="J2" s="99"/>
      <c r="K2" s="99"/>
      <c r="L2" s="99"/>
    </row>
    <row r="3" spans="1:12" x14ac:dyDescent="0.25">
      <c r="A3" s="119"/>
    </row>
    <row r="4" spans="1:12" x14ac:dyDescent="0.25">
      <c r="A4" s="110"/>
    </row>
    <row r="5" spans="1:12" x14ac:dyDescent="0.25">
      <c r="C5" s="135"/>
      <c r="D5" s="135"/>
      <c r="E5" s="135"/>
      <c r="F5" s="135"/>
      <c r="G5" s="135"/>
      <c r="H5" s="135"/>
      <c r="I5" s="135"/>
      <c r="J5" s="135"/>
    </row>
    <row r="6" spans="1:12" x14ac:dyDescent="0.25">
      <c r="C6" s="135"/>
      <c r="D6" s="135"/>
      <c r="E6" s="135"/>
      <c r="F6" s="135"/>
      <c r="G6" s="135"/>
      <c r="H6" s="135"/>
      <c r="I6" s="135"/>
      <c r="J6" s="135"/>
    </row>
    <row r="7" spans="1:12" x14ac:dyDescent="0.25">
      <c r="C7" s="136" t="s">
        <v>360</v>
      </c>
      <c r="D7" s="136"/>
      <c r="E7" s="136"/>
      <c r="F7" s="136"/>
      <c r="G7" s="136"/>
      <c r="H7" s="136"/>
      <c r="I7" s="136" t="s">
        <v>52</v>
      </c>
      <c r="J7" s="135"/>
    </row>
    <row r="8" spans="1:12" x14ac:dyDescent="0.25">
      <c r="C8" s="135"/>
      <c r="D8" s="137" t="s">
        <v>361</v>
      </c>
      <c r="E8" s="137"/>
      <c r="F8" s="137"/>
      <c r="G8" s="137"/>
      <c r="H8" s="137" t="s">
        <v>362</v>
      </c>
      <c r="I8" s="135"/>
      <c r="J8" s="135"/>
    </row>
    <row r="9" spans="1:12" x14ac:dyDescent="0.25">
      <c r="C9" s="135"/>
      <c r="D9" s="135"/>
      <c r="E9" s="136" t="s">
        <v>363</v>
      </c>
      <c r="F9" s="136"/>
      <c r="G9" s="136" t="s">
        <v>364</v>
      </c>
      <c r="H9" s="135"/>
      <c r="I9" s="135"/>
      <c r="J9" s="135"/>
    </row>
    <row r="10" spans="1:12" x14ac:dyDescent="0.25">
      <c r="C10" s="135"/>
      <c r="D10" s="135"/>
      <c r="E10" s="135"/>
      <c r="F10" s="137"/>
      <c r="G10" s="135"/>
      <c r="H10" s="135"/>
      <c r="I10" s="135"/>
      <c r="J10" s="135"/>
    </row>
    <row r="11" spans="1:12" x14ac:dyDescent="0.25">
      <c r="C11" s="135"/>
      <c r="D11" s="135"/>
      <c r="E11" s="135"/>
      <c r="F11" s="137" t="s">
        <v>365</v>
      </c>
      <c r="G11" s="135"/>
      <c r="H11" s="135"/>
      <c r="I11" s="135"/>
      <c r="J11" s="135"/>
    </row>
    <row r="12" spans="1:12" x14ac:dyDescent="0.25">
      <c r="C12" s="135"/>
      <c r="D12" s="135"/>
      <c r="E12" s="135"/>
      <c r="F12" s="135"/>
      <c r="G12" s="135"/>
      <c r="H12" s="135"/>
      <c r="I12" s="135"/>
      <c r="J12" s="135"/>
    </row>
    <row r="13" spans="1:12" x14ac:dyDescent="0.25">
      <c r="C13" s="135"/>
      <c r="D13" s="135"/>
      <c r="E13" s="135"/>
      <c r="F13" s="135"/>
      <c r="G13" s="135"/>
      <c r="H13" s="135"/>
      <c r="I13" s="135"/>
      <c r="J13" s="135"/>
    </row>
    <row r="15" spans="1:12" x14ac:dyDescent="0.25">
      <c r="C15" s="78" t="s">
        <v>371</v>
      </c>
      <c r="D15" s="78" t="s">
        <v>9</v>
      </c>
      <c r="E15" s="78" t="s">
        <v>366</v>
      </c>
      <c r="F15" s="134" t="s">
        <v>368</v>
      </c>
      <c r="G15" s="78" t="s">
        <v>376</v>
      </c>
    </row>
    <row r="16" spans="1:12" ht="58.5" customHeight="1" x14ac:dyDescent="0.25">
      <c r="C16" s="78" t="s">
        <v>383</v>
      </c>
      <c r="D16" s="79" t="s">
        <v>384</v>
      </c>
      <c r="E16" s="138">
        <v>0</v>
      </c>
      <c r="F16" s="139"/>
      <c r="G16" s="139"/>
    </row>
    <row r="17" spans="3:7" ht="58.5" customHeight="1" x14ac:dyDescent="0.25">
      <c r="C17" s="134" t="s">
        <v>385</v>
      </c>
      <c r="D17" s="79" t="s">
        <v>386</v>
      </c>
      <c r="E17" s="141">
        <v>0.1</v>
      </c>
      <c r="F17" s="139"/>
      <c r="G17" s="139"/>
    </row>
    <row r="18" spans="3:7" ht="136.69999999999999" customHeight="1" x14ac:dyDescent="0.25">
      <c r="C18" s="78" t="s">
        <v>360</v>
      </c>
      <c r="D18" s="79" t="s">
        <v>367</v>
      </c>
      <c r="E18" s="138">
        <v>0.1</v>
      </c>
      <c r="F18" s="139">
        <v>43226</v>
      </c>
      <c r="G18" s="139"/>
    </row>
    <row r="19" spans="3:7" ht="39" customHeight="1" x14ac:dyDescent="0.25">
      <c r="C19" s="78" t="s">
        <v>361</v>
      </c>
      <c r="D19" s="79" t="s">
        <v>369</v>
      </c>
      <c r="E19" s="138">
        <v>0.05</v>
      </c>
    </row>
    <row r="20" spans="3:7" ht="47.45" customHeight="1" x14ac:dyDescent="0.25">
      <c r="C20" s="78" t="s">
        <v>363</v>
      </c>
      <c r="D20" s="79" t="s">
        <v>370</v>
      </c>
      <c r="E20" s="138">
        <v>0.01</v>
      </c>
    </row>
    <row r="21" spans="3:7" ht="105" customHeight="1" x14ac:dyDescent="0.25">
      <c r="C21" s="78" t="s">
        <v>364</v>
      </c>
      <c r="D21" s="79" t="s">
        <v>372</v>
      </c>
      <c r="E21" s="138">
        <v>1.4999999999999999E-2</v>
      </c>
    </row>
    <row r="22" spans="3:7" ht="64.7" customHeight="1" x14ac:dyDescent="0.25">
      <c r="C22" s="78" t="s">
        <v>52</v>
      </c>
      <c r="D22" s="79" t="s">
        <v>373</v>
      </c>
      <c r="E22" s="138">
        <v>0.1</v>
      </c>
      <c r="F22" s="139">
        <v>43261</v>
      </c>
      <c r="G22" s="139"/>
    </row>
    <row r="23" spans="3:7" ht="84.2" customHeight="1" x14ac:dyDescent="0.25">
      <c r="C23" s="78" t="s">
        <v>374</v>
      </c>
      <c r="D23" s="79" t="s">
        <v>375</v>
      </c>
      <c r="E23" s="138">
        <v>0.02</v>
      </c>
      <c r="F23" s="140">
        <v>43558</v>
      </c>
      <c r="G23" s="140"/>
    </row>
    <row r="24" spans="3:7" ht="119.45" customHeight="1" x14ac:dyDescent="0.25">
      <c r="C24" s="134" t="s">
        <v>377</v>
      </c>
      <c r="D24" s="78" t="s">
        <v>379</v>
      </c>
      <c r="E24" s="138">
        <v>0.2</v>
      </c>
    </row>
    <row r="25" spans="3:7" ht="117.2" customHeight="1" x14ac:dyDescent="0.25">
      <c r="C25" s="134" t="s">
        <v>378</v>
      </c>
      <c r="D25" s="78" t="s">
        <v>380</v>
      </c>
      <c r="E25" s="138">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1"/>
  <sheetViews>
    <sheetView zoomScale="79" zoomScaleNormal="96" zoomScalePageLayoutView="96" workbookViewId="0">
      <selection activeCell="I9" sqref="I9"/>
    </sheetView>
  </sheetViews>
  <sheetFormatPr defaultColWidth="8.85546875" defaultRowHeight="15" x14ac:dyDescent="0.25"/>
  <cols>
    <col min="1" max="1" width="20.7109375" style="65" customWidth="1"/>
    <col min="2" max="3" width="20.7109375" style="109" customWidth="1"/>
    <col min="4" max="4" width="18.140625" style="1" customWidth="1"/>
    <col min="5" max="5" width="31.28515625" style="1" customWidth="1"/>
    <col min="6" max="6" width="84.42578125" style="1" customWidth="1"/>
    <col min="7" max="7" width="35.42578125" style="1" customWidth="1"/>
    <col min="8" max="8" width="17" style="108" customWidth="1"/>
    <col min="9" max="9" width="32.28515625" style="108"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43247</v>
      </c>
      <c r="B1" s="68"/>
      <c r="C1" s="68"/>
    </row>
    <row r="2" spans="1:46" s="98" customFormat="1" ht="26.25" customHeight="1" x14ac:dyDescent="0.25">
      <c r="A2" s="97">
        <f ca="1">NOW()</f>
        <v>43247.72935439815</v>
      </c>
      <c r="B2" s="97"/>
      <c r="C2" s="97" t="s">
        <v>494</v>
      </c>
      <c r="F2" s="99" t="s">
        <v>336</v>
      </c>
      <c r="G2" s="99"/>
      <c r="J2" s="99"/>
      <c r="K2" s="99"/>
      <c r="L2" s="99"/>
      <c r="M2" s="99"/>
      <c r="N2" s="99"/>
    </row>
    <row r="3" spans="1:46" s="113" customFormat="1" x14ac:dyDescent="0.25">
      <c r="A3" s="119"/>
      <c r="B3" s="130" t="s">
        <v>340</v>
      </c>
      <c r="H3" s="118"/>
      <c r="I3" s="118"/>
    </row>
    <row r="4" spans="1:46" s="112" customFormat="1" x14ac:dyDescent="0.25">
      <c r="A4" s="110"/>
      <c r="B4" s="111" t="s">
        <v>40</v>
      </c>
      <c r="C4" s="111" t="s">
        <v>493</v>
      </c>
      <c r="D4" s="112" t="s">
        <v>21</v>
      </c>
      <c r="E4" s="112" t="s">
        <v>344</v>
      </c>
      <c r="F4" s="112" t="s">
        <v>346</v>
      </c>
      <c r="G4" s="112" t="s">
        <v>338</v>
      </c>
      <c r="H4" s="112" t="s">
        <v>337</v>
      </c>
      <c r="I4" s="112" t="s">
        <v>341</v>
      </c>
      <c r="J4" s="112" t="s">
        <v>339</v>
      </c>
      <c r="K4" s="112" t="s">
        <v>345</v>
      </c>
    </row>
    <row r="5" spans="1:46" ht="67.5" customHeight="1" x14ac:dyDescent="0.25">
      <c r="B5" s="109">
        <v>20</v>
      </c>
      <c r="C5" s="109" t="s">
        <v>533</v>
      </c>
      <c r="D5" s="2" t="s">
        <v>486</v>
      </c>
      <c r="F5" s="132" t="s">
        <v>583</v>
      </c>
      <c r="G5" s="126"/>
      <c r="H5" s="114"/>
      <c r="I5" s="51"/>
      <c r="K5" s="117"/>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09">
        <v>15</v>
      </c>
      <c r="D6" s="2" t="s">
        <v>487</v>
      </c>
      <c r="F6" s="132" t="s">
        <v>582</v>
      </c>
      <c r="G6" s="126"/>
      <c r="H6" s="114"/>
      <c r="I6" s="51"/>
      <c r="K6" s="116"/>
    </row>
    <row r="7" spans="1:46" ht="61.7" customHeight="1" x14ac:dyDescent="0.25">
      <c r="B7" s="109">
        <v>0</v>
      </c>
      <c r="D7" s="2" t="s">
        <v>489</v>
      </c>
      <c r="F7" s="131" t="s">
        <v>581</v>
      </c>
      <c r="G7" s="126"/>
      <c r="H7" s="114"/>
      <c r="I7" s="51"/>
      <c r="K7" s="117"/>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09">
        <v>0</v>
      </c>
      <c r="D8" s="2" t="s">
        <v>491</v>
      </c>
      <c r="E8" s="1" t="s">
        <v>580</v>
      </c>
      <c r="F8" s="131" t="s">
        <v>579</v>
      </c>
      <c r="G8" s="2"/>
      <c r="H8" s="114"/>
      <c r="I8" s="51"/>
      <c r="K8" s="117"/>
    </row>
    <row r="9" spans="1:46" ht="106.5" customHeight="1" x14ac:dyDescent="0.25">
      <c r="B9" s="109">
        <v>0</v>
      </c>
      <c r="D9" s="120" t="s">
        <v>492</v>
      </c>
      <c r="F9" s="131" t="s">
        <v>578</v>
      </c>
      <c r="G9" s="192"/>
      <c r="H9" s="114"/>
      <c r="I9" s="51"/>
      <c r="K9" s="116"/>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09">
        <v>0</v>
      </c>
      <c r="D10" s="120" t="s">
        <v>496</v>
      </c>
      <c r="F10" s="115" t="s">
        <v>577</v>
      </c>
      <c r="G10" s="121"/>
      <c r="H10" s="114"/>
      <c r="I10" s="51"/>
      <c r="K10" s="117"/>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20"/>
      <c r="E11" s="2"/>
      <c r="F11" s="122"/>
      <c r="G11" s="121"/>
      <c r="H11" s="123"/>
      <c r="I11" s="124"/>
      <c r="J11" s="39"/>
      <c r="K11" s="125" t="s">
        <v>342</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zoomScale="55" zoomScaleNormal="55" workbookViewId="0">
      <selection activeCell="C10" sqref="C10"/>
    </sheetView>
  </sheetViews>
  <sheetFormatPr defaultColWidth="8.85546875" defaultRowHeight="12" x14ac:dyDescent="0.25"/>
  <cols>
    <col min="1" max="1" width="21.7109375" style="161" customWidth="1"/>
    <col min="2" max="2" width="14" style="166" customWidth="1"/>
    <col min="3" max="3" width="26.140625" style="167" customWidth="1"/>
    <col min="4" max="4" width="9.140625" style="191" customWidth="1"/>
    <col min="5" max="5" width="17.42578125" style="167" customWidth="1"/>
    <col min="6" max="6" width="28.42578125" style="168" customWidth="1"/>
    <col min="7" max="7" width="29.85546875" style="168" customWidth="1"/>
    <col min="8" max="8" width="40.42578125" style="168" customWidth="1"/>
    <col min="9" max="9" width="33" style="166" customWidth="1"/>
    <col min="10" max="10" width="27.42578125" style="168" customWidth="1"/>
    <col min="11" max="11" width="26.42578125" style="166" customWidth="1"/>
    <col min="12" max="16384" width="8.85546875" style="166"/>
  </cols>
  <sheetData>
    <row r="1" spans="1:46" s="151" customFormat="1" x14ac:dyDescent="0.25">
      <c r="A1" s="150">
        <f ca="1">TODAY()</f>
        <v>43247</v>
      </c>
      <c r="C1" s="152"/>
      <c r="D1" s="158"/>
      <c r="E1" s="152"/>
      <c r="F1" s="163"/>
      <c r="G1" s="163"/>
      <c r="H1" s="163"/>
      <c r="J1" s="163"/>
    </row>
    <row r="2" spans="1:46" s="156" customFormat="1" ht="46.7" customHeight="1" x14ac:dyDescent="0.25">
      <c r="A2" s="153">
        <f ca="1">NOW()</f>
        <v>43247.72935439815</v>
      </c>
      <c r="B2" s="154"/>
      <c r="C2" s="155"/>
      <c r="D2" s="155"/>
      <c r="E2" s="155"/>
      <c r="F2" s="164"/>
      <c r="G2" s="164"/>
      <c r="H2" s="164"/>
      <c r="J2" s="164"/>
      <c r="O2" s="154"/>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4"/>
      <c r="AS2" s="154"/>
      <c r="AT2" s="154"/>
    </row>
    <row r="3" spans="1:46" x14ac:dyDescent="0.25">
      <c r="A3" s="157">
        <f ca="1">HOUR(A2)</f>
        <v>17</v>
      </c>
      <c r="C3" s="178"/>
      <c r="D3" s="186"/>
      <c r="E3" s="178"/>
      <c r="F3" s="181"/>
      <c r="G3" s="179"/>
      <c r="H3" s="181"/>
      <c r="I3" s="180"/>
      <c r="J3" s="181"/>
      <c r="K3" s="180"/>
    </row>
    <row r="4" spans="1:46" x14ac:dyDescent="0.25">
      <c r="A4" s="157"/>
      <c r="C4" s="182"/>
      <c r="D4" s="188"/>
      <c r="E4" s="182"/>
      <c r="F4" s="185"/>
      <c r="G4" s="183"/>
      <c r="H4" s="185"/>
      <c r="I4" s="184"/>
      <c r="J4" s="185"/>
      <c r="K4" s="184"/>
    </row>
    <row r="5" spans="1:46" ht="15" x14ac:dyDescent="0.25">
      <c r="A5" s="187" t="s">
        <v>419</v>
      </c>
      <c r="B5" s="169" t="s">
        <v>402</v>
      </c>
      <c r="C5" s="170" t="s">
        <v>401</v>
      </c>
      <c r="D5" s="170" t="s">
        <v>417</v>
      </c>
      <c r="E5" s="170" t="s">
        <v>415</v>
      </c>
      <c r="F5" s="171" t="s">
        <v>403</v>
      </c>
      <c r="G5" s="171" t="s">
        <v>404</v>
      </c>
      <c r="H5" s="171" t="s">
        <v>405</v>
      </c>
      <c r="I5" s="169" t="s">
        <v>413</v>
      </c>
      <c r="J5" s="171" t="s">
        <v>406</v>
      </c>
      <c r="K5" s="169" t="s">
        <v>407</v>
      </c>
    </row>
    <row r="6" spans="1:46" ht="148.5" customHeight="1" x14ac:dyDescent="0.25">
      <c r="A6" s="152" t="s">
        <v>420</v>
      </c>
      <c r="B6" s="166">
        <v>0</v>
      </c>
      <c r="C6" s="178">
        <v>43176</v>
      </c>
      <c r="D6" s="186" t="s">
        <v>418</v>
      </c>
      <c r="E6" s="178" t="s">
        <v>416</v>
      </c>
      <c r="F6" s="181" t="s">
        <v>408</v>
      </c>
      <c r="G6" s="179" t="s">
        <v>409</v>
      </c>
      <c r="H6" s="181" t="s">
        <v>411</v>
      </c>
      <c r="I6" s="180" t="s">
        <v>414</v>
      </c>
      <c r="J6" s="181" t="s">
        <v>412</v>
      </c>
      <c r="K6" s="180" t="s">
        <v>410</v>
      </c>
    </row>
    <row r="7" spans="1:46" ht="68.25" customHeight="1" x14ac:dyDescent="0.25">
      <c r="A7" s="158" t="s">
        <v>422</v>
      </c>
      <c r="B7" s="166">
        <f>IF(NOT(ISBLANK(C7)),(C7-C6),0)</f>
        <v>1</v>
      </c>
      <c r="C7" s="172">
        <v>43177</v>
      </c>
      <c r="D7" s="189" t="s">
        <v>418</v>
      </c>
      <c r="E7" s="172" t="s">
        <v>426</v>
      </c>
      <c r="F7" s="165" t="s">
        <v>427</v>
      </c>
      <c r="G7" s="173" t="s">
        <v>428</v>
      </c>
      <c r="H7" s="165" t="s">
        <v>429</v>
      </c>
      <c r="I7" s="174" t="s">
        <v>430</v>
      </c>
      <c r="J7" s="165" t="s">
        <v>431</v>
      </c>
      <c r="K7" s="174" t="s">
        <v>432</v>
      </c>
    </row>
    <row r="8" spans="1:46" ht="72.75" customHeight="1" x14ac:dyDescent="0.25">
      <c r="A8" s="159"/>
      <c r="B8" s="166">
        <f t="shared" ref="B8:B71" si="0">IF(NOT(ISBLANK(C8)),(C8-C7),0)</f>
        <v>5</v>
      </c>
      <c r="C8" s="178">
        <v>43182</v>
      </c>
      <c r="D8" s="186" t="s">
        <v>418</v>
      </c>
      <c r="E8" s="178" t="s">
        <v>416</v>
      </c>
      <c r="F8" s="181" t="s">
        <v>442</v>
      </c>
      <c r="G8" s="179" t="s">
        <v>443</v>
      </c>
      <c r="H8" s="181" t="s">
        <v>444</v>
      </c>
      <c r="I8" s="180" t="s">
        <v>447</v>
      </c>
      <c r="J8" s="181" t="s">
        <v>445</v>
      </c>
      <c r="K8" s="180" t="s">
        <v>446</v>
      </c>
    </row>
    <row r="9" spans="1:46" ht="129.75" customHeight="1" x14ac:dyDescent="0.25">
      <c r="A9" s="159"/>
      <c r="B9" s="166">
        <f t="shared" si="0"/>
        <v>1</v>
      </c>
      <c r="C9" s="172">
        <v>43183</v>
      </c>
      <c r="D9" s="189" t="s">
        <v>450</v>
      </c>
      <c r="E9" s="172" t="s">
        <v>451</v>
      </c>
      <c r="F9" s="165" t="s">
        <v>448</v>
      </c>
      <c r="G9" s="173" t="s">
        <v>449</v>
      </c>
      <c r="H9" s="165"/>
      <c r="I9" s="174"/>
      <c r="J9" s="165"/>
      <c r="K9" s="174" t="s">
        <v>452</v>
      </c>
    </row>
    <row r="10" spans="1:46" ht="65.45" customHeight="1" x14ac:dyDescent="0.25">
      <c r="A10" s="159"/>
      <c r="B10" s="166">
        <v>15</v>
      </c>
      <c r="C10" s="172">
        <v>43215</v>
      </c>
      <c r="D10" s="189" t="s">
        <v>450</v>
      </c>
      <c r="E10" s="172" t="s">
        <v>507</v>
      </c>
      <c r="F10" s="165" t="s">
        <v>512</v>
      </c>
      <c r="G10" s="173" t="s">
        <v>510</v>
      </c>
      <c r="H10" s="165" t="s">
        <v>509</v>
      </c>
      <c r="I10" s="174"/>
      <c r="J10" s="165" t="s">
        <v>511</v>
      </c>
      <c r="K10" s="174" t="s">
        <v>508</v>
      </c>
    </row>
    <row r="11" spans="1:46" x14ac:dyDescent="0.25">
      <c r="A11" s="159"/>
      <c r="B11" s="166">
        <f t="shared" si="0"/>
        <v>0</v>
      </c>
      <c r="C11" s="172"/>
      <c r="D11" s="189"/>
      <c r="E11" s="172"/>
      <c r="F11" s="165"/>
      <c r="G11" s="173"/>
      <c r="H11" s="165"/>
      <c r="I11" s="174"/>
      <c r="J11" s="165"/>
      <c r="K11" s="174"/>
    </row>
    <row r="12" spans="1:46" x14ac:dyDescent="0.25">
      <c r="A12" s="159"/>
      <c r="B12" s="166">
        <f t="shared" si="0"/>
        <v>0</v>
      </c>
      <c r="C12" s="172"/>
      <c r="D12" s="189"/>
      <c r="E12" s="172"/>
      <c r="F12" s="165"/>
      <c r="G12" s="173"/>
      <c r="H12" s="165"/>
      <c r="I12" s="174"/>
      <c r="J12" s="165"/>
      <c r="K12" s="174"/>
    </row>
    <row r="13" spans="1:46" x14ac:dyDescent="0.25">
      <c r="A13" s="159"/>
      <c r="B13" s="166">
        <f t="shared" si="0"/>
        <v>0</v>
      </c>
      <c r="C13" s="172"/>
      <c r="D13" s="189"/>
      <c r="E13" s="172"/>
      <c r="F13" s="165"/>
      <c r="G13" s="173"/>
      <c r="H13" s="165"/>
      <c r="I13" s="174"/>
      <c r="J13" s="165"/>
      <c r="K13" s="174"/>
    </row>
    <row r="14" spans="1:46" x14ac:dyDescent="0.25">
      <c r="A14" s="159"/>
      <c r="B14" s="166">
        <f t="shared" si="0"/>
        <v>0</v>
      </c>
      <c r="C14" s="172"/>
      <c r="D14" s="189"/>
      <c r="E14" s="172"/>
      <c r="F14" s="165"/>
      <c r="G14" s="173"/>
      <c r="H14" s="165"/>
      <c r="I14" s="174"/>
      <c r="J14" s="165"/>
      <c r="K14" s="174"/>
    </row>
    <row r="15" spans="1:46" x14ac:dyDescent="0.25">
      <c r="A15" s="159"/>
      <c r="B15" s="166">
        <f t="shared" si="0"/>
        <v>0</v>
      </c>
      <c r="C15" s="172"/>
      <c r="D15" s="189"/>
      <c r="E15" s="172"/>
      <c r="F15" s="165"/>
      <c r="G15" s="173"/>
      <c r="H15" s="165"/>
      <c r="I15" s="174"/>
      <c r="J15" s="165"/>
      <c r="K15" s="174"/>
    </row>
    <row r="16" spans="1:46" x14ac:dyDescent="0.25">
      <c r="A16" s="159"/>
      <c r="B16" s="166">
        <f t="shared" si="0"/>
        <v>0</v>
      </c>
      <c r="C16" s="172"/>
      <c r="D16" s="189"/>
      <c r="E16" s="172"/>
      <c r="F16" s="165"/>
      <c r="G16" s="173"/>
      <c r="H16" s="165"/>
      <c r="I16" s="174"/>
      <c r="J16" s="165"/>
      <c r="K16" s="174"/>
    </row>
    <row r="17" spans="1:11" x14ac:dyDescent="0.25">
      <c r="A17" s="159"/>
      <c r="B17" s="166">
        <f t="shared" si="0"/>
        <v>0</v>
      </c>
      <c r="C17" s="172"/>
      <c r="D17" s="189"/>
      <c r="E17" s="172"/>
      <c r="F17" s="165"/>
      <c r="G17" s="173"/>
      <c r="H17" s="165"/>
      <c r="I17" s="174"/>
      <c r="J17" s="165"/>
      <c r="K17" s="174"/>
    </row>
    <row r="18" spans="1:11" x14ac:dyDescent="0.25">
      <c r="A18" s="159"/>
      <c r="B18" s="166">
        <f t="shared" si="0"/>
        <v>0</v>
      </c>
      <c r="C18" s="172"/>
      <c r="D18" s="189"/>
      <c r="E18" s="172"/>
      <c r="F18" s="165"/>
      <c r="G18" s="173"/>
      <c r="H18" s="165"/>
      <c r="I18" s="174"/>
      <c r="J18" s="165"/>
      <c r="K18" s="174"/>
    </row>
    <row r="19" spans="1:11" x14ac:dyDescent="0.25">
      <c r="A19" s="159"/>
      <c r="B19" s="166">
        <f t="shared" si="0"/>
        <v>0</v>
      </c>
      <c r="C19" s="172"/>
      <c r="D19" s="189"/>
      <c r="E19" s="172"/>
      <c r="F19" s="165"/>
      <c r="G19" s="173"/>
      <c r="H19" s="165"/>
      <c r="I19" s="174"/>
      <c r="J19" s="165"/>
      <c r="K19" s="174"/>
    </row>
    <row r="20" spans="1:11" s="175" customFormat="1" ht="20.25" customHeight="1" x14ac:dyDescent="0.25">
      <c r="A20" s="162"/>
      <c r="B20" s="42">
        <f>IF(NOT(ISBLANK(C20)),(C20-C19),0)</f>
        <v>0</v>
      </c>
      <c r="C20" s="46"/>
      <c r="D20" s="190"/>
      <c r="E20" s="46"/>
      <c r="F20" s="176"/>
      <c r="G20" s="177" t="s">
        <v>513</v>
      </c>
      <c r="H20" s="176"/>
      <c r="J20" s="176"/>
    </row>
    <row r="21" spans="1:11" x14ac:dyDescent="0.25">
      <c r="A21" s="159"/>
      <c r="B21" s="166">
        <f t="shared" si="0"/>
        <v>0</v>
      </c>
      <c r="C21" s="172"/>
      <c r="D21" s="189"/>
      <c r="E21" s="172"/>
      <c r="F21" s="165"/>
      <c r="G21" s="173"/>
      <c r="H21" s="165"/>
      <c r="I21" s="174"/>
      <c r="J21" s="165"/>
      <c r="K21" s="174"/>
    </row>
    <row r="22" spans="1:11" x14ac:dyDescent="0.25">
      <c r="A22" s="159"/>
      <c r="B22" s="166">
        <f t="shared" si="0"/>
        <v>0</v>
      </c>
      <c r="C22" s="172"/>
      <c r="D22" s="189"/>
      <c r="E22" s="172"/>
      <c r="F22" s="165"/>
      <c r="G22" s="173"/>
      <c r="H22" s="165"/>
      <c r="I22" s="174"/>
      <c r="J22" s="165"/>
      <c r="K22" s="174"/>
    </row>
    <row r="23" spans="1:11" x14ac:dyDescent="0.25">
      <c r="A23" s="159"/>
      <c r="B23" s="166">
        <f t="shared" si="0"/>
        <v>0</v>
      </c>
      <c r="C23" s="172"/>
      <c r="D23" s="189"/>
      <c r="E23" s="172"/>
      <c r="F23" s="165"/>
      <c r="G23" s="173"/>
      <c r="H23" s="165"/>
      <c r="I23" s="174"/>
      <c r="J23" s="165"/>
      <c r="K23" s="174"/>
    </row>
    <row r="24" spans="1:11" x14ac:dyDescent="0.25">
      <c r="A24" s="159"/>
      <c r="B24" s="166">
        <f t="shared" si="0"/>
        <v>0</v>
      </c>
      <c r="C24" s="172"/>
      <c r="D24" s="189"/>
      <c r="E24" s="172"/>
      <c r="F24" s="165"/>
      <c r="G24" s="173"/>
      <c r="H24" s="165"/>
      <c r="I24" s="174"/>
      <c r="J24" s="165"/>
      <c r="K24" s="174"/>
    </row>
    <row r="25" spans="1:11" x14ac:dyDescent="0.25">
      <c r="A25" s="159"/>
      <c r="B25" s="166">
        <f t="shared" si="0"/>
        <v>0</v>
      </c>
      <c r="C25" s="172"/>
      <c r="D25" s="189"/>
      <c r="E25" s="172"/>
      <c r="F25" s="165"/>
      <c r="G25" s="173"/>
      <c r="H25" s="165"/>
      <c r="I25" s="174"/>
      <c r="J25" s="165"/>
      <c r="K25" s="174"/>
    </row>
    <row r="26" spans="1:11" x14ac:dyDescent="0.25">
      <c r="A26" s="159"/>
      <c r="B26" s="166">
        <f t="shared" si="0"/>
        <v>0</v>
      </c>
      <c r="C26" s="172"/>
      <c r="D26" s="189"/>
      <c r="E26" s="172"/>
      <c r="F26" s="165"/>
      <c r="G26" s="173"/>
      <c r="H26" s="165"/>
      <c r="I26" s="174"/>
      <c r="J26" s="165"/>
      <c r="K26" s="174"/>
    </row>
    <row r="27" spans="1:11" x14ac:dyDescent="0.25">
      <c r="A27" s="159"/>
      <c r="B27" s="166">
        <f t="shared" si="0"/>
        <v>0</v>
      </c>
      <c r="C27" s="172"/>
      <c r="D27" s="189"/>
      <c r="E27" s="172"/>
      <c r="F27" s="165"/>
      <c r="G27" s="173"/>
      <c r="H27" s="165"/>
      <c r="I27" s="174"/>
      <c r="J27" s="165"/>
      <c r="K27" s="174"/>
    </row>
    <row r="28" spans="1:11" x14ac:dyDescent="0.25">
      <c r="A28" s="159"/>
      <c r="B28" s="166">
        <f t="shared" si="0"/>
        <v>0</v>
      </c>
      <c r="C28" s="172"/>
      <c r="D28" s="189"/>
      <c r="E28" s="172"/>
      <c r="F28" s="165"/>
      <c r="G28" s="173"/>
      <c r="H28" s="165"/>
      <c r="I28" s="174"/>
      <c r="J28" s="165"/>
      <c r="K28" s="174"/>
    </row>
    <row r="29" spans="1:11" x14ac:dyDescent="0.25">
      <c r="A29" s="159"/>
      <c r="B29" s="166">
        <f t="shared" si="0"/>
        <v>0</v>
      </c>
      <c r="C29" s="172"/>
      <c r="D29" s="189"/>
      <c r="E29" s="172"/>
      <c r="F29" s="165"/>
      <c r="G29" s="173"/>
      <c r="H29" s="165"/>
      <c r="I29" s="174"/>
      <c r="J29" s="165"/>
      <c r="K29" s="174"/>
    </row>
    <row r="30" spans="1:11" x14ac:dyDescent="0.25">
      <c r="A30" s="159"/>
      <c r="B30" s="166">
        <f t="shared" si="0"/>
        <v>0</v>
      </c>
      <c r="C30" s="172"/>
      <c r="D30" s="189"/>
      <c r="E30" s="172"/>
      <c r="F30" s="165"/>
      <c r="G30" s="173"/>
      <c r="H30" s="165"/>
      <c r="I30" s="174"/>
      <c r="J30" s="165"/>
      <c r="K30" s="174"/>
    </row>
    <row r="31" spans="1:11" x14ac:dyDescent="0.25">
      <c r="A31" s="159"/>
      <c r="B31" s="166">
        <f t="shared" si="0"/>
        <v>0</v>
      </c>
      <c r="C31" s="172"/>
      <c r="D31" s="189"/>
      <c r="E31" s="172"/>
      <c r="F31" s="165"/>
      <c r="G31" s="173"/>
      <c r="H31" s="165"/>
      <c r="I31" s="174"/>
      <c r="J31" s="165"/>
      <c r="K31" s="174"/>
    </row>
    <row r="32" spans="1:11" x14ac:dyDescent="0.25">
      <c r="A32" s="160"/>
      <c r="B32" s="166">
        <f t="shared" si="0"/>
        <v>0</v>
      </c>
      <c r="C32" s="172"/>
      <c r="D32" s="189"/>
      <c r="E32" s="172"/>
      <c r="F32" s="165"/>
      <c r="G32" s="173"/>
      <c r="H32" s="165"/>
      <c r="I32" s="174"/>
      <c r="J32" s="165"/>
      <c r="K32" s="174"/>
    </row>
    <row r="33" spans="1:11" x14ac:dyDescent="0.25">
      <c r="A33" s="160"/>
      <c r="B33" s="166">
        <f t="shared" si="0"/>
        <v>0</v>
      </c>
      <c r="C33" s="172"/>
      <c r="D33" s="189"/>
      <c r="E33" s="172"/>
      <c r="F33" s="165"/>
      <c r="G33" s="173"/>
      <c r="H33" s="165"/>
      <c r="I33" s="174"/>
      <c r="J33" s="165"/>
      <c r="K33" s="174"/>
    </row>
    <row r="34" spans="1:11" x14ac:dyDescent="0.25">
      <c r="B34" s="166">
        <f t="shared" si="0"/>
        <v>0</v>
      </c>
      <c r="C34" s="172"/>
      <c r="D34" s="189"/>
      <c r="E34" s="172"/>
      <c r="F34" s="165"/>
      <c r="G34" s="173"/>
      <c r="H34" s="165"/>
      <c r="I34" s="174"/>
      <c r="J34" s="165"/>
      <c r="K34" s="174"/>
    </row>
    <row r="35" spans="1:11" x14ac:dyDescent="0.25">
      <c r="B35" s="166">
        <f t="shared" si="0"/>
        <v>0</v>
      </c>
      <c r="C35" s="172"/>
      <c r="D35" s="189"/>
      <c r="E35" s="172"/>
      <c r="F35" s="165"/>
      <c r="G35" s="173"/>
      <c r="H35" s="165"/>
      <c r="I35" s="174"/>
      <c r="J35" s="165"/>
      <c r="K35" s="174"/>
    </row>
    <row r="36" spans="1:11" x14ac:dyDescent="0.25">
      <c r="B36" s="166">
        <f t="shared" si="0"/>
        <v>0</v>
      </c>
      <c r="C36" s="172"/>
      <c r="D36" s="189"/>
      <c r="E36" s="172"/>
      <c r="F36" s="165"/>
      <c r="G36" s="173"/>
      <c r="H36" s="165"/>
      <c r="I36" s="174"/>
      <c r="J36" s="165"/>
      <c r="K36" s="174"/>
    </row>
    <row r="37" spans="1:11" x14ac:dyDescent="0.25">
      <c r="B37" s="166">
        <f t="shared" si="0"/>
        <v>0</v>
      </c>
      <c r="C37" s="172"/>
      <c r="D37" s="189"/>
      <c r="E37" s="172"/>
      <c r="F37" s="165"/>
      <c r="G37" s="173"/>
      <c r="H37" s="165"/>
      <c r="I37" s="174"/>
      <c r="J37" s="165"/>
      <c r="K37" s="174"/>
    </row>
    <row r="38" spans="1:11" x14ac:dyDescent="0.25">
      <c r="B38" s="166">
        <f t="shared" si="0"/>
        <v>0</v>
      </c>
      <c r="C38" s="172"/>
      <c r="D38" s="189"/>
      <c r="E38" s="172"/>
      <c r="F38" s="165"/>
      <c r="G38" s="173"/>
      <c r="H38" s="165"/>
      <c r="I38" s="174"/>
      <c r="J38" s="165"/>
      <c r="K38" s="174"/>
    </row>
    <row r="39" spans="1:11" x14ac:dyDescent="0.25">
      <c r="B39" s="166">
        <f t="shared" si="0"/>
        <v>0</v>
      </c>
      <c r="C39" s="172"/>
      <c r="D39" s="189"/>
      <c r="E39" s="172"/>
      <c r="F39" s="165"/>
      <c r="G39" s="173"/>
      <c r="H39" s="165"/>
      <c r="I39" s="174"/>
      <c r="J39" s="165"/>
      <c r="K39" s="174"/>
    </row>
    <row r="40" spans="1:11" x14ac:dyDescent="0.25">
      <c r="B40" s="166">
        <f t="shared" si="0"/>
        <v>0</v>
      </c>
      <c r="C40" s="172"/>
      <c r="D40" s="189"/>
      <c r="E40" s="172"/>
      <c r="F40" s="165"/>
      <c r="G40" s="173"/>
      <c r="H40" s="165"/>
      <c r="I40" s="174"/>
      <c r="J40" s="165"/>
      <c r="K40" s="174"/>
    </row>
    <row r="41" spans="1:11" x14ac:dyDescent="0.25">
      <c r="B41" s="166">
        <f t="shared" si="0"/>
        <v>0</v>
      </c>
      <c r="C41" s="172"/>
      <c r="D41" s="189"/>
      <c r="E41" s="172"/>
      <c r="F41" s="165"/>
      <c r="G41" s="173"/>
      <c r="H41" s="165"/>
      <c r="I41" s="174"/>
      <c r="J41" s="165"/>
      <c r="K41" s="174"/>
    </row>
    <row r="42" spans="1:11" x14ac:dyDescent="0.25">
      <c r="B42" s="166">
        <f t="shared" si="0"/>
        <v>0</v>
      </c>
      <c r="C42" s="172"/>
      <c r="D42" s="189"/>
      <c r="E42" s="172"/>
      <c r="F42" s="165"/>
      <c r="G42" s="173"/>
      <c r="H42" s="165"/>
      <c r="I42" s="174"/>
      <c r="J42" s="165"/>
      <c r="K42" s="174"/>
    </row>
    <row r="43" spans="1:11" x14ac:dyDescent="0.25">
      <c r="B43" s="166">
        <f t="shared" si="0"/>
        <v>0</v>
      </c>
      <c r="C43" s="172"/>
      <c r="D43" s="189"/>
      <c r="E43" s="172"/>
      <c r="F43" s="165"/>
      <c r="G43" s="173"/>
      <c r="H43" s="165"/>
      <c r="I43" s="174"/>
      <c r="J43" s="165"/>
      <c r="K43" s="174"/>
    </row>
    <row r="44" spans="1:11" x14ac:dyDescent="0.25">
      <c r="B44" s="166">
        <f t="shared" si="0"/>
        <v>0</v>
      </c>
      <c r="C44" s="172"/>
      <c r="D44" s="189"/>
      <c r="E44" s="172"/>
      <c r="F44" s="165"/>
      <c r="G44" s="173"/>
      <c r="H44" s="165"/>
      <c r="I44" s="174"/>
      <c r="J44" s="165"/>
      <c r="K44" s="174"/>
    </row>
    <row r="45" spans="1:11" x14ac:dyDescent="0.25">
      <c r="B45" s="166">
        <f t="shared" si="0"/>
        <v>0</v>
      </c>
      <c r="C45" s="172"/>
      <c r="D45" s="189"/>
      <c r="E45" s="172"/>
      <c r="F45" s="165"/>
      <c r="G45" s="173"/>
      <c r="H45" s="165"/>
      <c r="I45" s="174"/>
      <c r="J45" s="165"/>
      <c r="K45" s="174"/>
    </row>
    <row r="46" spans="1:11" x14ac:dyDescent="0.25">
      <c r="B46" s="166">
        <f t="shared" si="0"/>
        <v>0</v>
      </c>
      <c r="C46" s="172"/>
      <c r="D46" s="189"/>
      <c r="E46" s="172"/>
      <c r="F46" s="165"/>
      <c r="G46" s="173"/>
      <c r="H46" s="165"/>
      <c r="I46" s="174"/>
      <c r="J46" s="165"/>
      <c r="K46" s="174"/>
    </row>
    <row r="47" spans="1:11" x14ac:dyDescent="0.25">
      <c r="B47" s="166">
        <f t="shared" si="0"/>
        <v>0</v>
      </c>
      <c r="C47" s="172"/>
      <c r="D47" s="189"/>
      <c r="E47" s="172"/>
      <c r="F47" s="165"/>
      <c r="G47" s="173"/>
      <c r="H47" s="165"/>
      <c r="I47" s="174"/>
      <c r="J47" s="165"/>
      <c r="K47" s="174"/>
    </row>
    <row r="48" spans="1:11" x14ac:dyDescent="0.25">
      <c r="B48" s="166">
        <f t="shared" si="0"/>
        <v>0</v>
      </c>
      <c r="C48" s="172"/>
      <c r="D48" s="189"/>
      <c r="E48" s="172"/>
      <c r="F48" s="165"/>
      <c r="G48" s="173"/>
      <c r="H48" s="165"/>
      <c r="I48" s="174"/>
      <c r="J48" s="165"/>
      <c r="K48" s="174"/>
    </row>
    <row r="49" spans="1:11" x14ac:dyDescent="0.25">
      <c r="B49" s="166">
        <f t="shared" si="0"/>
        <v>0</v>
      </c>
      <c r="C49" s="172"/>
      <c r="D49" s="189"/>
      <c r="E49" s="172"/>
      <c r="F49" s="165"/>
      <c r="G49" s="173"/>
      <c r="H49" s="165"/>
      <c r="I49" s="174"/>
      <c r="J49" s="165"/>
      <c r="K49" s="174"/>
    </row>
    <row r="50" spans="1:11" x14ac:dyDescent="0.25">
      <c r="B50" s="166">
        <f t="shared" si="0"/>
        <v>0</v>
      </c>
      <c r="C50" s="172"/>
      <c r="D50" s="189"/>
      <c r="E50" s="172"/>
      <c r="F50" s="165"/>
      <c r="G50" s="173"/>
      <c r="H50" s="165"/>
      <c r="I50" s="174"/>
      <c r="J50" s="165"/>
      <c r="K50" s="174"/>
    </row>
    <row r="51" spans="1:11" x14ac:dyDescent="0.25">
      <c r="B51" s="166">
        <f>IF(NOT(ISBLANK(C51)),(C51-C50),0)</f>
        <v>0</v>
      </c>
      <c r="C51" s="172"/>
      <c r="D51" s="189"/>
      <c r="E51" s="172"/>
      <c r="F51" s="165"/>
      <c r="G51" s="173"/>
      <c r="H51" s="165"/>
      <c r="I51" s="174"/>
      <c r="J51" s="165"/>
      <c r="K51" s="174"/>
    </row>
    <row r="52" spans="1:11" x14ac:dyDescent="0.25">
      <c r="B52" s="166">
        <f t="shared" si="0"/>
        <v>0</v>
      </c>
      <c r="C52" s="172"/>
      <c r="D52" s="189"/>
      <c r="E52" s="172"/>
      <c r="F52" s="165"/>
      <c r="G52" s="173"/>
      <c r="H52" s="165"/>
      <c r="I52" s="174"/>
      <c r="J52" s="165"/>
      <c r="K52" s="174"/>
    </row>
    <row r="53" spans="1:11" x14ac:dyDescent="0.25">
      <c r="B53" s="166">
        <f t="shared" si="0"/>
        <v>0</v>
      </c>
      <c r="C53" s="172"/>
      <c r="D53" s="189"/>
      <c r="E53" s="172"/>
      <c r="F53" s="165"/>
      <c r="G53" s="173"/>
      <c r="H53" s="165"/>
      <c r="I53" s="174"/>
      <c r="J53" s="165"/>
      <c r="K53" s="174"/>
    </row>
    <row r="54" spans="1:11" x14ac:dyDescent="0.25">
      <c r="B54" s="166">
        <f t="shared" si="0"/>
        <v>0</v>
      </c>
      <c r="C54" s="172"/>
      <c r="D54" s="189"/>
      <c r="E54" s="172"/>
      <c r="F54" s="165"/>
      <c r="G54" s="173"/>
      <c r="H54" s="165"/>
      <c r="I54" s="174"/>
      <c r="J54" s="165"/>
      <c r="K54" s="174"/>
    </row>
    <row r="55" spans="1:11" x14ac:dyDescent="0.25">
      <c r="B55" s="166">
        <f t="shared" si="0"/>
        <v>0</v>
      </c>
      <c r="C55" s="172"/>
      <c r="D55" s="189"/>
      <c r="E55" s="172"/>
      <c r="F55" s="165"/>
      <c r="G55" s="173"/>
      <c r="H55" s="165"/>
      <c r="I55" s="174"/>
      <c r="J55" s="165"/>
      <c r="K55" s="174"/>
    </row>
    <row r="56" spans="1:11" x14ac:dyDescent="0.25">
      <c r="B56" s="166">
        <f t="shared" si="0"/>
        <v>0</v>
      </c>
      <c r="C56" s="172"/>
      <c r="D56" s="189"/>
      <c r="E56" s="172"/>
      <c r="F56" s="165"/>
      <c r="G56" s="173"/>
      <c r="H56" s="165"/>
      <c r="I56" s="174"/>
      <c r="J56" s="165"/>
      <c r="K56" s="174"/>
    </row>
    <row r="57" spans="1:11" x14ac:dyDescent="0.25">
      <c r="B57" s="166">
        <f t="shared" si="0"/>
        <v>0</v>
      </c>
      <c r="C57" s="172"/>
      <c r="D57" s="189"/>
      <c r="E57" s="172"/>
      <c r="F57" s="165"/>
      <c r="G57" s="173"/>
      <c r="H57" s="165"/>
      <c r="I57" s="174"/>
      <c r="J57" s="165"/>
      <c r="K57" s="174"/>
    </row>
    <row r="58" spans="1:11" x14ac:dyDescent="0.25">
      <c r="B58" s="166">
        <f t="shared" si="0"/>
        <v>0</v>
      </c>
      <c r="C58" s="172"/>
      <c r="D58" s="189"/>
      <c r="E58" s="172"/>
      <c r="F58" s="165"/>
      <c r="G58" s="173"/>
      <c r="H58" s="165"/>
      <c r="I58" s="174"/>
      <c r="J58" s="165"/>
      <c r="K58" s="174"/>
    </row>
    <row r="59" spans="1:11" x14ac:dyDescent="0.25">
      <c r="B59" s="166">
        <f t="shared" si="0"/>
        <v>0</v>
      </c>
      <c r="C59" s="172"/>
      <c r="D59" s="189"/>
      <c r="E59" s="172"/>
      <c r="F59" s="165"/>
      <c r="G59" s="173"/>
      <c r="H59" s="165"/>
      <c r="I59" s="174"/>
      <c r="J59" s="165"/>
      <c r="K59" s="174"/>
    </row>
    <row r="60" spans="1:11" x14ac:dyDescent="0.25">
      <c r="B60" s="166">
        <f t="shared" si="0"/>
        <v>0</v>
      </c>
      <c r="C60" s="172"/>
      <c r="D60" s="189"/>
      <c r="E60" s="172"/>
      <c r="F60" s="165"/>
      <c r="G60" s="173"/>
      <c r="H60" s="165"/>
      <c r="I60" s="174"/>
      <c r="J60" s="165"/>
      <c r="K60" s="174"/>
    </row>
    <row r="61" spans="1:11" x14ac:dyDescent="0.25">
      <c r="B61" s="166">
        <f t="shared" si="0"/>
        <v>0</v>
      </c>
      <c r="C61" s="172"/>
      <c r="D61" s="189"/>
      <c r="E61" s="172"/>
      <c r="F61" s="165"/>
      <c r="G61" s="173"/>
      <c r="H61" s="165"/>
      <c r="I61" s="174"/>
      <c r="J61" s="165"/>
      <c r="K61" s="174"/>
    </row>
    <row r="62" spans="1:11" x14ac:dyDescent="0.25">
      <c r="B62" s="166">
        <f t="shared" si="0"/>
        <v>0</v>
      </c>
      <c r="C62" s="172"/>
      <c r="D62" s="189"/>
      <c r="E62" s="172"/>
      <c r="F62" s="165"/>
      <c r="G62" s="173"/>
      <c r="H62" s="165"/>
      <c r="I62" s="174"/>
      <c r="J62" s="165"/>
      <c r="K62" s="174"/>
    </row>
    <row r="63" spans="1:11" s="175" customFormat="1" ht="20.25" customHeight="1" x14ac:dyDescent="0.25">
      <c r="A63" s="162"/>
      <c r="B63" s="42">
        <f>IF(NOT(ISBLANK(C63)),(C63-C62),0)</f>
        <v>0</v>
      </c>
      <c r="C63" s="46"/>
      <c r="D63" s="190"/>
      <c r="E63" s="46"/>
      <c r="F63" s="176"/>
      <c r="G63" s="177" t="s">
        <v>421</v>
      </c>
      <c r="H63" s="176"/>
      <c r="J63" s="176"/>
    </row>
    <row r="64" spans="1:11" x14ac:dyDescent="0.25">
      <c r="B64" s="166">
        <f>IF(NOT(ISBLANK(C64)),(C64-C63),0)</f>
        <v>0</v>
      </c>
      <c r="C64" s="172"/>
      <c r="D64" s="189"/>
      <c r="E64" s="172"/>
      <c r="F64" s="165"/>
      <c r="G64" s="173"/>
      <c r="H64" s="165"/>
      <c r="I64" s="174"/>
      <c r="J64" s="165"/>
      <c r="K64" s="174"/>
    </row>
    <row r="65" spans="2:11" x14ac:dyDescent="0.25">
      <c r="B65" s="166">
        <f t="shared" si="0"/>
        <v>0</v>
      </c>
      <c r="C65" s="172"/>
      <c r="D65" s="189"/>
      <c r="E65" s="172"/>
      <c r="F65" s="165"/>
      <c r="G65" s="173"/>
      <c r="H65" s="165"/>
      <c r="I65" s="174"/>
      <c r="J65" s="165"/>
      <c r="K65" s="174"/>
    </row>
    <row r="66" spans="2:11" x14ac:dyDescent="0.25">
      <c r="B66" s="166">
        <f t="shared" si="0"/>
        <v>0</v>
      </c>
      <c r="C66" s="172"/>
      <c r="D66" s="189"/>
      <c r="E66" s="172"/>
      <c r="F66" s="165"/>
      <c r="G66" s="173"/>
      <c r="H66" s="165"/>
      <c r="I66" s="174"/>
      <c r="J66" s="165"/>
      <c r="K66" s="174"/>
    </row>
    <row r="67" spans="2:11" x14ac:dyDescent="0.25">
      <c r="B67" s="166">
        <f t="shared" si="0"/>
        <v>0</v>
      </c>
      <c r="C67" s="172"/>
      <c r="D67" s="189"/>
      <c r="E67" s="172"/>
      <c r="F67" s="165"/>
      <c r="G67" s="173"/>
      <c r="H67" s="165"/>
      <c r="I67" s="174"/>
      <c r="J67" s="165"/>
      <c r="K67" s="174"/>
    </row>
    <row r="68" spans="2:11" x14ac:dyDescent="0.25">
      <c r="B68" s="166">
        <f t="shared" si="0"/>
        <v>0</v>
      </c>
      <c r="C68" s="172"/>
      <c r="D68" s="189"/>
      <c r="E68" s="172"/>
      <c r="F68" s="165"/>
      <c r="G68" s="173"/>
      <c r="H68" s="165"/>
      <c r="I68" s="174"/>
      <c r="J68" s="165"/>
      <c r="K68" s="174"/>
    </row>
    <row r="69" spans="2:11" x14ac:dyDescent="0.25">
      <c r="B69" s="166">
        <f t="shared" si="0"/>
        <v>0</v>
      </c>
      <c r="C69" s="172"/>
      <c r="D69" s="189"/>
      <c r="E69" s="172"/>
      <c r="F69" s="165"/>
      <c r="G69" s="173"/>
      <c r="H69" s="165"/>
      <c r="I69" s="174"/>
      <c r="J69" s="165"/>
      <c r="K69" s="174"/>
    </row>
    <row r="70" spans="2:11" x14ac:dyDescent="0.25">
      <c r="B70" s="166">
        <f t="shared" si="0"/>
        <v>0</v>
      </c>
      <c r="C70" s="172"/>
      <c r="D70" s="189"/>
      <c r="E70" s="172"/>
      <c r="F70" s="165"/>
      <c r="G70" s="173"/>
      <c r="H70" s="165"/>
      <c r="I70" s="174"/>
      <c r="J70" s="165"/>
      <c r="K70" s="174"/>
    </row>
    <row r="71" spans="2:11" x14ac:dyDescent="0.25">
      <c r="B71" s="166">
        <f t="shared" si="0"/>
        <v>0</v>
      </c>
      <c r="C71" s="172"/>
      <c r="D71" s="189"/>
      <c r="E71" s="172"/>
      <c r="F71" s="165"/>
      <c r="G71" s="173"/>
      <c r="H71" s="165"/>
      <c r="I71" s="174"/>
      <c r="J71" s="165"/>
      <c r="K71" s="174"/>
    </row>
    <row r="72" spans="2:11" x14ac:dyDescent="0.25">
      <c r="B72" s="166">
        <f t="shared" ref="B72:B135" si="1">IF(NOT(ISBLANK(C72)),(C72-C71),0)</f>
        <v>0</v>
      </c>
      <c r="C72" s="172"/>
      <c r="D72" s="189"/>
      <c r="E72" s="172"/>
      <c r="F72" s="165"/>
      <c r="G72" s="173"/>
      <c r="H72" s="165"/>
      <c r="I72" s="174"/>
      <c r="J72" s="165"/>
      <c r="K72" s="174"/>
    </row>
    <row r="73" spans="2:11" x14ac:dyDescent="0.25">
      <c r="B73" s="166">
        <f t="shared" si="1"/>
        <v>0</v>
      </c>
      <c r="C73" s="172"/>
      <c r="D73" s="189"/>
      <c r="E73" s="172"/>
      <c r="F73" s="165"/>
      <c r="G73" s="173"/>
      <c r="H73" s="165"/>
      <c r="I73" s="174"/>
      <c r="J73" s="165"/>
      <c r="K73" s="174"/>
    </row>
    <row r="74" spans="2:11" x14ac:dyDescent="0.25">
      <c r="B74" s="166">
        <f t="shared" si="1"/>
        <v>0</v>
      </c>
      <c r="C74" s="172"/>
      <c r="D74" s="189"/>
      <c r="E74" s="172"/>
      <c r="F74" s="165"/>
      <c r="G74" s="173"/>
      <c r="H74" s="165"/>
      <c r="I74" s="174"/>
      <c r="J74" s="165"/>
      <c r="K74" s="174"/>
    </row>
    <row r="75" spans="2:11" x14ac:dyDescent="0.25">
      <c r="B75" s="166">
        <f t="shared" si="1"/>
        <v>0</v>
      </c>
      <c r="C75" s="172"/>
      <c r="D75" s="189"/>
      <c r="E75" s="172"/>
      <c r="F75" s="165"/>
      <c r="G75" s="173"/>
      <c r="H75" s="165"/>
      <c r="I75" s="174"/>
      <c r="J75" s="165"/>
      <c r="K75" s="174"/>
    </row>
    <row r="76" spans="2:11" x14ac:dyDescent="0.25">
      <c r="B76" s="166">
        <f t="shared" si="1"/>
        <v>0</v>
      </c>
      <c r="C76" s="172"/>
      <c r="D76" s="189"/>
      <c r="E76" s="172"/>
      <c r="F76" s="165"/>
      <c r="G76" s="173"/>
      <c r="H76" s="165"/>
      <c r="I76" s="174"/>
      <c r="J76" s="165"/>
      <c r="K76" s="174"/>
    </row>
    <row r="77" spans="2:11" x14ac:dyDescent="0.25">
      <c r="B77" s="166">
        <f t="shared" si="1"/>
        <v>0</v>
      </c>
      <c r="C77" s="172"/>
      <c r="D77" s="189"/>
      <c r="E77" s="172"/>
      <c r="F77" s="165"/>
      <c r="G77" s="173"/>
      <c r="H77" s="165"/>
      <c r="I77" s="174"/>
      <c r="J77" s="165"/>
      <c r="K77" s="174"/>
    </row>
    <row r="78" spans="2:11" x14ac:dyDescent="0.25">
      <c r="B78" s="166">
        <f t="shared" si="1"/>
        <v>0</v>
      </c>
      <c r="C78" s="172"/>
      <c r="D78" s="189"/>
      <c r="E78" s="172"/>
      <c r="F78" s="165"/>
      <c r="G78" s="173"/>
      <c r="H78" s="165"/>
      <c r="I78" s="174"/>
      <c r="J78" s="165"/>
      <c r="K78" s="174"/>
    </row>
    <row r="79" spans="2:11" x14ac:dyDescent="0.25">
      <c r="B79" s="166">
        <f t="shared" si="1"/>
        <v>0</v>
      </c>
      <c r="C79" s="172"/>
      <c r="D79" s="189"/>
      <c r="E79" s="172"/>
      <c r="F79" s="165"/>
      <c r="G79" s="173"/>
      <c r="H79" s="165"/>
      <c r="I79" s="174"/>
      <c r="J79" s="165"/>
      <c r="K79" s="174"/>
    </row>
    <row r="80" spans="2:11" x14ac:dyDescent="0.25">
      <c r="B80" s="166">
        <f t="shared" si="1"/>
        <v>0</v>
      </c>
      <c r="C80" s="172"/>
      <c r="D80" s="189"/>
      <c r="E80" s="172"/>
      <c r="F80" s="165"/>
      <c r="G80" s="173"/>
      <c r="H80" s="165"/>
      <c r="I80" s="174"/>
      <c r="J80" s="165"/>
      <c r="K80" s="174"/>
    </row>
    <row r="81" spans="2:11" x14ac:dyDescent="0.25">
      <c r="B81" s="166">
        <f t="shared" si="1"/>
        <v>0</v>
      </c>
      <c r="C81" s="172"/>
      <c r="D81" s="189"/>
      <c r="E81" s="172"/>
      <c r="F81" s="165"/>
      <c r="G81" s="173"/>
      <c r="H81" s="165"/>
      <c r="I81" s="174"/>
      <c r="J81" s="165"/>
      <c r="K81" s="174"/>
    </row>
    <row r="82" spans="2:11" x14ac:dyDescent="0.25">
      <c r="B82" s="166">
        <f t="shared" si="1"/>
        <v>0</v>
      </c>
      <c r="C82" s="172"/>
      <c r="D82" s="189"/>
      <c r="E82" s="172"/>
      <c r="F82" s="165"/>
      <c r="G82" s="173"/>
      <c r="H82" s="165"/>
      <c r="I82" s="174"/>
      <c r="J82" s="165"/>
      <c r="K82" s="174"/>
    </row>
    <row r="83" spans="2:11" x14ac:dyDescent="0.25">
      <c r="B83" s="166">
        <f t="shared" si="1"/>
        <v>0</v>
      </c>
      <c r="C83" s="172"/>
      <c r="D83" s="189"/>
      <c r="E83" s="172"/>
      <c r="F83" s="165"/>
      <c r="G83" s="173"/>
      <c r="H83" s="165"/>
      <c r="I83" s="174"/>
      <c r="J83" s="165"/>
      <c r="K83" s="174"/>
    </row>
    <row r="84" spans="2:11" x14ac:dyDescent="0.25">
      <c r="B84" s="166">
        <f t="shared" si="1"/>
        <v>0</v>
      </c>
      <c r="C84" s="172"/>
      <c r="D84" s="189"/>
      <c r="E84" s="172"/>
      <c r="F84" s="165"/>
      <c r="G84" s="173"/>
      <c r="H84" s="165"/>
      <c r="I84" s="174"/>
      <c r="J84" s="165"/>
      <c r="K84" s="174"/>
    </row>
    <row r="85" spans="2:11" x14ac:dyDescent="0.25">
      <c r="B85" s="166">
        <f t="shared" si="1"/>
        <v>0</v>
      </c>
      <c r="C85" s="172"/>
      <c r="D85" s="189"/>
      <c r="E85" s="172"/>
      <c r="F85" s="165"/>
      <c r="G85" s="173"/>
      <c r="H85" s="165"/>
      <c r="I85" s="174"/>
      <c r="J85" s="165"/>
      <c r="K85" s="174"/>
    </row>
    <row r="86" spans="2:11" x14ac:dyDescent="0.25">
      <c r="B86" s="166">
        <f t="shared" si="1"/>
        <v>0</v>
      </c>
      <c r="C86" s="172"/>
      <c r="D86" s="189"/>
      <c r="E86" s="172"/>
      <c r="F86" s="165"/>
      <c r="G86" s="173"/>
      <c r="H86" s="165"/>
      <c r="I86" s="174"/>
      <c r="J86" s="165"/>
      <c r="K86" s="174"/>
    </row>
    <row r="87" spans="2:11" x14ac:dyDescent="0.25">
      <c r="B87" s="166">
        <f t="shared" si="1"/>
        <v>0</v>
      </c>
      <c r="C87" s="172"/>
      <c r="D87" s="189"/>
      <c r="E87" s="172"/>
      <c r="F87" s="165"/>
      <c r="G87" s="173"/>
      <c r="H87" s="165"/>
      <c r="I87" s="174"/>
      <c r="J87" s="165"/>
      <c r="K87" s="174"/>
    </row>
    <row r="88" spans="2:11" x14ac:dyDescent="0.25">
      <c r="B88" s="166">
        <f t="shared" si="1"/>
        <v>0</v>
      </c>
      <c r="C88" s="172"/>
      <c r="D88" s="189"/>
      <c r="E88" s="172"/>
      <c r="F88" s="165"/>
      <c r="G88" s="173"/>
      <c r="H88" s="165"/>
      <c r="I88" s="174"/>
      <c r="J88" s="165"/>
      <c r="K88" s="174"/>
    </row>
    <row r="89" spans="2:11" x14ac:dyDescent="0.25">
      <c r="B89" s="166">
        <f t="shared" si="1"/>
        <v>0</v>
      </c>
      <c r="C89" s="172"/>
      <c r="D89" s="189"/>
      <c r="E89" s="172"/>
      <c r="F89" s="165"/>
      <c r="G89" s="173"/>
      <c r="H89" s="165"/>
      <c r="I89" s="174"/>
      <c r="J89" s="165"/>
      <c r="K89" s="174"/>
    </row>
    <row r="90" spans="2:11" x14ac:dyDescent="0.25">
      <c r="B90" s="166">
        <f t="shared" si="1"/>
        <v>0</v>
      </c>
      <c r="C90" s="172"/>
      <c r="D90" s="189"/>
      <c r="E90" s="172"/>
      <c r="F90" s="165"/>
      <c r="G90" s="173"/>
      <c r="H90" s="165"/>
      <c r="I90" s="174"/>
      <c r="J90" s="165"/>
      <c r="K90" s="174"/>
    </row>
    <row r="91" spans="2:11" x14ac:dyDescent="0.25">
      <c r="B91" s="166">
        <f t="shared" si="1"/>
        <v>0</v>
      </c>
      <c r="C91" s="172"/>
      <c r="D91" s="189"/>
      <c r="E91" s="172"/>
      <c r="F91" s="165"/>
      <c r="G91" s="173"/>
      <c r="H91" s="165"/>
      <c r="I91" s="174"/>
      <c r="J91" s="165"/>
      <c r="K91" s="174"/>
    </row>
    <row r="92" spans="2:11" x14ac:dyDescent="0.25">
      <c r="B92" s="166">
        <f t="shared" si="1"/>
        <v>0</v>
      </c>
      <c r="C92" s="172"/>
      <c r="D92" s="189"/>
      <c r="E92" s="172"/>
      <c r="F92" s="165"/>
      <c r="G92" s="173"/>
      <c r="H92" s="165"/>
      <c r="I92" s="174"/>
      <c r="J92" s="165"/>
      <c r="K92" s="174"/>
    </row>
    <row r="93" spans="2:11" x14ac:dyDescent="0.25">
      <c r="B93" s="166">
        <f t="shared" si="1"/>
        <v>0</v>
      </c>
      <c r="C93" s="172"/>
      <c r="D93" s="189"/>
      <c r="E93" s="172"/>
      <c r="F93" s="165"/>
      <c r="G93" s="173"/>
      <c r="H93" s="165"/>
      <c r="I93" s="174"/>
      <c r="J93" s="165"/>
      <c r="K93" s="174"/>
    </row>
    <row r="94" spans="2:11" x14ac:dyDescent="0.25">
      <c r="B94" s="166">
        <f t="shared" si="1"/>
        <v>0</v>
      </c>
      <c r="C94" s="172"/>
      <c r="D94" s="189"/>
      <c r="E94" s="172"/>
      <c r="F94" s="165"/>
      <c r="G94" s="173"/>
      <c r="H94" s="165"/>
      <c r="I94" s="174"/>
      <c r="J94" s="165"/>
      <c r="K94" s="174"/>
    </row>
    <row r="95" spans="2:11" x14ac:dyDescent="0.25">
      <c r="B95" s="166">
        <f t="shared" si="1"/>
        <v>0</v>
      </c>
      <c r="C95" s="172"/>
      <c r="D95" s="189"/>
      <c r="E95" s="172"/>
      <c r="F95" s="165"/>
      <c r="G95" s="173"/>
      <c r="H95" s="165"/>
      <c r="I95" s="174"/>
      <c r="J95" s="165"/>
      <c r="K95" s="174"/>
    </row>
    <row r="96" spans="2:11" x14ac:dyDescent="0.25">
      <c r="B96" s="166">
        <f t="shared" si="1"/>
        <v>0</v>
      </c>
      <c r="C96" s="172"/>
      <c r="D96" s="189"/>
      <c r="E96" s="172"/>
      <c r="F96" s="165"/>
      <c r="G96" s="173"/>
      <c r="H96" s="165"/>
      <c r="I96" s="174"/>
      <c r="J96" s="165"/>
      <c r="K96" s="174"/>
    </row>
    <row r="97" spans="2:11" x14ac:dyDescent="0.25">
      <c r="B97" s="166">
        <f t="shared" si="1"/>
        <v>0</v>
      </c>
      <c r="C97" s="172"/>
      <c r="D97" s="189"/>
      <c r="E97" s="172"/>
      <c r="F97" s="165"/>
      <c r="G97" s="173"/>
      <c r="H97" s="165"/>
      <c r="I97" s="174"/>
      <c r="J97" s="165"/>
      <c r="K97" s="174"/>
    </row>
    <row r="98" spans="2:11" x14ac:dyDescent="0.25">
      <c r="B98" s="166">
        <f t="shared" si="1"/>
        <v>0</v>
      </c>
      <c r="C98" s="172"/>
      <c r="D98" s="189"/>
      <c r="E98" s="172"/>
      <c r="F98" s="165"/>
      <c r="G98" s="173"/>
      <c r="H98" s="165"/>
      <c r="I98" s="174"/>
      <c r="J98" s="165"/>
      <c r="K98" s="174"/>
    </row>
    <row r="99" spans="2:11" x14ac:dyDescent="0.25">
      <c r="B99" s="166">
        <f t="shared" si="1"/>
        <v>0</v>
      </c>
      <c r="C99" s="172"/>
      <c r="D99" s="189"/>
      <c r="E99" s="172"/>
      <c r="F99" s="165"/>
      <c r="G99" s="173"/>
      <c r="H99" s="165"/>
      <c r="I99" s="174"/>
      <c r="J99" s="165"/>
      <c r="K99" s="174"/>
    </row>
    <row r="100" spans="2:11" x14ac:dyDescent="0.25">
      <c r="B100" s="166">
        <f t="shared" si="1"/>
        <v>0</v>
      </c>
      <c r="C100" s="172"/>
      <c r="D100" s="189"/>
      <c r="E100" s="172"/>
      <c r="F100" s="165"/>
      <c r="G100" s="173"/>
      <c r="H100" s="165"/>
      <c r="I100" s="174"/>
      <c r="J100" s="165"/>
      <c r="K100" s="174"/>
    </row>
    <row r="101" spans="2:11" x14ac:dyDescent="0.25">
      <c r="B101" s="166">
        <f t="shared" si="1"/>
        <v>0</v>
      </c>
      <c r="C101" s="172"/>
      <c r="D101" s="189"/>
      <c r="E101" s="172"/>
      <c r="F101" s="165"/>
      <c r="G101" s="173"/>
      <c r="H101" s="165"/>
      <c r="I101" s="174"/>
      <c r="J101" s="165"/>
      <c r="K101" s="174"/>
    </row>
    <row r="102" spans="2:11" x14ac:dyDescent="0.25">
      <c r="B102" s="166">
        <f t="shared" si="1"/>
        <v>0</v>
      </c>
      <c r="C102" s="172"/>
      <c r="D102" s="189"/>
      <c r="E102" s="172"/>
      <c r="F102" s="165"/>
      <c r="G102" s="173"/>
      <c r="H102" s="165"/>
      <c r="I102" s="174"/>
      <c r="J102" s="165"/>
      <c r="K102" s="174"/>
    </row>
    <row r="103" spans="2:11" x14ac:dyDescent="0.25">
      <c r="B103" s="166">
        <f t="shared" si="1"/>
        <v>0</v>
      </c>
      <c r="C103" s="172"/>
      <c r="D103" s="189"/>
      <c r="E103" s="172"/>
      <c r="F103" s="165"/>
      <c r="G103" s="173"/>
      <c r="H103" s="165"/>
      <c r="I103" s="174"/>
      <c r="J103" s="165"/>
      <c r="K103" s="174"/>
    </row>
    <row r="104" spans="2:11" x14ac:dyDescent="0.25">
      <c r="B104" s="166">
        <f t="shared" si="1"/>
        <v>0</v>
      </c>
      <c r="C104" s="172"/>
      <c r="D104" s="189"/>
      <c r="E104" s="172"/>
      <c r="F104" s="165"/>
      <c r="G104" s="173"/>
      <c r="H104" s="165"/>
      <c r="I104" s="174"/>
      <c r="J104" s="165"/>
      <c r="K104" s="174"/>
    </row>
    <row r="105" spans="2:11" x14ac:dyDescent="0.25">
      <c r="B105" s="166">
        <f t="shared" si="1"/>
        <v>0</v>
      </c>
      <c r="C105" s="172"/>
      <c r="D105" s="189"/>
      <c r="E105" s="172"/>
      <c r="F105" s="165"/>
      <c r="G105" s="173"/>
      <c r="H105" s="165"/>
      <c r="I105" s="174"/>
      <c r="J105" s="165"/>
      <c r="K105" s="174"/>
    </row>
    <row r="106" spans="2:11" x14ac:dyDescent="0.25">
      <c r="B106" s="166">
        <f t="shared" si="1"/>
        <v>0</v>
      </c>
      <c r="C106" s="172"/>
      <c r="D106" s="189"/>
      <c r="E106" s="172"/>
      <c r="F106" s="165"/>
      <c r="G106" s="173"/>
      <c r="H106" s="165"/>
      <c r="I106" s="174"/>
      <c r="J106" s="165"/>
      <c r="K106" s="174"/>
    </row>
    <row r="107" spans="2:11" x14ac:dyDescent="0.25">
      <c r="B107" s="166">
        <f t="shared" si="1"/>
        <v>0</v>
      </c>
      <c r="C107" s="172"/>
      <c r="D107" s="189"/>
      <c r="E107" s="172"/>
      <c r="F107" s="165"/>
      <c r="G107" s="173"/>
      <c r="H107" s="165"/>
      <c r="I107" s="174"/>
      <c r="J107" s="165"/>
      <c r="K107" s="174"/>
    </row>
    <row r="108" spans="2:11" x14ac:dyDescent="0.25">
      <c r="B108" s="166">
        <f t="shared" si="1"/>
        <v>0</v>
      </c>
      <c r="C108" s="172"/>
      <c r="D108" s="189"/>
      <c r="E108" s="172"/>
      <c r="F108" s="165"/>
      <c r="G108" s="173"/>
      <c r="H108" s="165"/>
      <c r="I108" s="174"/>
      <c r="J108" s="165"/>
      <c r="K108" s="174"/>
    </row>
    <row r="109" spans="2:11" x14ac:dyDescent="0.25">
      <c r="B109" s="166">
        <f t="shared" si="1"/>
        <v>0</v>
      </c>
      <c r="C109" s="172"/>
      <c r="D109" s="189"/>
      <c r="E109" s="172"/>
      <c r="F109" s="165"/>
      <c r="G109" s="173"/>
      <c r="H109" s="165"/>
      <c r="I109" s="174"/>
      <c r="J109" s="165"/>
      <c r="K109" s="174"/>
    </row>
    <row r="110" spans="2:11" x14ac:dyDescent="0.25">
      <c r="B110" s="166">
        <f t="shared" si="1"/>
        <v>0</v>
      </c>
      <c r="C110" s="172"/>
      <c r="D110" s="189"/>
      <c r="E110" s="172"/>
      <c r="F110" s="165"/>
      <c r="G110" s="173"/>
      <c r="H110" s="165"/>
      <c r="I110" s="174"/>
      <c r="J110" s="165"/>
      <c r="K110" s="174"/>
    </row>
    <row r="111" spans="2:11" x14ac:dyDescent="0.25">
      <c r="B111" s="166">
        <f t="shared" si="1"/>
        <v>0</v>
      </c>
      <c r="C111" s="172"/>
      <c r="D111" s="189"/>
      <c r="E111" s="172"/>
      <c r="F111" s="165"/>
      <c r="G111" s="173"/>
      <c r="H111" s="165"/>
      <c r="I111" s="174"/>
      <c r="J111" s="165"/>
      <c r="K111" s="174"/>
    </row>
    <row r="112" spans="2:11" x14ac:dyDescent="0.25">
      <c r="B112" s="166">
        <f t="shared" si="1"/>
        <v>0</v>
      </c>
      <c r="C112" s="172"/>
      <c r="D112" s="189"/>
      <c r="E112" s="172"/>
      <c r="F112" s="165"/>
      <c r="G112" s="173"/>
      <c r="H112" s="165"/>
      <c r="I112" s="174"/>
      <c r="J112" s="165"/>
      <c r="K112" s="174"/>
    </row>
    <row r="113" spans="2:11" x14ac:dyDescent="0.25">
      <c r="B113" s="166">
        <f t="shared" si="1"/>
        <v>0</v>
      </c>
      <c r="C113" s="172"/>
      <c r="D113" s="189"/>
      <c r="E113" s="172"/>
      <c r="F113" s="165"/>
      <c r="G113" s="173"/>
      <c r="H113" s="165"/>
      <c r="I113" s="174"/>
      <c r="J113" s="165"/>
      <c r="K113" s="174"/>
    </row>
    <row r="114" spans="2:11" x14ac:dyDescent="0.25">
      <c r="B114" s="166">
        <f t="shared" si="1"/>
        <v>0</v>
      </c>
      <c r="C114" s="172"/>
      <c r="D114" s="189"/>
      <c r="E114" s="172"/>
      <c r="F114" s="165"/>
      <c r="G114" s="173"/>
      <c r="H114" s="165"/>
      <c r="I114" s="174"/>
      <c r="J114" s="165"/>
      <c r="K114" s="174"/>
    </row>
    <row r="115" spans="2:11" x14ac:dyDescent="0.25">
      <c r="B115" s="166">
        <f t="shared" si="1"/>
        <v>0</v>
      </c>
      <c r="C115" s="172"/>
      <c r="D115" s="189"/>
      <c r="E115" s="172"/>
      <c r="F115" s="165"/>
      <c r="G115" s="173"/>
      <c r="H115" s="165"/>
      <c r="I115" s="174"/>
      <c r="J115" s="165"/>
      <c r="K115" s="174"/>
    </row>
    <row r="116" spans="2:11" x14ac:dyDescent="0.25">
      <c r="B116" s="166">
        <f t="shared" si="1"/>
        <v>0</v>
      </c>
      <c r="C116" s="172"/>
      <c r="D116" s="189"/>
      <c r="E116" s="172"/>
      <c r="F116" s="165"/>
      <c r="G116" s="173"/>
      <c r="H116" s="165"/>
      <c r="I116" s="174"/>
      <c r="J116" s="165"/>
      <c r="K116" s="174"/>
    </row>
    <row r="117" spans="2:11" x14ac:dyDescent="0.25">
      <c r="B117" s="166">
        <f t="shared" si="1"/>
        <v>0</v>
      </c>
      <c r="C117" s="172"/>
      <c r="D117" s="189"/>
      <c r="E117" s="172"/>
      <c r="F117" s="165"/>
      <c r="G117" s="173"/>
      <c r="H117" s="165"/>
      <c r="I117" s="174"/>
      <c r="J117" s="165"/>
      <c r="K117" s="174"/>
    </row>
    <row r="118" spans="2:11" x14ac:dyDescent="0.25">
      <c r="B118" s="166">
        <f t="shared" si="1"/>
        <v>0</v>
      </c>
      <c r="C118" s="172"/>
      <c r="D118" s="189"/>
      <c r="E118" s="172"/>
      <c r="F118" s="165"/>
      <c r="G118" s="173"/>
      <c r="H118" s="165"/>
      <c r="I118" s="174"/>
      <c r="J118" s="165"/>
      <c r="K118" s="174"/>
    </row>
    <row r="119" spans="2:11" x14ac:dyDescent="0.25">
      <c r="B119" s="166">
        <f t="shared" si="1"/>
        <v>0</v>
      </c>
      <c r="C119" s="172"/>
      <c r="D119" s="189"/>
      <c r="E119" s="172"/>
      <c r="F119" s="165"/>
      <c r="G119" s="173"/>
      <c r="H119" s="165"/>
      <c r="I119" s="174"/>
      <c r="J119" s="165"/>
      <c r="K119" s="174"/>
    </row>
    <row r="120" spans="2:11" x14ac:dyDescent="0.25">
      <c r="B120" s="166">
        <f t="shared" si="1"/>
        <v>0</v>
      </c>
      <c r="C120" s="172"/>
      <c r="D120" s="189"/>
      <c r="E120" s="172"/>
      <c r="F120" s="165"/>
      <c r="G120" s="173"/>
      <c r="H120" s="165"/>
      <c r="I120" s="174"/>
      <c r="J120" s="165"/>
      <c r="K120" s="174"/>
    </row>
    <row r="121" spans="2:11" x14ac:dyDescent="0.25">
      <c r="B121" s="166">
        <f t="shared" si="1"/>
        <v>0</v>
      </c>
      <c r="C121" s="172"/>
      <c r="D121" s="189"/>
      <c r="E121" s="172"/>
      <c r="F121" s="165"/>
      <c r="G121" s="173"/>
      <c r="H121" s="165"/>
      <c r="I121" s="174"/>
      <c r="J121" s="165"/>
      <c r="K121" s="174"/>
    </row>
    <row r="122" spans="2:11" x14ac:dyDescent="0.25">
      <c r="B122" s="166">
        <f t="shared" si="1"/>
        <v>0</v>
      </c>
      <c r="C122" s="172"/>
      <c r="D122" s="189"/>
      <c r="E122" s="172"/>
      <c r="F122" s="165"/>
      <c r="G122" s="173"/>
      <c r="H122" s="165"/>
      <c r="I122" s="174"/>
      <c r="J122" s="165"/>
      <c r="K122" s="174"/>
    </row>
    <row r="123" spans="2:11" x14ac:dyDescent="0.25">
      <c r="B123" s="166">
        <f t="shared" si="1"/>
        <v>0</v>
      </c>
      <c r="C123" s="172"/>
      <c r="D123" s="189"/>
      <c r="E123" s="172"/>
      <c r="F123" s="165"/>
      <c r="G123" s="173"/>
      <c r="H123" s="165"/>
      <c r="I123" s="174"/>
      <c r="J123" s="165"/>
      <c r="K123" s="174"/>
    </row>
    <row r="124" spans="2:11" x14ac:dyDescent="0.25">
      <c r="B124" s="166">
        <f t="shared" si="1"/>
        <v>0</v>
      </c>
      <c r="C124" s="172"/>
      <c r="D124" s="189"/>
      <c r="E124" s="172"/>
      <c r="F124" s="165"/>
      <c r="G124" s="173"/>
      <c r="H124" s="165"/>
      <c r="I124" s="174"/>
      <c r="J124" s="165"/>
      <c r="K124" s="174"/>
    </row>
    <row r="125" spans="2:11" x14ac:dyDescent="0.25">
      <c r="B125" s="166">
        <f t="shared" si="1"/>
        <v>0</v>
      </c>
      <c r="C125" s="172"/>
      <c r="D125" s="189"/>
      <c r="E125" s="172"/>
      <c r="F125" s="165"/>
      <c r="G125" s="173"/>
      <c r="H125" s="165"/>
      <c r="I125" s="174"/>
      <c r="J125" s="165"/>
      <c r="K125" s="174"/>
    </row>
    <row r="126" spans="2:11" x14ac:dyDescent="0.25">
      <c r="B126" s="166">
        <f t="shared" si="1"/>
        <v>0</v>
      </c>
      <c r="C126" s="172"/>
      <c r="D126" s="189"/>
      <c r="E126" s="172"/>
      <c r="F126" s="165"/>
      <c r="G126" s="173"/>
      <c r="H126" s="165"/>
      <c r="I126" s="174"/>
      <c r="J126" s="165"/>
      <c r="K126" s="174"/>
    </row>
    <row r="127" spans="2:11" x14ac:dyDescent="0.25">
      <c r="B127" s="166">
        <f t="shared" si="1"/>
        <v>0</v>
      </c>
      <c r="C127" s="172"/>
      <c r="D127" s="189"/>
      <c r="E127" s="172"/>
      <c r="F127" s="165"/>
      <c r="G127" s="173"/>
      <c r="H127" s="165"/>
      <c r="I127" s="174"/>
      <c r="J127" s="165"/>
      <c r="K127" s="174"/>
    </row>
    <row r="128" spans="2:11" x14ac:dyDescent="0.25">
      <c r="B128" s="166">
        <f t="shared" si="1"/>
        <v>0</v>
      </c>
      <c r="C128" s="172"/>
      <c r="D128" s="189"/>
      <c r="E128" s="172"/>
      <c r="F128" s="165"/>
      <c r="G128" s="173"/>
      <c r="H128" s="165"/>
      <c r="I128" s="174"/>
      <c r="J128" s="165"/>
      <c r="K128" s="174"/>
    </row>
    <row r="129" spans="2:11" x14ac:dyDescent="0.25">
      <c r="B129" s="166">
        <f t="shared" si="1"/>
        <v>0</v>
      </c>
      <c r="C129" s="172"/>
      <c r="D129" s="189"/>
      <c r="E129" s="172"/>
      <c r="F129" s="165"/>
      <c r="G129" s="173"/>
      <c r="H129" s="165"/>
      <c r="I129" s="174"/>
      <c r="J129" s="165"/>
      <c r="K129" s="174"/>
    </row>
    <row r="130" spans="2:11" x14ac:dyDescent="0.25">
      <c r="B130" s="166">
        <f t="shared" si="1"/>
        <v>0</v>
      </c>
      <c r="C130" s="172"/>
      <c r="D130" s="189"/>
      <c r="E130" s="172"/>
      <c r="F130" s="165"/>
      <c r="G130" s="173"/>
      <c r="H130" s="165"/>
      <c r="I130" s="174"/>
      <c r="J130" s="165"/>
      <c r="K130" s="174"/>
    </row>
    <row r="131" spans="2:11" x14ac:dyDescent="0.25">
      <c r="B131" s="166">
        <f t="shared" si="1"/>
        <v>0</v>
      </c>
      <c r="C131" s="172"/>
      <c r="D131" s="189"/>
      <c r="E131" s="172"/>
      <c r="F131" s="165"/>
      <c r="G131" s="173"/>
      <c r="H131" s="165"/>
      <c r="I131" s="174"/>
      <c r="J131" s="165"/>
      <c r="K131" s="174"/>
    </row>
    <row r="132" spans="2:11" x14ac:dyDescent="0.25">
      <c r="B132" s="166">
        <f t="shared" si="1"/>
        <v>0</v>
      </c>
      <c r="C132" s="172"/>
      <c r="D132" s="189"/>
      <c r="E132" s="172"/>
      <c r="F132" s="165"/>
      <c r="G132" s="173"/>
      <c r="H132" s="165"/>
      <c r="I132" s="174"/>
      <c r="J132" s="165"/>
      <c r="K132" s="174"/>
    </row>
    <row r="133" spans="2:11" x14ac:dyDescent="0.25">
      <c r="B133" s="166">
        <f t="shared" si="1"/>
        <v>0</v>
      </c>
      <c r="C133" s="172"/>
      <c r="D133" s="189"/>
      <c r="E133" s="172"/>
      <c r="F133" s="165"/>
      <c r="G133" s="173"/>
      <c r="H133" s="165"/>
      <c r="I133" s="174"/>
      <c r="J133" s="165"/>
      <c r="K133" s="174"/>
    </row>
    <row r="134" spans="2:11" x14ac:dyDescent="0.25">
      <c r="B134" s="166">
        <f t="shared" si="1"/>
        <v>0</v>
      </c>
      <c r="C134" s="172"/>
      <c r="D134" s="189"/>
      <c r="E134" s="172"/>
      <c r="F134" s="165"/>
      <c r="G134" s="173"/>
      <c r="H134" s="165"/>
      <c r="I134" s="174"/>
      <c r="J134" s="165"/>
      <c r="K134" s="174"/>
    </row>
    <row r="135" spans="2:11" x14ac:dyDescent="0.25">
      <c r="B135" s="166">
        <f t="shared" si="1"/>
        <v>0</v>
      </c>
      <c r="C135" s="172"/>
      <c r="D135" s="189"/>
      <c r="E135" s="172"/>
      <c r="F135" s="165"/>
      <c r="G135" s="173"/>
      <c r="H135" s="165"/>
      <c r="I135" s="174"/>
      <c r="J135" s="165"/>
      <c r="K135" s="174"/>
    </row>
    <row r="136" spans="2:11" x14ac:dyDescent="0.25">
      <c r="B136" s="166">
        <f t="shared" ref="B136:B199" si="2">IF(NOT(ISBLANK(C136)),(C136-C135),0)</f>
        <v>0</v>
      </c>
      <c r="C136" s="172"/>
      <c r="D136" s="189"/>
      <c r="E136" s="172"/>
      <c r="F136" s="165"/>
      <c r="G136" s="173"/>
      <c r="H136" s="165"/>
      <c r="I136" s="174"/>
      <c r="J136" s="165"/>
      <c r="K136" s="174"/>
    </row>
    <row r="137" spans="2:11" x14ac:dyDescent="0.25">
      <c r="B137" s="166">
        <f t="shared" si="2"/>
        <v>0</v>
      </c>
      <c r="C137" s="172"/>
      <c r="D137" s="189"/>
      <c r="E137" s="172"/>
      <c r="F137" s="165"/>
      <c r="G137" s="173"/>
      <c r="H137" s="165"/>
      <c r="I137" s="174"/>
      <c r="J137" s="165"/>
      <c r="K137" s="174"/>
    </row>
    <row r="138" spans="2:11" x14ac:dyDescent="0.25">
      <c r="B138" s="166">
        <f t="shared" si="2"/>
        <v>0</v>
      </c>
      <c r="C138" s="172"/>
      <c r="D138" s="189"/>
      <c r="E138" s="172"/>
      <c r="F138" s="165"/>
      <c r="G138" s="173"/>
      <c r="H138" s="165"/>
      <c r="I138" s="174"/>
      <c r="J138" s="165"/>
      <c r="K138" s="174"/>
    </row>
    <row r="139" spans="2:11" x14ac:dyDescent="0.25">
      <c r="B139" s="166">
        <f t="shared" si="2"/>
        <v>0</v>
      </c>
      <c r="C139" s="172"/>
      <c r="D139" s="189"/>
      <c r="E139" s="172"/>
      <c r="F139" s="165"/>
      <c r="G139" s="173"/>
      <c r="H139" s="165"/>
      <c r="I139" s="174"/>
      <c r="J139" s="165"/>
      <c r="K139" s="174"/>
    </row>
    <row r="140" spans="2:11" x14ac:dyDescent="0.25">
      <c r="B140" s="166">
        <f t="shared" si="2"/>
        <v>0</v>
      </c>
      <c r="C140" s="172"/>
      <c r="D140" s="189"/>
      <c r="E140" s="172"/>
      <c r="F140" s="165"/>
      <c r="G140" s="173"/>
      <c r="H140" s="165"/>
      <c r="I140" s="174"/>
      <c r="J140" s="165"/>
      <c r="K140" s="174"/>
    </row>
    <row r="141" spans="2:11" x14ac:dyDescent="0.25">
      <c r="B141" s="166">
        <f t="shared" si="2"/>
        <v>0</v>
      </c>
      <c r="C141" s="172"/>
      <c r="D141" s="189"/>
      <c r="E141" s="172"/>
      <c r="F141" s="165"/>
      <c r="G141" s="173"/>
      <c r="H141" s="165"/>
      <c r="I141" s="174"/>
      <c r="J141" s="165"/>
      <c r="K141" s="174"/>
    </row>
    <row r="142" spans="2:11" x14ac:dyDescent="0.25">
      <c r="B142" s="166">
        <f t="shared" si="2"/>
        <v>0</v>
      </c>
      <c r="C142" s="172"/>
      <c r="D142" s="189"/>
      <c r="E142" s="172"/>
      <c r="F142" s="165"/>
      <c r="G142" s="173"/>
      <c r="H142" s="165"/>
      <c r="I142" s="174"/>
      <c r="J142" s="165"/>
      <c r="K142" s="174"/>
    </row>
    <row r="143" spans="2:11" x14ac:dyDescent="0.25">
      <c r="B143" s="166">
        <f t="shared" si="2"/>
        <v>0</v>
      </c>
      <c r="C143" s="172"/>
      <c r="D143" s="189"/>
      <c r="E143" s="172"/>
      <c r="F143" s="165"/>
      <c r="G143" s="173"/>
      <c r="H143" s="165"/>
      <c r="I143" s="174"/>
      <c r="J143" s="165"/>
      <c r="K143" s="174"/>
    </row>
    <row r="144" spans="2:11" x14ac:dyDescent="0.25">
      <c r="B144" s="166">
        <f t="shared" si="2"/>
        <v>0</v>
      </c>
      <c r="C144" s="172"/>
      <c r="D144" s="189"/>
      <c r="E144" s="172"/>
      <c r="F144" s="165"/>
      <c r="G144" s="173"/>
      <c r="H144" s="165"/>
      <c r="I144" s="174"/>
      <c r="J144" s="165"/>
      <c r="K144" s="174"/>
    </row>
    <row r="145" spans="2:11" x14ac:dyDescent="0.25">
      <c r="B145" s="166">
        <f t="shared" si="2"/>
        <v>0</v>
      </c>
      <c r="C145" s="172"/>
      <c r="D145" s="189"/>
      <c r="E145" s="172"/>
      <c r="F145" s="165"/>
      <c r="G145" s="173"/>
      <c r="H145" s="165"/>
      <c r="I145" s="174"/>
      <c r="J145" s="165"/>
      <c r="K145" s="174"/>
    </row>
    <row r="146" spans="2:11" x14ac:dyDescent="0.25">
      <c r="B146" s="166">
        <f t="shared" si="2"/>
        <v>0</v>
      </c>
      <c r="C146" s="172"/>
      <c r="D146" s="189"/>
      <c r="E146" s="172"/>
      <c r="F146" s="165"/>
      <c r="G146" s="173"/>
      <c r="H146" s="165"/>
      <c r="I146" s="174"/>
      <c r="J146" s="165"/>
      <c r="K146" s="174"/>
    </row>
    <row r="147" spans="2:11" x14ac:dyDescent="0.25">
      <c r="B147" s="166">
        <f t="shared" si="2"/>
        <v>0</v>
      </c>
      <c r="C147" s="172"/>
      <c r="D147" s="189"/>
      <c r="E147" s="172"/>
      <c r="F147" s="165"/>
      <c r="G147" s="173"/>
      <c r="H147" s="165"/>
      <c r="I147" s="174"/>
      <c r="J147" s="165"/>
      <c r="K147" s="174"/>
    </row>
    <row r="148" spans="2:11" x14ac:dyDescent="0.25">
      <c r="B148" s="166">
        <f t="shared" si="2"/>
        <v>0</v>
      </c>
      <c r="C148" s="172"/>
      <c r="D148" s="189"/>
      <c r="E148" s="172"/>
      <c r="F148" s="165"/>
      <c r="G148" s="173"/>
      <c r="H148" s="165"/>
      <c r="I148" s="174"/>
      <c r="J148" s="165"/>
      <c r="K148" s="174"/>
    </row>
    <row r="149" spans="2:11" x14ac:dyDescent="0.25">
      <c r="B149" s="166">
        <f t="shared" si="2"/>
        <v>0</v>
      </c>
      <c r="C149" s="172"/>
      <c r="D149" s="189"/>
      <c r="E149" s="172"/>
      <c r="F149" s="165"/>
      <c r="G149" s="173"/>
      <c r="H149" s="165"/>
      <c r="I149" s="174"/>
      <c r="J149" s="165"/>
      <c r="K149" s="174"/>
    </row>
    <row r="150" spans="2:11" x14ac:dyDescent="0.25">
      <c r="B150" s="166">
        <f t="shared" si="2"/>
        <v>0</v>
      </c>
      <c r="C150" s="172"/>
      <c r="D150" s="189"/>
      <c r="E150" s="172"/>
      <c r="F150" s="165"/>
      <c r="G150" s="173"/>
      <c r="H150" s="165"/>
      <c r="I150" s="174"/>
      <c r="J150" s="165"/>
      <c r="K150" s="174"/>
    </row>
    <row r="151" spans="2:11" x14ac:dyDescent="0.25">
      <c r="B151" s="166">
        <f t="shared" si="2"/>
        <v>0</v>
      </c>
      <c r="C151" s="172"/>
      <c r="D151" s="189"/>
      <c r="E151" s="172"/>
      <c r="F151" s="165"/>
      <c r="G151" s="173"/>
      <c r="H151" s="165"/>
      <c r="I151" s="174"/>
      <c r="J151" s="165"/>
      <c r="K151" s="174"/>
    </row>
    <row r="152" spans="2:11" x14ac:dyDescent="0.25">
      <c r="B152" s="166">
        <f t="shared" si="2"/>
        <v>0</v>
      </c>
      <c r="C152" s="172"/>
      <c r="D152" s="189"/>
      <c r="E152" s="172"/>
      <c r="F152" s="165"/>
      <c r="G152" s="173"/>
      <c r="H152" s="165"/>
      <c r="I152" s="174"/>
      <c r="J152" s="165"/>
      <c r="K152" s="174"/>
    </row>
    <row r="153" spans="2:11" x14ac:dyDescent="0.25">
      <c r="B153" s="166">
        <f t="shared" si="2"/>
        <v>0</v>
      </c>
      <c r="C153" s="172"/>
      <c r="D153" s="189"/>
      <c r="E153" s="172"/>
      <c r="F153" s="165"/>
      <c r="G153" s="173"/>
      <c r="H153" s="165"/>
      <c r="I153" s="174"/>
      <c r="J153" s="165"/>
      <c r="K153" s="174"/>
    </row>
    <row r="154" spans="2:11" x14ac:dyDescent="0.25">
      <c r="B154" s="166">
        <f t="shared" si="2"/>
        <v>0</v>
      </c>
      <c r="C154" s="172"/>
      <c r="D154" s="189"/>
      <c r="E154" s="172"/>
      <c r="F154" s="165"/>
      <c r="G154" s="173"/>
      <c r="H154" s="165"/>
      <c r="I154" s="174"/>
      <c r="J154" s="165"/>
      <c r="K154" s="174"/>
    </row>
    <row r="155" spans="2:11" x14ac:dyDescent="0.25">
      <c r="B155" s="166">
        <f t="shared" si="2"/>
        <v>0</v>
      </c>
      <c r="C155" s="172"/>
      <c r="D155" s="189"/>
      <c r="E155" s="172"/>
      <c r="F155" s="165"/>
      <c r="G155" s="173"/>
      <c r="H155" s="165"/>
      <c r="I155" s="174"/>
      <c r="J155" s="165"/>
      <c r="K155" s="174"/>
    </row>
    <row r="156" spans="2:11" x14ac:dyDescent="0.25">
      <c r="B156" s="166">
        <f t="shared" si="2"/>
        <v>0</v>
      </c>
      <c r="C156" s="172"/>
      <c r="D156" s="189"/>
      <c r="E156" s="172"/>
      <c r="F156" s="165"/>
      <c r="G156" s="173"/>
      <c r="H156" s="165"/>
      <c r="I156" s="174"/>
      <c r="J156" s="165"/>
      <c r="K156" s="174"/>
    </row>
    <row r="157" spans="2:11" x14ac:dyDescent="0.25">
      <c r="B157" s="166">
        <f t="shared" si="2"/>
        <v>0</v>
      </c>
      <c r="C157" s="172"/>
      <c r="D157" s="189"/>
      <c r="E157" s="172"/>
      <c r="F157" s="165"/>
      <c r="G157" s="173"/>
      <c r="H157" s="165"/>
      <c r="I157" s="174"/>
      <c r="J157" s="165"/>
      <c r="K157" s="174"/>
    </row>
    <row r="158" spans="2:11" x14ac:dyDescent="0.25">
      <c r="B158" s="166">
        <f t="shared" si="2"/>
        <v>0</v>
      </c>
      <c r="C158" s="172"/>
      <c r="D158" s="189"/>
      <c r="E158" s="172"/>
      <c r="F158" s="165"/>
      <c r="G158" s="173"/>
      <c r="H158" s="165"/>
      <c r="I158" s="174"/>
      <c r="J158" s="165"/>
      <c r="K158" s="174"/>
    </row>
    <row r="159" spans="2:11" x14ac:dyDescent="0.25">
      <c r="B159" s="166">
        <f t="shared" si="2"/>
        <v>0</v>
      </c>
      <c r="C159" s="172"/>
      <c r="D159" s="189"/>
      <c r="E159" s="172"/>
      <c r="F159" s="165"/>
      <c r="G159" s="173"/>
      <c r="H159" s="165"/>
      <c r="I159" s="174"/>
      <c r="J159" s="165"/>
      <c r="K159" s="174"/>
    </row>
    <row r="160" spans="2:11" x14ac:dyDescent="0.25">
      <c r="B160" s="166">
        <f t="shared" si="2"/>
        <v>0</v>
      </c>
      <c r="C160" s="172"/>
      <c r="D160" s="189"/>
      <c r="E160" s="172"/>
      <c r="F160" s="165"/>
      <c r="G160" s="173"/>
      <c r="H160" s="165"/>
      <c r="I160" s="174"/>
      <c r="J160" s="165"/>
      <c r="K160" s="174"/>
    </row>
    <row r="161" spans="2:11" x14ac:dyDescent="0.25">
      <c r="B161" s="166">
        <f t="shared" si="2"/>
        <v>0</v>
      </c>
      <c r="C161" s="172"/>
      <c r="D161" s="189"/>
      <c r="E161" s="172"/>
      <c r="F161" s="165"/>
      <c r="G161" s="173"/>
      <c r="H161" s="165"/>
      <c r="I161" s="174"/>
      <c r="J161" s="165"/>
      <c r="K161" s="174"/>
    </row>
    <row r="162" spans="2:11" x14ac:dyDescent="0.25">
      <c r="B162" s="166">
        <f t="shared" si="2"/>
        <v>0</v>
      </c>
      <c r="C162" s="172"/>
      <c r="D162" s="189"/>
      <c r="E162" s="172"/>
      <c r="F162" s="165"/>
      <c r="G162" s="173"/>
      <c r="H162" s="165"/>
      <c r="I162" s="174"/>
      <c r="J162" s="165"/>
      <c r="K162" s="174"/>
    </row>
    <row r="163" spans="2:11" x14ac:dyDescent="0.25">
      <c r="B163" s="166">
        <f t="shared" si="2"/>
        <v>0</v>
      </c>
      <c r="C163" s="172"/>
      <c r="D163" s="189"/>
      <c r="E163" s="172"/>
      <c r="F163" s="165"/>
      <c r="G163" s="173"/>
      <c r="H163" s="165"/>
      <c r="I163" s="174"/>
      <c r="J163" s="165"/>
      <c r="K163" s="174"/>
    </row>
    <row r="164" spans="2:11" x14ac:dyDescent="0.25">
      <c r="B164" s="166">
        <f t="shared" si="2"/>
        <v>0</v>
      </c>
      <c r="C164" s="172"/>
      <c r="D164" s="189"/>
      <c r="E164" s="172"/>
      <c r="F164" s="165"/>
      <c r="G164" s="173"/>
      <c r="H164" s="165"/>
      <c r="I164" s="174"/>
      <c r="J164" s="165"/>
      <c r="K164" s="174"/>
    </row>
    <row r="165" spans="2:11" x14ac:dyDescent="0.25">
      <c r="B165" s="166">
        <f t="shared" si="2"/>
        <v>0</v>
      </c>
      <c r="C165" s="172"/>
      <c r="D165" s="189"/>
      <c r="E165" s="172"/>
      <c r="F165" s="165"/>
      <c r="G165" s="173"/>
      <c r="H165" s="165"/>
      <c r="I165" s="174"/>
      <c r="J165" s="165"/>
      <c r="K165" s="174"/>
    </row>
    <row r="166" spans="2:11" x14ac:dyDescent="0.25">
      <c r="B166" s="166">
        <f t="shared" si="2"/>
        <v>0</v>
      </c>
      <c r="C166" s="172"/>
      <c r="D166" s="189"/>
      <c r="E166" s="172"/>
      <c r="F166" s="165"/>
      <c r="G166" s="173"/>
      <c r="H166" s="165"/>
      <c r="I166" s="174"/>
      <c r="J166" s="165"/>
      <c r="K166" s="174"/>
    </row>
    <row r="167" spans="2:11" x14ac:dyDescent="0.25">
      <c r="B167" s="166">
        <f t="shared" si="2"/>
        <v>0</v>
      </c>
      <c r="C167" s="172"/>
      <c r="D167" s="189"/>
      <c r="E167" s="172"/>
      <c r="F167" s="165"/>
      <c r="G167" s="173"/>
      <c r="H167" s="165"/>
      <c r="I167" s="174"/>
      <c r="J167" s="165"/>
      <c r="K167" s="174"/>
    </row>
    <row r="168" spans="2:11" x14ac:dyDescent="0.25">
      <c r="B168" s="166">
        <f t="shared" si="2"/>
        <v>0</v>
      </c>
      <c r="C168" s="172"/>
      <c r="D168" s="189"/>
      <c r="E168" s="172"/>
      <c r="F168" s="165"/>
      <c r="G168" s="173"/>
      <c r="H168" s="165"/>
      <c r="I168" s="174"/>
      <c r="J168" s="165"/>
      <c r="K168" s="174"/>
    </row>
    <row r="169" spans="2:11" x14ac:dyDescent="0.25">
      <c r="B169" s="166">
        <f t="shared" si="2"/>
        <v>0</v>
      </c>
      <c r="C169" s="172"/>
      <c r="D169" s="189"/>
      <c r="E169" s="172"/>
      <c r="F169" s="165"/>
      <c r="G169" s="173"/>
      <c r="H169" s="165"/>
      <c r="I169" s="174"/>
      <c r="J169" s="165"/>
      <c r="K169" s="174"/>
    </row>
    <row r="170" spans="2:11" x14ac:dyDescent="0.25">
      <c r="B170" s="166">
        <f t="shared" si="2"/>
        <v>0</v>
      </c>
      <c r="C170" s="172"/>
      <c r="D170" s="189"/>
      <c r="E170" s="172"/>
      <c r="F170" s="165"/>
      <c r="G170" s="173"/>
      <c r="H170" s="165"/>
      <c r="I170" s="174"/>
      <c r="J170" s="165"/>
      <c r="K170" s="174"/>
    </row>
    <row r="171" spans="2:11" x14ac:dyDescent="0.25">
      <c r="B171" s="166">
        <f t="shared" si="2"/>
        <v>0</v>
      </c>
      <c r="C171" s="172"/>
      <c r="D171" s="189"/>
      <c r="E171" s="172"/>
      <c r="F171" s="165"/>
      <c r="G171" s="173"/>
      <c r="H171" s="165"/>
      <c r="I171" s="174"/>
      <c r="J171" s="165"/>
      <c r="K171" s="174"/>
    </row>
    <row r="172" spans="2:11" x14ac:dyDescent="0.25">
      <c r="B172" s="166">
        <f t="shared" si="2"/>
        <v>0</v>
      </c>
      <c r="C172" s="172"/>
      <c r="D172" s="189"/>
      <c r="E172" s="172"/>
      <c r="F172" s="165"/>
      <c r="G172" s="173"/>
      <c r="H172" s="165"/>
      <c r="I172" s="174"/>
      <c r="J172" s="165"/>
      <c r="K172" s="174"/>
    </row>
    <row r="173" spans="2:11" x14ac:dyDescent="0.25">
      <c r="B173" s="166">
        <f t="shared" si="2"/>
        <v>0</v>
      </c>
      <c r="C173" s="172"/>
      <c r="D173" s="189"/>
      <c r="E173" s="172"/>
      <c r="F173" s="165"/>
      <c r="G173" s="173"/>
      <c r="H173" s="165"/>
      <c r="I173" s="174"/>
      <c r="J173" s="165"/>
      <c r="K173" s="174"/>
    </row>
    <row r="174" spans="2:11" x14ac:dyDescent="0.25">
      <c r="B174" s="166">
        <f t="shared" si="2"/>
        <v>0</v>
      </c>
      <c r="C174" s="172"/>
      <c r="D174" s="189"/>
      <c r="E174" s="172"/>
      <c r="F174" s="165"/>
      <c r="G174" s="173"/>
      <c r="H174" s="165"/>
      <c r="I174" s="174"/>
      <c r="J174" s="165"/>
      <c r="K174" s="174"/>
    </row>
    <row r="175" spans="2:11" x14ac:dyDescent="0.25">
      <c r="B175" s="166">
        <f t="shared" si="2"/>
        <v>0</v>
      </c>
      <c r="C175" s="172"/>
      <c r="D175" s="189"/>
      <c r="E175" s="172"/>
      <c r="F175" s="165"/>
      <c r="G175" s="173"/>
      <c r="H175" s="165"/>
      <c r="I175" s="174"/>
      <c r="J175" s="165"/>
      <c r="K175" s="174"/>
    </row>
    <row r="176" spans="2:11" x14ac:dyDescent="0.25">
      <c r="B176" s="166">
        <f t="shared" si="2"/>
        <v>0</v>
      </c>
      <c r="C176" s="172"/>
      <c r="D176" s="189"/>
      <c r="E176" s="172"/>
      <c r="F176" s="165"/>
      <c r="G176" s="173"/>
      <c r="H176" s="165"/>
      <c r="I176" s="174"/>
      <c r="J176" s="165"/>
      <c r="K176" s="174"/>
    </row>
    <row r="177" spans="2:11" x14ac:dyDescent="0.25">
      <c r="B177" s="166">
        <f t="shared" si="2"/>
        <v>0</v>
      </c>
      <c r="C177" s="172"/>
      <c r="D177" s="189"/>
      <c r="E177" s="172"/>
      <c r="F177" s="165"/>
      <c r="G177" s="173"/>
      <c r="H177" s="165"/>
      <c r="I177" s="174"/>
      <c r="J177" s="165"/>
      <c r="K177" s="174"/>
    </row>
    <row r="178" spans="2:11" x14ac:dyDescent="0.25">
      <c r="B178" s="166">
        <f t="shared" si="2"/>
        <v>0</v>
      </c>
      <c r="C178" s="172"/>
      <c r="D178" s="189"/>
      <c r="E178" s="172"/>
      <c r="F178" s="165"/>
      <c r="G178" s="173"/>
      <c r="H178" s="165"/>
      <c r="I178" s="174"/>
      <c r="J178" s="165"/>
      <c r="K178" s="174"/>
    </row>
    <row r="179" spans="2:11" x14ac:dyDescent="0.25">
      <c r="B179" s="166">
        <f t="shared" si="2"/>
        <v>0</v>
      </c>
      <c r="C179" s="172"/>
      <c r="D179" s="189"/>
      <c r="E179" s="172"/>
      <c r="F179" s="165"/>
      <c r="G179" s="173"/>
      <c r="H179" s="165"/>
      <c r="I179" s="174"/>
      <c r="J179" s="165"/>
      <c r="K179" s="174"/>
    </row>
    <row r="180" spans="2:11" x14ac:dyDescent="0.25">
      <c r="B180" s="166">
        <f t="shared" si="2"/>
        <v>0</v>
      </c>
      <c r="C180" s="172"/>
      <c r="D180" s="189"/>
      <c r="E180" s="172"/>
      <c r="F180" s="165"/>
      <c r="G180" s="173"/>
      <c r="H180" s="165"/>
      <c r="I180" s="174"/>
      <c r="J180" s="165"/>
      <c r="K180" s="174"/>
    </row>
    <row r="181" spans="2:11" x14ac:dyDescent="0.25">
      <c r="B181" s="166">
        <f t="shared" si="2"/>
        <v>0</v>
      </c>
      <c r="C181" s="172"/>
      <c r="D181" s="189"/>
      <c r="E181" s="172"/>
      <c r="F181" s="165"/>
      <c r="G181" s="173"/>
      <c r="H181" s="165"/>
      <c r="I181" s="174"/>
      <c r="J181" s="165"/>
      <c r="K181" s="174"/>
    </row>
    <row r="182" spans="2:11" x14ac:dyDescent="0.25">
      <c r="B182" s="166">
        <f t="shared" si="2"/>
        <v>0</v>
      </c>
      <c r="C182" s="172"/>
      <c r="D182" s="189"/>
      <c r="E182" s="172"/>
      <c r="F182" s="165"/>
      <c r="G182" s="173"/>
      <c r="H182" s="165"/>
      <c r="I182" s="174"/>
      <c r="J182" s="165"/>
      <c r="K182" s="174"/>
    </row>
    <row r="183" spans="2:11" x14ac:dyDescent="0.25">
      <c r="B183" s="166">
        <f t="shared" si="2"/>
        <v>0</v>
      </c>
      <c r="C183" s="172"/>
      <c r="D183" s="189"/>
      <c r="E183" s="172"/>
      <c r="F183" s="165"/>
      <c r="G183" s="173"/>
      <c r="H183" s="165"/>
      <c r="I183" s="174"/>
      <c r="J183" s="165"/>
      <c r="K183" s="174"/>
    </row>
    <row r="184" spans="2:11" x14ac:dyDescent="0.25">
      <c r="B184" s="166">
        <f t="shared" si="2"/>
        <v>0</v>
      </c>
      <c r="C184" s="172"/>
      <c r="D184" s="189"/>
      <c r="E184" s="172"/>
      <c r="F184" s="165"/>
      <c r="G184" s="173"/>
      <c r="H184" s="165"/>
      <c r="I184" s="174"/>
      <c r="J184" s="165"/>
      <c r="K184" s="174"/>
    </row>
    <row r="185" spans="2:11" x14ac:dyDescent="0.25">
      <c r="B185" s="166">
        <f t="shared" si="2"/>
        <v>0</v>
      </c>
      <c r="C185" s="172"/>
      <c r="D185" s="189"/>
      <c r="E185" s="172"/>
      <c r="F185" s="165"/>
      <c r="G185" s="173"/>
      <c r="H185" s="165"/>
      <c r="I185" s="174"/>
      <c r="J185" s="165"/>
      <c r="K185" s="174"/>
    </row>
    <row r="186" spans="2:11" x14ac:dyDescent="0.25">
      <c r="B186" s="166">
        <f t="shared" si="2"/>
        <v>0</v>
      </c>
      <c r="C186" s="172"/>
      <c r="D186" s="189"/>
      <c r="E186" s="172"/>
      <c r="F186" s="165"/>
      <c r="G186" s="173"/>
      <c r="H186" s="165"/>
      <c r="I186" s="174"/>
      <c r="J186" s="165"/>
      <c r="K186" s="174"/>
    </row>
    <row r="187" spans="2:11" x14ac:dyDescent="0.25">
      <c r="B187" s="166">
        <f t="shared" si="2"/>
        <v>0</v>
      </c>
      <c r="C187" s="172"/>
      <c r="D187" s="189"/>
      <c r="E187" s="172"/>
      <c r="F187" s="165"/>
      <c r="G187" s="173"/>
      <c r="H187" s="165"/>
      <c r="I187" s="174"/>
      <c r="J187" s="165"/>
      <c r="K187" s="174"/>
    </row>
    <row r="188" spans="2:11" x14ac:dyDescent="0.25">
      <c r="B188" s="166">
        <f t="shared" si="2"/>
        <v>0</v>
      </c>
      <c r="C188" s="172"/>
      <c r="D188" s="189"/>
      <c r="E188" s="172"/>
      <c r="F188" s="165"/>
      <c r="G188" s="173"/>
      <c r="H188" s="165"/>
      <c r="I188" s="174"/>
      <c r="J188" s="165"/>
      <c r="K188" s="174"/>
    </row>
    <row r="189" spans="2:11" x14ac:dyDescent="0.25">
      <c r="B189" s="166">
        <f t="shared" si="2"/>
        <v>0</v>
      </c>
      <c r="C189" s="172"/>
      <c r="D189" s="189"/>
      <c r="E189" s="172"/>
      <c r="F189" s="165"/>
      <c r="G189" s="173"/>
      <c r="H189" s="165"/>
      <c r="I189" s="174"/>
      <c r="J189" s="165"/>
      <c r="K189" s="174"/>
    </row>
    <row r="190" spans="2:11" x14ac:dyDescent="0.25">
      <c r="B190" s="166">
        <f t="shared" si="2"/>
        <v>0</v>
      </c>
      <c r="C190" s="172"/>
      <c r="D190" s="189"/>
      <c r="E190" s="172"/>
      <c r="F190" s="165"/>
      <c r="G190" s="173"/>
      <c r="H190" s="165"/>
      <c r="I190" s="174"/>
      <c r="J190" s="165"/>
      <c r="K190" s="174"/>
    </row>
    <row r="191" spans="2:11" x14ac:dyDescent="0.25">
      <c r="B191" s="166">
        <f t="shared" si="2"/>
        <v>0</v>
      </c>
      <c r="C191" s="172"/>
      <c r="D191" s="189"/>
      <c r="E191" s="172"/>
      <c r="F191" s="165"/>
      <c r="G191" s="173"/>
      <c r="H191" s="165"/>
      <c r="I191" s="174"/>
      <c r="J191" s="165"/>
      <c r="K191" s="174"/>
    </row>
    <row r="192" spans="2:11" x14ac:dyDescent="0.25">
      <c r="B192" s="166">
        <f t="shared" si="2"/>
        <v>0</v>
      </c>
      <c r="C192" s="172"/>
      <c r="D192" s="189"/>
      <c r="E192" s="172"/>
      <c r="F192" s="165"/>
      <c r="G192" s="173"/>
      <c r="H192" s="165"/>
      <c r="I192" s="174"/>
      <c r="J192" s="165"/>
      <c r="K192" s="174"/>
    </row>
    <row r="193" spans="2:11" x14ac:dyDescent="0.25">
      <c r="B193" s="166">
        <f t="shared" si="2"/>
        <v>0</v>
      </c>
      <c r="C193" s="172"/>
      <c r="D193" s="189"/>
      <c r="E193" s="172"/>
      <c r="F193" s="165"/>
      <c r="G193" s="173"/>
      <c r="H193" s="165"/>
      <c r="I193" s="174"/>
      <c r="J193" s="165"/>
      <c r="K193" s="174"/>
    </row>
    <row r="194" spans="2:11" x14ac:dyDescent="0.25">
      <c r="B194" s="166">
        <f t="shared" si="2"/>
        <v>0</v>
      </c>
      <c r="C194" s="172"/>
      <c r="D194" s="189"/>
      <c r="E194" s="172"/>
      <c r="F194" s="165"/>
      <c r="G194" s="173"/>
      <c r="H194" s="165"/>
      <c r="I194" s="174"/>
      <c r="J194" s="165"/>
      <c r="K194" s="174"/>
    </row>
    <row r="195" spans="2:11" x14ac:dyDescent="0.25">
      <c r="B195" s="166">
        <f t="shared" si="2"/>
        <v>0</v>
      </c>
      <c r="C195" s="172"/>
      <c r="D195" s="189"/>
      <c r="E195" s="172"/>
      <c r="F195" s="165"/>
      <c r="G195" s="173"/>
      <c r="H195" s="165"/>
      <c r="I195" s="174"/>
      <c r="J195" s="165"/>
      <c r="K195" s="174"/>
    </row>
    <row r="196" spans="2:11" x14ac:dyDescent="0.25">
      <c r="B196" s="166">
        <f t="shared" si="2"/>
        <v>0</v>
      </c>
      <c r="C196" s="172"/>
      <c r="D196" s="189"/>
      <c r="E196" s="172"/>
      <c r="F196" s="165"/>
      <c r="G196" s="173"/>
      <c r="H196" s="165"/>
      <c r="I196" s="174"/>
      <c r="J196" s="165"/>
      <c r="K196" s="174"/>
    </row>
    <row r="197" spans="2:11" x14ac:dyDescent="0.25">
      <c r="B197" s="166">
        <f t="shared" si="2"/>
        <v>0</v>
      </c>
      <c r="C197" s="172"/>
      <c r="D197" s="189"/>
      <c r="E197" s="172"/>
      <c r="F197" s="165"/>
      <c r="G197" s="173"/>
      <c r="H197" s="165"/>
      <c r="I197" s="174"/>
      <c r="J197" s="165"/>
      <c r="K197" s="174"/>
    </row>
    <row r="198" spans="2:11" x14ac:dyDescent="0.25">
      <c r="B198" s="166">
        <f t="shared" si="2"/>
        <v>0</v>
      </c>
      <c r="C198" s="172"/>
      <c r="D198" s="189"/>
      <c r="E198" s="172"/>
      <c r="F198" s="165"/>
      <c r="G198" s="173"/>
      <c r="H198" s="165"/>
      <c r="I198" s="174"/>
      <c r="J198" s="165"/>
      <c r="K198" s="174"/>
    </row>
    <row r="199" spans="2:11" x14ac:dyDescent="0.25">
      <c r="B199" s="166">
        <f t="shared" si="2"/>
        <v>0</v>
      </c>
      <c r="C199" s="172"/>
      <c r="D199" s="189"/>
      <c r="E199" s="172"/>
      <c r="F199" s="165"/>
      <c r="G199" s="173"/>
      <c r="H199" s="165"/>
      <c r="I199" s="174"/>
      <c r="J199" s="165"/>
      <c r="K199" s="174"/>
    </row>
    <row r="200" spans="2:11" x14ac:dyDescent="0.25">
      <c r="B200" s="166">
        <f t="shared" ref="B200:B226" si="3">IF(NOT(ISBLANK(C200)),(C200-C199),0)</f>
        <v>0</v>
      </c>
      <c r="C200" s="172"/>
      <c r="D200" s="189"/>
      <c r="E200" s="172"/>
      <c r="F200" s="165"/>
      <c r="G200" s="173"/>
      <c r="H200" s="165"/>
      <c r="I200" s="174"/>
      <c r="J200" s="165"/>
      <c r="K200" s="174"/>
    </row>
    <row r="201" spans="2:11" x14ac:dyDescent="0.25">
      <c r="B201" s="166">
        <f t="shared" si="3"/>
        <v>0</v>
      </c>
      <c r="C201" s="172"/>
      <c r="D201" s="189"/>
      <c r="E201" s="172"/>
      <c r="F201" s="165"/>
      <c r="G201" s="173"/>
      <c r="H201" s="165"/>
      <c r="I201" s="174"/>
      <c r="J201" s="165"/>
      <c r="K201" s="174"/>
    </row>
    <row r="202" spans="2:11" x14ac:dyDescent="0.25">
      <c r="B202" s="166">
        <f t="shared" si="3"/>
        <v>0</v>
      </c>
      <c r="C202" s="172"/>
      <c r="D202" s="189"/>
      <c r="E202" s="172"/>
      <c r="F202" s="165"/>
      <c r="G202" s="173"/>
      <c r="H202" s="165"/>
      <c r="I202" s="174"/>
      <c r="J202" s="165"/>
      <c r="K202" s="174"/>
    </row>
    <row r="203" spans="2:11" x14ac:dyDescent="0.25">
      <c r="B203" s="166">
        <f t="shared" si="3"/>
        <v>0</v>
      </c>
      <c r="C203" s="172"/>
      <c r="D203" s="189"/>
      <c r="E203" s="172"/>
      <c r="F203" s="165"/>
      <c r="G203" s="173"/>
      <c r="H203" s="165"/>
      <c r="I203" s="174"/>
      <c r="J203" s="165"/>
      <c r="K203" s="174"/>
    </row>
    <row r="204" spans="2:11" x14ac:dyDescent="0.25">
      <c r="B204" s="166">
        <f t="shared" si="3"/>
        <v>0</v>
      </c>
      <c r="C204" s="172"/>
      <c r="D204" s="189"/>
      <c r="E204" s="172"/>
      <c r="F204" s="165"/>
      <c r="G204" s="173"/>
      <c r="H204" s="165"/>
      <c r="I204" s="174"/>
      <c r="J204" s="165"/>
      <c r="K204" s="174"/>
    </row>
    <row r="205" spans="2:11" x14ac:dyDescent="0.25">
      <c r="B205" s="166">
        <f t="shared" si="3"/>
        <v>0</v>
      </c>
      <c r="C205" s="172"/>
      <c r="D205" s="189"/>
      <c r="E205" s="172"/>
      <c r="F205" s="165"/>
      <c r="G205" s="173"/>
      <c r="H205" s="165"/>
      <c r="I205" s="174"/>
      <c r="J205" s="165"/>
      <c r="K205" s="174"/>
    </row>
    <row r="206" spans="2:11" x14ac:dyDescent="0.25">
      <c r="B206" s="166">
        <f t="shared" si="3"/>
        <v>0</v>
      </c>
      <c r="C206" s="172"/>
      <c r="D206" s="189"/>
      <c r="E206" s="172"/>
      <c r="F206" s="165"/>
      <c r="G206" s="173"/>
      <c r="H206" s="165"/>
      <c r="I206" s="174"/>
      <c r="J206" s="165"/>
      <c r="K206" s="174"/>
    </row>
    <row r="207" spans="2:11" x14ac:dyDescent="0.25">
      <c r="B207" s="166">
        <f t="shared" si="3"/>
        <v>0</v>
      </c>
      <c r="C207" s="172"/>
      <c r="D207" s="189"/>
      <c r="E207" s="172"/>
      <c r="F207" s="165"/>
      <c r="G207" s="173"/>
      <c r="H207" s="165"/>
      <c r="I207" s="174"/>
      <c r="J207" s="165"/>
      <c r="K207" s="174"/>
    </row>
    <row r="208" spans="2:11" x14ac:dyDescent="0.25">
      <c r="B208" s="166">
        <f t="shared" si="3"/>
        <v>0</v>
      </c>
      <c r="C208" s="172"/>
      <c r="D208" s="189"/>
      <c r="E208" s="172"/>
      <c r="F208" s="165"/>
      <c r="G208" s="173"/>
      <c r="H208" s="165"/>
      <c r="I208" s="174"/>
      <c r="J208" s="165"/>
      <c r="K208" s="174"/>
    </row>
    <row r="209" spans="2:11" x14ac:dyDescent="0.25">
      <c r="B209" s="166">
        <f t="shared" si="3"/>
        <v>0</v>
      </c>
      <c r="C209" s="172"/>
      <c r="D209" s="189"/>
      <c r="E209" s="172"/>
      <c r="F209" s="165"/>
      <c r="G209" s="173"/>
      <c r="H209" s="165"/>
      <c r="I209" s="174"/>
      <c r="J209" s="165"/>
      <c r="K209" s="174"/>
    </row>
    <row r="210" spans="2:11" x14ac:dyDescent="0.25">
      <c r="B210" s="166">
        <f t="shared" si="3"/>
        <v>0</v>
      </c>
      <c r="C210" s="172"/>
      <c r="D210" s="189"/>
      <c r="E210" s="172"/>
      <c r="F210" s="165"/>
      <c r="G210" s="173"/>
      <c r="H210" s="165"/>
      <c r="I210" s="174"/>
      <c r="J210" s="165"/>
      <c r="K210" s="174"/>
    </row>
    <row r="211" spans="2:11" x14ac:dyDescent="0.25">
      <c r="B211" s="166">
        <f t="shared" si="3"/>
        <v>0</v>
      </c>
      <c r="C211" s="172"/>
      <c r="D211" s="189"/>
      <c r="E211" s="172"/>
      <c r="F211" s="165"/>
      <c r="G211" s="173"/>
      <c r="H211" s="165"/>
      <c r="I211" s="174"/>
      <c r="J211" s="165"/>
      <c r="K211" s="174"/>
    </row>
    <row r="212" spans="2:11" x14ac:dyDescent="0.25">
      <c r="B212" s="166">
        <f t="shared" si="3"/>
        <v>0</v>
      </c>
      <c r="C212" s="172"/>
      <c r="D212" s="189"/>
      <c r="E212" s="172"/>
      <c r="F212" s="165"/>
      <c r="G212" s="173"/>
      <c r="H212" s="165"/>
      <c r="I212" s="174"/>
      <c r="J212" s="165"/>
      <c r="K212" s="174"/>
    </row>
    <row r="213" spans="2:11" x14ac:dyDescent="0.25">
      <c r="B213" s="166">
        <f t="shared" si="3"/>
        <v>0</v>
      </c>
      <c r="C213" s="172"/>
      <c r="D213" s="189"/>
      <c r="E213" s="172"/>
      <c r="F213" s="165"/>
      <c r="G213" s="173"/>
      <c r="H213" s="165"/>
      <c r="I213" s="174"/>
      <c r="J213" s="165"/>
      <c r="K213" s="174"/>
    </row>
    <row r="214" spans="2:11" x14ac:dyDescent="0.25">
      <c r="B214" s="166">
        <f t="shared" si="3"/>
        <v>0</v>
      </c>
      <c r="C214" s="172"/>
      <c r="D214" s="189"/>
      <c r="E214" s="172"/>
      <c r="F214" s="165"/>
      <c r="G214" s="173"/>
      <c r="H214" s="165"/>
      <c r="I214" s="174"/>
      <c r="J214" s="165"/>
      <c r="K214" s="174"/>
    </row>
    <row r="215" spans="2:11" x14ac:dyDescent="0.25">
      <c r="B215" s="166">
        <f t="shared" si="3"/>
        <v>0</v>
      </c>
      <c r="C215" s="172"/>
      <c r="D215" s="189"/>
      <c r="E215" s="172"/>
      <c r="F215" s="165"/>
      <c r="G215" s="173"/>
      <c r="H215" s="165"/>
      <c r="I215" s="174"/>
      <c r="J215" s="165"/>
      <c r="K215" s="174"/>
    </row>
    <row r="216" spans="2:11" x14ac:dyDescent="0.25">
      <c r="B216" s="166">
        <f t="shared" si="3"/>
        <v>0</v>
      </c>
      <c r="C216" s="172"/>
      <c r="D216" s="189"/>
      <c r="E216" s="172"/>
      <c r="F216" s="165"/>
      <c r="G216" s="173"/>
      <c r="H216" s="165"/>
      <c r="I216" s="174"/>
      <c r="J216" s="165"/>
      <c r="K216" s="174"/>
    </row>
    <row r="217" spans="2:11" x14ac:dyDescent="0.25">
      <c r="B217" s="166">
        <f t="shared" si="3"/>
        <v>0</v>
      </c>
      <c r="C217" s="172"/>
      <c r="D217" s="189"/>
      <c r="E217" s="172"/>
      <c r="F217" s="165"/>
      <c r="G217" s="173"/>
      <c r="H217" s="165"/>
      <c r="I217" s="174"/>
      <c r="J217" s="165"/>
      <c r="K217" s="174"/>
    </row>
    <row r="218" spans="2:11" x14ac:dyDescent="0.25">
      <c r="B218" s="166">
        <f t="shared" si="3"/>
        <v>0</v>
      </c>
      <c r="C218" s="172"/>
      <c r="D218" s="189"/>
      <c r="E218" s="172"/>
      <c r="F218" s="165"/>
      <c r="G218" s="173"/>
      <c r="H218" s="165"/>
      <c r="I218" s="174"/>
      <c r="J218" s="165"/>
      <c r="K218" s="174"/>
    </row>
    <row r="219" spans="2:11" x14ac:dyDescent="0.25">
      <c r="B219" s="166">
        <f t="shared" si="3"/>
        <v>0</v>
      </c>
      <c r="C219" s="172"/>
      <c r="D219" s="189"/>
      <c r="E219" s="172"/>
      <c r="F219" s="165"/>
      <c r="G219" s="173"/>
      <c r="H219" s="165"/>
      <c r="I219" s="174"/>
      <c r="J219" s="165"/>
      <c r="K219" s="174"/>
    </row>
    <row r="220" spans="2:11" x14ac:dyDescent="0.25">
      <c r="B220" s="166">
        <f t="shared" si="3"/>
        <v>0</v>
      </c>
      <c r="C220" s="172"/>
      <c r="D220" s="189"/>
      <c r="E220" s="172"/>
      <c r="F220" s="165"/>
      <c r="G220" s="173"/>
      <c r="H220" s="165"/>
      <c r="I220" s="174"/>
      <c r="J220" s="165"/>
      <c r="K220" s="174"/>
    </row>
    <row r="221" spans="2:11" x14ac:dyDescent="0.25">
      <c r="B221" s="166">
        <f t="shared" si="3"/>
        <v>0</v>
      </c>
      <c r="C221" s="172"/>
      <c r="D221" s="189"/>
      <c r="E221" s="172"/>
      <c r="F221" s="165"/>
      <c r="G221" s="173"/>
      <c r="H221" s="165"/>
      <c r="I221" s="174"/>
      <c r="J221" s="165"/>
      <c r="K221" s="174"/>
    </row>
    <row r="222" spans="2:11" x14ac:dyDescent="0.25">
      <c r="B222" s="166">
        <f t="shared" si="3"/>
        <v>0</v>
      </c>
      <c r="C222" s="172"/>
      <c r="D222" s="189"/>
      <c r="E222" s="172"/>
      <c r="F222" s="165"/>
      <c r="G222" s="173"/>
      <c r="H222" s="165"/>
      <c r="I222" s="174"/>
      <c r="J222" s="165"/>
      <c r="K222" s="174"/>
    </row>
    <row r="223" spans="2:11" x14ac:dyDescent="0.25">
      <c r="B223" s="166">
        <f t="shared" si="3"/>
        <v>0</v>
      </c>
      <c r="C223" s="172"/>
      <c r="D223" s="189"/>
      <c r="E223" s="172"/>
      <c r="F223" s="165"/>
      <c r="G223" s="173"/>
      <c r="H223" s="165"/>
      <c r="I223" s="174"/>
      <c r="J223" s="165"/>
      <c r="K223" s="174"/>
    </row>
    <row r="224" spans="2:11" x14ac:dyDescent="0.25">
      <c r="B224" s="166">
        <f t="shared" si="3"/>
        <v>0</v>
      </c>
      <c r="C224" s="172"/>
      <c r="D224" s="189"/>
      <c r="E224" s="172"/>
      <c r="F224" s="165"/>
      <c r="G224" s="173"/>
      <c r="H224" s="165"/>
      <c r="I224" s="174"/>
      <c r="J224" s="165"/>
      <c r="K224" s="174"/>
    </row>
    <row r="225" spans="2:11" x14ac:dyDescent="0.25">
      <c r="B225" s="166">
        <f t="shared" si="3"/>
        <v>0</v>
      </c>
      <c r="C225" s="172"/>
      <c r="D225" s="189"/>
      <c r="E225" s="172"/>
      <c r="F225" s="165"/>
      <c r="G225" s="173"/>
      <c r="H225" s="165"/>
      <c r="I225" s="174"/>
      <c r="J225" s="165"/>
      <c r="K225" s="174"/>
    </row>
    <row r="226" spans="2:11" x14ac:dyDescent="0.25">
      <c r="B226" s="166">
        <f t="shared" si="3"/>
        <v>0</v>
      </c>
      <c r="C226" s="172"/>
      <c r="D226" s="189"/>
      <c r="E226" s="172"/>
      <c r="F226" s="165"/>
      <c r="G226" s="173"/>
      <c r="H226" s="165"/>
      <c r="I226" s="174"/>
      <c r="J226" s="165"/>
      <c r="K226" s="174"/>
    </row>
  </sheetData>
  <conditionalFormatting sqref="A5:A7">
    <cfRule type="timePeriod" dxfId="300" priority="7" timePeriod="today">
      <formula>FLOOR(A5,1)=TODAY()</formula>
    </cfRule>
    <cfRule type="timePeriod" dxfId="299" priority="8" timePeriod="tomorrow">
      <formula>FLOOR(A5,1)=TODAY()+1</formula>
    </cfRule>
    <cfRule type="timePeriod" dxfId="298" priority="9" timePeriod="yesterday">
      <formula>FLOOR(A5,1)=TODAY()-1</formula>
    </cfRule>
  </conditionalFormatting>
  <conditionalFormatting sqref="A8:A19 A21:A31">
    <cfRule type="expression" dxfId="297" priority="4">
      <formula>INDIRECT("A"&amp;3) = INDIRECT("A"&amp;ROW())</formula>
    </cfRule>
  </conditionalFormatting>
  <conditionalFormatting sqref="A3:A4">
    <cfRule type="expression" dxfId="296"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295"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6" t="s">
        <v>55</v>
      </c>
      <c r="F3" s="85" t="s">
        <v>54</v>
      </c>
      <c r="G3" s="12"/>
      <c r="H3" s="6">
        <v>381</v>
      </c>
      <c r="I3" s="6"/>
      <c r="J3" s="6">
        <v>378</v>
      </c>
      <c r="K3" s="6"/>
      <c r="L3" s="6"/>
      <c r="M3" s="6" t="s">
        <v>53</v>
      </c>
      <c r="N3" s="84">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43247</v>
      </c>
      <c r="D4" s="37" t="s">
        <v>7</v>
      </c>
      <c r="E4" s="29"/>
      <c r="F4" s="20"/>
      <c r="G4" s="12"/>
      <c r="H4" s="6">
        <f>$H$3 - 365</f>
        <v>16</v>
      </c>
      <c r="K4" s="83"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4"/>
      <c r="B6" s="101"/>
      <c r="C6" s="101"/>
      <c r="D6" s="101"/>
      <c r="E6" s="101"/>
      <c r="F6" s="102"/>
      <c r="G6" s="15"/>
      <c r="H6" s="14">
        <f t="shared" ref="H6:N6" ca="1" si="0">TODAY()+((COLUMN()-$H$4)*$N$3)</f>
        <v>43231</v>
      </c>
      <c r="I6" s="14">
        <f t="shared" ca="1" si="0"/>
        <v>43233</v>
      </c>
      <c r="J6" s="14">
        <f t="shared" ca="1" si="0"/>
        <v>43235</v>
      </c>
      <c r="K6" s="14">
        <f t="shared" ca="1" si="0"/>
        <v>43237</v>
      </c>
      <c r="L6" s="14">
        <f t="shared" ca="1" si="0"/>
        <v>43239</v>
      </c>
      <c r="M6" s="14">
        <f t="shared" ca="1" si="0"/>
        <v>43241</v>
      </c>
      <c r="N6" s="14">
        <f t="shared" ca="1" si="0"/>
        <v>43243</v>
      </c>
      <c r="O6" s="14">
        <f t="shared" ref="O6:BZ6" ca="1" si="1">TODAY()+((COLUMN()-$H$4)*$N$3)</f>
        <v>43245</v>
      </c>
      <c r="P6" s="14">
        <f t="shared" ca="1" si="1"/>
        <v>43247</v>
      </c>
      <c r="Q6" s="14">
        <f t="shared" ca="1" si="1"/>
        <v>43249</v>
      </c>
      <c r="R6" s="14">
        <f t="shared" ca="1" si="1"/>
        <v>43251</v>
      </c>
      <c r="S6" s="14">
        <f t="shared" ca="1" si="1"/>
        <v>43253</v>
      </c>
      <c r="T6" s="14">
        <f ca="1">TODAY()+((COLUMN()-$H$4)*$N$3)</f>
        <v>43255</v>
      </c>
      <c r="U6" s="14">
        <f t="shared" ca="1" si="1"/>
        <v>43257</v>
      </c>
      <c r="V6" s="14">
        <f t="shared" ca="1" si="1"/>
        <v>43259</v>
      </c>
      <c r="W6" s="14">
        <f t="shared" ca="1" si="1"/>
        <v>43261</v>
      </c>
      <c r="X6" s="14">
        <f t="shared" ca="1" si="1"/>
        <v>43263</v>
      </c>
      <c r="Y6" s="14">
        <f t="shared" ca="1" si="1"/>
        <v>43265</v>
      </c>
      <c r="Z6" s="14">
        <f t="shared" ca="1" si="1"/>
        <v>43267</v>
      </c>
      <c r="AA6" s="14">
        <f t="shared" ca="1" si="1"/>
        <v>43269</v>
      </c>
      <c r="AB6" s="14">
        <f t="shared" ca="1" si="1"/>
        <v>43271</v>
      </c>
      <c r="AC6" s="14">
        <f t="shared" ca="1" si="1"/>
        <v>43273</v>
      </c>
      <c r="AD6" s="14">
        <f t="shared" ca="1" si="1"/>
        <v>43275</v>
      </c>
      <c r="AE6" s="14">
        <f t="shared" ca="1" si="1"/>
        <v>43277</v>
      </c>
      <c r="AF6" s="14">
        <f t="shared" ca="1" si="1"/>
        <v>43279</v>
      </c>
      <c r="AG6" s="14">
        <f t="shared" ca="1" si="1"/>
        <v>43281</v>
      </c>
      <c r="AH6" s="14">
        <f t="shared" ca="1" si="1"/>
        <v>43283</v>
      </c>
      <c r="AI6" s="14">
        <f t="shared" ca="1" si="1"/>
        <v>43285</v>
      </c>
      <c r="AJ6" s="14">
        <f t="shared" ca="1" si="1"/>
        <v>43287</v>
      </c>
      <c r="AK6" s="14">
        <f t="shared" ca="1" si="1"/>
        <v>43289</v>
      </c>
      <c r="AL6" s="14">
        <f t="shared" ca="1" si="1"/>
        <v>43291</v>
      </c>
      <c r="AM6" s="14">
        <f t="shared" ca="1" si="1"/>
        <v>43293</v>
      </c>
      <c r="AN6" s="14">
        <f t="shared" ca="1" si="1"/>
        <v>43295</v>
      </c>
      <c r="AO6" s="14">
        <f t="shared" ca="1" si="1"/>
        <v>43297</v>
      </c>
      <c r="AP6" s="14">
        <f t="shared" ca="1" si="1"/>
        <v>43299</v>
      </c>
      <c r="AQ6" s="14">
        <f t="shared" ca="1" si="1"/>
        <v>43301</v>
      </c>
      <c r="AR6" s="14">
        <f t="shared" ca="1" si="1"/>
        <v>43303</v>
      </c>
      <c r="AS6" s="14">
        <f t="shared" ca="1" si="1"/>
        <v>43305</v>
      </c>
      <c r="AT6" s="14">
        <f t="shared" ca="1" si="1"/>
        <v>43307</v>
      </c>
      <c r="AU6" s="14">
        <f t="shared" ca="1" si="1"/>
        <v>43309</v>
      </c>
      <c r="AV6" s="14">
        <f t="shared" ca="1" si="1"/>
        <v>43311</v>
      </c>
      <c r="AW6" s="14">
        <f t="shared" ca="1" si="1"/>
        <v>43313</v>
      </c>
      <c r="AX6" s="14">
        <f t="shared" ca="1" si="1"/>
        <v>43315</v>
      </c>
      <c r="AY6" s="14">
        <f t="shared" ca="1" si="1"/>
        <v>43317</v>
      </c>
      <c r="AZ6" s="14">
        <f t="shared" ca="1" si="1"/>
        <v>43319</v>
      </c>
      <c r="BA6" s="14">
        <f t="shared" ca="1" si="1"/>
        <v>43321</v>
      </c>
      <c r="BB6" s="14">
        <f t="shared" ca="1" si="1"/>
        <v>43323</v>
      </c>
      <c r="BC6" s="14">
        <f t="shared" ca="1" si="1"/>
        <v>43325</v>
      </c>
      <c r="BD6" s="14">
        <f t="shared" ca="1" si="1"/>
        <v>43327</v>
      </c>
      <c r="BE6" s="14">
        <f t="shared" ca="1" si="1"/>
        <v>43329</v>
      </c>
      <c r="BF6" s="14">
        <f t="shared" ca="1" si="1"/>
        <v>43331</v>
      </c>
      <c r="BG6" s="14">
        <f t="shared" ca="1" si="1"/>
        <v>43333</v>
      </c>
      <c r="BH6" s="14">
        <f t="shared" ca="1" si="1"/>
        <v>43335</v>
      </c>
      <c r="BI6" s="14">
        <f t="shared" ca="1" si="1"/>
        <v>43337</v>
      </c>
      <c r="BJ6" s="14">
        <f t="shared" ca="1" si="1"/>
        <v>43339</v>
      </c>
      <c r="BK6" s="14">
        <f t="shared" ca="1" si="1"/>
        <v>43341</v>
      </c>
      <c r="BL6" s="14">
        <f t="shared" ca="1" si="1"/>
        <v>43343</v>
      </c>
      <c r="BM6" s="14">
        <f t="shared" ca="1" si="1"/>
        <v>43345</v>
      </c>
      <c r="BN6" s="14">
        <f t="shared" ca="1" si="1"/>
        <v>43347</v>
      </c>
      <c r="BO6" s="14">
        <f t="shared" ca="1" si="1"/>
        <v>43349</v>
      </c>
      <c r="BP6" s="14">
        <f t="shared" ca="1" si="1"/>
        <v>43351</v>
      </c>
      <c r="BQ6" s="14">
        <f t="shared" ca="1" si="1"/>
        <v>43353</v>
      </c>
      <c r="BR6" s="14">
        <f t="shared" ca="1" si="1"/>
        <v>43355</v>
      </c>
      <c r="BS6" s="14">
        <f t="shared" ca="1" si="1"/>
        <v>43357</v>
      </c>
      <c r="BT6" s="14">
        <f t="shared" ca="1" si="1"/>
        <v>43359</v>
      </c>
      <c r="BU6" s="14">
        <f t="shared" ca="1" si="1"/>
        <v>43361</v>
      </c>
      <c r="BV6" s="14">
        <f t="shared" ca="1" si="1"/>
        <v>43363</v>
      </c>
      <c r="BW6" s="14">
        <f t="shared" ca="1" si="1"/>
        <v>43365</v>
      </c>
      <c r="BX6" s="14">
        <f t="shared" ca="1" si="1"/>
        <v>43367</v>
      </c>
      <c r="BY6" s="14">
        <f t="shared" ca="1" si="1"/>
        <v>43369</v>
      </c>
      <c r="BZ6" s="14">
        <f t="shared" ca="1" si="1"/>
        <v>43371</v>
      </c>
      <c r="CA6" s="14">
        <f t="shared" ref="CA6:EL6" ca="1" si="2">TODAY()+((COLUMN()-$H$4)*$N$3)</f>
        <v>43373</v>
      </c>
      <c r="CB6" s="14">
        <f t="shared" ca="1" si="2"/>
        <v>43375</v>
      </c>
      <c r="CC6" s="14">
        <f t="shared" ca="1" si="2"/>
        <v>43377</v>
      </c>
      <c r="CD6" s="14">
        <f t="shared" ca="1" si="2"/>
        <v>43379</v>
      </c>
      <c r="CE6" s="14">
        <f t="shared" ca="1" si="2"/>
        <v>43381</v>
      </c>
      <c r="CF6" s="14">
        <f t="shared" ca="1" si="2"/>
        <v>43383</v>
      </c>
      <c r="CG6" s="14">
        <f t="shared" ca="1" si="2"/>
        <v>43385</v>
      </c>
      <c r="CH6" s="14">
        <f t="shared" ca="1" si="2"/>
        <v>43387</v>
      </c>
      <c r="CI6" s="14">
        <f t="shared" ca="1" si="2"/>
        <v>43389</v>
      </c>
      <c r="CJ6" s="14">
        <f t="shared" ca="1" si="2"/>
        <v>43391</v>
      </c>
      <c r="CK6" s="14">
        <f t="shared" ca="1" si="2"/>
        <v>43393</v>
      </c>
      <c r="CL6" s="14">
        <f t="shared" ca="1" si="2"/>
        <v>43395</v>
      </c>
      <c r="CM6" s="14">
        <f t="shared" ca="1" si="2"/>
        <v>43397</v>
      </c>
      <c r="CN6" s="14">
        <f t="shared" ca="1" si="2"/>
        <v>43399</v>
      </c>
      <c r="CO6" s="14">
        <f t="shared" ca="1" si="2"/>
        <v>43401</v>
      </c>
      <c r="CP6" s="14">
        <f t="shared" ca="1" si="2"/>
        <v>43403</v>
      </c>
      <c r="CQ6" s="14">
        <f t="shared" ca="1" si="2"/>
        <v>43405</v>
      </c>
      <c r="CR6" s="14">
        <f t="shared" ca="1" si="2"/>
        <v>43407</v>
      </c>
      <c r="CS6" s="14">
        <f t="shared" ca="1" si="2"/>
        <v>43409</v>
      </c>
      <c r="CT6" s="14">
        <f t="shared" ca="1" si="2"/>
        <v>43411</v>
      </c>
      <c r="CU6" s="14">
        <f t="shared" ca="1" si="2"/>
        <v>43413</v>
      </c>
      <c r="CV6" s="14">
        <f t="shared" ca="1" si="2"/>
        <v>43415</v>
      </c>
      <c r="CW6" s="14">
        <f t="shared" ca="1" si="2"/>
        <v>43417</v>
      </c>
      <c r="CX6" s="14">
        <f t="shared" ca="1" si="2"/>
        <v>43419</v>
      </c>
      <c r="CY6" s="14">
        <f t="shared" ca="1" si="2"/>
        <v>43421</v>
      </c>
      <c r="CZ6" s="14">
        <f t="shared" ca="1" si="2"/>
        <v>43423</v>
      </c>
      <c r="DA6" s="14">
        <f t="shared" ca="1" si="2"/>
        <v>43425</v>
      </c>
      <c r="DB6" s="14">
        <f t="shared" ca="1" si="2"/>
        <v>43427</v>
      </c>
      <c r="DC6" s="14">
        <f t="shared" ca="1" si="2"/>
        <v>43429</v>
      </c>
      <c r="DD6" s="14">
        <f t="shared" ca="1" si="2"/>
        <v>43431</v>
      </c>
      <c r="DE6" s="14">
        <f t="shared" ca="1" si="2"/>
        <v>43433</v>
      </c>
      <c r="DF6" s="14">
        <f t="shared" ca="1" si="2"/>
        <v>43435</v>
      </c>
      <c r="DG6" s="14">
        <f t="shared" ca="1" si="2"/>
        <v>43437</v>
      </c>
      <c r="DH6" s="14">
        <f t="shared" ca="1" si="2"/>
        <v>43439</v>
      </c>
      <c r="DI6" s="14">
        <f t="shared" ca="1" si="2"/>
        <v>43441</v>
      </c>
      <c r="DJ6" s="14">
        <f t="shared" ca="1" si="2"/>
        <v>43443</v>
      </c>
      <c r="DK6" s="14">
        <f t="shared" ca="1" si="2"/>
        <v>43445</v>
      </c>
      <c r="DL6" s="14">
        <f t="shared" ca="1" si="2"/>
        <v>43447</v>
      </c>
      <c r="DM6" s="14">
        <f t="shared" ca="1" si="2"/>
        <v>43449</v>
      </c>
      <c r="DN6" s="14">
        <f t="shared" ca="1" si="2"/>
        <v>43451</v>
      </c>
      <c r="DO6" s="14">
        <f t="shared" ca="1" si="2"/>
        <v>43453</v>
      </c>
      <c r="DP6" s="14">
        <f t="shared" ca="1" si="2"/>
        <v>43455</v>
      </c>
      <c r="DQ6" s="14">
        <f t="shared" ca="1" si="2"/>
        <v>43457</v>
      </c>
      <c r="DR6" s="14">
        <f t="shared" ca="1" si="2"/>
        <v>43459</v>
      </c>
      <c r="DS6" s="14">
        <f t="shared" ca="1" si="2"/>
        <v>43461</v>
      </c>
      <c r="DT6" s="14">
        <f t="shared" ca="1" si="2"/>
        <v>43463</v>
      </c>
      <c r="DU6" s="14">
        <f t="shared" ca="1" si="2"/>
        <v>43465</v>
      </c>
      <c r="DV6" s="14">
        <f t="shared" ca="1" si="2"/>
        <v>43467</v>
      </c>
      <c r="DW6" s="14">
        <f t="shared" ca="1" si="2"/>
        <v>43469</v>
      </c>
      <c r="DX6" s="14">
        <f t="shared" ca="1" si="2"/>
        <v>43471</v>
      </c>
      <c r="DY6" s="14">
        <f t="shared" ca="1" si="2"/>
        <v>43473</v>
      </c>
      <c r="DZ6" s="14">
        <f t="shared" ca="1" si="2"/>
        <v>43475</v>
      </c>
      <c r="EA6" s="14">
        <f t="shared" ca="1" si="2"/>
        <v>43477</v>
      </c>
      <c r="EB6" s="14">
        <f t="shared" ca="1" si="2"/>
        <v>43479</v>
      </c>
      <c r="EC6" s="14">
        <f t="shared" ca="1" si="2"/>
        <v>43481</v>
      </c>
      <c r="ED6" s="14">
        <f t="shared" ca="1" si="2"/>
        <v>43483</v>
      </c>
      <c r="EE6" s="14">
        <f t="shared" ca="1" si="2"/>
        <v>43485</v>
      </c>
      <c r="EF6" s="14">
        <f t="shared" ca="1" si="2"/>
        <v>43487</v>
      </c>
      <c r="EG6" s="14">
        <f t="shared" ca="1" si="2"/>
        <v>43489</v>
      </c>
      <c r="EH6" s="14">
        <f t="shared" ca="1" si="2"/>
        <v>43491</v>
      </c>
      <c r="EI6" s="14">
        <f t="shared" ca="1" si="2"/>
        <v>43493</v>
      </c>
      <c r="EJ6" s="14">
        <f t="shared" ca="1" si="2"/>
        <v>43495</v>
      </c>
      <c r="EK6" s="14">
        <f t="shared" ca="1" si="2"/>
        <v>43497</v>
      </c>
      <c r="EL6" s="14">
        <f t="shared" ca="1" si="2"/>
        <v>43499</v>
      </c>
      <c r="EM6" s="14">
        <f t="shared" ref="EM6:GX6" ca="1" si="3">TODAY()+((COLUMN()-$H$4)*$N$3)</f>
        <v>43501</v>
      </c>
      <c r="EN6" s="14">
        <f t="shared" ca="1" si="3"/>
        <v>43503</v>
      </c>
      <c r="EO6" s="14">
        <f t="shared" ca="1" si="3"/>
        <v>43505</v>
      </c>
      <c r="EP6" s="14">
        <f t="shared" ca="1" si="3"/>
        <v>43507</v>
      </c>
      <c r="EQ6" s="14">
        <f t="shared" ca="1" si="3"/>
        <v>43509</v>
      </c>
      <c r="ER6" s="14">
        <f t="shared" ca="1" si="3"/>
        <v>43511</v>
      </c>
      <c r="ES6" s="14">
        <f t="shared" ca="1" si="3"/>
        <v>43513</v>
      </c>
      <c r="ET6" s="14">
        <f t="shared" ca="1" si="3"/>
        <v>43515</v>
      </c>
      <c r="EU6" s="14">
        <f t="shared" ca="1" si="3"/>
        <v>43517</v>
      </c>
      <c r="EV6" s="14">
        <f t="shared" ca="1" si="3"/>
        <v>43519</v>
      </c>
      <c r="EW6" s="14">
        <f t="shared" ca="1" si="3"/>
        <v>43521</v>
      </c>
      <c r="EX6" s="14">
        <f t="shared" ca="1" si="3"/>
        <v>43523</v>
      </c>
      <c r="EY6" s="14">
        <f t="shared" ca="1" si="3"/>
        <v>43525</v>
      </c>
      <c r="EZ6" s="14">
        <f t="shared" ca="1" si="3"/>
        <v>43527</v>
      </c>
      <c r="FA6" s="14">
        <f t="shared" ca="1" si="3"/>
        <v>43529</v>
      </c>
      <c r="FB6" s="14">
        <f t="shared" ca="1" si="3"/>
        <v>43531</v>
      </c>
      <c r="FC6" s="14">
        <f t="shared" ca="1" si="3"/>
        <v>43533</v>
      </c>
      <c r="FD6" s="14">
        <f t="shared" ca="1" si="3"/>
        <v>43535</v>
      </c>
      <c r="FE6" s="14">
        <f t="shared" ca="1" si="3"/>
        <v>43537</v>
      </c>
      <c r="FF6" s="14">
        <f t="shared" ca="1" si="3"/>
        <v>43539</v>
      </c>
      <c r="FG6" s="14">
        <f t="shared" ca="1" si="3"/>
        <v>43541</v>
      </c>
      <c r="FH6" s="14">
        <f t="shared" ca="1" si="3"/>
        <v>43543</v>
      </c>
      <c r="FI6" s="14">
        <f t="shared" ca="1" si="3"/>
        <v>43545</v>
      </c>
      <c r="FJ6" s="14">
        <f t="shared" ca="1" si="3"/>
        <v>43547</v>
      </c>
      <c r="FK6" s="14">
        <f t="shared" ca="1" si="3"/>
        <v>43549</v>
      </c>
      <c r="FL6" s="14">
        <f t="shared" ca="1" si="3"/>
        <v>43551</v>
      </c>
      <c r="FM6" s="14">
        <f t="shared" ca="1" si="3"/>
        <v>43553</v>
      </c>
      <c r="FN6" s="14">
        <f t="shared" ca="1" si="3"/>
        <v>43555</v>
      </c>
      <c r="FO6" s="14">
        <f t="shared" ca="1" si="3"/>
        <v>43557</v>
      </c>
      <c r="FP6" s="14">
        <f t="shared" ca="1" si="3"/>
        <v>43559</v>
      </c>
      <c r="FQ6" s="14">
        <f t="shared" ca="1" si="3"/>
        <v>43561</v>
      </c>
      <c r="FR6" s="14">
        <f t="shared" ca="1" si="3"/>
        <v>43563</v>
      </c>
      <c r="FS6" s="14">
        <f t="shared" ca="1" si="3"/>
        <v>43565</v>
      </c>
      <c r="FT6" s="14">
        <f t="shared" ca="1" si="3"/>
        <v>43567</v>
      </c>
      <c r="FU6" s="14">
        <f t="shared" ca="1" si="3"/>
        <v>43569</v>
      </c>
      <c r="FV6" s="14">
        <f t="shared" ca="1" si="3"/>
        <v>43571</v>
      </c>
      <c r="FW6" s="14">
        <f t="shared" ca="1" si="3"/>
        <v>43573</v>
      </c>
      <c r="FX6" s="14">
        <f t="shared" ca="1" si="3"/>
        <v>43575</v>
      </c>
      <c r="FY6" s="14">
        <f t="shared" ca="1" si="3"/>
        <v>43577</v>
      </c>
      <c r="FZ6" s="14">
        <f t="shared" ca="1" si="3"/>
        <v>43579</v>
      </c>
      <c r="GA6" s="14">
        <f t="shared" ca="1" si="3"/>
        <v>43581</v>
      </c>
      <c r="GB6" s="14">
        <f t="shared" ca="1" si="3"/>
        <v>43583</v>
      </c>
      <c r="GC6" s="14">
        <f t="shared" ca="1" si="3"/>
        <v>43585</v>
      </c>
      <c r="GD6" s="14">
        <f t="shared" ca="1" si="3"/>
        <v>43587</v>
      </c>
      <c r="GE6" s="14">
        <f t="shared" ca="1" si="3"/>
        <v>43589</v>
      </c>
      <c r="GF6" s="14">
        <f t="shared" ca="1" si="3"/>
        <v>43591</v>
      </c>
      <c r="GG6" s="14">
        <f t="shared" ca="1" si="3"/>
        <v>43593</v>
      </c>
      <c r="GH6" s="14">
        <f t="shared" ca="1" si="3"/>
        <v>43595</v>
      </c>
      <c r="GI6" s="14">
        <f t="shared" ca="1" si="3"/>
        <v>43597</v>
      </c>
      <c r="GJ6" s="14">
        <f t="shared" ca="1" si="3"/>
        <v>43599</v>
      </c>
      <c r="GK6" s="14">
        <f t="shared" ca="1" si="3"/>
        <v>43601</v>
      </c>
      <c r="GL6" s="14">
        <f t="shared" ca="1" si="3"/>
        <v>43603</v>
      </c>
      <c r="GM6" s="14">
        <f t="shared" ca="1" si="3"/>
        <v>43605</v>
      </c>
      <c r="GN6" s="14">
        <f t="shared" ca="1" si="3"/>
        <v>43607</v>
      </c>
      <c r="GO6" s="14">
        <f t="shared" ca="1" si="3"/>
        <v>43609</v>
      </c>
      <c r="GP6" s="14">
        <f t="shared" ca="1" si="3"/>
        <v>43611</v>
      </c>
      <c r="GQ6" s="14">
        <f t="shared" ca="1" si="3"/>
        <v>43613</v>
      </c>
      <c r="GR6" s="14">
        <f t="shared" ca="1" si="3"/>
        <v>43615</v>
      </c>
      <c r="GS6" s="14">
        <f t="shared" ca="1" si="3"/>
        <v>43617</v>
      </c>
      <c r="GT6" s="14">
        <f t="shared" ca="1" si="3"/>
        <v>43619</v>
      </c>
      <c r="GU6" s="14">
        <f t="shared" ca="1" si="3"/>
        <v>43621</v>
      </c>
      <c r="GV6" s="14">
        <f t="shared" ca="1" si="3"/>
        <v>43623</v>
      </c>
      <c r="GW6" s="14">
        <f t="shared" ca="1" si="3"/>
        <v>43625</v>
      </c>
      <c r="GX6" s="14">
        <f t="shared" ca="1" si="3"/>
        <v>43627</v>
      </c>
      <c r="GY6" s="14">
        <f t="shared" ref="GY6:JJ6" ca="1" si="4">TODAY()+((COLUMN()-$H$4)*$N$3)</f>
        <v>43629</v>
      </c>
      <c r="GZ6" s="14">
        <f t="shared" ca="1" si="4"/>
        <v>43631</v>
      </c>
      <c r="HA6" s="14">
        <f t="shared" ca="1" si="4"/>
        <v>43633</v>
      </c>
      <c r="HB6" s="14">
        <f t="shared" ca="1" si="4"/>
        <v>43635</v>
      </c>
      <c r="HC6" s="14">
        <f t="shared" ca="1" si="4"/>
        <v>43637</v>
      </c>
      <c r="HD6" s="14">
        <f t="shared" ca="1" si="4"/>
        <v>43639</v>
      </c>
      <c r="HE6" s="14">
        <f t="shared" ca="1" si="4"/>
        <v>43641</v>
      </c>
      <c r="HF6" s="14">
        <f t="shared" ca="1" si="4"/>
        <v>43643</v>
      </c>
      <c r="HG6" s="14">
        <f t="shared" ca="1" si="4"/>
        <v>43645</v>
      </c>
      <c r="HH6" s="14">
        <f t="shared" ca="1" si="4"/>
        <v>43647</v>
      </c>
      <c r="HI6" s="14">
        <f t="shared" ca="1" si="4"/>
        <v>43649</v>
      </c>
      <c r="HJ6" s="14">
        <f t="shared" ca="1" si="4"/>
        <v>43651</v>
      </c>
      <c r="HK6" s="14">
        <f t="shared" ca="1" si="4"/>
        <v>43653</v>
      </c>
      <c r="HL6" s="14">
        <f t="shared" ca="1" si="4"/>
        <v>43655</v>
      </c>
      <c r="HM6" s="14">
        <f t="shared" ca="1" si="4"/>
        <v>43657</v>
      </c>
      <c r="HN6" s="14">
        <f t="shared" ca="1" si="4"/>
        <v>43659</v>
      </c>
      <c r="HO6" s="14">
        <f t="shared" ca="1" si="4"/>
        <v>43661</v>
      </c>
      <c r="HP6" s="14">
        <f t="shared" ca="1" si="4"/>
        <v>43663</v>
      </c>
      <c r="HQ6" s="14">
        <f t="shared" ca="1" si="4"/>
        <v>43665</v>
      </c>
      <c r="HR6" s="14">
        <f t="shared" ca="1" si="4"/>
        <v>43667</v>
      </c>
      <c r="HS6" s="14">
        <f t="shared" ca="1" si="4"/>
        <v>43669</v>
      </c>
      <c r="HT6" s="14">
        <f t="shared" ca="1" si="4"/>
        <v>43671</v>
      </c>
      <c r="HU6" s="14">
        <f t="shared" ca="1" si="4"/>
        <v>43673</v>
      </c>
      <c r="HV6" s="14">
        <f t="shared" ca="1" si="4"/>
        <v>43675</v>
      </c>
      <c r="HW6" s="14">
        <f t="shared" ca="1" si="4"/>
        <v>43677</v>
      </c>
      <c r="HX6" s="14">
        <f t="shared" ca="1" si="4"/>
        <v>43679</v>
      </c>
      <c r="HY6" s="14">
        <f t="shared" ca="1" si="4"/>
        <v>43681</v>
      </c>
      <c r="HZ6" s="14">
        <f t="shared" ca="1" si="4"/>
        <v>43683</v>
      </c>
      <c r="IA6" s="14">
        <f t="shared" ca="1" si="4"/>
        <v>43685</v>
      </c>
      <c r="IB6" s="14">
        <f t="shared" ca="1" si="4"/>
        <v>43687</v>
      </c>
      <c r="IC6" s="14">
        <f t="shared" ca="1" si="4"/>
        <v>43689</v>
      </c>
      <c r="ID6" s="14">
        <f t="shared" ca="1" si="4"/>
        <v>43691</v>
      </c>
      <c r="IE6" s="14">
        <f t="shared" ca="1" si="4"/>
        <v>43693</v>
      </c>
      <c r="IF6" s="14">
        <f t="shared" ca="1" si="4"/>
        <v>43695</v>
      </c>
      <c r="IG6" s="14">
        <f t="shared" ca="1" si="4"/>
        <v>43697</v>
      </c>
      <c r="IH6" s="14">
        <f t="shared" ca="1" si="4"/>
        <v>43699</v>
      </c>
      <c r="II6" s="14">
        <f t="shared" ca="1" si="4"/>
        <v>43701</v>
      </c>
      <c r="IJ6" s="14">
        <f t="shared" ca="1" si="4"/>
        <v>43703</v>
      </c>
      <c r="IK6" s="14">
        <f t="shared" ca="1" si="4"/>
        <v>43705</v>
      </c>
      <c r="IL6" s="14">
        <f t="shared" ca="1" si="4"/>
        <v>43707</v>
      </c>
      <c r="IM6" s="14">
        <f t="shared" ca="1" si="4"/>
        <v>43709</v>
      </c>
      <c r="IN6" s="14">
        <f t="shared" ca="1" si="4"/>
        <v>43711</v>
      </c>
      <c r="IO6" s="14">
        <f t="shared" ca="1" si="4"/>
        <v>43713</v>
      </c>
      <c r="IP6" s="14">
        <f t="shared" ca="1" si="4"/>
        <v>43715</v>
      </c>
      <c r="IQ6" s="14">
        <f t="shared" ca="1" si="4"/>
        <v>43717</v>
      </c>
      <c r="IR6" s="14">
        <f t="shared" ca="1" si="4"/>
        <v>43719</v>
      </c>
      <c r="IS6" s="14">
        <f t="shared" ca="1" si="4"/>
        <v>43721</v>
      </c>
      <c r="IT6" s="14">
        <f t="shared" ca="1" si="4"/>
        <v>43723</v>
      </c>
      <c r="IU6" s="14">
        <f t="shared" ca="1" si="4"/>
        <v>43725</v>
      </c>
      <c r="IV6" s="14">
        <f t="shared" ca="1" si="4"/>
        <v>43727</v>
      </c>
      <c r="IW6" s="14">
        <f t="shared" ca="1" si="4"/>
        <v>43729</v>
      </c>
      <c r="IX6" s="14">
        <f t="shared" ca="1" si="4"/>
        <v>43731</v>
      </c>
      <c r="IY6" s="14">
        <f t="shared" ca="1" si="4"/>
        <v>43733</v>
      </c>
      <c r="IZ6" s="14">
        <f t="shared" ca="1" si="4"/>
        <v>43735</v>
      </c>
      <c r="JA6" s="14">
        <f t="shared" ca="1" si="4"/>
        <v>43737</v>
      </c>
      <c r="JB6" s="14">
        <f t="shared" ca="1" si="4"/>
        <v>43739</v>
      </c>
      <c r="JC6" s="14">
        <f t="shared" ca="1" si="4"/>
        <v>43741</v>
      </c>
      <c r="JD6" s="14">
        <f t="shared" ca="1" si="4"/>
        <v>43743</v>
      </c>
      <c r="JE6" s="14">
        <f t="shared" ca="1" si="4"/>
        <v>43745</v>
      </c>
      <c r="JF6" s="14">
        <f t="shared" ca="1" si="4"/>
        <v>43747</v>
      </c>
      <c r="JG6" s="14">
        <f t="shared" ca="1" si="4"/>
        <v>43749</v>
      </c>
      <c r="JH6" s="14">
        <f t="shared" ca="1" si="4"/>
        <v>43751</v>
      </c>
      <c r="JI6" s="14">
        <f t="shared" ca="1" si="4"/>
        <v>43753</v>
      </c>
      <c r="JJ6" s="14">
        <f t="shared" ca="1" si="4"/>
        <v>43755</v>
      </c>
      <c r="JK6" s="14">
        <f t="shared" ref="JK6:LV6" ca="1" si="5">TODAY()+((COLUMN()-$H$4)*$N$3)</f>
        <v>43757</v>
      </c>
      <c r="JL6" s="14">
        <f t="shared" ca="1" si="5"/>
        <v>43759</v>
      </c>
      <c r="JM6" s="14">
        <f t="shared" ca="1" si="5"/>
        <v>43761</v>
      </c>
      <c r="JN6" s="14">
        <f t="shared" ca="1" si="5"/>
        <v>43763</v>
      </c>
      <c r="JO6" s="14">
        <f t="shared" ca="1" si="5"/>
        <v>43765</v>
      </c>
      <c r="JP6" s="14">
        <f t="shared" ca="1" si="5"/>
        <v>43767</v>
      </c>
      <c r="JQ6" s="14">
        <f t="shared" ca="1" si="5"/>
        <v>43769</v>
      </c>
      <c r="JR6" s="14">
        <f t="shared" ca="1" si="5"/>
        <v>43771</v>
      </c>
      <c r="JS6" s="14">
        <f t="shared" ca="1" si="5"/>
        <v>43773</v>
      </c>
      <c r="JT6" s="14">
        <f t="shared" ca="1" si="5"/>
        <v>43775</v>
      </c>
      <c r="JU6" s="14">
        <f t="shared" ca="1" si="5"/>
        <v>43777</v>
      </c>
      <c r="JV6" s="14">
        <f t="shared" ca="1" si="5"/>
        <v>43779</v>
      </c>
      <c r="JW6" s="14">
        <f t="shared" ca="1" si="5"/>
        <v>43781</v>
      </c>
      <c r="JX6" s="14">
        <f t="shared" ca="1" si="5"/>
        <v>43783</v>
      </c>
      <c r="JY6" s="14">
        <f t="shared" ca="1" si="5"/>
        <v>43785</v>
      </c>
      <c r="JZ6" s="14">
        <f t="shared" ca="1" si="5"/>
        <v>43787</v>
      </c>
      <c r="KA6" s="14">
        <f t="shared" ca="1" si="5"/>
        <v>43789</v>
      </c>
      <c r="KB6" s="14">
        <f t="shared" ca="1" si="5"/>
        <v>43791</v>
      </c>
      <c r="KC6" s="14">
        <f t="shared" ca="1" si="5"/>
        <v>43793</v>
      </c>
      <c r="KD6" s="14">
        <f t="shared" ca="1" si="5"/>
        <v>43795</v>
      </c>
      <c r="KE6" s="14">
        <f t="shared" ca="1" si="5"/>
        <v>43797</v>
      </c>
      <c r="KF6" s="14">
        <f t="shared" ca="1" si="5"/>
        <v>43799</v>
      </c>
      <c r="KG6" s="14">
        <f t="shared" ca="1" si="5"/>
        <v>43801</v>
      </c>
      <c r="KH6" s="14">
        <f t="shared" ca="1" si="5"/>
        <v>43803</v>
      </c>
      <c r="KI6" s="14">
        <f t="shared" ca="1" si="5"/>
        <v>43805</v>
      </c>
      <c r="KJ6" s="14">
        <f t="shared" ca="1" si="5"/>
        <v>43807</v>
      </c>
      <c r="KK6" s="14">
        <f t="shared" ca="1" si="5"/>
        <v>43809</v>
      </c>
      <c r="KL6" s="14">
        <f t="shared" ca="1" si="5"/>
        <v>43811</v>
      </c>
      <c r="KM6" s="14">
        <f t="shared" ca="1" si="5"/>
        <v>43813</v>
      </c>
      <c r="KN6" s="14">
        <f t="shared" ca="1" si="5"/>
        <v>43815</v>
      </c>
      <c r="KO6" s="14">
        <f t="shared" ca="1" si="5"/>
        <v>43817</v>
      </c>
      <c r="KP6" s="14">
        <f t="shared" ca="1" si="5"/>
        <v>43819</v>
      </c>
      <c r="KQ6" s="14">
        <f t="shared" ca="1" si="5"/>
        <v>43821</v>
      </c>
      <c r="KR6" s="14">
        <f t="shared" ca="1" si="5"/>
        <v>43823</v>
      </c>
      <c r="KS6" s="14">
        <f t="shared" ca="1" si="5"/>
        <v>43825</v>
      </c>
      <c r="KT6" s="14">
        <f t="shared" ca="1" si="5"/>
        <v>43827</v>
      </c>
      <c r="KU6" s="14">
        <f t="shared" ca="1" si="5"/>
        <v>43829</v>
      </c>
      <c r="KV6" s="14">
        <f t="shared" ca="1" si="5"/>
        <v>43831</v>
      </c>
      <c r="KW6" s="14">
        <f t="shared" ca="1" si="5"/>
        <v>43833</v>
      </c>
      <c r="KX6" s="14">
        <f t="shared" ca="1" si="5"/>
        <v>43835</v>
      </c>
      <c r="KY6" s="14">
        <f t="shared" ca="1" si="5"/>
        <v>43837</v>
      </c>
      <c r="KZ6" s="14">
        <f t="shared" ca="1" si="5"/>
        <v>43839</v>
      </c>
      <c r="LA6" s="14">
        <f t="shared" ca="1" si="5"/>
        <v>43841</v>
      </c>
      <c r="LB6" s="14">
        <f t="shared" ca="1" si="5"/>
        <v>43843</v>
      </c>
      <c r="LC6" s="14">
        <f t="shared" ca="1" si="5"/>
        <v>43845</v>
      </c>
      <c r="LD6" s="14">
        <f t="shared" ca="1" si="5"/>
        <v>43847</v>
      </c>
      <c r="LE6" s="14">
        <f t="shared" ca="1" si="5"/>
        <v>43849</v>
      </c>
      <c r="LF6" s="14">
        <f t="shared" ca="1" si="5"/>
        <v>43851</v>
      </c>
      <c r="LG6" s="14">
        <f t="shared" ca="1" si="5"/>
        <v>43853</v>
      </c>
      <c r="LH6" s="14">
        <f t="shared" ca="1" si="5"/>
        <v>43855</v>
      </c>
      <c r="LI6" s="14">
        <f t="shared" ca="1" si="5"/>
        <v>43857</v>
      </c>
      <c r="LJ6" s="14">
        <f t="shared" ca="1" si="5"/>
        <v>43859</v>
      </c>
      <c r="LK6" s="14">
        <f t="shared" ca="1" si="5"/>
        <v>43861</v>
      </c>
      <c r="LL6" s="14">
        <f t="shared" ca="1" si="5"/>
        <v>43863</v>
      </c>
      <c r="LM6" s="14">
        <f t="shared" ca="1" si="5"/>
        <v>43865</v>
      </c>
      <c r="LN6" s="14">
        <f t="shared" ca="1" si="5"/>
        <v>43867</v>
      </c>
      <c r="LO6" s="14">
        <f t="shared" ca="1" si="5"/>
        <v>43869</v>
      </c>
      <c r="LP6" s="14">
        <f t="shared" ca="1" si="5"/>
        <v>43871</v>
      </c>
      <c r="LQ6" s="14">
        <f t="shared" ca="1" si="5"/>
        <v>43873</v>
      </c>
      <c r="LR6" s="14">
        <f t="shared" ca="1" si="5"/>
        <v>43875</v>
      </c>
      <c r="LS6" s="14">
        <f t="shared" ca="1" si="5"/>
        <v>43877</v>
      </c>
      <c r="LT6" s="14">
        <f t="shared" ca="1" si="5"/>
        <v>43879</v>
      </c>
      <c r="LU6" s="14">
        <f t="shared" ca="1" si="5"/>
        <v>43881</v>
      </c>
      <c r="LV6" s="14">
        <f t="shared" ca="1" si="5"/>
        <v>43883</v>
      </c>
      <c r="LW6" s="14">
        <f t="shared" ref="LW6:NA6" ca="1" si="6">TODAY()+((COLUMN()-$H$4)*$N$3)</f>
        <v>43885</v>
      </c>
      <c r="LX6" s="14">
        <f t="shared" ca="1" si="6"/>
        <v>43887</v>
      </c>
      <c r="LY6" s="14">
        <f t="shared" ca="1" si="6"/>
        <v>43889</v>
      </c>
      <c r="LZ6" s="14">
        <f t="shared" ca="1" si="6"/>
        <v>43891</v>
      </c>
      <c r="MA6" s="14">
        <f t="shared" ca="1" si="6"/>
        <v>43893</v>
      </c>
      <c r="MB6" s="14">
        <f t="shared" ca="1" si="6"/>
        <v>43895</v>
      </c>
      <c r="MC6" s="14">
        <f t="shared" ca="1" si="6"/>
        <v>43897</v>
      </c>
      <c r="MD6" s="14">
        <f t="shared" ca="1" si="6"/>
        <v>43899</v>
      </c>
      <c r="ME6" s="14">
        <f t="shared" ca="1" si="6"/>
        <v>43901</v>
      </c>
      <c r="MF6" s="14">
        <f t="shared" ca="1" si="6"/>
        <v>43903</v>
      </c>
      <c r="MG6" s="14">
        <f t="shared" ca="1" si="6"/>
        <v>43905</v>
      </c>
      <c r="MH6" s="14">
        <f t="shared" ca="1" si="6"/>
        <v>43907</v>
      </c>
      <c r="MI6" s="14">
        <f t="shared" ca="1" si="6"/>
        <v>43909</v>
      </c>
      <c r="MJ6" s="14">
        <f t="shared" ca="1" si="6"/>
        <v>43911</v>
      </c>
      <c r="MK6" s="14">
        <f t="shared" ca="1" si="6"/>
        <v>43913</v>
      </c>
      <c r="ML6" s="14">
        <f t="shared" ca="1" si="6"/>
        <v>43915</v>
      </c>
      <c r="MM6" s="14">
        <f t="shared" ca="1" si="6"/>
        <v>43917</v>
      </c>
      <c r="MN6" s="14">
        <f t="shared" ca="1" si="6"/>
        <v>43919</v>
      </c>
      <c r="MO6" s="14">
        <f t="shared" ca="1" si="6"/>
        <v>43921</v>
      </c>
      <c r="MP6" s="14">
        <f t="shared" ca="1" si="6"/>
        <v>43923</v>
      </c>
      <c r="MQ6" s="14">
        <f t="shared" ca="1" si="6"/>
        <v>43925</v>
      </c>
      <c r="MR6" s="14">
        <f t="shared" ca="1" si="6"/>
        <v>43927</v>
      </c>
      <c r="MS6" s="14">
        <f t="shared" ca="1" si="6"/>
        <v>43929</v>
      </c>
      <c r="MT6" s="14">
        <f t="shared" ca="1" si="6"/>
        <v>43931</v>
      </c>
      <c r="MU6" s="14">
        <f t="shared" ca="1" si="6"/>
        <v>43933</v>
      </c>
      <c r="MV6" s="14">
        <f t="shared" ca="1" si="6"/>
        <v>43935</v>
      </c>
      <c r="MW6" s="14">
        <f t="shared" ca="1" si="6"/>
        <v>43937</v>
      </c>
      <c r="MX6" s="14">
        <f t="shared" ca="1" si="6"/>
        <v>43939</v>
      </c>
      <c r="MY6" s="14">
        <f t="shared" ca="1" si="6"/>
        <v>43941</v>
      </c>
      <c r="MZ6" s="14">
        <f t="shared" ca="1" si="6"/>
        <v>43943</v>
      </c>
      <c r="NA6" s="14">
        <f t="shared" ca="1" si="6"/>
        <v>43945</v>
      </c>
    </row>
    <row r="7" spans="1:367" s="2" customFormat="1" ht="24" customHeight="1" x14ac:dyDescent="0.25">
      <c r="A7" s="103" t="s">
        <v>328</v>
      </c>
      <c r="B7" s="34" t="s">
        <v>4</v>
      </c>
      <c r="C7" s="34" t="s">
        <v>0</v>
      </c>
      <c r="D7" s="33" t="s">
        <v>1</v>
      </c>
      <c r="E7" s="33" t="s">
        <v>2</v>
      </c>
      <c r="F7" s="35" t="s">
        <v>3</v>
      </c>
      <c r="G7" s="82"/>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5"/>
      <c r="B8" s="34"/>
      <c r="C8" s="34"/>
      <c r="D8" s="33"/>
      <c r="E8" s="33"/>
      <c r="F8" s="129"/>
      <c r="G8" s="82"/>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5" t="s">
        <v>425</v>
      </c>
      <c r="B9" s="30"/>
      <c r="C9" s="16"/>
      <c r="D9" s="16"/>
      <c r="E9" s="17"/>
      <c r="F9" s="4"/>
      <c r="G9" s="82"/>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5"/>
      <c r="B10" s="30"/>
      <c r="C10" s="16"/>
      <c r="D10" s="16"/>
      <c r="E10" s="17"/>
      <c r="F10" s="4"/>
      <c r="G10" s="82"/>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5"/>
      <c r="B11" s="30"/>
      <c r="C11" s="16"/>
      <c r="D11" s="16"/>
      <c r="E11" s="17"/>
      <c r="F11" s="4"/>
      <c r="G11" s="82"/>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5"/>
      <c r="B12" s="30"/>
      <c r="C12" s="16"/>
      <c r="D12" s="16"/>
      <c r="E12" s="17"/>
      <c r="F12" s="4"/>
      <c r="G12" s="82"/>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5"/>
      <c r="B13" s="30"/>
      <c r="C13" s="16"/>
      <c r="D13" s="16"/>
      <c r="E13" s="17"/>
      <c r="F13" s="4"/>
      <c r="G13" s="82"/>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5"/>
      <c r="B14" s="30"/>
      <c r="C14" s="16"/>
      <c r="D14" s="16"/>
      <c r="E14" s="17"/>
      <c r="F14" s="4"/>
      <c r="G14" s="82"/>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5"/>
      <c r="B15" s="30"/>
      <c r="C15" s="16"/>
      <c r="D15" s="16"/>
      <c r="E15" s="17"/>
      <c r="F15" s="4"/>
      <c r="G15" s="82"/>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5"/>
      <c r="B16" s="30"/>
      <c r="C16" s="16"/>
      <c r="D16" s="16"/>
      <c r="E16" s="17"/>
      <c r="F16" s="4"/>
      <c r="G16" s="82"/>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5"/>
      <c r="B17" s="30"/>
      <c r="C17" s="16"/>
      <c r="D17" s="16"/>
      <c r="E17" s="17"/>
      <c r="F17" s="4"/>
      <c r="G17" s="82"/>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5"/>
      <c r="B18" s="30"/>
      <c r="C18" s="16"/>
      <c r="D18" s="16"/>
      <c r="E18" s="17"/>
      <c r="F18" s="4"/>
      <c r="G18" s="82"/>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5"/>
      <c r="B19" s="30"/>
      <c r="C19" s="16"/>
      <c r="D19" s="16"/>
      <c r="E19" s="17"/>
      <c r="F19" s="4"/>
      <c r="G19" s="82"/>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5"/>
      <c r="B20" s="30"/>
      <c r="C20" s="16"/>
      <c r="D20" s="16"/>
      <c r="E20" s="17"/>
      <c r="F20" s="4"/>
      <c r="G20" s="82"/>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5"/>
      <c r="B21" s="30"/>
      <c r="C21" s="16"/>
      <c r="D21" s="16"/>
      <c r="E21" s="17"/>
      <c r="F21" s="4"/>
      <c r="G21" s="82"/>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5"/>
      <c r="B22" s="30"/>
      <c r="C22" s="16"/>
      <c r="D22" s="16"/>
      <c r="E22" s="17"/>
      <c r="F22" s="4"/>
      <c r="G22" s="82"/>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5"/>
      <c r="B23" s="30"/>
      <c r="C23" s="16"/>
      <c r="D23" s="16"/>
      <c r="E23" s="17"/>
      <c r="F23" s="4"/>
      <c r="G23" s="82"/>
    </row>
    <row r="24" spans="1:45" ht="20.100000000000001" customHeight="1" x14ac:dyDescent="0.25">
      <c r="A24" s="105"/>
      <c r="B24" s="30"/>
      <c r="C24" s="16"/>
      <c r="D24" s="16"/>
      <c r="E24" s="17"/>
      <c r="F24" s="4"/>
      <c r="G24" s="82"/>
    </row>
    <row r="25" spans="1:45" ht="20.100000000000001" customHeight="1" x14ac:dyDescent="0.25">
      <c r="A25" s="105"/>
      <c r="B25" s="30"/>
      <c r="C25" s="16"/>
      <c r="D25" s="16"/>
      <c r="E25" s="17"/>
      <c r="F25" s="4"/>
      <c r="G25" s="82"/>
    </row>
    <row r="26" spans="1:45" ht="20.100000000000001" customHeight="1" x14ac:dyDescent="0.25">
      <c r="A26" s="105"/>
      <c r="B26" s="30"/>
      <c r="C26" s="16"/>
      <c r="D26" s="16"/>
      <c r="E26" s="17"/>
      <c r="F26" s="4"/>
      <c r="G26" s="82"/>
    </row>
    <row r="27" spans="1:45" ht="20.100000000000001" customHeight="1" x14ac:dyDescent="0.25">
      <c r="A27" s="105"/>
      <c r="B27" s="106"/>
      <c r="C27" s="107"/>
      <c r="D27" s="107"/>
      <c r="E27" s="107"/>
      <c r="F27" s="133"/>
      <c r="G27" s="82"/>
    </row>
    <row r="28" spans="1:45" ht="20.100000000000001" customHeight="1" x14ac:dyDescent="0.25">
      <c r="A28" s="105"/>
      <c r="B28" s="30"/>
      <c r="C28" s="16"/>
      <c r="D28" s="16"/>
      <c r="E28" s="17"/>
      <c r="F28" s="4"/>
      <c r="G28" s="82"/>
    </row>
    <row r="29" spans="1:45" ht="20.100000000000001" customHeight="1" x14ac:dyDescent="0.25">
      <c r="A29" s="105"/>
      <c r="B29" s="30"/>
      <c r="C29" s="16"/>
      <c r="D29" s="16"/>
      <c r="E29" s="17"/>
      <c r="F29" s="4"/>
      <c r="G29" s="82"/>
    </row>
    <row r="30" spans="1:45" ht="20.100000000000001" customHeight="1" x14ac:dyDescent="0.25">
      <c r="A30" s="105"/>
      <c r="B30" s="30"/>
      <c r="C30" s="16"/>
      <c r="D30" s="16"/>
      <c r="E30" s="17"/>
      <c r="F30" s="4"/>
      <c r="G30" s="82"/>
    </row>
    <row r="31" spans="1:45" ht="20.100000000000001" customHeight="1" x14ac:dyDescent="0.25">
      <c r="A31" s="105"/>
      <c r="B31" s="30"/>
      <c r="C31" s="16"/>
      <c r="D31" s="16"/>
      <c r="E31" s="17"/>
      <c r="F31" s="4"/>
      <c r="G31" s="82"/>
    </row>
    <row r="32" spans="1:45" ht="20.100000000000001" customHeight="1" x14ac:dyDescent="0.25">
      <c r="A32" s="105"/>
      <c r="B32" s="30"/>
      <c r="C32" s="16"/>
      <c r="D32" s="16"/>
      <c r="E32" s="17"/>
      <c r="F32" s="4"/>
      <c r="G32" s="82"/>
    </row>
    <row r="33" spans="1:14" ht="20.100000000000001" customHeight="1" x14ac:dyDescent="0.25">
      <c r="A33" s="105"/>
      <c r="B33" s="30"/>
      <c r="C33" s="16"/>
      <c r="D33" s="16"/>
      <c r="E33" s="17"/>
      <c r="F33" s="4"/>
      <c r="G33" s="82"/>
    </row>
    <row r="34" spans="1:14" ht="38.25" customHeight="1" x14ac:dyDescent="0.25">
      <c r="A34" s="105"/>
      <c r="B34" s="30"/>
      <c r="C34" s="16"/>
      <c r="D34" s="16"/>
      <c r="E34" s="17"/>
      <c r="F34" s="4"/>
      <c r="G34" s="82"/>
    </row>
    <row r="35" spans="1:14" ht="20.100000000000001" customHeight="1" x14ac:dyDescent="0.25">
      <c r="A35" s="105"/>
      <c r="B35" s="30"/>
      <c r="C35" s="16"/>
      <c r="D35" s="16"/>
      <c r="E35" s="17"/>
      <c r="F35" s="4"/>
      <c r="G35" s="82"/>
    </row>
    <row r="36" spans="1:14" ht="20.100000000000001" customHeight="1" x14ac:dyDescent="0.25">
      <c r="A36" s="105"/>
      <c r="B36" s="30"/>
      <c r="C36" s="16"/>
      <c r="D36" s="16"/>
      <c r="E36" s="17"/>
      <c r="F36" s="4"/>
      <c r="G36" s="82"/>
      <c r="N36" s="2" t="s">
        <v>335</v>
      </c>
    </row>
    <row r="37" spans="1:14" ht="48.2" customHeight="1" x14ac:dyDescent="0.25">
      <c r="A37" s="105"/>
      <c r="B37" s="30"/>
      <c r="C37" s="16"/>
      <c r="D37" s="16"/>
      <c r="E37" s="17"/>
      <c r="F37" s="4"/>
      <c r="G37" s="82"/>
    </row>
    <row r="38" spans="1:14" ht="20.100000000000001" customHeight="1" x14ac:dyDescent="0.25">
      <c r="A38" s="105"/>
      <c r="B38" s="30"/>
      <c r="C38" s="16"/>
      <c r="D38" s="16"/>
      <c r="E38" s="17"/>
      <c r="F38" s="4"/>
      <c r="G38" s="82"/>
    </row>
    <row r="39" spans="1:14" ht="20.100000000000001" customHeight="1" x14ac:dyDescent="0.25">
      <c r="A39" s="105"/>
      <c r="B39" s="30"/>
      <c r="C39" s="16"/>
      <c r="D39" s="16"/>
      <c r="E39" s="17"/>
      <c r="F39" s="4"/>
      <c r="G39" s="82"/>
    </row>
    <row r="40" spans="1:14" ht="20.100000000000001" customHeight="1" x14ac:dyDescent="0.25">
      <c r="A40" s="105"/>
      <c r="B40" s="30"/>
      <c r="C40" s="16"/>
      <c r="D40" s="16"/>
      <c r="E40" s="17"/>
      <c r="F40" s="4"/>
      <c r="G40" s="82"/>
    </row>
    <row r="41" spans="1:14" ht="20.100000000000001" customHeight="1" x14ac:dyDescent="0.25">
      <c r="A41" s="105"/>
      <c r="B41" s="106"/>
      <c r="C41" s="107"/>
      <c r="D41" s="107"/>
      <c r="E41" s="107"/>
      <c r="F41" s="4"/>
      <c r="G41" s="82"/>
    </row>
    <row r="42" spans="1:14" ht="20.100000000000001" customHeight="1" x14ac:dyDescent="0.25">
      <c r="A42" s="105"/>
      <c r="B42" s="30"/>
      <c r="C42" s="16"/>
      <c r="D42" s="16"/>
      <c r="E42" s="107"/>
      <c r="F42" s="4"/>
      <c r="G42" s="82"/>
    </row>
    <row r="43" spans="1:14" ht="20.100000000000001" customHeight="1" x14ac:dyDescent="0.25">
      <c r="A43" s="105"/>
      <c r="B43" s="30"/>
      <c r="C43" s="16"/>
      <c r="D43" s="16"/>
      <c r="E43" s="107"/>
      <c r="F43" s="4"/>
      <c r="G43" s="82"/>
    </row>
    <row r="44" spans="1:14" ht="20.100000000000001" customHeight="1" x14ac:dyDescent="0.25">
      <c r="A44" s="105"/>
      <c r="B44" s="30"/>
      <c r="C44" s="16"/>
      <c r="D44" s="16"/>
      <c r="E44" s="107"/>
      <c r="F44" s="4"/>
      <c r="G44" s="82"/>
    </row>
    <row r="45" spans="1:14" ht="20.100000000000001" customHeight="1" x14ac:dyDescent="0.25">
      <c r="A45" s="105"/>
      <c r="B45" s="30"/>
      <c r="C45" s="16"/>
      <c r="D45" s="16"/>
      <c r="E45" s="107"/>
      <c r="F45" s="4"/>
      <c r="G45" s="82"/>
    </row>
    <row r="46" spans="1:14" ht="20.100000000000001" customHeight="1" x14ac:dyDescent="0.25">
      <c r="A46" s="105"/>
      <c r="B46" s="30"/>
      <c r="C46" s="16"/>
      <c r="D46" s="16"/>
      <c r="E46" s="107"/>
      <c r="F46" s="4"/>
      <c r="G46" s="82"/>
    </row>
    <row r="47" spans="1:14" ht="20.100000000000001" customHeight="1" x14ac:dyDescent="0.25">
      <c r="A47" s="105"/>
      <c r="B47" s="30"/>
      <c r="C47" s="16"/>
      <c r="D47" s="16"/>
      <c r="E47" s="107"/>
      <c r="F47" s="4"/>
      <c r="G47" s="82"/>
    </row>
    <row r="48" spans="1:14" ht="20.100000000000001" customHeight="1" x14ac:dyDescent="0.25">
      <c r="A48" s="105"/>
      <c r="B48" s="30"/>
      <c r="C48" s="16"/>
      <c r="D48" s="16"/>
      <c r="E48" s="17"/>
      <c r="F48" s="4"/>
      <c r="G48" s="82"/>
    </row>
    <row r="49" spans="1:7" ht="20.100000000000001" customHeight="1" x14ac:dyDescent="0.25">
      <c r="A49" s="105"/>
      <c r="B49" s="30"/>
      <c r="C49" s="16"/>
      <c r="D49" s="16"/>
      <c r="E49" s="17"/>
      <c r="F49" s="4"/>
      <c r="G49" s="82"/>
    </row>
    <row r="50" spans="1:7" ht="20.100000000000001" customHeight="1" x14ac:dyDescent="0.25">
      <c r="A50" s="105"/>
      <c r="B50" s="30"/>
      <c r="C50" s="16"/>
      <c r="D50" s="16"/>
      <c r="E50" s="17"/>
      <c r="F50" s="4"/>
      <c r="G50" s="82"/>
    </row>
    <row r="51" spans="1:7" ht="20.100000000000001" customHeight="1" x14ac:dyDescent="0.25">
      <c r="A51" s="105"/>
      <c r="B51" s="30"/>
      <c r="C51" s="16"/>
      <c r="D51" s="16"/>
      <c r="E51" s="17"/>
      <c r="F51" s="4"/>
      <c r="G51" s="82"/>
    </row>
    <row r="52" spans="1:7" ht="20.100000000000001" customHeight="1" x14ac:dyDescent="0.25">
      <c r="A52" s="105"/>
      <c r="B52" s="30"/>
      <c r="C52" s="16"/>
      <c r="D52" s="16"/>
      <c r="E52" s="17"/>
      <c r="F52" s="4"/>
      <c r="G52" s="82"/>
    </row>
    <row r="53" spans="1:7" ht="20.100000000000001" customHeight="1" x14ac:dyDescent="0.25">
      <c r="A53" s="105"/>
      <c r="B53" s="30"/>
      <c r="C53" s="16"/>
      <c r="D53" s="16"/>
      <c r="E53" s="17"/>
      <c r="F53" s="4"/>
      <c r="G53" s="82"/>
    </row>
    <row r="54" spans="1:7" ht="20.100000000000001" customHeight="1" x14ac:dyDescent="0.25">
      <c r="A54" s="105"/>
      <c r="B54" s="30"/>
      <c r="C54" s="16"/>
      <c r="D54" s="16"/>
      <c r="E54" s="17"/>
      <c r="F54" s="4"/>
      <c r="G54" s="82"/>
    </row>
    <row r="55" spans="1:7" ht="20.100000000000001" customHeight="1" x14ac:dyDescent="0.25">
      <c r="A55" s="105"/>
      <c r="B55" s="30"/>
      <c r="C55" s="16"/>
      <c r="D55" s="16"/>
      <c r="E55" s="17"/>
      <c r="F55" s="4"/>
      <c r="G55" s="82"/>
    </row>
    <row r="56" spans="1:7" ht="20.100000000000001" customHeight="1" x14ac:dyDescent="0.25">
      <c r="A56" s="105"/>
      <c r="B56" s="30"/>
      <c r="C56" s="16"/>
      <c r="D56" s="16"/>
      <c r="E56" s="17"/>
      <c r="F56" s="4"/>
      <c r="G56" s="82"/>
    </row>
    <row r="57" spans="1:7" ht="20.100000000000001" customHeight="1" x14ac:dyDescent="0.25">
      <c r="A57" s="105"/>
      <c r="B57" s="30"/>
      <c r="C57" s="16"/>
      <c r="D57" s="16"/>
      <c r="E57" s="17"/>
      <c r="F57" s="4"/>
      <c r="G57" s="82"/>
    </row>
    <row r="58" spans="1:7" ht="20.100000000000001" customHeight="1" x14ac:dyDescent="0.25">
      <c r="A58" s="105"/>
      <c r="B58" s="30"/>
      <c r="C58" s="16"/>
      <c r="D58" s="16"/>
      <c r="E58" s="17"/>
      <c r="F58" s="4"/>
      <c r="G58" s="82"/>
    </row>
    <row r="59" spans="1:7" ht="20.100000000000001" customHeight="1" x14ac:dyDescent="0.25">
      <c r="A59" s="105"/>
      <c r="B59" s="30"/>
      <c r="C59" s="16"/>
      <c r="D59" s="16"/>
      <c r="E59" s="17"/>
      <c r="F59" s="4"/>
      <c r="G59" s="82"/>
    </row>
    <row r="60" spans="1:7" ht="20.100000000000001" customHeight="1" x14ac:dyDescent="0.25">
      <c r="A60" s="105"/>
      <c r="B60" s="30"/>
      <c r="C60" s="16"/>
      <c r="D60" s="16"/>
      <c r="E60" s="17"/>
      <c r="F60" s="4"/>
      <c r="G60" s="82"/>
    </row>
    <row r="61" spans="1:7" ht="20.100000000000001" customHeight="1" x14ac:dyDescent="0.25">
      <c r="A61" s="105"/>
      <c r="B61" s="30"/>
      <c r="C61" s="16"/>
      <c r="D61" s="16"/>
      <c r="E61" s="17"/>
      <c r="F61" s="4"/>
      <c r="G61" s="82"/>
    </row>
    <row r="62" spans="1:7" ht="20.100000000000001" customHeight="1" x14ac:dyDescent="0.25">
      <c r="A62" s="105"/>
      <c r="B62" s="30"/>
      <c r="C62" s="16"/>
      <c r="D62" s="16"/>
      <c r="E62" s="17"/>
      <c r="F62" s="4"/>
      <c r="G62" s="82"/>
    </row>
    <row r="63" spans="1:7" ht="20.100000000000001" customHeight="1" x14ac:dyDescent="0.25">
      <c r="A63" s="105"/>
      <c r="B63" s="30"/>
      <c r="C63" s="16"/>
      <c r="D63" s="16"/>
      <c r="E63" s="17"/>
      <c r="F63" s="4"/>
      <c r="G63" s="82"/>
    </row>
    <row r="64" spans="1:7" ht="20.100000000000001" customHeight="1" x14ac:dyDescent="0.25">
      <c r="A64" s="105"/>
      <c r="B64" s="30"/>
      <c r="C64" s="16"/>
      <c r="D64" s="16"/>
      <c r="E64" s="17"/>
      <c r="F64" s="4"/>
      <c r="G64" s="82"/>
    </row>
    <row r="65" spans="1:7" ht="20.100000000000001" customHeight="1" x14ac:dyDescent="0.25">
      <c r="A65" s="105"/>
      <c r="B65" s="30"/>
      <c r="C65" s="16"/>
      <c r="D65" s="16"/>
      <c r="E65" s="17"/>
      <c r="F65" s="4"/>
      <c r="G65" s="82"/>
    </row>
    <row r="66" spans="1:7" ht="20.100000000000001" customHeight="1" x14ac:dyDescent="0.25">
      <c r="A66" s="105"/>
      <c r="B66" s="30"/>
      <c r="C66" s="16"/>
      <c r="D66" s="16"/>
      <c r="E66" s="17"/>
      <c r="F66" s="4"/>
      <c r="G66" s="82"/>
    </row>
    <row r="67" spans="1:7" ht="20.100000000000001" customHeight="1" x14ac:dyDescent="0.25">
      <c r="A67" s="105"/>
      <c r="B67" s="30"/>
      <c r="C67" s="16"/>
      <c r="D67" s="16"/>
      <c r="E67" s="17"/>
      <c r="F67" s="4"/>
      <c r="G67" s="82"/>
    </row>
    <row r="68" spans="1:7" ht="20.100000000000001" customHeight="1" x14ac:dyDescent="0.25">
      <c r="A68" s="105"/>
      <c r="B68" s="30"/>
      <c r="C68" s="16"/>
      <c r="D68" s="16"/>
      <c r="E68" s="17"/>
      <c r="F68" s="4"/>
      <c r="G68" s="82"/>
    </row>
    <row r="69" spans="1:7" ht="20.100000000000001" customHeight="1" x14ac:dyDescent="0.25">
      <c r="A69" s="105"/>
      <c r="B69" s="30"/>
      <c r="C69" s="16"/>
      <c r="D69" s="16"/>
      <c r="E69" s="17"/>
      <c r="F69" s="4"/>
      <c r="G69" s="82"/>
    </row>
    <row r="70" spans="1:7" ht="20.100000000000001" customHeight="1" x14ac:dyDescent="0.25">
      <c r="A70" s="105"/>
      <c r="B70" s="30"/>
      <c r="C70" s="16"/>
      <c r="D70" s="16"/>
      <c r="E70" s="17"/>
      <c r="F70" s="4"/>
      <c r="G70" s="82"/>
    </row>
    <row r="71" spans="1:7" ht="20.100000000000001" customHeight="1" x14ac:dyDescent="0.25">
      <c r="A71" s="105"/>
      <c r="B71" s="30"/>
      <c r="C71" s="16"/>
      <c r="D71" s="16"/>
      <c r="E71" s="17"/>
      <c r="F71" s="4"/>
      <c r="G71" s="82"/>
    </row>
    <row r="72" spans="1:7" ht="20.100000000000001" customHeight="1" x14ac:dyDescent="0.25">
      <c r="A72" s="105"/>
      <c r="B72" s="30"/>
      <c r="C72" s="16"/>
      <c r="D72" s="16"/>
      <c r="E72" s="17"/>
      <c r="F72" s="4"/>
      <c r="G72" s="82"/>
    </row>
    <row r="73" spans="1:7" ht="20.100000000000001" customHeight="1" x14ac:dyDescent="0.25">
      <c r="A73" s="105"/>
      <c r="B73" s="30"/>
      <c r="C73" s="16"/>
      <c r="D73" s="16"/>
      <c r="E73" s="17"/>
      <c r="F73" s="4"/>
      <c r="G73" s="82"/>
    </row>
    <row r="74" spans="1:7" ht="20.100000000000001" customHeight="1" x14ac:dyDescent="0.25">
      <c r="A74" s="105"/>
      <c r="B74" s="30"/>
      <c r="C74" s="16"/>
      <c r="D74" s="16"/>
      <c r="E74" s="17"/>
      <c r="F74" s="4"/>
      <c r="G74" s="82"/>
    </row>
    <row r="75" spans="1:7" ht="20.100000000000001" customHeight="1" x14ac:dyDescent="0.25">
      <c r="A75" s="105"/>
      <c r="B75" s="30"/>
      <c r="C75" s="16"/>
      <c r="D75" s="16"/>
      <c r="E75" s="17"/>
      <c r="F75" s="4"/>
      <c r="G75" s="82"/>
    </row>
    <row r="76" spans="1:7" ht="20.100000000000001" customHeight="1" x14ac:dyDescent="0.25">
      <c r="A76" s="105"/>
      <c r="B76" s="30"/>
      <c r="C76" s="16"/>
      <c r="D76" s="16"/>
      <c r="E76" s="17"/>
      <c r="F76" s="4"/>
      <c r="G76" s="82"/>
    </row>
    <row r="77" spans="1:7" ht="20.100000000000001" customHeight="1" x14ac:dyDescent="0.25">
      <c r="A77" s="105"/>
      <c r="B77" s="30"/>
      <c r="C77" s="16"/>
      <c r="D77" s="16"/>
      <c r="E77" s="17"/>
      <c r="F77" s="4"/>
      <c r="G77" s="82"/>
    </row>
    <row r="78" spans="1:7" ht="20.100000000000001" customHeight="1" x14ac:dyDescent="0.25">
      <c r="A78" s="105"/>
      <c r="B78" s="30"/>
      <c r="C78" s="16"/>
      <c r="D78" s="16"/>
      <c r="E78" s="17"/>
      <c r="F78" s="4"/>
      <c r="G78" s="82"/>
    </row>
    <row r="79" spans="1:7" ht="20.100000000000001" customHeight="1" x14ac:dyDescent="0.25">
      <c r="A79" s="105"/>
      <c r="B79" s="30"/>
      <c r="C79" s="16"/>
      <c r="D79" s="16"/>
      <c r="E79" s="17"/>
      <c r="F79" s="4"/>
      <c r="G79" s="82"/>
    </row>
    <row r="80" spans="1:7" ht="20.100000000000001" customHeight="1" x14ac:dyDescent="0.25">
      <c r="A80" s="105"/>
      <c r="B80" s="30"/>
      <c r="C80" s="16"/>
      <c r="D80" s="16"/>
      <c r="E80" s="17"/>
      <c r="F80" s="4"/>
      <c r="G80" s="82"/>
    </row>
    <row r="81" spans="1:7" ht="20.100000000000001" customHeight="1" x14ac:dyDescent="0.25">
      <c r="A81" s="105"/>
      <c r="B81" s="30"/>
      <c r="C81" s="16"/>
      <c r="D81" s="16"/>
      <c r="E81" s="17"/>
      <c r="F81" s="4"/>
      <c r="G81" s="82"/>
    </row>
    <row r="82" spans="1:7" ht="20.100000000000001" customHeight="1" x14ac:dyDescent="0.25">
      <c r="A82" s="105"/>
      <c r="B82" s="30"/>
      <c r="C82" s="16"/>
      <c r="D82" s="16"/>
      <c r="E82" s="17"/>
      <c r="F82" s="4"/>
      <c r="G82" s="82"/>
    </row>
    <row r="83" spans="1:7" ht="20.100000000000001" customHeight="1" x14ac:dyDescent="0.25">
      <c r="A83" s="105"/>
      <c r="B83" s="30"/>
      <c r="C83" s="16"/>
      <c r="D83" s="16"/>
      <c r="E83" s="17"/>
      <c r="F83" s="4"/>
      <c r="G83" s="82"/>
    </row>
    <row r="84" spans="1:7" ht="20.100000000000001" customHeight="1" x14ac:dyDescent="0.25">
      <c r="A84" s="105"/>
      <c r="B84" s="30"/>
      <c r="C84" s="16"/>
      <c r="D84" s="16"/>
      <c r="E84" s="17"/>
      <c r="F84" s="4"/>
      <c r="G84" s="82"/>
    </row>
    <row r="85" spans="1:7" ht="20.100000000000001" customHeight="1" x14ac:dyDescent="0.25">
      <c r="A85" s="105"/>
      <c r="B85" s="30"/>
      <c r="C85" s="16"/>
      <c r="D85" s="16"/>
      <c r="E85" s="17"/>
      <c r="F85" s="4"/>
      <c r="G85" s="82"/>
    </row>
    <row r="86" spans="1:7" ht="20.100000000000001" customHeight="1" x14ac:dyDescent="0.25">
      <c r="A86" s="105"/>
      <c r="B86" s="30"/>
      <c r="C86" s="16"/>
      <c r="D86" s="16"/>
      <c r="E86" s="17"/>
      <c r="F86" s="4"/>
      <c r="G86" s="82"/>
    </row>
    <row r="87" spans="1:7" ht="20.100000000000001" customHeight="1" x14ac:dyDescent="0.25">
      <c r="A87" s="105"/>
      <c r="B87" s="30"/>
      <c r="C87" s="16"/>
      <c r="D87" s="16"/>
      <c r="E87" s="17"/>
      <c r="F87" s="4"/>
      <c r="G87" s="82"/>
    </row>
    <row r="88" spans="1:7" ht="20.100000000000001" customHeight="1" x14ac:dyDescent="0.25">
      <c r="A88" s="105"/>
      <c r="B88" s="30"/>
      <c r="C88" s="16"/>
      <c r="D88" s="16"/>
      <c r="E88" s="17"/>
      <c r="F88" s="4"/>
      <c r="G88" s="82"/>
    </row>
    <row r="89" spans="1:7" ht="20.100000000000001" customHeight="1" x14ac:dyDescent="0.25">
      <c r="A89" s="105"/>
      <c r="B89" s="30"/>
      <c r="C89" s="16"/>
      <c r="D89" s="16"/>
      <c r="E89" s="17"/>
      <c r="F89" s="4"/>
      <c r="G89" s="82"/>
    </row>
    <row r="90" spans="1:7" ht="20.100000000000001" customHeight="1" x14ac:dyDescent="0.25">
      <c r="A90" s="105"/>
      <c r="B90" s="30"/>
      <c r="C90" s="16"/>
      <c r="D90" s="16"/>
      <c r="E90" s="17"/>
      <c r="F90" s="4"/>
      <c r="G90" s="82"/>
    </row>
    <row r="91" spans="1:7" ht="20.100000000000001" customHeight="1" x14ac:dyDescent="0.25">
      <c r="A91" s="105"/>
      <c r="B91" s="30"/>
      <c r="C91" s="16"/>
      <c r="D91" s="16"/>
      <c r="E91" s="17"/>
      <c r="F91" s="4"/>
      <c r="G91" s="82"/>
    </row>
    <row r="92" spans="1:7" ht="20.100000000000001" customHeight="1" x14ac:dyDescent="0.25">
      <c r="A92" s="105"/>
      <c r="B92" s="30"/>
      <c r="C92" s="16"/>
      <c r="D92" s="16"/>
      <c r="E92" s="17"/>
      <c r="F92" s="4"/>
      <c r="G92" s="82"/>
    </row>
    <row r="93" spans="1:7" ht="20.100000000000001" customHeight="1" x14ac:dyDescent="0.25">
      <c r="A93" s="105"/>
      <c r="B93" s="30"/>
      <c r="C93" s="16"/>
      <c r="D93" s="16"/>
      <c r="E93" s="17"/>
      <c r="F93" s="4"/>
      <c r="G93" s="82"/>
    </row>
    <row r="94" spans="1:7" ht="20.100000000000001" customHeight="1" x14ac:dyDescent="0.25">
      <c r="A94" s="105"/>
      <c r="B94" s="30"/>
      <c r="C94" s="16"/>
      <c r="D94" s="16"/>
      <c r="E94" s="17"/>
      <c r="F94" s="4"/>
      <c r="G94" s="82"/>
    </row>
    <row r="95" spans="1:7" ht="20.100000000000001" customHeight="1" x14ac:dyDescent="0.25">
      <c r="A95" s="105"/>
      <c r="B95" s="30"/>
      <c r="C95" s="16"/>
      <c r="D95" s="16"/>
      <c r="E95" s="17"/>
      <c r="F95" s="4"/>
      <c r="G95" s="82"/>
    </row>
    <row r="96" spans="1:7" ht="20.100000000000001" customHeight="1" x14ac:dyDescent="0.25">
      <c r="A96" s="105"/>
      <c r="B96" s="30"/>
      <c r="C96" s="16"/>
      <c r="D96" s="16"/>
      <c r="E96" s="17"/>
      <c r="F96" s="4"/>
      <c r="G96" s="82"/>
    </row>
    <row r="97" spans="1:7" ht="20.100000000000001" customHeight="1" x14ac:dyDescent="0.25">
      <c r="A97" s="105"/>
      <c r="B97" s="30"/>
      <c r="C97" s="16"/>
      <c r="D97" s="16"/>
      <c r="E97" s="17"/>
      <c r="F97" s="4"/>
      <c r="G97" s="82"/>
    </row>
    <row r="98" spans="1:7" ht="20.100000000000001" customHeight="1" x14ac:dyDescent="0.25">
      <c r="A98" s="105"/>
      <c r="B98" s="30"/>
      <c r="C98" s="16"/>
      <c r="D98" s="16"/>
      <c r="E98" s="17"/>
      <c r="F98" s="4"/>
      <c r="G98" s="82"/>
    </row>
    <row r="99" spans="1:7" ht="20.100000000000001" customHeight="1" x14ac:dyDescent="0.25">
      <c r="A99" s="105"/>
      <c r="B99" s="30"/>
      <c r="C99" s="16"/>
      <c r="D99" s="16"/>
      <c r="E99" s="17"/>
      <c r="F99" s="4"/>
      <c r="G99" s="82"/>
    </row>
    <row r="100" spans="1:7" ht="20.100000000000001" customHeight="1" x14ac:dyDescent="0.25">
      <c r="A100" s="105"/>
      <c r="B100" s="30"/>
      <c r="C100" s="16"/>
      <c r="D100" s="16"/>
      <c r="E100" s="17"/>
      <c r="F100" s="4"/>
      <c r="G100" s="82"/>
    </row>
    <row r="101" spans="1:7" ht="20.100000000000001" customHeight="1" x14ac:dyDescent="0.25">
      <c r="A101" s="105"/>
      <c r="B101" s="30"/>
      <c r="C101" s="16"/>
      <c r="D101" s="16"/>
      <c r="E101" s="17"/>
      <c r="F101" s="4"/>
      <c r="G101" s="82"/>
    </row>
    <row r="102" spans="1:7" ht="20.100000000000001" customHeight="1" x14ac:dyDescent="0.25">
      <c r="A102" s="105"/>
      <c r="B102" s="30"/>
      <c r="C102" s="16"/>
      <c r="D102" s="16"/>
      <c r="E102" s="17"/>
      <c r="F102" s="4"/>
      <c r="G102" s="82"/>
    </row>
    <row r="103" spans="1:7" ht="20.100000000000001" customHeight="1" x14ac:dyDescent="0.25">
      <c r="A103" s="105"/>
      <c r="B103" s="30"/>
      <c r="C103" s="16"/>
      <c r="D103" s="16"/>
      <c r="E103" s="17"/>
      <c r="F103" s="4"/>
      <c r="G103" s="82"/>
    </row>
    <row r="104" spans="1:7" ht="20.100000000000001" customHeight="1" x14ac:dyDescent="0.25">
      <c r="A104" s="105"/>
      <c r="B104" s="30"/>
      <c r="C104" s="16"/>
      <c r="D104" s="16"/>
      <c r="E104" s="17"/>
      <c r="F104" s="4"/>
      <c r="G104" s="82"/>
    </row>
    <row r="105" spans="1:7" ht="20.100000000000001" customHeight="1" x14ac:dyDescent="0.25">
      <c r="A105" s="105"/>
      <c r="B105" s="30"/>
      <c r="C105" s="16"/>
      <c r="D105" s="16"/>
      <c r="E105" s="17"/>
      <c r="F105" s="4"/>
      <c r="G105" s="82"/>
    </row>
    <row r="106" spans="1:7" ht="20.100000000000001" customHeight="1" x14ac:dyDescent="0.25">
      <c r="A106" s="105"/>
      <c r="B106" s="30"/>
      <c r="C106" s="16"/>
      <c r="D106" s="16"/>
      <c r="E106" s="17"/>
      <c r="F106" s="4"/>
      <c r="G106" s="82"/>
    </row>
    <row r="107" spans="1:7" ht="20.100000000000001" customHeight="1" x14ac:dyDescent="0.25">
      <c r="A107" s="105"/>
      <c r="B107" s="30"/>
      <c r="C107" s="16"/>
      <c r="D107" s="16"/>
      <c r="E107" s="17"/>
      <c r="F107" s="4"/>
      <c r="G107" s="82"/>
    </row>
    <row r="108" spans="1:7" ht="20.100000000000001" customHeight="1" x14ac:dyDescent="0.25">
      <c r="A108" s="105"/>
      <c r="B108" s="30"/>
      <c r="C108" s="16"/>
      <c r="D108" s="16"/>
      <c r="E108" s="17"/>
      <c r="F108" s="4"/>
      <c r="G108" s="82"/>
    </row>
    <row r="109" spans="1:7" ht="20.100000000000001" customHeight="1" x14ac:dyDescent="0.25">
      <c r="A109" s="105"/>
      <c r="B109" s="30"/>
      <c r="C109" s="16"/>
      <c r="D109" s="16"/>
      <c r="E109" s="17"/>
      <c r="F109" s="4"/>
      <c r="G109" s="82"/>
    </row>
    <row r="110" spans="1:7" ht="20.100000000000001" customHeight="1" x14ac:dyDescent="0.25">
      <c r="A110" s="105"/>
      <c r="B110" s="30"/>
      <c r="C110" s="16"/>
      <c r="D110" s="16"/>
      <c r="E110" s="17"/>
      <c r="F110" s="4"/>
      <c r="G110" s="82"/>
    </row>
    <row r="111" spans="1:7" ht="20.100000000000001" customHeight="1" x14ac:dyDescent="0.25">
      <c r="A111" s="105"/>
      <c r="B111" s="30"/>
      <c r="C111" s="16"/>
      <c r="D111" s="16"/>
      <c r="E111" s="17"/>
      <c r="F111" s="4"/>
      <c r="G111" s="82"/>
    </row>
    <row r="112" spans="1:7" ht="20.100000000000001" customHeight="1" x14ac:dyDescent="0.25">
      <c r="A112" s="105"/>
      <c r="B112" s="30"/>
      <c r="C112" s="16"/>
      <c r="D112" s="16"/>
      <c r="E112" s="17"/>
      <c r="F112" s="4"/>
      <c r="G112" s="82"/>
    </row>
    <row r="113" spans="1:7" ht="20.100000000000001" customHeight="1" x14ac:dyDescent="0.25">
      <c r="A113" s="105"/>
      <c r="B113" s="30"/>
      <c r="C113" s="16"/>
      <c r="D113" s="16"/>
      <c r="E113" s="17"/>
      <c r="F113" s="4"/>
      <c r="G113" s="82"/>
    </row>
    <row r="114" spans="1:7" ht="20.100000000000001" customHeight="1" x14ac:dyDescent="0.25">
      <c r="A114" s="105"/>
      <c r="B114" s="30"/>
      <c r="C114" s="16"/>
      <c r="D114" s="16"/>
      <c r="E114" s="17"/>
      <c r="F114" s="4"/>
      <c r="G114" s="82"/>
    </row>
    <row r="115" spans="1:7" ht="20.100000000000001" customHeight="1" x14ac:dyDescent="0.25">
      <c r="A115" s="105"/>
      <c r="B115" s="30"/>
      <c r="C115" s="16"/>
      <c r="D115" s="16"/>
      <c r="E115" s="17"/>
      <c r="F115" s="4"/>
      <c r="G115" s="82"/>
    </row>
    <row r="116" spans="1:7" ht="20.100000000000001" customHeight="1" x14ac:dyDescent="0.25">
      <c r="A116" s="105"/>
      <c r="B116" s="30"/>
      <c r="C116" s="16"/>
      <c r="D116" s="16"/>
      <c r="E116" s="17"/>
      <c r="F116" s="4"/>
      <c r="G116" s="82"/>
    </row>
    <row r="117" spans="1:7" ht="20.100000000000001" customHeight="1" x14ac:dyDescent="0.25">
      <c r="A117" s="105"/>
      <c r="B117" s="30"/>
      <c r="C117" s="16"/>
      <c r="D117" s="16"/>
      <c r="E117" s="17"/>
      <c r="F117" s="4"/>
      <c r="G117" s="82"/>
    </row>
    <row r="118" spans="1:7" ht="20.100000000000001" customHeight="1" x14ac:dyDescent="0.25">
      <c r="A118" s="105"/>
      <c r="B118" s="30"/>
      <c r="C118" s="16"/>
      <c r="D118" s="16"/>
      <c r="E118" s="17"/>
      <c r="F118" s="4"/>
      <c r="G118" s="82"/>
    </row>
    <row r="119" spans="1:7" ht="20.100000000000001" customHeight="1" x14ac:dyDescent="0.25">
      <c r="A119" s="105"/>
      <c r="B119" s="30"/>
      <c r="C119" s="16"/>
      <c r="D119" s="16"/>
      <c r="E119" s="17"/>
      <c r="F119" s="4"/>
      <c r="G119" s="82"/>
    </row>
    <row r="120" spans="1:7" ht="20.100000000000001" customHeight="1" x14ac:dyDescent="0.25">
      <c r="A120" s="105"/>
      <c r="B120" s="30"/>
      <c r="C120" s="16"/>
      <c r="D120" s="16"/>
      <c r="E120" s="17"/>
      <c r="F120" s="4"/>
      <c r="G120" s="82"/>
    </row>
    <row r="121" spans="1:7" ht="20.100000000000001" customHeight="1" x14ac:dyDescent="0.25">
      <c r="A121" s="105"/>
      <c r="B121" s="30"/>
      <c r="C121" s="16"/>
      <c r="D121" s="16"/>
      <c r="E121" s="17"/>
      <c r="F121" s="4"/>
      <c r="G121" s="82"/>
    </row>
    <row r="122" spans="1:7" ht="20.100000000000001" customHeight="1" x14ac:dyDescent="0.25">
      <c r="A122" s="105"/>
      <c r="B122" s="30"/>
      <c r="C122" s="16"/>
      <c r="D122" s="16"/>
      <c r="E122" s="17"/>
      <c r="F122" s="4"/>
      <c r="G122" s="82"/>
    </row>
    <row r="123" spans="1:7" ht="20.100000000000001" customHeight="1" x14ac:dyDescent="0.25">
      <c r="A123" s="105"/>
      <c r="B123" s="30"/>
      <c r="C123" s="16"/>
      <c r="D123" s="16"/>
      <c r="E123" s="17"/>
      <c r="F123" s="4"/>
      <c r="G123" s="82"/>
    </row>
    <row r="124" spans="1:7" ht="20.100000000000001" customHeight="1" x14ac:dyDescent="0.25">
      <c r="A124" s="105"/>
      <c r="B124" s="30"/>
      <c r="C124" s="16"/>
      <c r="D124" s="16"/>
      <c r="E124" s="17"/>
      <c r="F124" s="4"/>
      <c r="G124" s="82"/>
    </row>
    <row r="125" spans="1:7" ht="20.100000000000001" customHeight="1" x14ac:dyDescent="0.25">
      <c r="A125" s="105"/>
      <c r="B125" s="30"/>
      <c r="C125" s="16"/>
      <c r="D125" s="16"/>
      <c r="E125" s="17"/>
      <c r="F125" s="4"/>
      <c r="G125" s="82"/>
    </row>
    <row r="126" spans="1:7" ht="20.100000000000001" customHeight="1" x14ac:dyDescent="0.25">
      <c r="A126" s="105"/>
      <c r="B126" s="30"/>
      <c r="C126" s="16"/>
      <c r="D126" s="16"/>
      <c r="E126" s="17"/>
      <c r="F126" s="4"/>
      <c r="G126" s="82"/>
    </row>
    <row r="127" spans="1:7" ht="20.100000000000001" customHeight="1" x14ac:dyDescent="0.25">
      <c r="A127" s="105"/>
      <c r="B127" s="30"/>
      <c r="C127" s="16"/>
      <c r="D127" s="16"/>
      <c r="E127" s="17"/>
      <c r="F127" s="4"/>
      <c r="G127" s="82"/>
    </row>
    <row r="128" spans="1:7" ht="20.100000000000001" customHeight="1" x14ac:dyDescent="0.25">
      <c r="A128" s="105"/>
      <c r="B128" s="30"/>
      <c r="C128" s="16"/>
      <c r="D128" s="16"/>
      <c r="E128" s="17"/>
      <c r="F128" s="4"/>
      <c r="G128" s="82"/>
    </row>
    <row r="129" spans="1:7" ht="20.100000000000001" customHeight="1" x14ac:dyDescent="0.25">
      <c r="A129" s="105"/>
      <c r="B129" s="30"/>
      <c r="C129" s="16"/>
      <c r="D129" s="16"/>
      <c r="E129" s="17"/>
      <c r="F129" s="4"/>
      <c r="G129" s="82"/>
    </row>
    <row r="130" spans="1:7" ht="20.100000000000001" customHeight="1" x14ac:dyDescent="0.25">
      <c r="A130" s="105"/>
      <c r="B130" s="30"/>
      <c r="C130" s="16"/>
      <c r="D130" s="16"/>
      <c r="E130" s="17"/>
      <c r="F130" s="4"/>
      <c r="G130" s="82"/>
    </row>
    <row r="131" spans="1:7" ht="20.100000000000001" customHeight="1" x14ac:dyDescent="0.25">
      <c r="A131" s="105"/>
      <c r="B131" s="30"/>
      <c r="C131" s="16"/>
      <c r="D131" s="16"/>
      <c r="E131" s="17"/>
      <c r="F131" s="4"/>
      <c r="G131" s="82"/>
    </row>
    <row r="132" spans="1:7" ht="20.100000000000001" customHeight="1" x14ac:dyDescent="0.25">
      <c r="A132" s="105"/>
      <c r="B132" s="30"/>
      <c r="C132" s="16"/>
      <c r="D132" s="16"/>
      <c r="E132" s="17"/>
      <c r="F132" s="4"/>
      <c r="G132" s="82"/>
    </row>
    <row r="133" spans="1:7" ht="20.100000000000001" customHeight="1" x14ac:dyDescent="0.25">
      <c r="A133" s="105"/>
      <c r="B133" s="30"/>
      <c r="C133" s="16"/>
      <c r="D133" s="16"/>
      <c r="E133" s="17"/>
      <c r="F133" s="4"/>
      <c r="G133" s="82"/>
    </row>
    <row r="134" spans="1:7" ht="20.100000000000001" customHeight="1" x14ac:dyDescent="0.25">
      <c r="A134" s="105"/>
      <c r="B134" s="30"/>
      <c r="C134" s="16"/>
      <c r="D134" s="16"/>
      <c r="E134" s="17"/>
      <c r="F134" s="4"/>
      <c r="G134" s="82"/>
    </row>
    <row r="135" spans="1:7" ht="20.100000000000001" customHeight="1" x14ac:dyDescent="0.25">
      <c r="A135" s="105"/>
      <c r="B135" s="30"/>
      <c r="C135" s="16"/>
      <c r="D135" s="16"/>
      <c r="E135" s="17"/>
      <c r="F135" s="4"/>
      <c r="G135" s="82"/>
    </row>
    <row r="136" spans="1:7" ht="20.100000000000001" customHeight="1" x14ac:dyDescent="0.25">
      <c r="A136" s="105"/>
      <c r="B136" s="30"/>
      <c r="C136" s="16"/>
      <c r="D136" s="16"/>
      <c r="E136" s="17"/>
      <c r="F136" s="4"/>
      <c r="G136" s="82"/>
    </row>
    <row r="137" spans="1:7" ht="20.100000000000001" customHeight="1" x14ac:dyDescent="0.25">
      <c r="A137" s="105"/>
      <c r="B137" s="30"/>
      <c r="C137" s="16"/>
      <c r="D137" s="16"/>
      <c r="E137" s="17"/>
      <c r="F137" s="4"/>
      <c r="G137" s="82"/>
    </row>
    <row r="138" spans="1:7" ht="20.100000000000001" customHeight="1" x14ac:dyDescent="0.25">
      <c r="A138" s="105"/>
      <c r="B138" s="30"/>
      <c r="C138" s="16"/>
      <c r="D138" s="16"/>
      <c r="E138" s="17"/>
      <c r="F138" s="4"/>
      <c r="G138" s="82"/>
    </row>
    <row r="139" spans="1:7" ht="20.100000000000001" customHeight="1" x14ac:dyDescent="0.25">
      <c r="A139" s="105"/>
      <c r="B139" s="30"/>
      <c r="C139" s="16"/>
      <c r="D139" s="16"/>
      <c r="E139" s="17"/>
      <c r="F139" s="4"/>
      <c r="G139" s="82"/>
    </row>
    <row r="140" spans="1:7" ht="20.100000000000001" customHeight="1" x14ac:dyDescent="0.25">
      <c r="A140" s="105"/>
      <c r="B140" s="30"/>
      <c r="C140" s="16"/>
      <c r="D140" s="16"/>
      <c r="E140" s="17"/>
      <c r="F140" s="4"/>
      <c r="G140" s="82"/>
    </row>
    <row r="141" spans="1:7" ht="20.100000000000001" customHeight="1" x14ac:dyDescent="0.25">
      <c r="A141" s="105"/>
      <c r="B141" s="30"/>
      <c r="C141" s="16"/>
      <c r="D141" s="16"/>
      <c r="E141" s="17"/>
      <c r="F141" s="4"/>
      <c r="G141" s="82"/>
    </row>
    <row r="142" spans="1:7" ht="20.100000000000001" customHeight="1" x14ac:dyDescent="0.25">
      <c r="A142" s="105"/>
      <c r="B142" s="30"/>
      <c r="C142" s="16"/>
      <c r="D142" s="16"/>
      <c r="E142" s="17"/>
      <c r="F142" s="4"/>
      <c r="G142" s="82"/>
    </row>
    <row r="143" spans="1:7" ht="20.100000000000001" customHeight="1" x14ac:dyDescent="0.25">
      <c r="A143" s="105"/>
      <c r="B143" s="30"/>
      <c r="C143" s="16"/>
      <c r="D143" s="16"/>
      <c r="E143" s="17"/>
      <c r="F143" s="4"/>
      <c r="G143" s="82"/>
    </row>
    <row r="144" spans="1:7" ht="20.100000000000001" customHeight="1" x14ac:dyDescent="0.25">
      <c r="A144" s="105"/>
      <c r="B144" s="30"/>
      <c r="C144" s="16"/>
      <c r="D144" s="16"/>
      <c r="E144" s="17"/>
      <c r="F144" s="4"/>
      <c r="G144" s="82"/>
    </row>
    <row r="145" spans="1:7" ht="20.100000000000001" customHeight="1" x14ac:dyDescent="0.25">
      <c r="A145" s="105"/>
      <c r="B145" s="30"/>
      <c r="C145" s="16"/>
      <c r="D145" s="16"/>
      <c r="E145" s="17"/>
      <c r="F145" s="4"/>
      <c r="G145" s="82"/>
    </row>
    <row r="146" spans="1:7" ht="20.100000000000001" customHeight="1" x14ac:dyDescent="0.25">
      <c r="A146" s="105"/>
      <c r="B146" s="30"/>
      <c r="C146" s="16"/>
      <c r="D146" s="16"/>
      <c r="E146" s="17"/>
      <c r="F146" s="4"/>
      <c r="G146" s="82"/>
    </row>
    <row r="147" spans="1:7" ht="20.100000000000001" customHeight="1" x14ac:dyDescent="0.25">
      <c r="A147" s="105"/>
      <c r="B147" s="30"/>
      <c r="C147" s="16"/>
      <c r="D147" s="16"/>
      <c r="E147" s="17"/>
      <c r="F147" s="4"/>
      <c r="G147" s="82"/>
    </row>
    <row r="148" spans="1:7" ht="20.100000000000001" customHeight="1" x14ac:dyDescent="0.25">
      <c r="A148" s="105"/>
      <c r="B148" s="30"/>
      <c r="C148" s="16"/>
      <c r="D148" s="16"/>
      <c r="E148" s="17"/>
      <c r="F148" s="4"/>
      <c r="G148" s="82"/>
    </row>
    <row r="149" spans="1:7" ht="20.100000000000001" customHeight="1" x14ac:dyDescent="0.25">
      <c r="A149" s="105"/>
      <c r="B149" s="30"/>
      <c r="C149" s="16"/>
      <c r="D149" s="16"/>
      <c r="E149" s="17"/>
      <c r="F149" s="4"/>
      <c r="G149" s="82"/>
    </row>
    <row r="150" spans="1:7" ht="20.100000000000001" customHeight="1" x14ac:dyDescent="0.25">
      <c r="A150" s="105"/>
      <c r="B150" s="30"/>
      <c r="C150" s="16"/>
      <c r="D150" s="16"/>
      <c r="E150" s="17"/>
      <c r="F150" s="4"/>
      <c r="G150" s="82"/>
    </row>
    <row r="151" spans="1:7" ht="20.100000000000001" customHeight="1" x14ac:dyDescent="0.25">
      <c r="A151" s="105"/>
      <c r="B151" s="30"/>
      <c r="C151" s="16"/>
      <c r="D151" s="16"/>
      <c r="E151" s="17"/>
      <c r="F151" s="4"/>
      <c r="G151" s="82"/>
    </row>
    <row r="152" spans="1:7" ht="20.100000000000001" customHeight="1" x14ac:dyDescent="0.25">
      <c r="A152" s="105"/>
      <c r="B152" s="30"/>
      <c r="C152" s="16"/>
      <c r="D152" s="16"/>
      <c r="E152" s="17"/>
      <c r="F152" s="4"/>
      <c r="G152" s="82"/>
    </row>
    <row r="153" spans="1:7" ht="20.100000000000001" customHeight="1" x14ac:dyDescent="0.25">
      <c r="A153" s="105"/>
      <c r="B153" s="30"/>
      <c r="C153" s="16"/>
      <c r="D153" s="16"/>
      <c r="E153" s="17"/>
      <c r="F153" s="4"/>
      <c r="G153" s="82"/>
    </row>
    <row r="154" spans="1:7" ht="20.100000000000001" customHeight="1" x14ac:dyDescent="0.25">
      <c r="A154" s="105"/>
      <c r="B154" s="30"/>
      <c r="C154" s="16"/>
      <c r="D154" s="16"/>
      <c r="E154" s="17"/>
      <c r="F154" s="4"/>
      <c r="G154" s="82"/>
    </row>
    <row r="155" spans="1:7" ht="20.100000000000001" customHeight="1" x14ac:dyDescent="0.25">
      <c r="A155" s="105"/>
      <c r="B155" s="30"/>
      <c r="C155" s="16"/>
      <c r="D155" s="16"/>
      <c r="E155" s="17"/>
      <c r="F155" s="4"/>
      <c r="G155" s="82"/>
    </row>
    <row r="156" spans="1:7" ht="20.100000000000001" customHeight="1" x14ac:dyDescent="0.25">
      <c r="A156" s="105"/>
      <c r="B156" s="30"/>
      <c r="C156" s="16"/>
      <c r="D156" s="16"/>
      <c r="E156" s="17"/>
      <c r="F156" s="4"/>
      <c r="G156" s="82"/>
    </row>
    <row r="157" spans="1:7" ht="20.100000000000001" customHeight="1" x14ac:dyDescent="0.25">
      <c r="A157" s="105"/>
      <c r="B157" s="30"/>
      <c r="C157" s="16"/>
      <c r="D157" s="16"/>
      <c r="E157" s="17"/>
      <c r="F157" s="4"/>
      <c r="G157" s="82"/>
    </row>
    <row r="158" spans="1:7" ht="20.100000000000001" customHeight="1" x14ac:dyDescent="0.25">
      <c r="A158" s="105"/>
      <c r="B158" s="30"/>
      <c r="C158" s="16"/>
      <c r="D158" s="16"/>
      <c r="E158" s="17"/>
      <c r="F158" s="4"/>
      <c r="G158" s="82"/>
    </row>
    <row r="159" spans="1:7" ht="20.100000000000001" customHeight="1" x14ac:dyDescent="0.25">
      <c r="A159" s="105"/>
      <c r="B159" s="30"/>
      <c r="C159" s="16"/>
      <c r="D159" s="16"/>
      <c r="E159" s="17"/>
      <c r="F159" s="4"/>
      <c r="G159" s="82"/>
    </row>
    <row r="160" spans="1:7" ht="20.100000000000001" customHeight="1" x14ac:dyDescent="0.25">
      <c r="A160" s="105"/>
      <c r="B160" s="30"/>
      <c r="C160" s="16"/>
      <c r="D160" s="16"/>
      <c r="E160" s="17"/>
      <c r="F160" s="4"/>
      <c r="G160" s="82"/>
    </row>
    <row r="161" spans="1:7" ht="20.100000000000001" customHeight="1" x14ac:dyDescent="0.25">
      <c r="A161" s="105"/>
      <c r="B161" s="30"/>
      <c r="C161" s="16"/>
      <c r="D161" s="16"/>
      <c r="E161" s="17"/>
      <c r="F161" s="4"/>
      <c r="G161" s="82"/>
    </row>
    <row r="162" spans="1:7" ht="20.100000000000001" customHeight="1" x14ac:dyDescent="0.25">
      <c r="A162" s="105"/>
      <c r="B162" s="30"/>
      <c r="C162" s="16"/>
      <c r="D162" s="16"/>
      <c r="E162" s="17"/>
      <c r="F162" s="4"/>
      <c r="G162" s="82"/>
    </row>
    <row r="163" spans="1:7" ht="20.100000000000001" customHeight="1" x14ac:dyDescent="0.25">
      <c r="A163" s="105"/>
      <c r="B163" s="30"/>
      <c r="C163" s="16"/>
      <c r="D163" s="16"/>
      <c r="E163" s="17"/>
      <c r="F163" s="4"/>
      <c r="G163" s="82"/>
    </row>
    <row r="164" spans="1:7" ht="20.100000000000001" customHeight="1" x14ac:dyDescent="0.25">
      <c r="A164" s="105"/>
      <c r="B164" s="30"/>
      <c r="C164" s="16"/>
      <c r="D164" s="16"/>
      <c r="E164" s="17"/>
      <c r="F164" s="4"/>
      <c r="G164" s="82"/>
    </row>
    <row r="165" spans="1:7" ht="20.100000000000001" customHeight="1" x14ac:dyDescent="0.25">
      <c r="A165" s="105"/>
      <c r="B165" s="30"/>
      <c r="C165" s="16"/>
      <c r="D165" s="16"/>
      <c r="E165" s="17"/>
      <c r="F165" s="4"/>
      <c r="G165" s="82"/>
    </row>
    <row r="166" spans="1:7" ht="20.100000000000001" customHeight="1" x14ac:dyDescent="0.25">
      <c r="A166" s="105"/>
      <c r="B166" s="30"/>
      <c r="C166" s="16"/>
      <c r="D166" s="16"/>
      <c r="E166" s="17"/>
      <c r="F166" s="4"/>
      <c r="G166" s="82"/>
    </row>
    <row r="167" spans="1:7" ht="20.100000000000001" customHeight="1" x14ac:dyDescent="0.25">
      <c r="A167" s="105"/>
      <c r="B167" s="30"/>
      <c r="C167" s="16"/>
      <c r="D167" s="16"/>
      <c r="E167" s="17"/>
      <c r="F167" s="4"/>
      <c r="G167" s="82"/>
    </row>
    <row r="168" spans="1:7" ht="20.100000000000001" customHeight="1" x14ac:dyDescent="0.25">
      <c r="A168" s="105"/>
      <c r="B168" s="30"/>
      <c r="C168" s="16"/>
      <c r="D168" s="16"/>
      <c r="E168" s="17"/>
      <c r="F168" s="4"/>
      <c r="G168" s="82"/>
    </row>
    <row r="169" spans="1:7" ht="20.100000000000001" customHeight="1" x14ac:dyDescent="0.25">
      <c r="A169" s="105"/>
      <c r="B169" s="30"/>
      <c r="C169" s="16"/>
      <c r="D169" s="16"/>
      <c r="E169" s="17"/>
      <c r="F169" s="4"/>
      <c r="G169" s="82"/>
    </row>
    <row r="170" spans="1:7" ht="20.100000000000001" customHeight="1" x14ac:dyDescent="0.25">
      <c r="A170" s="105"/>
      <c r="B170" s="30"/>
      <c r="C170" s="16"/>
      <c r="D170" s="16"/>
      <c r="E170" s="17"/>
      <c r="F170" s="4"/>
      <c r="G170" s="82"/>
    </row>
    <row r="171" spans="1:7" ht="20.100000000000001" customHeight="1" x14ac:dyDescent="0.25">
      <c r="A171" s="105"/>
      <c r="B171" s="30"/>
      <c r="C171" s="16"/>
      <c r="D171" s="16"/>
      <c r="E171" s="17"/>
      <c r="F171" s="4"/>
      <c r="G171" s="82"/>
    </row>
    <row r="172" spans="1:7" ht="20.100000000000001" customHeight="1" x14ac:dyDescent="0.25">
      <c r="A172" s="105"/>
      <c r="B172" s="30"/>
      <c r="C172" s="16"/>
      <c r="D172" s="16"/>
      <c r="E172" s="17"/>
      <c r="F172" s="4"/>
      <c r="G172" s="82"/>
    </row>
    <row r="173" spans="1:7" ht="20.100000000000001" customHeight="1" x14ac:dyDescent="0.25">
      <c r="A173" s="105"/>
      <c r="B173" s="30"/>
      <c r="C173" s="16"/>
      <c r="D173" s="16"/>
      <c r="E173" s="17"/>
      <c r="F173" s="4"/>
      <c r="G173" s="82"/>
    </row>
    <row r="174" spans="1:7" ht="20.100000000000001" customHeight="1" x14ac:dyDescent="0.25">
      <c r="A174" s="105"/>
      <c r="B174" s="30"/>
      <c r="C174" s="16"/>
      <c r="D174" s="16"/>
      <c r="E174" s="17"/>
      <c r="F174" s="4"/>
      <c r="G174" s="82"/>
    </row>
    <row r="175" spans="1:7" ht="20.100000000000001" customHeight="1" x14ac:dyDescent="0.25">
      <c r="A175" s="105"/>
      <c r="B175" s="30"/>
      <c r="C175" s="16"/>
      <c r="D175" s="16"/>
      <c r="E175" s="17"/>
      <c r="F175" s="4"/>
      <c r="G175" s="82"/>
    </row>
    <row r="176" spans="1:7" ht="20.100000000000001" customHeight="1" x14ac:dyDescent="0.25">
      <c r="A176" s="105"/>
      <c r="B176" s="30"/>
      <c r="C176" s="16"/>
      <c r="D176" s="16"/>
      <c r="E176" s="17"/>
      <c r="F176" s="4"/>
      <c r="G176" s="82"/>
    </row>
    <row r="177" spans="1:7" ht="20.100000000000001" customHeight="1" x14ac:dyDescent="0.25">
      <c r="A177" s="105"/>
      <c r="B177" s="30"/>
      <c r="C177" s="16"/>
      <c r="D177" s="16"/>
      <c r="E177" s="17"/>
      <c r="F177" s="4"/>
      <c r="G177" s="82"/>
    </row>
    <row r="178" spans="1:7" ht="20.100000000000001" customHeight="1" x14ac:dyDescent="0.25">
      <c r="A178" s="105"/>
      <c r="B178" s="30"/>
      <c r="C178" s="16"/>
      <c r="D178" s="16"/>
      <c r="E178" s="17"/>
      <c r="F178" s="4"/>
      <c r="G178" s="82"/>
    </row>
    <row r="179" spans="1:7" ht="20.100000000000001" customHeight="1" x14ac:dyDescent="0.25">
      <c r="A179" s="105"/>
      <c r="B179" s="30"/>
      <c r="C179" s="16"/>
      <c r="D179" s="16"/>
      <c r="E179" s="17"/>
      <c r="F179" s="4"/>
      <c r="G179" s="82"/>
    </row>
    <row r="180" spans="1:7" ht="20.100000000000001" customHeight="1" x14ac:dyDescent="0.25">
      <c r="A180" s="105"/>
      <c r="B180" s="30"/>
      <c r="C180" s="16"/>
      <c r="D180" s="16"/>
      <c r="E180" s="17"/>
      <c r="F180" s="4"/>
      <c r="G180" s="82"/>
    </row>
    <row r="181" spans="1:7" ht="20.100000000000001" customHeight="1" x14ac:dyDescent="0.25">
      <c r="A181" s="105"/>
      <c r="B181" s="30"/>
      <c r="C181" s="16"/>
      <c r="D181" s="16"/>
      <c r="E181" s="17"/>
      <c r="F181" s="4"/>
      <c r="G181" s="82"/>
    </row>
    <row r="182" spans="1:7" ht="20.100000000000001" customHeight="1" x14ac:dyDescent="0.25">
      <c r="A182" s="105"/>
      <c r="B182" s="30"/>
      <c r="C182" s="16"/>
      <c r="D182" s="16"/>
      <c r="E182" s="17"/>
      <c r="F182" s="4"/>
      <c r="G182" s="82"/>
    </row>
    <row r="183" spans="1:7" ht="20.100000000000001" customHeight="1" x14ac:dyDescent="0.25">
      <c r="A183" s="105"/>
      <c r="B183" s="30"/>
      <c r="C183" s="16"/>
      <c r="D183" s="16"/>
      <c r="E183" s="17"/>
      <c r="F183" s="4"/>
      <c r="G183" s="82"/>
    </row>
    <row r="184" spans="1:7" ht="20.100000000000001" customHeight="1" x14ac:dyDescent="0.25">
      <c r="A184" s="105"/>
      <c r="B184" s="30"/>
      <c r="C184" s="16"/>
      <c r="D184" s="16"/>
      <c r="E184" s="17"/>
      <c r="F184" s="4"/>
      <c r="G184" s="82"/>
    </row>
    <row r="185" spans="1:7" ht="20.100000000000001" customHeight="1" x14ac:dyDescent="0.25">
      <c r="A185" s="105"/>
      <c r="B185" s="30"/>
      <c r="C185" s="16"/>
      <c r="D185" s="16"/>
      <c r="E185" s="17"/>
      <c r="F185" s="4"/>
      <c r="G185" s="82"/>
    </row>
    <row r="186" spans="1:7" ht="20.100000000000001" customHeight="1" x14ac:dyDescent="0.25">
      <c r="A186" s="105"/>
      <c r="B186" s="30"/>
      <c r="C186" s="16"/>
      <c r="D186" s="16"/>
      <c r="E186" s="17"/>
      <c r="F186" s="4"/>
      <c r="G186" s="82"/>
    </row>
    <row r="187" spans="1:7" ht="20.100000000000001" customHeight="1" x14ac:dyDescent="0.25">
      <c r="A187" s="105"/>
      <c r="B187" s="30"/>
      <c r="C187" s="16"/>
      <c r="D187" s="16"/>
      <c r="E187" s="17"/>
      <c r="F187" s="4"/>
      <c r="G187" s="82"/>
    </row>
    <row r="188" spans="1:7" ht="20.100000000000001" customHeight="1" x14ac:dyDescent="0.25">
      <c r="A188" s="105"/>
      <c r="B188" s="30"/>
      <c r="C188" s="16"/>
      <c r="D188" s="16"/>
      <c r="E188" s="17"/>
      <c r="F188" s="4"/>
      <c r="G188" s="82"/>
    </row>
    <row r="189" spans="1:7" ht="20.100000000000001" customHeight="1" x14ac:dyDescent="0.25">
      <c r="A189" s="105"/>
      <c r="B189" s="30"/>
      <c r="C189" s="16"/>
      <c r="D189" s="16"/>
      <c r="E189" s="17"/>
      <c r="F189" s="4"/>
      <c r="G189" s="82"/>
    </row>
    <row r="190" spans="1:7" ht="20.100000000000001" customHeight="1" x14ac:dyDescent="0.25">
      <c r="A190" s="105"/>
      <c r="B190" s="30"/>
      <c r="C190" s="16"/>
      <c r="D190" s="16"/>
      <c r="E190" s="17"/>
      <c r="F190" s="4"/>
      <c r="G190" s="82"/>
    </row>
    <row r="191" spans="1:7" ht="20.100000000000001" customHeight="1" x14ac:dyDescent="0.25">
      <c r="A191" s="105"/>
      <c r="B191" s="30"/>
      <c r="C191" s="16"/>
      <c r="D191" s="16"/>
      <c r="E191" s="17"/>
      <c r="F191" s="4"/>
      <c r="G191" s="82"/>
    </row>
    <row r="192" spans="1:7" ht="20.100000000000001" customHeight="1" x14ac:dyDescent="0.25">
      <c r="A192" s="105"/>
      <c r="B192" s="30"/>
      <c r="C192" s="16"/>
      <c r="D192" s="16"/>
      <c r="E192" s="17"/>
      <c r="F192" s="4"/>
      <c r="G192" s="82"/>
    </row>
    <row r="193" spans="1:7" ht="20.100000000000001" customHeight="1" x14ac:dyDescent="0.25">
      <c r="A193" s="105"/>
      <c r="B193" s="30"/>
      <c r="C193" s="16"/>
      <c r="D193" s="16"/>
      <c r="E193" s="17"/>
      <c r="F193" s="4"/>
      <c r="G193" s="82"/>
    </row>
    <row r="194" spans="1:7" ht="20.100000000000001" customHeight="1" x14ac:dyDescent="0.25">
      <c r="A194" s="105"/>
      <c r="B194" s="30"/>
      <c r="C194" s="16"/>
      <c r="D194" s="16"/>
      <c r="E194" s="17"/>
      <c r="F194" s="4"/>
      <c r="G194" s="82"/>
    </row>
    <row r="195" spans="1:7" ht="20.100000000000001" customHeight="1" x14ac:dyDescent="0.25">
      <c r="A195" s="105"/>
      <c r="B195" s="30"/>
      <c r="C195" s="16"/>
      <c r="D195" s="16"/>
      <c r="E195" s="17"/>
      <c r="F195" s="4"/>
      <c r="G195" s="82"/>
    </row>
    <row r="196" spans="1:7" ht="20.100000000000001" customHeight="1" x14ac:dyDescent="0.25">
      <c r="A196" s="105"/>
      <c r="B196" s="30"/>
      <c r="C196" s="16"/>
      <c r="D196" s="16"/>
      <c r="E196" s="17"/>
      <c r="F196" s="4"/>
      <c r="G196" s="82"/>
    </row>
    <row r="197" spans="1:7" ht="20.100000000000001" customHeight="1" x14ac:dyDescent="0.25">
      <c r="A197" s="105"/>
      <c r="B197" s="30"/>
      <c r="C197" s="16"/>
      <c r="D197" s="16"/>
      <c r="E197" s="17"/>
      <c r="F197" s="4"/>
      <c r="G197" s="82"/>
    </row>
    <row r="198" spans="1:7" ht="20.100000000000001" customHeight="1" x14ac:dyDescent="0.25">
      <c r="A198" s="105"/>
      <c r="B198" s="30"/>
      <c r="C198" s="16"/>
      <c r="D198" s="16"/>
      <c r="E198" s="17"/>
      <c r="F198" s="4"/>
      <c r="G198" s="82"/>
    </row>
    <row r="199" spans="1:7" ht="20.100000000000001" customHeight="1" x14ac:dyDescent="0.25">
      <c r="A199" s="105"/>
      <c r="B199" s="30"/>
      <c r="C199" s="16"/>
      <c r="D199" s="16"/>
      <c r="E199" s="17"/>
      <c r="F199" s="4"/>
      <c r="G199" s="82"/>
    </row>
    <row r="200" spans="1:7" ht="20.100000000000001" customHeight="1" x14ac:dyDescent="0.25">
      <c r="A200" s="105"/>
      <c r="B200" s="30"/>
      <c r="C200" s="16"/>
      <c r="D200" s="16"/>
      <c r="E200" s="17"/>
      <c r="F200" s="4"/>
      <c r="G200" s="82"/>
    </row>
    <row r="201" spans="1:7" ht="20.100000000000001" customHeight="1" x14ac:dyDescent="0.25">
      <c r="A201" s="105"/>
      <c r="B201" s="30"/>
      <c r="C201" s="16"/>
      <c r="D201" s="16"/>
      <c r="E201" s="17"/>
      <c r="F201" s="4"/>
      <c r="G201" s="82"/>
    </row>
    <row r="202" spans="1:7" ht="20.100000000000001" customHeight="1" x14ac:dyDescent="0.25">
      <c r="A202" s="105"/>
      <c r="B202" s="30"/>
      <c r="C202" s="16"/>
      <c r="D202" s="16"/>
      <c r="E202" s="17"/>
      <c r="F202" s="4"/>
      <c r="G202" s="82"/>
    </row>
    <row r="203" spans="1:7" ht="20.100000000000001" customHeight="1" x14ac:dyDescent="0.25">
      <c r="A203" s="105"/>
      <c r="B203" s="30"/>
      <c r="C203" s="16"/>
      <c r="D203" s="16"/>
      <c r="E203" s="17"/>
      <c r="F203" s="4"/>
      <c r="G203" s="82"/>
    </row>
    <row r="204" spans="1:7" ht="20.100000000000001" customHeight="1" x14ac:dyDescent="0.25">
      <c r="A204" s="105"/>
      <c r="B204" s="30"/>
      <c r="C204" s="16"/>
      <c r="D204" s="16"/>
      <c r="E204" s="17"/>
      <c r="F204" s="4"/>
      <c r="G204" s="82"/>
    </row>
    <row r="205" spans="1:7" ht="20.100000000000001" customHeight="1" x14ac:dyDescent="0.25">
      <c r="A205" s="105"/>
      <c r="B205" s="30"/>
      <c r="C205" s="16"/>
      <c r="D205" s="16"/>
      <c r="E205" s="17"/>
      <c r="F205" s="4"/>
      <c r="G205" s="82"/>
    </row>
    <row r="206" spans="1:7" ht="20.100000000000001" customHeight="1" x14ac:dyDescent="0.25">
      <c r="A206" s="105"/>
      <c r="B206" s="30"/>
      <c r="C206" s="16"/>
      <c r="D206" s="16"/>
      <c r="E206" s="17"/>
      <c r="F206" s="4"/>
      <c r="G206" s="82"/>
    </row>
    <row r="207" spans="1:7" ht="20.100000000000001" customHeight="1" x14ac:dyDescent="0.25">
      <c r="A207" s="105"/>
      <c r="B207" s="30"/>
      <c r="C207" s="16"/>
      <c r="D207" s="16"/>
      <c r="E207" s="17"/>
      <c r="F207" s="4"/>
      <c r="G207" s="82"/>
    </row>
    <row r="208" spans="1:7" ht="20.100000000000001" customHeight="1" x14ac:dyDescent="0.25">
      <c r="A208" s="105"/>
      <c r="B208" s="30"/>
      <c r="C208" s="16"/>
      <c r="D208" s="16"/>
      <c r="E208" s="17"/>
      <c r="F208" s="4"/>
      <c r="G208" s="82"/>
    </row>
    <row r="209" spans="1:7" ht="20.100000000000001" customHeight="1" x14ac:dyDescent="0.25">
      <c r="A209" s="105"/>
      <c r="B209" s="30"/>
      <c r="C209" s="16"/>
      <c r="D209" s="16"/>
      <c r="E209" s="17"/>
      <c r="F209" s="4"/>
      <c r="G209" s="82"/>
    </row>
    <row r="210" spans="1:7" ht="20.100000000000001" customHeight="1" x14ac:dyDescent="0.25">
      <c r="A210" s="105"/>
      <c r="B210" s="30"/>
      <c r="C210" s="16"/>
      <c r="D210" s="16"/>
      <c r="E210" s="17"/>
      <c r="F210" s="4"/>
      <c r="G210" s="82"/>
    </row>
    <row r="211" spans="1:7" ht="20.100000000000001" customHeight="1" x14ac:dyDescent="0.25">
      <c r="A211" s="105"/>
      <c r="B211" s="30"/>
      <c r="C211" s="16"/>
      <c r="D211" s="16"/>
      <c r="E211" s="17"/>
      <c r="F211" s="4"/>
      <c r="G211" s="82"/>
    </row>
    <row r="212" spans="1:7" ht="20.100000000000001" customHeight="1" x14ac:dyDescent="0.25">
      <c r="A212" s="105"/>
      <c r="B212" s="30"/>
      <c r="C212" s="16"/>
      <c r="D212" s="16"/>
      <c r="E212" s="17"/>
      <c r="F212" s="4"/>
      <c r="G212" s="82"/>
    </row>
    <row r="213" spans="1:7" ht="20.100000000000001" customHeight="1" x14ac:dyDescent="0.25">
      <c r="A213" s="105"/>
      <c r="B213" s="30"/>
      <c r="C213" s="16"/>
      <c r="D213" s="16"/>
      <c r="E213" s="17"/>
      <c r="F213" s="4"/>
      <c r="G213" s="82"/>
    </row>
    <row r="214" spans="1:7" ht="20.100000000000001" customHeight="1" x14ac:dyDescent="0.25">
      <c r="A214" s="105"/>
      <c r="B214" s="30"/>
      <c r="C214" s="16"/>
      <c r="D214" s="16"/>
      <c r="E214" s="17"/>
      <c r="F214" s="4"/>
      <c r="G214" s="82"/>
    </row>
    <row r="215" spans="1:7" ht="20.100000000000001" customHeight="1" x14ac:dyDescent="0.25">
      <c r="A215" s="105"/>
      <c r="B215" s="30"/>
      <c r="C215" s="16"/>
      <c r="D215" s="16"/>
      <c r="E215" s="17"/>
      <c r="F215" s="4"/>
      <c r="G215" s="82"/>
    </row>
    <row r="216" spans="1:7" ht="20.100000000000001" customHeight="1" x14ac:dyDescent="0.25">
      <c r="A216" s="105"/>
      <c r="B216" s="30"/>
      <c r="C216" s="16"/>
      <c r="D216" s="16"/>
      <c r="E216" s="17"/>
      <c r="F216" s="4"/>
      <c r="G216" s="82"/>
    </row>
    <row r="217" spans="1:7" ht="20.100000000000001" customHeight="1" x14ac:dyDescent="0.25">
      <c r="A217" s="105"/>
      <c r="B217" s="30"/>
      <c r="C217" s="16"/>
      <c r="D217" s="16"/>
      <c r="E217" s="17"/>
      <c r="F217" s="4"/>
      <c r="G217" s="82"/>
    </row>
    <row r="218" spans="1:7" ht="20.100000000000001" customHeight="1" x14ac:dyDescent="0.25">
      <c r="A218" s="105"/>
      <c r="B218" s="30"/>
      <c r="C218" s="16"/>
      <c r="D218" s="16"/>
      <c r="E218" s="17"/>
      <c r="F218" s="4"/>
      <c r="G218" s="82"/>
    </row>
    <row r="219" spans="1:7" ht="20.100000000000001" customHeight="1" x14ac:dyDescent="0.25">
      <c r="A219" s="105"/>
      <c r="B219" s="30"/>
      <c r="C219" s="16"/>
      <c r="D219" s="16"/>
      <c r="E219" s="17"/>
      <c r="F219" s="4"/>
      <c r="G219" s="82"/>
    </row>
    <row r="220" spans="1:7" ht="20.100000000000001" customHeight="1" x14ac:dyDescent="0.25">
      <c r="A220" s="105"/>
      <c r="B220" s="30"/>
      <c r="C220" s="16"/>
      <c r="D220" s="16"/>
      <c r="E220" s="17"/>
      <c r="F220" s="4"/>
      <c r="G220" s="82"/>
    </row>
    <row r="221" spans="1:7" ht="20.100000000000001" customHeight="1" x14ac:dyDescent="0.25">
      <c r="A221" s="105"/>
      <c r="B221" s="30"/>
      <c r="C221" s="16"/>
      <c r="D221" s="16"/>
      <c r="E221" s="17"/>
      <c r="F221" s="4"/>
      <c r="G221" s="82"/>
    </row>
    <row r="222" spans="1:7" ht="20.100000000000001" customHeight="1" x14ac:dyDescent="0.25">
      <c r="A222" s="105"/>
      <c r="B222" s="30"/>
      <c r="C222" s="16"/>
      <c r="D222" s="16"/>
      <c r="E222" s="17"/>
      <c r="F222" s="4"/>
      <c r="G222" s="82"/>
    </row>
    <row r="223" spans="1:7" ht="20.100000000000001" customHeight="1" x14ac:dyDescent="0.25">
      <c r="A223" s="105"/>
      <c r="B223" s="30"/>
      <c r="C223" s="16"/>
      <c r="D223" s="16"/>
      <c r="E223" s="17"/>
      <c r="F223" s="4"/>
      <c r="G223" s="82"/>
    </row>
    <row r="224" spans="1:7" ht="20.100000000000001" customHeight="1" x14ac:dyDescent="0.25">
      <c r="A224" s="105"/>
      <c r="B224" s="30"/>
      <c r="C224" s="16"/>
      <c r="D224" s="16"/>
      <c r="E224" s="17"/>
      <c r="F224" s="4"/>
      <c r="G224" s="82"/>
    </row>
    <row r="225" spans="1:7" ht="20.100000000000001" customHeight="1" x14ac:dyDescent="0.25">
      <c r="A225" s="105"/>
      <c r="B225" s="30"/>
      <c r="C225" s="16"/>
      <c r="D225" s="16"/>
      <c r="E225" s="17"/>
      <c r="F225" s="4"/>
      <c r="G225" s="82"/>
    </row>
    <row r="226" spans="1:7" ht="20.100000000000001" customHeight="1" x14ac:dyDescent="0.25">
      <c r="A226" s="105"/>
      <c r="B226" s="30"/>
      <c r="C226" s="16"/>
      <c r="D226" s="16"/>
      <c r="E226" s="17"/>
      <c r="F226" s="4"/>
      <c r="G226" s="82"/>
    </row>
    <row r="227" spans="1:7" ht="20.100000000000001" customHeight="1" x14ac:dyDescent="0.25">
      <c r="A227" s="105"/>
      <c r="B227" s="30"/>
      <c r="C227" s="16"/>
      <c r="D227" s="16"/>
      <c r="E227" s="17"/>
      <c r="F227" s="4"/>
      <c r="G227" s="82"/>
    </row>
    <row r="228" spans="1:7" ht="20.100000000000001" customHeight="1" x14ac:dyDescent="0.25">
      <c r="A228" s="105"/>
      <c r="B228" s="30"/>
      <c r="C228" s="16"/>
      <c r="D228" s="16"/>
      <c r="E228" s="17"/>
      <c r="F228" s="4"/>
      <c r="G228" s="82"/>
    </row>
    <row r="229" spans="1:7" ht="20.100000000000001" customHeight="1" x14ac:dyDescent="0.25">
      <c r="A229" s="105"/>
      <c r="B229" s="30"/>
      <c r="C229" s="16"/>
      <c r="D229" s="16"/>
      <c r="E229" s="17"/>
      <c r="F229" s="4"/>
      <c r="G229" s="82"/>
    </row>
    <row r="230" spans="1:7" ht="20.100000000000001" customHeight="1" x14ac:dyDescent="0.25">
      <c r="A230" s="105"/>
      <c r="B230" s="30"/>
      <c r="C230" s="16"/>
      <c r="D230" s="16"/>
      <c r="E230" s="17"/>
      <c r="F230" s="4"/>
      <c r="G230" s="82"/>
    </row>
    <row r="231" spans="1:7" ht="20.100000000000001" customHeight="1" x14ac:dyDescent="0.25">
      <c r="A231" s="105"/>
      <c r="B231" s="30"/>
      <c r="C231" s="16"/>
      <c r="D231" s="16"/>
      <c r="E231" s="17"/>
      <c r="F231" s="4"/>
      <c r="G231" s="82"/>
    </row>
    <row r="232" spans="1:7" ht="20.100000000000001" customHeight="1" x14ac:dyDescent="0.25">
      <c r="A232" s="105"/>
      <c r="B232" s="30"/>
      <c r="C232" s="16"/>
      <c r="D232" s="16"/>
      <c r="E232" s="17"/>
      <c r="F232" s="4"/>
      <c r="G232" s="82"/>
    </row>
    <row r="233" spans="1:7" ht="20.100000000000001" customHeight="1" x14ac:dyDescent="0.25">
      <c r="A233" s="105"/>
      <c r="B233" s="30"/>
      <c r="C233" s="16"/>
      <c r="D233" s="16"/>
      <c r="E233" s="17"/>
      <c r="F233" s="4"/>
      <c r="G233" s="82"/>
    </row>
    <row r="234" spans="1:7" ht="20.100000000000001" customHeight="1" x14ac:dyDescent="0.25">
      <c r="A234" s="105"/>
      <c r="B234" s="30"/>
      <c r="C234" s="16"/>
      <c r="D234" s="16"/>
      <c r="E234" s="17"/>
      <c r="F234" s="4"/>
      <c r="G234" s="82"/>
    </row>
    <row r="235" spans="1:7" ht="20.100000000000001" customHeight="1" x14ac:dyDescent="0.25">
      <c r="A235" s="105"/>
      <c r="B235" s="30"/>
      <c r="C235" s="16"/>
      <c r="D235" s="16"/>
      <c r="E235" s="17"/>
      <c r="F235" s="4"/>
      <c r="G235" s="82"/>
    </row>
    <row r="236" spans="1:7" ht="20.100000000000001" customHeight="1" x14ac:dyDescent="0.25">
      <c r="A236" s="105"/>
      <c r="B236" s="30"/>
      <c r="C236" s="16"/>
      <c r="D236" s="16"/>
      <c r="E236" s="17"/>
      <c r="F236" s="4"/>
      <c r="G236" s="82"/>
    </row>
    <row r="237" spans="1:7" ht="20.100000000000001" customHeight="1" x14ac:dyDescent="0.25">
      <c r="A237" s="105"/>
      <c r="B237" s="30"/>
      <c r="C237" s="16"/>
      <c r="D237" s="16"/>
      <c r="E237" s="17"/>
      <c r="F237" s="4"/>
      <c r="G237" s="82"/>
    </row>
    <row r="238" spans="1:7" ht="20.100000000000001" customHeight="1" x14ac:dyDescent="0.25">
      <c r="A238" s="105"/>
      <c r="B238" s="30"/>
      <c r="C238" s="16"/>
      <c r="D238" s="16"/>
      <c r="E238" s="17"/>
      <c r="F238" s="4"/>
      <c r="G238" s="82"/>
    </row>
    <row r="239" spans="1:7" ht="20.100000000000001" customHeight="1" x14ac:dyDescent="0.25">
      <c r="A239" s="105"/>
      <c r="B239" s="30"/>
      <c r="C239" s="16"/>
      <c r="D239" s="16"/>
      <c r="E239" s="17"/>
      <c r="F239" s="4"/>
      <c r="G239" s="82"/>
    </row>
    <row r="240" spans="1:7" ht="20.100000000000001" customHeight="1" x14ac:dyDescent="0.25">
      <c r="A240" s="105"/>
      <c r="B240" s="30"/>
      <c r="C240" s="16"/>
      <c r="D240" s="16"/>
      <c r="E240" s="17"/>
      <c r="F240" s="4"/>
      <c r="G240" s="82"/>
    </row>
    <row r="241" spans="1:7" ht="20.100000000000001" customHeight="1" x14ac:dyDescent="0.25">
      <c r="A241" s="105"/>
      <c r="B241" s="30"/>
      <c r="C241" s="16"/>
      <c r="D241" s="16"/>
      <c r="E241" s="17"/>
      <c r="F241" s="4"/>
      <c r="G241" s="82"/>
    </row>
    <row r="242" spans="1:7" ht="20.100000000000001" customHeight="1" x14ac:dyDescent="0.25">
      <c r="A242" s="105"/>
      <c r="B242" s="30"/>
      <c r="C242" s="16"/>
      <c r="D242" s="16"/>
      <c r="E242" s="17"/>
      <c r="F242" s="4"/>
      <c r="G242" s="82"/>
    </row>
    <row r="243" spans="1:7" ht="20.100000000000001" customHeight="1" x14ac:dyDescent="0.25">
      <c r="A243" s="105"/>
      <c r="B243" s="30"/>
      <c r="C243" s="16"/>
      <c r="D243" s="16"/>
      <c r="E243" s="17"/>
      <c r="F243" s="4"/>
      <c r="G243" s="82"/>
    </row>
    <row r="244" spans="1:7" ht="20.100000000000001" customHeight="1" x14ac:dyDescent="0.25">
      <c r="A244" s="105"/>
      <c r="B244" s="30"/>
      <c r="C244" s="16"/>
      <c r="D244" s="16"/>
      <c r="E244" s="17"/>
      <c r="F244" s="4"/>
      <c r="G244" s="82"/>
    </row>
    <row r="245" spans="1:7" ht="20.100000000000001" customHeight="1" x14ac:dyDescent="0.25">
      <c r="A245" s="105"/>
      <c r="B245" s="30"/>
      <c r="C245" s="16"/>
      <c r="D245" s="16"/>
      <c r="E245" s="17"/>
      <c r="F245" s="4"/>
      <c r="G245" s="82"/>
    </row>
    <row r="246" spans="1:7" ht="20.100000000000001" customHeight="1" x14ac:dyDescent="0.25">
      <c r="A246" s="105"/>
      <c r="B246" s="30"/>
      <c r="C246" s="16"/>
      <c r="D246" s="16"/>
      <c r="E246" s="17"/>
      <c r="F246" s="4"/>
      <c r="G246" s="82"/>
    </row>
    <row r="247" spans="1:7" ht="20.100000000000001" customHeight="1" x14ac:dyDescent="0.25">
      <c r="A247" s="105"/>
      <c r="B247" s="30"/>
      <c r="C247" s="16"/>
      <c r="D247" s="16"/>
      <c r="E247" s="17"/>
      <c r="F247" s="4"/>
      <c r="G247" s="82"/>
    </row>
    <row r="248" spans="1:7" ht="20.100000000000001" customHeight="1" x14ac:dyDescent="0.25">
      <c r="A248" s="105"/>
      <c r="B248" s="30"/>
      <c r="C248" s="16"/>
      <c r="D248" s="16"/>
      <c r="E248" s="17"/>
      <c r="F248" s="4"/>
      <c r="G248" s="82"/>
    </row>
    <row r="249" spans="1:7" ht="20.100000000000001" customHeight="1" x14ac:dyDescent="0.25">
      <c r="A249" s="105"/>
      <c r="B249" s="30"/>
      <c r="C249" s="16"/>
      <c r="D249" s="16"/>
      <c r="E249" s="17"/>
      <c r="F249" s="4"/>
      <c r="G249" s="82"/>
    </row>
    <row r="250" spans="1:7" ht="20.100000000000001" customHeight="1" x14ac:dyDescent="0.25">
      <c r="A250" s="105"/>
      <c r="B250" s="30"/>
      <c r="C250" s="16"/>
      <c r="D250" s="16"/>
      <c r="E250" s="17"/>
      <c r="F250" s="4"/>
      <c r="G250" s="82"/>
    </row>
    <row r="251" spans="1:7" ht="20.100000000000001" customHeight="1" x14ac:dyDescent="0.25">
      <c r="A251" s="105"/>
      <c r="B251" s="30"/>
      <c r="C251" s="16"/>
      <c r="D251" s="16"/>
      <c r="E251" s="17"/>
      <c r="F251" s="4"/>
      <c r="G251" s="82"/>
    </row>
    <row r="252" spans="1:7" ht="20.100000000000001" customHeight="1" x14ac:dyDescent="0.25">
      <c r="A252" s="105"/>
      <c r="B252" s="30"/>
      <c r="C252" s="16"/>
      <c r="D252" s="16"/>
      <c r="E252" s="17"/>
      <c r="F252" s="4"/>
      <c r="G252" s="82"/>
    </row>
    <row r="253" spans="1:7" ht="20.100000000000001" customHeight="1" x14ac:dyDescent="0.25">
      <c r="A253" s="105"/>
      <c r="B253" s="30"/>
      <c r="C253" s="16"/>
      <c r="D253" s="16"/>
      <c r="E253" s="17"/>
      <c r="F253" s="4"/>
      <c r="G253" s="82"/>
    </row>
    <row r="254" spans="1:7" ht="20.100000000000001" customHeight="1" x14ac:dyDescent="0.25">
      <c r="A254" s="105"/>
      <c r="B254" s="30"/>
      <c r="C254" s="16"/>
      <c r="D254" s="16"/>
      <c r="E254" s="17"/>
      <c r="F254" s="4"/>
      <c r="G254" s="82"/>
    </row>
    <row r="255" spans="1:7" ht="20.100000000000001" customHeight="1" x14ac:dyDescent="0.25">
      <c r="A255" s="105"/>
      <c r="B255" s="30"/>
      <c r="C255" s="16"/>
      <c r="D255" s="16"/>
      <c r="E255" s="17"/>
      <c r="F255" s="4"/>
      <c r="G255" s="82"/>
    </row>
    <row r="256" spans="1:7" ht="20.100000000000001" customHeight="1" x14ac:dyDescent="0.25">
      <c r="A256" s="105"/>
      <c r="B256" s="30"/>
      <c r="C256" s="16"/>
      <c r="D256" s="16"/>
      <c r="E256" s="17"/>
      <c r="F256" s="4"/>
      <c r="G256" s="82"/>
    </row>
    <row r="257" spans="1:7" ht="20.100000000000001" customHeight="1" x14ac:dyDescent="0.25">
      <c r="A257" s="105"/>
      <c r="B257" s="30"/>
      <c r="C257" s="16"/>
      <c r="D257" s="16"/>
      <c r="E257" s="17"/>
      <c r="F257" s="4"/>
      <c r="G257" s="82"/>
    </row>
    <row r="258" spans="1:7" ht="20.100000000000001" customHeight="1" x14ac:dyDescent="0.25">
      <c r="A258" s="105"/>
      <c r="B258" s="30"/>
      <c r="C258" s="16"/>
      <c r="D258" s="16"/>
      <c r="E258" s="17"/>
      <c r="F258" s="4"/>
      <c r="G258" s="82"/>
    </row>
    <row r="259" spans="1:7" ht="20.100000000000001" customHeight="1" x14ac:dyDescent="0.25">
      <c r="A259" s="105"/>
      <c r="B259" s="30"/>
      <c r="C259" s="16"/>
      <c r="D259" s="16"/>
      <c r="E259" s="17"/>
      <c r="F259" s="4"/>
      <c r="G259" s="82"/>
    </row>
    <row r="260" spans="1:7" ht="20.100000000000001" customHeight="1" x14ac:dyDescent="0.25">
      <c r="A260" s="105"/>
      <c r="B260" s="30"/>
      <c r="C260" s="16"/>
      <c r="D260" s="16"/>
      <c r="E260" s="17"/>
      <c r="F260" s="4"/>
      <c r="G260" s="82"/>
    </row>
    <row r="261" spans="1:7" ht="20.100000000000001" customHeight="1" x14ac:dyDescent="0.25">
      <c r="A261" s="105"/>
      <c r="B261" s="30"/>
      <c r="C261" s="16"/>
      <c r="D261" s="16"/>
      <c r="E261" s="17"/>
      <c r="F261" s="4"/>
      <c r="G261" s="82"/>
    </row>
    <row r="262" spans="1:7" ht="20.100000000000001" customHeight="1" x14ac:dyDescent="0.25">
      <c r="A262" s="105"/>
      <c r="B262" s="30"/>
      <c r="C262" s="16"/>
      <c r="D262" s="16"/>
      <c r="E262" s="17"/>
      <c r="F262" s="4"/>
      <c r="G262" s="82"/>
    </row>
    <row r="263" spans="1:7" ht="20.100000000000001" customHeight="1" x14ac:dyDescent="0.25">
      <c r="A263" s="105"/>
      <c r="B263" s="30"/>
      <c r="C263" s="16"/>
      <c r="D263" s="16"/>
      <c r="E263" s="17"/>
      <c r="F263" s="4"/>
      <c r="G263" s="82"/>
    </row>
    <row r="264" spans="1:7" ht="20.100000000000001" customHeight="1" x14ac:dyDescent="0.25">
      <c r="A264" s="105"/>
      <c r="B264" s="30"/>
      <c r="C264" s="16"/>
      <c r="D264" s="16"/>
      <c r="E264" s="17"/>
      <c r="F264" s="4"/>
      <c r="G264" s="82"/>
    </row>
    <row r="265" spans="1:7" ht="20.100000000000001" customHeight="1" x14ac:dyDescent="0.25">
      <c r="A265" s="105"/>
      <c r="B265" s="30"/>
      <c r="C265" s="16"/>
      <c r="D265" s="16"/>
      <c r="E265" s="17"/>
      <c r="F265" s="4"/>
      <c r="G265" s="82"/>
    </row>
    <row r="266" spans="1:7" ht="20.100000000000001" customHeight="1" x14ac:dyDescent="0.25">
      <c r="A266" s="105"/>
      <c r="B266" s="30"/>
      <c r="C266" s="16"/>
      <c r="D266" s="16"/>
      <c r="E266" s="17"/>
      <c r="F266" s="4"/>
      <c r="G266" s="82"/>
    </row>
    <row r="267" spans="1:7" ht="20.100000000000001" customHeight="1" x14ac:dyDescent="0.25">
      <c r="A267" s="105"/>
      <c r="B267" s="30"/>
      <c r="C267" s="16"/>
      <c r="D267" s="16"/>
      <c r="E267" s="17"/>
      <c r="F267" s="4"/>
      <c r="G267" s="82"/>
    </row>
    <row r="268" spans="1:7" ht="20.100000000000001" customHeight="1" x14ac:dyDescent="0.25">
      <c r="A268" s="105"/>
      <c r="B268" s="30"/>
      <c r="C268" s="16"/>
      <c r="D268" s="16"/>
      <c r="E268" s="17"/>
      <c r="F268" s="4"/>
      <c r="G268" s="82"/>
    </row>
    <row r="269" spans="1:7" ht="20.100000000000001" customHeight="1" x14ac:dyDescent="0.25">
      <c r="A269" s="105"/>
      <c r="B269" s="30"/>
      <c r="C269" s="16"/>
      <c r="D269" s="16"/>
      <c r="E269" s="17"/>
      <c r="F269" s="4"/>
      <c r="G269" s="82"/>
    </row>
    <row r="270" spans="1:7" ht="20.100000000000001" customHeight="1" x14ac:dyDescent="0.25">
      <c r="A270" s="105"/>
      <c r="B270" s="30"/>
      <c r="C270" s="16"/>
      <c r="D270" s="16"/>
      <c r="E270" s="17"/>
      <c r="F270" s="4"/>
      <c r="G270" s="82"/>
    </row>
    <row r="271" spans="1:7" ht="20.100000000000001" customHeight="1" x14ac:dyDescent="0.25">
      <c r="A271" s="105"/>
      <c r="B271" s="30"/>
      <c r="C271" s="16"/>
      <c r="D271" s="16"/>
      <c r="E271" s="17"/>
      <c r="F271" s="4"/>
      <c r="G271" s="82"/>
    </row>
    <row r="272" spans="1:7" ht="20.100000000000001" customHeight="1" x14ac:dyDescent="0.25">
      <c r="A272" s="105"/>
      <c r="B272" s="30"/>
      <c r="C272" s="16"/>
      <c r="D272" s="16"/>
      <c r="E272" s="17"/>
      <c r="F272" s="4"/>
      <c r="G272" s="82"/>
    </row>
    <row r="273" spans="1:7" ht="20.100000000000001" customHeight="1" x14ac:dyDescent="0.25">
      <c r="A273" s="105"/>
      <c r="B273" s="30"/>
      <c r="C273" s="16"/>
      <c r="D273" s="16"/>
      <c r="E273" s="17"/>
      <c r="F273" s="4"/>
      <c r="G273" s="82"/>
    </row>
    <row r="274" spans="1:7" ht="20.100000000000001" customHeight="1" x14ac:dyDescent="0.25">
      <c r="A274" s="105"/>
      <c r="B274" s="30"/>
      <c r="C274" s="16"/>
      <c r="D274" s="16"/>
      <c r="E274" s="17"/>
      <c r="F274" s="4"/>
      <c r="G274" s="82"/>
    </row>
    <row r="275" spans="1:7" ht="20.100000000000001" customHeight="1" x14ac:dyDescent="0.25">
      <c r="A275" s="105"/>
      <c r="B275" s="30"/>
      <c r="C275" s="16"/>
      <c r="D275" s="16"/>
      <c r="E275" s="17"/>
      <c r="F275" s="4"/>
      <c r="G275" s="82"/>
    </row>
    <row r="276" spans="1:7" ht="20.100000000000001" customHeight="1" x14ac:dyDescent="0.25">
      <c r="A276" s="105"/>
      <c r="B276" s="30"/>
      <c r="C276" s="16"/>
      <c r="D276" s="16"/>
      <c r="E276" s="17"/>
      <c r="F276" s="4"/>
      <c r="G276" s="82"/>
    </row>
    <row r="277" spans="1:7" ht="20.100000000000001" customHeight="1" x14ac:dyDescent="0.25">
      <c r="A277" s="105"/>
      <c r="B277" s="30"/>
      <c r="C277" s="16"/>
      <c r="D277" s="16"/>
      <c r="E277" s="17"/>
      <c r="F277" s="4"/>
      <c r="G277" s="82"/>
    </row>
    <row r="278" spans="1:7" ht="20.100000000000001" customHeight="1" x14ac:dyDescent="0.25">
      <c r="A278" s="105"/>
      <c r="B278" s="30"/>
      <c r="C278" s="16"/>
      <c r="D278" s="16"/>
      <c r="E278" s="17"/>
      <c r="F278" s="4"/>
      <c r="G278" s="82"/>
    </row>
    <row r="279" spans="1:7" ht="20.100000000000001" customHeight="1" x14ac:dyDescent="0.25">
      <c r="A279" s="105"/>
      <c r="B279" s="30"/>
      <c r="C279" s="16"/>
      <c r="D279" s="16"/>
      <c r="E279" s="17"/>
      <c r="F279" s="4"/>
      <c r="G279" s="82"/>
    </row>
    <row r="280" spans="1:7" ht="20.100000000000001" customHeight="1" x14ac:dyDescent="0.25">
      <c r="A280" s="105"/>
      <c r="B280" s="30"/>
      <c r="C280" s="16"/>
      <c r="D280" s="16"/>
      <c r="E280" s="17"/>
      <c r="F280" s="4"/>
      <c r="G280" s="82"/>
    </row>
    <row r="281" spans="1:7" ht="20.100000000000001" customHeight="1" x14ac:dyDescent="0.25">
      <c r="A281" s="105"/>
      <c r="B281" s="30"/>
      <c r="C281" s="16"/>
      <c r="D281" s="16"/>
      <c r="E281" s="17"/>
      <c r="F281" s="4"/>
      <c r="G281" s="82"/>
    </row>
    <row r="282" spans="1:7" ht="20.100000000000001" customHeight="1" x14ac:dyDescent="0.25">
      <c r="A282" s="105"/>
      <c r="B282" s="30"/>
      <c r="C282" s="16"/>
      <c r="D282" s="16"/>
      <c r="E282" s="17"/>
      <c r="F282" s="4"/>
      <c r="G282" s="82"/>
    </row>
    <row r="283" spans="1:7" ht="20.100000000000001" customHeight="1" x14ac:dyDescent="0.25">
      <c r="A283" s="105"/>
      <c r="B283" s="30"/>
      <c r="C283" s="16"/>
      <c r="D283" s="16"/>
      <c r="E283" s="17"/>
      <c r="F283" s="4"/>
      <c r="G283" s="82"/>
    </row>
    <row r="284" spans="1:7" ht="20.100000000000001" customHeight="1" x14ac:dyDescent="0.25">
      <c r="A284" s="105"/>
      <c r="B284" s="30"/>
      <c r="C284" s="16"/>
      <c r="D284" s="16"/>
      <c r="E284" s="17"/>
      <c r="F284" s="4"/>
      <c r="G284" s="82"/>
    </row>
    <row r="285" spans="1:7" ht="20.100000000000001" customHeight="1" x14ac:dyDescent="0.25">
      <c r="A285" s="105"/>
      <c r="B285" s="30"/>
      <c r="C285" s="16"/>
      <c r="D285" s="16"/>
      <c r="E285" s="17"/>
      <c r="F285" s="4"/>
      <c r="G285" s="82"/>
    </row>
    <row r="286" spans="1:7" ht="20.100000000000001" customHeight="1" x14ac:dyDescent="0.25">
      <c r="A286" s="105"/>
      <c r="B286" s="30"/>
      <c r="C286" s="16"/>
      <c r="D286" s="16"/>
      <c r="E286" s="17"/>
      <c r="F286" s="4"/>
      <c r="G286" s="82"/>
    </row>
    <row r="287" spans="1:7" ht="20.100000000000001" customHeight="1" x14ac:dyDescent="0.25">
      <c r="A287" s="105"/>
      <c r="B287" s="30"/>
      <c r="C287" s="16"/>
      <c r="D287" s="16"/>
      <c r="E287" s="17"/>
      <c r="F287" s="4"/>
      <c r="G287" s="82"/>
    </row>
    <row r="288" spans="1:7" ht="20.100000000000001" customHeight="1" x14ac:dyDescent="0.25">
      <c r="A288" s="105"/>
      <c r="B288" s="30"/>
      <c r="C288" s="16"/>
      <c r="D288" s="16"/>
      <c r="E288" s="17"/>
      <c r="F288" s="4"/>
      <c r="G288" s="82"/>
    </row>
    <row r="289" spans="1:7" ht="20.100000000000001" customHeight="1" x14ac:dyDescent="0.25">
      <c r="A289" s="105"/>
      <c r="B289" s="30"/>
      <c r="C289" s="16"/>
      <c r="D289" s="16"/>
      <c r="E289" s="17"/>
      <c r="F289" s="4"/>
      <c r="G289" s="82"/>
    </row>
    <row r="290" spans="1:7" ht="20.100000000000001" customHeight="1" x14ac:dyDescent="0.25">
      <c r="A290" s="105"/>
      <c r="B290" s="30"/>
      <c r="C290" s="16"/>
      <c r="D290" s="16"/>
      <c r="E290" s="17"/>
      <c r="F290" s="4"/>
      <c r="G290" s="82"/>
    </row>
    <row r="291" spans="1:7" ht="20.100000000000001" customHeight="1" x14ac:dyDescent="0.25">
      <c r="A291" s="105"/>
      <c r="B291" s="30"/>
      <c r="C291" s="16"/>
      <c r="D291" s="16"/>
      <c r="E291" s="17"/>
      <c r="F291" s="4"/>
      <c r="G291" s="82"/>
    </row>
    <row r="292" spans="1:7" ht="20.100000000000001" customHeight="1" x14ac:dyDescent="0.25">
      <c r="A292" s="105"/>
      <c r="B292" s="30"/>
      <c r="C292" s="16"/>
      <c r="D292" s="16"/>
      <c r="E292" s="17"/>
      <c r="F292" s="4"/>
      <c r="G292" s="82"/>
    </row>
    <row r="293" spans="1:7" ht="20.100000000000001" customHeight="1" x14ac:dyDescent="0.25">
      <c r="A293" s="105"/>
      <c r="B293" s="30"/>
      <c r="C293" s="16"/>
      <c r="D293" s="16"/>
      <c r="E293" s="17"/>
      <c r="F293" s="4"/>
      <c r="G293" s="82"/>
    </row>
    <row r="294" spans="1:7" ht="20.100000000000001" customHeight="1" x14ac:dyDescent="0.25">
      <c r="A294" s="105"/>
      <c r="B294" s="30"/>
      <c r="C294" s="16"/>
      <c r="D294" s="16"/>
      <c r="E294" s="17"/>
      <c r="F294" s="4"/>
      <c r="G294" s="82"/>
    </row>
    <row r="295" spans="1:7" ht="20.100000000000001" customHeight="1" x14ac:dyDescent="0.25">
      <c r="A295" s="105"/>
      <c r="B295" s="30"/>
      <c r="C295" s="16"/>
      <c r="D295" s="16"/>
      <c r="E295" s="17"/>
      <c r="F295" s="4"/>
      <c r="G295" s="82"/>
    </row>
    <row r="296" spans="1:7" ht="20.100000000000001" customHeight="1" x14ac:dyDescent="0.25">
      <c r="A296" s="105"/>
      <c r="B296" s="30"/>
      <c r="C296" s="16"/>
      <c r="D296" s="16"/>
      <c r="E296" s="17"/>
      <c r="F296" s="4"/>
      <c r="G296" s="82"/>
    </row>
    <row r="297" spans="1:7" ht="20.100000000000001" customHeight="1" x14ac:dyDescent="0.25">
      <c r="A297" s="105"/>
      <c r="B297" s="30"/>
      <c r="C297" s="16"/>
      <c r="D297" s="16"/>
      <c r="E297" s="17"/>
      <c r="F297" s="4"/>
      <c r="G297" s="82"/>
    </row>
    <row r="298" spans="1:7" ht="20.100000000000001" customHeight="1" x14ac:dyDescent="0.25">
      <c r="A298" s="105"/>
      <c r="B298" s="30"/>
      <c r="C298" s="16"/>
      <c r="D298" s="16"/>
      <c r="E298" s="17"/>
      <c r="F298" s="4"/>
      <c r="G298" s="82"/>
    </row>
    <row r="299" spans="1:7" ht="20.100000000000001" customHeight="1" x14ac:dyDescent="0.25">
      <c r="A299" s="105"/>
      <c r="B299" s="30"/>
      <c r="C299" s="16"/>
      <c r="D299" s="16"/>
      <c r="E299" s="17"/>
      <c r="F299" s="4"/>
      <c r="G299" s="82"/>
    </row>
    <row r="300" spans="1:7" ht="20.100000000000001" customHeight="1" x14ac:dyDescent="0.25">
      <c r="A300" s="105"/>
      <c r="B300" s="30"/>
      <c r="C300" s="16"/>
      <c r="D300" s="16"/>
      <c r="E300" s="17"/>
      <c r="F300" s="4"/>
      <c r="G300" s="82"/>
    </row>
    <row r="301" spans="1:7" ht="20.100000000000001" customHeight="1" x14ac:dyDescent="0.25">
      <c r="A301" s="105"/>
      <c r="B301" s="30"/>
      <c r="C301" s="16"/>
      <c r="D301" s="16"/>
      <c r="E301" s="17"/>
      <c r="F301" s="4"/>
      <c r="G301" s="82"/>
    </row>
    <row r="302" spans="1:7" ht="20.100000000000001" customHeight="1" x14ac:dyDescent="0.25">
      <c r="A302" s="105"/>
      <c r="B302" s="30"/>
      <c r="C302" s="16"/>
      <c r="D302" s="16"/>
      <c r="E302" s="17"/>
      <c r="F302" s="4"/>
      <c r="G302" s="82"/>
    </row>
    <row r="303" spans="1:7" ht="20.100000000000001" customHeight="1" x14ac:dyDescent="0.25">
      <c r="A303" s="105"/>
      <c r="B303" s="30"/>
      <c r="C303" s="16"/>
      <c r="D303" s="16"/>
      <c r="E303" s="17"/>
      <c r="F303" s="4"/>
      <c r="G303" s="82"/>
    </row>
    <row r="304" spans="1:7" ht="20.100000000000001" customHeight="1" x14ac:dyDescent="0.25">
      <c r="A304" s="105"/>
      <c r="B304" s="30"/>
      <c r="C304" s="16"/>
      <c r="D304" s="16"/>
      <c r="E304" s="17"/>
      <c r="F304" s="4"/>
      <c r="G304" s="82"/>
    </row>
    <row r="305" spans="1:7" ht="20.100000000000001" customHeight="1" x14ac:dyDescent="0.25">
      <c r="A305" s="105"/>
      <c r="B305" s="30"/>
      <c r="C305" s="16"/>
      <c r="D305" s="16"/>
      <c r="E305" s="17"/>
      <c r="F305" s="4"/>
      <c r="G305" s="82"/>
    </row>
    <row r="306" spans="1:7" ht="20.100000000000001" customHeight="1" x14ac:dyDescent="0.25">
      <c r="A306" s="105"/>
      <c r="B306" s="30"/>
      <c r="C306" s="16"/>
      <c r="D306" s="16"/>
      <c r="E306" s="17"/>
      <c r="F306" s="4"/>
      <c r="G306" s="82"/>
    </row>
    <row r="307" spans="1:7" ht="20.100000000000001" customHeight="1" x14ac:dyDescent="0.25">
      <c r="A307" s="105"/>
      <c r="B307" s="30"/>
      <c r="C307" s="16"/>
      <c r="D307" s="16"/>
      <c r="E307" s="17"/>
      <c r="F307" s="4"/>
      <c r="G307" s="82"/>
    </row>
    <row r="308" spans="1:7" ht="20.100000000000001" customHeight="1" x14ac:dyDescent="0.25">
      <c r="A308" s="105"/>
      <c r="B308" s="30"/>
      <c r="C308" s="16"/>
      <c r="D308" s="16"/>
      <c r="E308" s="17"/>
      <c r="F308" s="4"/>
      <c r="G308" s="82"/>
    </row>
    <row r="309" spans="1:7" ht="20.100000000000001" customHeight="1" x14ac:dyDescent="0.25">
      <c r="A309" s="105"/>
      <c r="B309" s="30"/>
      <c r="C309" s="16"/>
      <c r="D309" s="16"/>
      <c r="E309" s="17"/>
      <c r="F309" s="4"/>
      <c r="G309" s="82"/>
    </row>
    <row r="310" spans="1:7" ht="20.100000000000001" customHeight="1" x14ac:dyDescent="0.25">
      <c r="A310" s="105"/>
      <c r="B310" s="30"/>
      <c r="C310" s="16"/>
      <c r="D310" s="16"/>
      <c r="E310" s="17"/>
      <c r="F310" s="4"/>
      <c r="G310" s="82"/>
    </row>
    <row r="311" spans="1:7" ht="20.100000000000001" customHeight="1" x14ac:dyDescent="0.25">
      <c r="A311" s="105"/>
      <c r="B311" s="30"/>
      <c r="C311" s="16"/>
      <c r="D311" s="16"/>
      <c r="E311" s="17"/>
      <c r="F311" s="4"/>
      <c r="G311" s="82"/>
    </row>
    <row r="312" spans="1:7" ht="20.100000000000001" customHeight="1" x14ac:dyDescent="0.25">
      <c r="A312" s="105"/>
      <c r="B312" s="30"/>
      <c r="C312" s="16"/>
      <c r="D312" s="16"/>
      <c r="E312" s="17"/>
      <c r="F312" s="4"/>
      <c r="G312" s="82"/>
    </row>
    <row r="313" spans="1:7" ht="20.100000000000001" customHeight="1" x14ac:dyDescent="0.25">
      <c r="A313" s="105"/>
      <c r="B313" s="30"/>
      <c r="C313" s="16"/>
      <c r="D313" s="16"/>
      <c r="E313" s="17"/>
      <c r="F313" s="4"/>
      <c r="G313" s="82"/>
    </row>
    <row r="314" spans="1:7" ht="20.100000000000001" customHeight="1" x14ac:dyDescent="0.25">
      <c r="A314" s="105"/>
      <c r="B314" s="30"/>
      <c r="C314" s="16"/>
      <c r="D314" s="16"/>
      <c r="E314" s="17"/>
      <c r="F314" s="4"/>
      <c r="G314" s="82"/>
    </row>
    <row r="315" spans="1:7" ht="20.100000000000001" customHeight="1" x14ac:dyDescent="0.25">
      <c r="A315" s="105"/>
      <c r="B315" s="30"/>
      <c r="C315" s="16"/>
      <c r="D315" s="16"/>
      <c r="E315" s="17"/>
      <c r="F315" s="4"/>
      <c r="G315" s="82"/>
    </row>
    <row r="316" spans="1:7" ht="20.100000000000001" customHeight="1" x14ac:dyDescent="0.25">
      <c r="A316" s="105"/>
      <c r="B316" s="30"/>
      <c r="C316" s="16"/>
      <c r="D316" s="16"/>
      <c r="E316" s="17"/>
      <c r="F316" s="4"/>
      <c r="G316" s="82"/>
    </row>
    <row r="317" spans="1:7" ht="20.100000000000001" customHeight="1" x14ac:dyDescent="0.25">
      <c r="A317" s="105"/>
      <c r="B317" s="30"/>
      <c r="C317" s="16"/>
      <c r="D317" s="16"/>
      <c r="E317" s="17"/>
      <c r="F317" s="4"/>
      <c r="G317" s="82"/>
    </row>
    <row r="318" spans="1:7" ht="20.100000000000001" customHeight="1" x14ac:dyDescent="0.25">
      <c r="A318" s="105"/>
      <c r="B318" s="30"/>
      <c r="C318" s="16"/>
      <c r="D318" s="16"/>
      <c r="E318" s="17"/>
      <c r="F318" s="4"/>
      <c r="G318" s="82"/>
    </row>
    <row r="319" spans="1:7" ht="20.100000000000001" customHeight="1" x14ac:dyDescent="0.25">
      <c r="A319" s="105"/>
      <c r="B319" s="30"/>
      <c r="C319" s="16"/>
      <c r="D319" s="16"/>
      <c r="E319" s="17"/>
      <c r="F319" s="4"/>
      <c r="G319" s="82"/>
    </row>
    <row r="320" spans="1:7" ht="20.100000000000001" customHeight="1" x14ac:dyDescent="0.25">
      <c r="A320" s="105"/>
      <c r="B320" s="30"/>
      <c r="C320" s="16"/>
      <c r="D320" s="16"/>
      <c r="E320" s="17"/>
      <c r="F320" s="4"/>
      <c r="G320" s="82"/>
    </row>
    <row r="321" spans="1:7" ht="20.100000000000001" customHeight="1" x14ac:dyDescent="0.25">
      <c r="A321" s="105"/>
      <c r="B321" s="30"/>
      <c r="C321" s="16"/>
      <c r="D321" s="16"/>
      <c r="E321" s="17"/>
      <c r="F321" s="4"/>
      <c r="G321" s="82"/>
    </row>
    <row r="322" spans="1:7" ht="20.100000000000001" customHeight="1" x14ac:dyDescent="0.25">
      <c r="A322" s="105"/>
      <c r="B322" s="30"/>
      <c r="C322" s="16"/>
      <c r="D322" s="16"/>
      <c r="E322" s="17"/>
      <c r="F322" s="4"/>
      <c r="G322" s="82"/>
    </row>
    <row r="323" spans="1:7" ht="20.100000000000001" customHeight="1" x14ac:dyDescent="0.25">
      <c r="A323" s="105"/>
      <c r="B323" s="30"/>
      <c r="C323" s="16"/>
      <c r="D323" s="16"/>
      <c r="E323" s="17"/>
      <c r="F323" s="4"/>
      <c r="G323" s="82"/>
    </row>
    <row r="324" spans="1:7" ht="20.100000000000001" customHeight="1" x14ac:dyDescent="0.25">
      <c r="A324" s="105"/>
      <c r="B324" s="30"/>
      <c r="C324" s="16"/>
      <c r="D324" s="16"/>
      <c r="E324" s="17"/>
      <c r="F324" s="4"/>
      <c r="G324" s="82"/>
    </row>
    <row r="325" spans="1:7" ht="20.100000000000001" customHeight="1" x14ac:dyDescent="0.25">
      <c r="A325" s="105"/>
      <c r="B325" s="30"/>
      <c r="C325" s="16"/>
      <c r="D325" s="16"/>
      <c r="E325" s="17"/>
      <c r="F325" s="4"/>
      <c r="G325" s="82"/>
    </row>
    <row r="326" spans="1:7" ht="20.100000000000001" customHeight="1" x14ac:dyDescent="0.25">
      <c r="A326" s="105"/>
      <c r="B326" s="30"/>
      <c r="C326" s="16"/>
      <c r="D326" s="16"/>
      <c r="E326" s="17"/>
      <c r="F326" s="4"/>
      <c r="G326" s="82"/>
    </row>
    <row r="327" spans="1:7" ht="20.100000000000001" customHeight="1" x14ac:dyDescent="0.25">
      <c r="A327" s="105"/>
      <c r="B327" s="30"/>
      <c r="C327" s="16"/>
      <c r="D327" s="16"/>
      <c r="E327" s="17"/>
      <c r="F327" s="4"/>
      <c r="G327" s="82"/>
    </row>
    <row r="328" spans="1:7" ht="20.100000000000001" customHeight="1" x14ac:dyDescent="0.25">
      <c r="A328" s="105"/>
      <c r="B328" s="30"/>
      <c r="C328" s="16"/>
      <c r="D328" s="16"/>
      <c r="E328" s="17"/>
      <c r="F328" s="4"/>
      <c r="G328" s="82"/>
    </row>
    <row r="329" spans="1:7" ht="20.100000000000001" customHeight="1" x14ac:dyDescent="0.25">
      <c r="A329" s="105"/>
      <c r="B329" s="30"/>
      <c r="C329" s="16"/>
      <c r="D329" s="16"/>
      <c r="E329" s="17"/>
      <c r="F329" s="4"/>
      <c r="G329" s="82"/>
    </row>
    <row r="330" spans="1:7" ht="20.100000000000001" customHeight="1" x14ac:dyDescent="0.25">
      <c r="A330" s="105"/>
      <c r="B330" s="30"/>
      <c r="C330" s="16"/>
      <c r="D330" s="16"/>
      <c r="E330" s="17"/>
      <c r="F330" s="4"/>
      <c r="G330" s="82"/>
    </row>
    <row r="331" spans="1:7" ht="20.100000000000001" customHeight="1" x14ac:dyDescent="0.25">
      <c r="A331" s="105"/>
      <c r="B331" s="30"/>
      <c r="C331" s="16"/>
      <c r="D331" s="16"/>
      <c r="E331" s="17"/>
      <c r="F331" s="4"/>
      <c r="G331" s="82"/>
    </row>
    <row r="332" spans="1:7" ht="20.100000000000001" customHeight="1" x14ac:dyDescent="0.25">
      <c r="A332" s="105"/>
      <c r="B332" s="30"/>
      <c r="C332" s="16"/>
      <c r="D332" s="16"/>
      <c r="E332" s="17"/>
      <c r="F332" s="4"/>
      <c r="G332" s="82"/>
    </row>
    <row r="333" spans="1:7" ht="20.100000000000001" customHeight="1" x14ac:dyDescent="0.25">
      <c r="A333" s="105"/>
      <c r="B333" s="30"/>
      <c r="C333" s="16"/>
      <c r="D333" s="16"/>
      <c r="E333" s="17"/>
      <c r="F333" s="4"/>
      <c r="G333" s="82"/>
    </row>
    <row r="334" spans="1:7" ht="20.100000000000001" customHeight="1" x14ac:dyDescent="0.25">
      <c r="A334" s="105"/>
      <c r="B334" s="30"/>
      <c r="C334" s="16"/>
      <c r="D334" s="16"/>
      <c r="E334" s="17"/>
      <c r="F334" s="4"/>
      <c r="G334" s="82"/>
    </row>
    <row r="335" spans="1:7" ht="20.100000000000001" customHeight="1" x14ac:dyDescent="0.25">
      <c r="A335" s="105"/>
      <c r="B335" s="30"/>
      <c r="C335" s="16"/>
      <c r="D335" s="16"/>
      <c r="E335" s="17"/>
      <c r="F335" s="4"/>
      <c r="G335" s="82"/>
    </row>
    <row r="336" spans="1:7" ht="20.100000000000001" customHeight="1" x14ac:dyDescent="0.25">
      <c r="A336" s="105"/>
      <c r="B336" s="30"/>
      <c r="C336" s="16"/>
      <c r="D336" s="16"/>
      <c r="E336" s="17"/>
      <c r="F336" s="4"/>
      <c r="G336" s="82"/>
    </row>
    <row r="337" spans="1:7" ht="20.100000000000001" customHeight="1" x14ac:dyDescent="0.25">
      <c r="A337" s="105"/>
      <c r="G337" s="82"/>
    </row>
    <row r="338" spans="1:7" ht="20.100000000000001" customHeight="1" x14ac:dyDescent="0.25">
      <c r="A338" s="105"/>
      <c r="G338" s="82"/>
    </row>
    <row r="339" spans="1:7" ht="20.100000000000001" customHeight="1" x14ac:dyDescent="0.25">
      <c r="A339" s="105"/>
      <c r="G339" s="82"/>
    </row>
    <row r="340" spans="1:7" ht="20.100000000000001" customHeight="1" x14ac:dyDescent="0.25">
      <c r="A340" s="105"/>
      <c r="G340" s="82"/>
    </row>
    <row r="341" spans="1:7" ht="20.100000000000001" customHeight="1" x14ac:dyDescent="0.25">
      <c r="A341" s="105"/>
      <c r="G341" s="82"/>
    </row>
    <row r="342" spans="1:7" ht="20.100000000000001" customHeight="1" x14ac:dyDescent="0.25">
      <c r="A342" s="105"/>
      <c r="G342" s="82"/>
    </row>
    <row r="343" spans="1:7" ht="20.100000000000001" customHeight="1" x14ac:dyDescent="0.25">
      <c r="A343" s="105"/>
      <c r="G343" s="82"/>
    </row>
    <row r="344" spans="1:7" ht="20.100000000000001" customHeight="1" x14ac:dyDescent="0.25">
      <c r="A344" s="105"/>
      <c r="G344" s="82"/>
    </row>
    <row r="345" spans="1:7" ht="20.100000000000001" customHeight="1" x14ac:dyDescent="0.25">
      <c r="A345" s="105"/>
      <c r="G345" s="82"/>
    </row>
    <row r="346" spans="1:7" ht="20.100000000000001" customHeight="1" x14ac:dyDescent="0.25">
      <c r="A346" s="105"/>
      <c r="G346" s="82"/>
    </row>
    <row r="347" spans="1:7" ht="20.100000000000001" customHeight="1" x14ac:dyDescent="0.25">
      <c r="A347" s="105"/>
      <c r="G347" s="82"/>
    </row>
    <row r="348" spans="1:7" ht="20.100000000000001" customHeight="1" x14ac:dyDescent="0.25">
      <c r="A348" s="105"/>
      <c r="G348" s="82"/>
    </row>
    <row r="349" spans="1:7" ht="20.100000000000001" customHeight="1" x14ac:dyDescent="0.25">
      <c r="A349" s="105"/>
      <c r="G349" s="82"/>
    </row>
    <row r="350" spans="1:7" ht="20.100000000000001" customHeight="1" x14ac:dyDescent="0.25">
      <c r="A350" s="105"/>
      <c r="G350" s="82"/>
    </row>
    <row r="351" spans="1:7" ht="20.100000000000001" customHeight="1" x14ac:dyDescent="0.25">
      <c r="A351" s="105"/>
      <c r="G351" s="82"/>
    </row>
    <row r="352" spans="1:7" ht="20.100000000000001" customHeight="1" x14ac:dyDescent="0.25">
      <c r="A352" s="105"/>
      <c r="G352" s="82"/>
    </row>
    <row r="353" spans="1:7" ht="20.100000000000001" customHeight="1" x14ac:dyDescent="0.25">
      <c r="A353" s="105"/>
      <c r="G353" s="82"/>
    </row>
    <row r="354" spans="1:7" ht="20.100000000000001" customHeight="1" x14ac:dyDescent="0.25">
      <c r="A354" s="105"/>
      <c r="G354" s="82"/>
    </row>
    <row r="355" spans="1:7" ht="20.100000000000001" customHeight="1" x14ac:dyDescent="0.25">
      <c r="A355" s="105"/>
      <c r="G355" s="82"/>
    </row>
    <row r="356" spans="1:7" ht="20.100000000000001" customHeight="1" x14ac:dyDescent="0.25">
      <c r="A356" s="105"/>
      <c r="G356" s="82"/>
    </row>
    <row r="357" spans="1:7" ht="20.100000000000001" customHeight="1" x14ac:dyDescent="0.25">
      <c r="A357" s="105"/>
      <c r="G357" s="82"/>
    </row>
    <row r="358" spans="1:7" ht="20.100000000000001" customHeight="1" x14ac:dyDescent="0.25">
      <c r="A358" s="105"/>
      <c r="G358" s="82"/>
    </row>
    <row r="359" spans="1:7" ht="20.100000000000001" customHeight="1" x14ac:dyDescent="0.25">
      <c r="A359" s="105"/>
      <c r="G359" s="82"/>
    </row>
    <row r="360" spans="1:7" ht="20.100000000000001" customHeight="1" x14ac:dyDescent="0.25">
      <c r="A360" s="105"/>
      <c r="G360" s="82"/>
    </row>
    <row r="361" spans="1:7" ht="20.100000000000001" customHeight="1" x14ac:dyDescent="0.25">
      <c r="A361" s="105"/>
      <c r="G361" s="82"/>
    </row>
    <row r="362" spans="1:7" ht="20.100000000000001" customHeight="1" x14ac:dyDescent="0.25">
      <c r="A362" s="105"/>
      <c r="G362" s="82"/>
    </row>
    <row r="363" spans="1:7" ht="20.100000000000001" customHeight="1" x14ac:dyDescent="0.25">
      <c r="A363" s="105"/>
      <c r="G363" s="82"/>
    </row>
    <row r="364" spans="1:7" ht="20.100000000000001" customHeight="1" x14ac:dyDescent="0.25">
      <c r="A364" s="105"/>
      <c r="G364" s="82"/>
    </row>
    <row r="365" spans="1:7" ht="20.100000000000001" customHeight="1" x14ac:dyDescent="0.25">
      <c r="A365" s="105"/>
      <c r="G365" s="82"/>
    </row>
    <row r="366" spans="1:7" ht="20.100000000000001" customHeight="1" x14ac:dyDescent="0.25">
      <c r="A366" s="105"/>
      <c r="G366" s="82"/>
    </row>
    <row r="367" spans="1:7" ht="20.100000000000001" customHeight="1" x14ac:dyDescent="0.25">
      <c r="A367" s="105"/>
      <c r="G367" s="82"/>
    </row>
    <row r="368" spans="1:7" ht="20.100000000000001" customHeight="1" x14ac:dyDescent="0.25">
      <c r="A368" s="105"/>
      <c r="G368" s="82"/>
    </row>
    <row r="369" spans="1:7" ht="20.100000000000001" customHeight="1" x14ac:dyDescent="0.25">
      <c r="A369" s="105"/>
      <c r="G369" s="82"/>
    </row>
    <row r="370" spans="1:7" ht="20.100000000000001" customHeight="1" x14ac:dyDescent="0.25">
      <c r="A370" s="105"/>
      <c r="G370" s="82"/>
    </row>
    <row r="371" spans="1:7" ht="20.100000000000001" customHeight="1" x14ac:dyDescent="0.25">
      <c r="A371" s="105"/>
      <c r="G371" s="82"/>
    </row>
    <row r="372" spans="1:7" ht="20.100000000000001" customHeight="1" x14ac:dyDescent="0.25">
      <c r="A372" s="105"/>
      <c r="G372" s="82"/>
    </row>
    <row r="373" spans="1:7" ht="20.100000000000001" customHeight="1" x14ac:dyDescent="0.25">
      <c r="A373" s="105"/>
      <c r="G373" s="82"/>
    </row>
    <row r="374" spans="1:7" ht="20.100000000000001" customHeight="1" x14ac:dyDescent="0.25">
      <c r="A374" s="105"/>
      <c r="G374" s="82"/>
    </row>
    <row r="375" spans="1:7" ht="20.100000000000001" customHeight="1" x14ac:dyDescent="0.25">
      <c r="A375" s="105"/>
      <c r="G375" s="82"/>
    </row>
    <row r="376" spans="1:7" ht="20.100000000000001" customHeight="1" x14ac:dyDescent="0.25">
      <c r="A376" s="105"/>
      <c r="G376" s="82"/>
    </row>
    <row r="377" spans="1:7" ht="20.100000000000001" customHeight="1" x14ac:dyDescent="0.25">
      <c r="A377" s="105"/>
      <c r="G377" s="82"/>
    </row>
    <row r="378" spans="1:7" ht="20.100000000000001" customHeight="1" x14ac:dyDescent="0.25">
      <c r="A378" s="105"/>
      <c r="G378" s="82"/>
    </row>
    <row r="379" spans="1:7" ht="20.100000000000001" customHeight="1" x14ac:dyDescent="0.25">
      <c r="A379" s="105"/>
      <c r="G379" s="82"/>
    </row>
    <row r="380" spans="1:7" ht="20.100000000000001" customHeight="1" x14ac:dyDescent="0.25">
      <c r="A380" s="105"/>
      <c r="G380" s="82"/>
    </row>
    <row r="381" spans="1:7" ht="20.100000000000001" customHeight="1" x14ac:dyDescent="0.25">
      <c r="A381" s="105"/>
      <c r="G381" s="82"/>
    </row>
    <row r="382" spans="1:7" ht="20.100000000000001" customHeight="1" x14ac:dyDescent="0.25">
      <c r="A382" s="105"/>
      <c r="G382" s="82"/>
    </row>
    <row r="383" spans="1:7" ht="20.100000000000001" customHeight="1" x14ac:dyDescent="0.25">
      <c r="A383" s="105"/>
      <c r="G383" s="82"/>
    </row>
    <row r="384" spans="1:7" ht="20.100000000000001" customHeight="1" x14ac:dyDescent="0.25">
      <c r="A384" s="105"/>
      <c r="G384" s="82"/>
    </row>
    <row r="385" spans="1:7" ht="20.100000000000001" customHeight="1" x14ac:dyDescent="0.25">
      <c r="A385" s="105"/>
      <c r="G385" s="82"/>
    </row>
    <row r="386" spans="1:7" ht="20.100000000000001" customHeight="1" x14ac:dyDescent="0.25">
      <c r="A386" s="105"/>
      <c r="G386" s="82"/>
    </row>
    <row r="387" spans="1:7" ht="20.100000000000001" customHeight="1" x14ac:dyDescent="0.25">
      <c r="A387" s="105"/>
      <c r="G387" s="82"/>
    </row>
    <row r="388" spans="1:7" ht="20.100000000000001" customHeight="1" x14ac:dyDescent="0.25">
      <c r="A388" s="105"/>
      <c r="G388" s="82"/>
    </row>
    <row r="389" spans="1:7" ht="20.100000000000001" customHeight="1" x14ac:dyDescent="0.25">
      <c r="A389" s="105"/>
      <c r="G389" s="82"/>
    </row>
    <row r="390" spans="1:7" ht="20.100000000000001" customHeight="1" x14ac:dyDescent="0.25">
      <c r="A390" s="105"/>
      <c r="G390" s="82"/>
    </row>
    <row r="391" spans="1:7" ht="20.100000000000001" customHeight="1" x14ac:dyDescent="0.25">
      <c r="A391" s="105"/>
      <c r="G391" s="82"/>
    </row>
    <row r="392" spans="1:7" ht="20.100000000000001" customHeight="1" x14ac:dyDescent="0.25">
      <c r="A392" s="105"/>
      <c r="G392" s="82"/>
    </row>
    <row r="393" spans="1:7" ht="20.100000000000001" customHeight="1" x14ac:dyDescent="0.25">
      <c r="A393" s="105"/>
      <c r="G393" s="82"/>
    </row>
    <row r="394" spans="1:7" ht="20.100000000000001" customHeight="1" x14ac:dyDescent="0.25">
      <c r="A394" s="105"/>
      <c r="G394" s="82"/>
    </row>
    <row r="395" spans="1:7" ht="20.100000000000001" customHeight="1" x14ac:dyDescent="0.25">
      <c r="A395" s="105"/>
      <c r="G395" s="82"/>
    </row>
    <row r="396" spans="1:7" ht="20.100000000000001" customHeight="1" x14ac:dyDescent="0.25">
      <c r="A396" s="105"/>
      <c r="G396" s="82"/>
    </row>
    <row r="397" spans="1:7" ht="20.100000000000001" customHeight="1" x14ac:dyDescent="0.25">
      <c r="A397" s="105"/>
      <c r="G397" s="82"/>
    </row>
    <row r="398" spans="1:7" ht="20.100000000000001" customHeight="1" x14ac:dyDescent="0.25">
      <c r="A398" s="105"/>
      <c r="G398" s="82"/>
    </row>
    <row r="399" spans="1:7" ht="20.100000000000001" customHeight="1" x14ac:dyDescent="0.25">
      <c r="A399" s="105"/>
      <c r="G399" s="82"/>
    </row>
    <row r="400" spans="1:7" ht="20.100000000000001" customHeight="1" x14ac:dyDescent="0.25">
      <c r="A400" s="105"/>
      <c r="G400" s="82"/>
    </row>
    <row r="401" spans="1:7" ht="20.100000000000001" customHeight="1" x14ac:dyDescent="0.25">
      <c r="A401" s="105"/>
      <c r="G401" s="82"/>
    </row>
    <row r="402" spans="1:7" ht="20.100000000000001" customHeight="1" x14ac:dyDescent="0.25">
      <c r="A402" s="105"/>
      <c r="G402" s="82"/>
    </row>
    <row r="403" spans="1:7" ht="20.100000000000001" customHeight="1" x14ac:dyDescent="0.25">
      <c r="A403" s="105"/>
      <c r="G403" s="82"/>
    </row>
    <row r="404" spans="1:7" ht="20.100000000000001" customHeight="1" x14ac:dyDescent="0.25">
      <c r="A404" s="105"/>
      <c r="G404" s="82"/>
    </row>
    <row r="405" spans="1:7" ht="20.100000000000001" customHeight="1" x14ac:dyDescent="0.25">
      <c r="A405" s="105"/>
      <c r="G405" s="82"/>
    </row>
    <row r="406" spans="1:7" ht="20.100000000000001" customHeight="1" x14ac:dyDescent="0.25">
      <c r="A406" s="105"/>
      <c r="G406" s="82"/>
    </row>
    <row r="407" spans="1:7" ht="20.100000000000001" customHeight="1" x14ac:dyDescent="0.25">
      <c r="A407" s="105"/>
      <c r="G407" s="82"/>
    </row>
    <row r="408" spans="1:7" ht="20.100000000000001" customHeight="1" x14ac:dyDescent="0.25">
      <c r="A408" s="105"/>
      <c r="G408" s="82"/>
    </row>
    <row r="409" spans="1:7" ht="20.100000000000001" customHeight="1" x14ac:dyDescent="0.25">
      <c r="A409" s="105"/>
      <c r="G409" s="82"/>
    </row>
    <row r="410" spans="1:7" ht="20.100000000000001" customHeight="1" x14ac:dyDescent="0.25">
      <c r="A410" s="105"/>
      <c r="G410" s="82"/>
    </row>
    <row r="411" spans="1:7" ht="20.100000000000001" customHeight="1" x14ac:dyDescent="0.25">
      <c r="A411" s="105"/>
      <c r="G411" s="82"/>
    </row>
    <row r="412" spans="1:7" ht="20.100000000000001" customHeight="1" x14ac:dyDescent="0.25">
      <c r="A412" s="105"/>
      <c r="G412" s="82"/>
    </row>
    <row r="413" spans="1:7" ht="20.100000000000001" customHeight="1" x14ac:dyDescent="0.25">
      <c r="A413" s="105"/>
      <c r="G413" s="82"/>
    </row>
    <row r="414" spans="1:7" ht="20.100000000000001" customHeight="1" x14ac:dyDescent="0.25">
      <c r="A414" s="105"/>
      <c r="G414" s="82"/>
    </row>
    <row r="415" spans="1:7" ht="20.100000000000001" customHeight="1" x14ac:dyDescent="0.25">
      <c r="A415" s="105"/>
      <c r="G415" s="82"/>
    </row>
    <row r="416" spans="1:7" ht="20.100000000000001" customHeight="1" x14ac:dyDescent="0.25">
      <c r="A416" s="105"/>
      <c r="G416" s="82"/>
    </row>
    <row r="417" spans="1:7" ht="20.100000000000001" customHeight="1" x14ac:dyDescent="0.25">
      <c r="A417" s="105"/>
      <c r="G417" s="82"/>
    </row>
    <row r="418" spans="1:7" ht="20.100000000000001" customHeight="1" x14ac:dyDescent="0.25">
      <c r="A418" s="105"/>
      <c r="G418" s="82"/>
    </row>
    <row r="419" spans="1:7" ht="20.100000000000001" customHeight="1" x14ac:dyDescent="0.25">
      <c r="A419" s="105"/>
      <c r="G419" s="82"/>
    </row>
    <row r="420" spans="1:7" ht="20.100000000000001" customHeight="1" x14ac:dyDescent="0.25">
      <c r="A420" s="105"/>
      <c r="G420" s="82"/>
    </row>
    <row r="421" spans="1:7" ht="20.100000000000001" customHeight="1" x14ac:dyDescent="0.25">
      <c r="A421" s="105"/>
      <c r="G421" s="82"/>
    </row>
    <row r="422" spans="1:7" ht="20.100000000000001" customHeight="1" x14ac:dyDescent="0.25">
      <c r="A422" s="105"/>
      <c r="G422" s="82"/>
    </row>
    <row r="423" spans="1:7" ht="20.100000000000001" customHeight="1" x14ac:dyDescent="0.25">
      <c r="A423" s="105"/>
      <c r="G423" s="82"/>
    </row>
    <row r="424" spans="1:7" ht="20.100000000000001" customHeight="1" x14ac:dyDescent="0.25">
      <c r="A424" s="105"/>
      <c r="G424" s="82"/>
    </row>
    <row r="425" spans="1:7" ht="20.100000000000001" customHeight="1" x14ac:dyDescent="0.25">
      <c r="A425" s="105"/>
      <c r="G425" s="82"/>
    </row>
    <row r="426" spans="1:7" ht="20.100000000000001" customHeight="1" x14ac:dyDescent="0.25">
      <c r="A426" s="105"/>
      <c r="G426" s="82"/>
    </row>
    <row r="427" spans="1:7" ht="20.100000000000001" customHeight="1" x14ac:dyDescent="0.25">
      <c r="A427" s="105"/>
      <c r="G427" s="82"/>
    </row>
    <row r="428" spans="1:7" ht="20.100000000000001" customHeight="1" x14ac:dyDescent="0.25">
      <c r="A428" s="105"/>
      <c r="G428" s="82"/>
    </row>
    <row r="429" spans="1:7" ht="20.100000000000001" customHeight="1" x14ac:dyDescent="0.25">
      <c r="A429" s="105"/>
      <c r="G429" s="82"/>
    </row>
    <row r="430" spans="1:7" ht="20.100000000000001" customHeight="1" x14ac:dyDescent="0.25">
      <c r="A430" s="105"/>
      <c r="G430" s="82"/>
    </row>
    <row r="431" spans="1:7" ht="20.100000000000001" customHeight="1" x14ac:dyDescent="0.25">
      <c r="A431" s="105"/>
      <c r="G431" s="82"/>
    </row>
    <row r="432" spans="1:7" ht="20.100000000000001" customHeight="1" x14ac:dyDescent="0.25">
      <c r="A432" s="105"/>
      <c r="G432" s="82"/>
    </row>
    <row r="433" spans="1:7" ht="20.100000000000001" customHeight="1" x14ac:dyDescent="0.25">
      <c r="A433" s="105"/>
      <c r="G433" s="82"/>
    </row>
    <row r="434" spans="1:7" ht="20.100000000000001" customHeight="1" x14ac:dyDescent="0.25">
      <c r="A434" s="105"/>
      <c r="G434" s="82"/>
    </row>
    <row r="435" spans="1:7" ht="20.100000000000001" customHeight="1" x14ac:dyDescent="0.25">
      <c r="A435" s="105"/>
      <c r="G435" s="82"/>
    </row>
    <row r="436" spans="1:7" ht="20.100000000000001" customHeight="1" x14ac:dyDescent="0.25">
      <c r="A436" s="105"/>
      <c r="G436" s="82"/>
    </row>
    <row r="437" spans="1:7" ht="20.100000000000001" customHeight="1" x14ac:dyDescent="0.25">
      <c r="A437" s="105"/>
      <c r="G437" s="82"/>
    </row>
    <row r="438" spans="1:7" ht="20.100000000000001" customHeight="1" x14ac:dyDescent="0.25">
      <c r="A438" s="105"/>
      <c r="G438" s="82"/>
    </row>
    <row r="439" spans="1:7" ht="20.100000000000001" customHeight="1" x14ac:dyDescent="0.25">
      <c r="A439" s="105"/>
      <c r="G439" s="82"/>
    </row>
    <row r="440" spans="1:7" ht="20.100000000000001" customHeight="1" x14ac:dyDescent="0.25">
      <c r="A440" s="105"/>
      <c r="G440" s="82"/>
    </row>
    <row r="441" spans="1:7" ht="20.100000000000001" customHeight="1" x14ac:dyDescent="0.25">
      <c r="A441" s="105"/>
      <c r="G441" s="82"/>
    </row>
    <row r="442" spans="1:7" ht="20.100000000000001" customHeight="1" x14ac:dyDescent="0.25">
      <c r="A442" s="105"/>
      <c r="G442" s="82"/>
    </row>
    <row r="443" spans="1:7" ht="20.100000000000001" customHeight="1" x14ac:dyDescent="0.25">
      <c r="A443" s="105"/>
      <c r="G443" s="82"/>
    </row>
    <row r="444" spans="1:7" ht="20.100000000000001" customHeight="1" x14ac:dyDescent="0.25">
      <c r="A444" s="105"/>
      <c r="G444" s="82"/>
    </row>
    <row r="445" spans="1:7" ht="20.100000000000001" customHeight="1" x14ac:dyDescent="0.25">
      <c r="A445" s="105"/>
      <c r="G445" s="82"/>
    </row>
    <row r="446" spans="1:7" ht="20.100000000000001" customHeight="1" x14ac:dyDescent="0.25">
      <c r="A446" s="105"/>
      <c r="G446" s="82"/>
    </row>
    <row r="447" spans="1:7" ht="20.100000000000001" customHeight="1" x14ac:dyDescent="0.25">
      <c r="A447" s="105"/>
      <c r="G447" s="82"/>
    </row>
    <row r="448" spans="1:7" ht="20.100000000000001" customHeight="1" x14ac:dyDescent="0.25">
      <c r="A448" s="105"/>
      <c r="G448" s="82"/>
    </row>
    <row r="449" spans="1:7" ht="20.100000000000001" customHeight="1" x14ac:dyDescent="0.25">
      <c r="A449" s="105"/>
      <c r="G449" s="82"/>
    </row>
    <row r="450" spans="1:7" ht="20.100000000000001" customHeight="1" x14ac:dyDescent="0.25">
      <c r="A450" s="105"/>
      <c r="G450" s="82"/>
    </row>
    <row r="451" spans="1:7" ht="20.100000000000001" customHeight="1" x14ac:dyDescent="0.25">
      <c r="A451" s="105"/>
      <c r="G451" s="82"/>
    </row>
    <row r="452" spans="1:7" ht="20.100000000000001" customHeight="1" x14ac:dyDescent="0.25">
      <c r="A452" s="105"/>
      <c r="G452" s="82"/>
    </row>
    <row r="453" spans="1:7" ht="20.100000000000001" customHeight="1" x14ac:dyDescent="0.25">
      <c r="A453" s="105"/>
      <c r="G453" s="82"/>
    </row>
    <row r="454" spans="1:7" ht="20.100000000000001" customHeight="1" x14ac:dyDescent="0.25">
      <c r="A454" s="105"/>
      <c r="G454" s="82"/>
    </row>
    <row r="455" spans="1:7" ht="20.100000000000001" customHeight="1" x14ac:dyDescent="0.25">
      <c r="A455" s="105"/>
      <c r="G455" s="82"/>
    </row>
    <row r="456" spans="1:7" ht="20.100000000000001" customHeight="1" x14ac:dyDescent="0.25">
      <c r="A456" s="105"/>
      <c r="G456" s="82"/>
    </row>
    <row r="457" spans="1:7" ht="20.100000000000001" customHeight="1" x14ac:dyDescent="0.25">
      <c r="A457" s="105"/>
      <c r="G457" s="82"/>
    </row>
    <row r="458" spans="1:7" ht="20.100000000000001" customHeight="1" x14ac:dyDescent="0.25">
      <c r="A458" s="105"/>
      <c r="G458" s="82"/>
    </row>
    <row r="459" spans="1:7" ht="20.100000000000001" customHeight="1" x14ac:dyDescent="0.25">
      <c r="A459" s="105"/>
      <c r="G459" s="82"/>
    </row>
    <row r="460" spans="1:7" ht="20.100000000000001" customHeight="1" x14ac:dyDescent="0.25">
      <c r="A460" s="105"/>
      <c r="G460" s="82"/>
    </row>
    <row r="461" spans="1:7" ht="20.100000000000001" customHeight="1" x14ac:dyDescent="0.25">
      <c r="A461" s="105"/>
      <c r="G461" s="82"/>
    </row>
    <row r="462" spans="1:7" ht="20.100000000000001" customHeight="1" x14ac:dyDescent="0.25">
      <c r="A462" s="105"/>
      <c r="G462" s="82"/>
    </row>
    <row r="463" spans="1:7" ht="20.100000000000001" customHeight="1" x14ac:dyDescent="0.25">
      <c r="A463" s="105"/>
      <c r="G463" s="82"/>
    </row>
    <row r="464" spans="1:7" ht="20.100000000000001" customHeight="1" x14ac:dyDescent="0.25">
      <c r="A464" s="105"/>
      <c r="G464" s="82"/>
    </row>
    <row r="465" spans="1:7" ht="20.100000000000001" customHeight="1" x14ac:dyDescent="0.25">
      <c r="A465" s="105"/>
      <c r="G465" s="82"/>
    </row>
    <row r="466" spans="1:7" ht="20.100000000000001" customHeight="1" x14ac:dyDescent="0.25">
      <c r="A466" s="105"/>
      <c r="G466" s="82"/>
    </row>
    <row r="467" spans="1:7" ht="20.100000000000001" customHeight="1" x14ac:dyDescent="0.25">
      <c r="A467" s="105"/>
      <c r="G467" s="82"/>
    </row>
    <row r="468" spans="1:7" ht="20.100000000000001" customHeight="1" x14ac:dyDescent="0.25">
      <c r="A468" s="105"/>
      <c r="G468" s="82"/>
    </row>
    <row r="469" spans="1:7" ht="20.100000000000001" customHeight="1" x14ac:dyDescent="0.25">
      <c r="A469" s="105"/>
      <c r="G469" s="82"/>
    </row>
    <row r="470" spans="1:7" ht="20.100000000000001" customHeight="1" x14ac:dyDescent="0.25">
      <c r="A470" s="105"/>
      <c r="G470" s="82"/>
    </row>
    <row r="471" spans="1:7" ht="20.100000000000001" customHeight="1" x14ac:dyDescent="0.25">
      <c r="A471" s="105"/>
      <c r="G471" s="82"/>
    </row>
    <row r="472" spans="1:7" ht="20.100000000000001" customHeight="1" x14ac:dyDescent="0.25">
      <c r="A472" s="105"/>
      <c r="G472" s="82"/>
    </row>
    <row r="473" spans="1:7" ht="20.100000000000001" customHeight="1" x14ac:dyDescent="0.25">
      <c r="A473" s="105"/>
      <c r="G473" s="82"/>
    </row>
    <row r="474" spans="1:7" ht="20.100000000000001" customHeight="1" x14ac:dyDescent="0.25">
      <c r="A474" s="105"/>
      <c r="G474" s="82"/>
    </row>
    <row r="475" spans="1:7" ht="20.100000000000001" customHeight="1" x14ac:dyDescent="0.25">
      <c r="A475" s="105"/>
      <c r="G475" s="82"/>
    </row>
    <row r="476" spans="1:7" ht="20.100000000000001" customHeight="1" x14ac:dyDescent="0.25">
      <c r="A476" s="105"/>
      <c r="G476" s="82"/>
    </row>
    <row r="477" spans="1:7" ht="20.100000000000001" customHeight="1" x14ac:dyDescent="0.25">
      <c r="A477" s="105"/>
      <c r="G477" s="82"/>
    </row>
    <row r="478" spans="1:7" ht="20.100000000000001" customHeight="1" x14ac:dyDescent="0.25">
      <c r="A478" s="105"/>
      <c r="G478" s="82"/>
    </row>
    <row r="479" spans="1:7" ht="20.100000000000001" customHeight="1" x14ac:dyDescent="0.25">
      <c r="A479" s="105"/>
      <c r="G479" s="82"/>
    </row>
    <row r="480" spans="1:7" ht="20.100000000000001" customHeight="1" x14ac:dyDescent="0.25">
      <c r="A480" s="105"/>
      <c r="G480" s="82"/>
    </row>
    <row r="481" spans="1:7" ht="20.100000000000001" customHeight="1" x14ac:dyDescent="0.25">
      <c r="A481" s="105"/>
      <c r="G481" s="82"/>
    </row>
    <row r="482" spans="1:7" ht="20.100000000000001" customHeight="1" x14ac:dyDescent="0.25">
      <c r="A482" s="105"/>
      <c r="G482" s="82"/>
    </row>
    <row r="483" spans="1:7" ht="20.100000000000001" customHeight="1" x14ac:dyDescent="0.25">
      <c r="A483" s="105"/>
      <c r="G483" s="82"/>
    </row>
    <row r="484" spans="1:7" ht="20.100000000000001" customHeight="1" x14ac:dyDescent="0.25">
      <c r="A484" s="105"/>
      <c r="G484" s="82"/>
    </row>
    <row r="485" spans="1:7" ht="20.100000000000001" customHeight="1" x14ac:dyDescent="0.25">
      <c r="A485" s="105"/>
      <c r="G485" s="82"/>
    </row>
    <row r="486" spans="1:7" ht="20.100000000000001" customHeight="1" x14ac:dyDescent="0.25">
      <c r="A486" s="105"/>
      <c r="G486" s="82"/>
    </row>
    <row r="487" spans="1:7" ht="20.100000000000001" customHeight="1" x14ac:dyDescent="0.25">
      <c r="A487" s="105"/>
      <c r="G487" s="82"/>
    </row>
    <row r="488" spans="1:7" ht="20.100000000000001" customHeight="1" x14ac:dyDescent="0.25">
      <c r="A488" s="105"/>
      <c r="G488" s="82"/>
    </row>
    <row r="489" spans="1:7" ht="20.100000000000001" customHeight="1" x14ac:dyDescent="0.25">
      <c r="A489" s="105"/>
      <c r="G489" s="82"/>
    </row>
    <row r="490" spans="1:7" ht="20.100000000000001" customHeight="1" x14ac:dyDescent="0.25">
      <c r="A490" s="105"/>
      <c r="G490" s="82"/>
    </row>
    <row r="491" spans="1:7" ht="20.100000000000001" customHeight="1" x14ac:dyDescent="0.25">
      <c r="A491" s="105"/>
      <c r="G491" s="82"/>
    </row>
    <row r="492" spans="1:7" ht="20.100000000000001" customHeight="1" x14ac:dyDescent="0.25">
      <c r="A492" s="105"/>
      <c r="G492" s="82"/>
    </row>
    <row r="493" spans="1:7" ht="20.100000000000001" customHeight="1" x14ac:dyDescent="0.25">
      <c r="A493" s="105"/>
      <c r="G493" s="82"/>
    </row>
    <row r="494" spans="1:7" ht="20.100000000000001" customHeight="1" x14ac:dyDescent="0.25">
      <c r="A494" s="105"/>
      <c r="G494" s="82"/>
    </row>
    <row r="495" spans="1:7" ht="20.100000000000001" customHeight="1" x14ac:dyDescent="0.25">
      <c r="A495" s="105"/>
      <c r="G495" s="82"/>
    </row>
    <row r="496" spans="1:7" ht="20.100000000000001" customHeight="1" x14ac:dyDescent="0.25">
      <c r="A496" s="105"/>
      <c r="G496" s="82"/>
    </row>
    <row r="497" spans="1:7" ht="20.100000000000001" customHeight="1" x14ac:dyDescent="0.25">
      <c r="A497" s="105"/>
      <c r="G497" s="82"/>
    </row>
    <row r="498" spans="1:7" ht="20.100000000000001" customHeight="1" x14ac:dyDescent="0.25">
      <c r="A498" s="105"/>
      <c r="G498" s="82"/>
    </row>
    <row r="499" spans="1:7" ht="20.100000000000001" customHeight="1" x14ac:dyDescent="0.25">
      <c r="A499" s="105"/>
      <c r="G499" s="82"/>
    </row>
    <row r="500" spans="1:7" ht="20.100000000000001" customHeight="1" x14ac:dyDescent="0.25">
      <c r="A500" s="105"/>
      <c r="G500" s="82"/>
    </row>
    <row r="501" spans="1:7" ht="20.100000000000001" customHeight="1" x14ac:dyDescent="0.25">
      <c r="A501" s="105"/>
      <c r="G501" s="82"/>
    </row>
    <row r="502" spans="1:7" ht="20.100000000000001" customHeight="1" x14ac:dyDescent="0.25">
      <c r="A502" s="105"/>
      <c r="G502" s="82"/>
    </row>
    <row r="503" spans="1:7" ht="20.100000000000001" customHeight="1" x14ac:dyDescent="0.25">
      <c r="A503" s="105"/>
      <c r="G503" s="82"/>
    </row>
    <row r="504" spans="1:7" ht="20.100000000000001" customHeight="1" x14ac:dyDescent="0.25">
      <c r="A504" s="105"/>
      <c r="G504" s="82"/>
    </row>
    <row r="505" spans="1:7" ht="20.100000000000001" customHeight="1" x14ac:dyDescent="0.25">
      <c r="A505" s="105"/>
      <c r="G505" s="82"/>
    </row>
    <row r="506" spans="1:7" ht="20.100000000000001" customHeight="1" x14ac:dyDescent="0.25">
      <c r="A506" s="105"/>
      <c r="G506" s="82"/>
    </row>
    <row r="507" spans="1:7" ht="20.100000000000001" customHeight="1" x14ac:dyDescent="0.25">
      <c r="A507" s="105"/>
      <c r="G507" s="82"/>
    </row>
    <row r="508" spans="1:7" ht="20.100000000000001" customHeight="1" x14ac:dyDescent="0.25">
      <c r="A508" s="105"/>
      <c r="G508" s="82"/>
    </row>
    <row r="509" spans="1:7" ht="20.100000000000001" customHeight="1" x14ac:dyDescent="0.25">
      <c r="A509" s="105"/>
      <c r="G509" s="82"/>
    </row>
    <row r="510" spans="1:7" ht="20.100000000000001" customHeight="1" x14ac:dyDescent="0.25">
      <c r="A510" s="105"/>
      <c r="G510" s="82"/>
    </row>
    <row r="511" spans="1:7" ht="20.100000000000001" customHeight="1" x14ac:dyDescent="0.25">
      <c r="A511" s="105"/>
      <c r="G511" s="82"/>
    </row>
    <row r="512" spans="1:7" ht="20.100000000000001" customHeight="1" x14ac:dyDescent="0.25">
      <c r="A512" s="105"/>
      <c r="G512" s="82"/>
    </row>
    <row r="513" spans="1:7" ht="20.100000000000001" customHeight="1" x14ac:dyDescent="0.25">
      <c r="A513" s="105"/>
      <c r="G513" s="82"/>
    </row>
    <row r="514" spans="1:7" ht="20.100000000000001" customHeight="1" x14ac:dyDescent="0.25">
      <c r="A514" s="105"/>
      <c r="G514" s="82"/>
    </row>
    <row r="515" spans="1:7" ht="20.100000000000001" customHeight="1" x14ac:dyDescent="0.25">
      <c r="A515" s="105"/>
      <c r="G515" s="82"/>
    </row>
    <row r="516" spans="1:7" ht="20.100000000000001" customHeight="1" x14ac:dyDescent="0.25">
      <c r="A516" s="105"/>
      <c r="G516" s="82"/>
    </row>
    <row r="517" spans="1:7" ht="20.100000000000001" customHeight="1" x14ac:dyDescent="0.25">
      <c r="A517" s="105"/>
      <c r="G517" s="82"/>
    </row>
    <row r="518" spans="1:7" ht="20.100000000000001" customHeight="1" x14ac:dyDescent="0.25">
      <c r="A518" s="105"/>
      <c r="G518" s="82"/>
    </row>
    <row r="519" spans="1:7" ht="20.100000000000001" customHeight="1" x14ac:dyDescent="0.25">
      <c r="A519" s="105"/>
      <c r="G519" s="82"/>
    </row>
    <row r="520" spans="1:7" ht="20.100000000000001" customHeight="1" x14ac:dyDescent="0.25">
      <c r="A520" s="105"/>
      <c r="G520" s="82"/>
    </row>
    <row r="521" spans="1:7" ht="20.100000000000001" customHeight="1" x14ac:dyDescent="0.25">
      <c r="A521" s="105"/>
      <c r="G521" s="82"/>
    </row>
    <row r="522" spans="1:7" ht="20.100000000000001" customHeight="1" x14ac:dyDescent="0.25">
      <c r="A522" s="105"/>
      <c r="G522" s="82"/>
    </row>
    <row r="523" spans="1:7" ht="20.100000000000001" customHeight="1" x14ac:dyDescent="0.25">
      <c r="A523" s="105"/>
      <c r="G523" s="82"/>
    </row>
    <row r="524" spans="1:7" ht="20.100000000000001" customHeight="1" x14ac:dyDescent="0.25">
      <c r="A524" s="105"/>
      <c r="G524" s="82"/>
    </row>
    <row r="525" spans="1:7" ht="20.100000000000001" customHeight="1" x14ac:dyDescent="0.25">
      <c r="A525" s="105"/>
      <c r="G525" s="82"/>
    </row>
    <row r="526" spans="1:7" ht="20.100000000000001" customHeight="1" x14ac:dyDescent="0.25">
      <c r="A526" s="105"/>
      <c r="G526" s="82"/>
    </row>
    <row r="527" spans="1:7" ht="20.100000000000001" customHeight="1" x14ac:dyDescent="0.25">
      <c r="A527" s="105"/>
      <c r="G527" s="82"/>
    </row>
    <row r="528" spans="1:7" ht="20.100000000000001" customHeight="1" x14ac:dyDescent="0.25">
      <c r="A528" s="105"/>
      <c r="G528" s="82"/>
    </row>
    <row r="529" spans="1:7" ht="20.100000000000001" customHeight="1" x14ac:dyDescent="0.25">
      <c r="A529" s="105"/>
      <c r="G529" s="82"/>
    </row>
    <row r="530" spans="1:7" ht="20.100000000000001" customHeight="1" x14ac:dyDescent="0.25">
      <c r="A530" s="105"/>
      <c r="G530" s="82"/>
    </row>
    <row r="531" spans="1:7" ht="20.100000000000001" customHeight="1" x14ac:dyDescent="0.25">
      <c r="A531" s="105"/>
      <c r="G531" s="82"/>
    </row>
    <row r="532" spans="1:7" ht="20.100000000000001" customHeight="1" x14ac:dyDescent="0.25">
      <c r="A532" s="105"/>
      <c r="G532" s="82"/>
    </row>
    <row r="533" spans="1:7" ht="20.100000000000001" customHeight="1" x14ac:dyDescent="0.25">
      <c r="A533" s="105"/>
      <c r="G533" s="82"/>
    </row>
    <row r="534" spans="1:7" ht="20.100000000000001" customHeight="1" x14ac:dyDescent="0.25">
      <c r="A534" s="105"/>
      <c r="G534" s="82"/>
    </row>
    <row r="535" spans="1:7" ht="20.100000000000001" customHeight="1" x14ac:dyDescent="0.25">
      <c r="A535" s="105"/>
      <c r="G535" s="82"/>
    </row>
    <row r="536" spans="1:7" ht="20.100000000000001" customHeight="1" x14ac:dyDescent="0.25">
      <c r="A536" s="105"/>
      <c r="G536" s="82"/>
    </row>
    <row r="537" spans="1:7" ht="20.100000000000001" customHeight="1" x14ac:dyDescent="0.25">
      <c r="A537" s="105"/>
      <c r="G537" s="82"/>
    </row>
    <row r="538" spans="1:7" ht="20.100000000000001" customHeight="1" x14ac:dyDescent="0.25">
      <c r="A538" s="105"/>
      <c r="G538" s="82"/>
    </row>
    <row r="539" spans="1:7" ht="20.100000000000001" customHeight="1" x14ac:dyDescent="0.25">
      <c r="A539" s="105"/>
      <c r="G539" s="82"/>
    </row>
    <row r="540" spans="1:7" ht="20.100000000000001" customHeight="1" x14ac:dyDescent="0.25">
      <c r="A540" s="105"/>
      <c r="G540" s="82"/>
    </row>
    <row r="541" spans="1:7" ht="20.100000000000001" customHeight="1" x14ac:dyDescent="0.25">
      <c r="A541" s="105"/>
      <c r="G541" s="82"/>
    </row>
    <row r="542" spans="1:7" ht="20.100000000000001" customHeight="1" x14ac:dyDescent="0.25">
      <c r="A542" s="105"/>
      <c r="G542" s="82"/>
    </row>
    <row r="543" spans="1:7" ht="20.100000000000001" customHeight="1" x14ac:dyDescent="0.25">
      <c r="A543" s="105"/>
      <c r="G543" s="82"/>
    </row>
    <row r="544" spans="1:7" ht="20.100000000000001" customHeight="1" x14ac:dyDescent="0.25">
      <c r="A544" s="105"/>
      <c r="G544" s="82"/>
    </row>
    <row r="545" spans="1:7" ht="20.100000000000001" customHeight="1" x14ac:dyDescent="0.25">
      <c r="A545" s="105"/>
      <c r="G545" s="82"/>
    </row>
    <row r="546" spans="1:7" ht="20.100000000000001" customHeight="1" x14ac:dyDescent="0.25">
      <c r="A546" s="105"/>
      <c r="G546" s="82"/>
    </row>
    <row r="547" spans="1:7" ht="20.100000000000001" customHeight="1" x14ac:dyDescent="0.25">
      <c r="A547" s="105"/>
      <c r="G547" s="82"/>
    </row>
    <row r="548" spans="1:7" ht="20.100000000000001" customHeight="1" x14ac:dyDescent="0.25">
      <c r="A548" s="105"/>
      <c r="G548" s="82"/>
    </row>
    <row r="549" spans="1:7" ht="20.100000000000001" customHeight="1" x14ac:dyDescent="0.25">
      <c r="A549" s="105"/>
      <c r="G549" s="82"/>
    </row>
    <row r="550" spans="1:7" ht="20.100000000000001" customHeight="1" x14ac:dyDescent="0.25">
      <c r="A550" s="105"/>
      <c r="G550" s="82"/>
    </row>
    <row r="551" spans="1:7" ht="20.100000000000001" customHeight="1" x14ac:dyDescent="0.25">
      <c r="A551" s="105"/>
      <c r="G551" s="82"/>
    </row>
    <row r="552" spans="1:7" ht="20.100000000000001" customHeight="1" x14ac:dyDescent="0.25">
      <c r="A552" s="105"/>
      <c r="G552" s="82"/>
    </row>
    <row r="553" spans="1:7" ht="20.100000000000001" customHeight="1" x14ac:dyDescent="0.25">
      <c r="A553" s="105"/>
      <c r="G553" s="82"/>
    </row>
    <row r="554" spans="1:7" ht="20.100000000000001" customHeight="1" x14ac:dyDescent="0.25">
      <c r="A554" s="105"/>
      <c r="G554" s="82"/>
    </row>
    <row r="555" spans="1:7" ht="20.100000000000001" customHeight="1" x14ac:dyDescent="0.25">
      <c r="A555" s="105"/>
      <c r="G555" s="82"/>
    </row>
    <row r="556" spans="1:7" ht="20.100000000000001" customHeight="1" x14ac:dyDescent="0.25">
      <c r="A556" s="105"/>
      <c r="G556" s="82"/>
    </row>
    <row r="557" spans="1:7" ht="20.100000000000001" customHeight="1" x14ac:dyDescent="0.25">
      <c r="A557" s="105"/>
      <c r="G557" s="82"/>
    </row>
    <row r="558" spans="1:7" ht="20.100000000000001" customHeight="1" x14ac:dyDescent="0.25">
      <c r="A558" s="105"/>
      <c r="G558" s="82"/>
    </row>
    <row r="559" spans="1:7" ht="20.100000000000001" customHeight="1" x14ac:dyDescent="0.25">
      <c r="A559" s="105"/>
      <c r="G559" s="82"/>
    </row>
    <row r="560" spans="1:7" ht="20.100000000000001" customHeight="1" x14ac:dyDescent="0.25">
      <c r="A560" s="105"/>
      <c r="G560" s="82"/>
    </row>
    <row r="561" spans="1:7" ht="20.100000000000001" customHeight="1" x14ac:dyDescent="0.25">
      <c r="A561" s="105"/>
      <c r="G561" s="82"/>
    </row>
    <row r="562" spans="1:7" ht="20.100000000000001" customHeight="1" x14ac:dyDescent="0.25">
      <c r="A562" s="105"/>
      <c r="G562" s="82"/>
    </row>
    <row r="563" spans="1:7" ht="20.100000000000001" customHeight="1" x14ac:dyDescent="0.25">
      <c r="A563" s="105"/>
      <c r="G563" s="82"/>
    </row>
    <row r="564" spans="1:7" ht="20.100000000000001" customHeight="1" x14ac:dyDescent="0.25">
      <c r="A564" s="105"/>
      <c r="G564" s="82"/>
    </row>
    <row r="565" spans="1:7" ht="20.100000000000001" customHeight="1" x14ac:dyDescent="0.25">
      <c r="A565" s="105"/>
      <c r="G565" s="82"/>
    </row>
    <row r="566" spans="1:7" ht="20.100000000000001" customHeight="1" x14ac:dyDescent="0.25">
      <c r="A566" s="105"/>
      <c r="G566" s="82"/>
    </row>
    <row r="567" spans="1:7" ht="20.100000000000001" customHeight="1" x14ac:dyDescent="0.25">
      <c r="A567" s="105"/>
      <c r="G567" s="82"/>
    </row>
    <row r="568" spans="1:7" ht="20.100000000000001" customHeight="1" x14ac:dyDescent="0.25">
      <c r="A568" s="105"/>
      <c r="G568" s="82"/>
    </row>
    <row r="569" spans="1:7" ht="20.100000000000001" customHeight="1" x14ac:dyDescent="0.25">
      <c r="A569" s="105"/>
      <c r="G569" s="82"/>
    </row>
    <row r="570" spans="1:7" ht="20.100000000000001" customHeight="1" x14ac:dyDescent="0.25">
      <c r="A570" s="105"/>
      <c r="G570" s="82"/>
    </row>
    <row r="571" spans="1:7" ht="20.100000000000001" customHeight="1" x14ac:dyDescent="0.25">
      <c r="A571" s="105"/>
      <c r="G571" s="82"/>
    </row>
    <row r="572" spans="1:7" ht="20.100000000000001" customHeight="1" x14ac:dyDescent="0.25">
      <c r="A572" s="105"/>
      <c r="G572" s="82"/>
    </row>
    <row r="573" spans="1:7" ht="20.100000000000001" customHeight="1" x14ac:dyDescent="0.25">
      <c r="A573" s="105"/>
      <c r="G573" s="82"/>
    </row>
    <row r="574" spans="1:7" ht="20.100000000000001" customHeight="1" x14ac:dyDescent="0.25">
      <c r="A574" s="105"/>
      <c r="G574" s="82"/>
    </row>
    <row r="575" spans="1:7" ht="20.100000000000001" customHeight="1" x14ac:dyDescent="0.25">
      <c r="A575" s="105"/>
      <c r="G575" s="82"/>
    </row>
    <row r="576" spans="1:7" ht="20.100000000000001" customHeight="1" x14ac:dyDescent="0.25">
      <c r="A576" s="105"/>
      <c r="G576" s="82"/>
    </row>
    <row r="577" spans="1:7" ht="20.100000000000001" customHeight="1" x14ac:dyDescent="0.25">
      <c r="A577" s="105"/>
      <c r="G577" s="82"/>
    </row>
    <row r="578" spans="1:7" ht="20.100000000000001" customHeight="1" x14ac:dyDescent="0.25">
      <c r="A578" s="105"/>
      <c r="G578" s="82"/>
    </row>
    <row r="579" spans="1:7" ht="20.100000000000001" customHeight="1" x14ac:dyDescent="0.25">
      <c r="A579" s="105"/>
      <c r="G579" s="82"/>
    </row>
    <row r="580" spans="1:7" ht="20.100000000000001" customHeight="1" x14ac:dyDescent="0.25">
      <c r="A580" s="105"/>
      <c r="G580" s="82"/>
    </row>
    <row r="581" spans="1:7" ht="20.100000000000001" customHeight="1" x14ac:dyDescent="0.25">
      <c r="A581" s="105"/>
      <c r="G581" s="82"/>
    </row>
    <row r="582" spans="1:7" ht="20.100000000000001" customHeight="1" x14ac:dyDescent="0.25">
      <c r="A582" s="105"/>
      <c r="G582" s="82"/>
    </row>
    <row r="583" spans="1:7" ht="20.100000000000001" customHeight="1" x14ac:dyDescent="0.25">
      <c r="A583" s="105"/>
      <c r="G583" s="82"/>
    </row>
    <row r="584" spans="1:7" ht="20.100000000000001" customHeight="1" x14ac:dyDescent="0.25">
      <c r="A584" s="105"/>
      <c r="G584" s="82"/>
    </row>
    <row r="585" spans="1:7" ht="20.100000000000001" customHeight="1" x14ac:dyDescent="0.25">
      <c r="A585" s="105"/>
      <c r="G585" s="82"/>
    </row>
    <row r="586" spans="1:7" ht="20.100000000000001" customHeight="1" x14ac:dyDescent="0.25">
      <c r="A586" s="105"/>
      <c r="G586" s="82"/>
    </row>
    <row r="587" spans="1:7" ht="20.100000000000001" customHeight="1" x14ac:dyDescent="0.25">
      <c r="A587" s="105"/>
      <c r="G587" s="82"/>
    </row>
    <row r="588" spans="1:7" ht="20.100000000000001" customHeight="1" x14ac:dyDescent="0.25">
      <c r="A588" s="105"/>
      <c r="G588" s="82"/>
    </row>
    <row r="589" spans="1:7" ht="20.100000000000001" customHeight="1" x14ac:dyDescent="0.25">
      <c r="A589" s="105"/>
      <c r="G589" s="82"/>
    </row>
    <row r="590" spans="1:7" ht="20.100000000000001" customHeight="1" x14ac:dyDescent="0.25">
      <c r="A590" s="105"/>
      <c r="G590" s="82"/>
    </row>
    <row r="591" spans="1:7" ht="20.100000000000001" customHeight="1" x14ac:dyDescent="0.25">
      <c r="A591" s="105"/>
      <c r="G591" s="82"/>
    </row>
    <row r="592" spans="1:7" ht="20.100000000000001" customHeight="1" x14ac:dyDescent="0.25">
      <c r="A592" s="105"/>
      <c r="G592" s="82"/>
    </row>
    <row r="593" spans="1:7" ht="20.100000000000001" customHeight="1" x14ac:dyDescent="0.25">
      <c r="A593" s="105"/>
      <c r="G593" s="82"/>
    </row>
    <row r="594" spans="1:7" ht="20.100000000000001" customHeight="1" x14ac:dyDescent="0.25">
      <c r="A594" s="105"/>
      <c r="G594" s="82"/>
    </row>
    <row r="595" spans="1:7" ht="20.100000000000001" customHeight="1" x14ac:dyDescent="0.25">
      <c r="A595" s="105"/>
      <c r="G595" s="82"/>
    </row>
    <row r="596" spans="1:7" ht="20.100000000000001" customHeight="1" x14ac:dyDescent="0.25">
      <c r="A596" s="105"/>
      <c r="G596" s="82"/>
    </row>
    <row r="597" spans="1:7" ht="20.100000000000001" customHeight="1" x14ac:dyDescent="0.25">
      <c r="A597" s="105"/>
      <c r="G597" s="82"/>
    </row>
    <row r="598" spans="1:7" ht="20.100000000000001" customHeight="1" x14ac:dyDescent="0.25">
      <c r="A598" s="105"/>
      <c r="G598" s="82"/>
    </row>
    <row r="599" spans="1:7" ht="20.100000000000001" customHeight="1" x14ac:dyDescent="0.25">
      <c r="A599" s="105"/>
      <c r="G599" s="82"/>
    </row>
    <row r="600" spans="1:7" ht="20.100000000000001" customHeight="1" x14ac:dyDescent="0.25">
      <c r="A600" s="105"/>
      <c r="G600" s="82"/>
    </row>
    <row r="601" spans="1:7" ht="20.100000000000001" customHeight="1" x14ac:dyDescent="0.25">
      <c r="A601" s="105"/>
      <c r="G601" s="82"/>
    </row>
    <row r="602" spans="1:7" ht="20.100000000000001" customHeight="1" x14ac:dyDescent="0.25">
      <c r="A602" s="105"/>
      <c r="G602" s="82"/>
    </row>
    <row r="603" spans="1:7" ht="20.100000000000001" customHeight="1" x14ac:dyDescent="0.25">
      <c r="A603" s="105"/>
      <c r="G603" s="82"/>
    </row>
    <row r="604" spans="1:7" ht="20.100000000000001" customHeight="1" x14ac:dyDescent="0.25">
      <c r="A604" s="105"/>
      <c r="G604" s="82"/>
    </row>
    <row r="605" spans="1:7" ht="20.100000000000001" customHeight="1" x14ac:dyDescent="0.25">
      <c r="A605" s="105"/>
      <c r="G605" s="82"/>
    </row>
    <row r="606" spans="1:7" ht="20.100000000000001" customHeight="1" x14ac:dyDescent="0.25">
      <c r="A606" s="105"/>
      <c r="G606" s="82"/>
    </row>
    <row r="607" spans="1:7" ht="20.100000000000001" customHeight="1" x14ac:dyDescent="0.25">
      <c r="A607" s="105"/>
      <c r="G607" s="82"/>
    </row>
    <row r="608" spans="1:7" ht="20.100000000000001" customHeight="1" x14ac:dyDescent="0.25">
      <c r="A608" s="105"/>
      <c r="G608" s="82"/>
    </row>
    <row r="609" spans="1:7" ht="20.100000000000001" customHeight="1" x14ac:dyDescent="0.25">
      <c r="A609" s="105"/>
      <c r="G609" s="82"/>
    </row>
    <row r="610" spans="1:7" ht="20.100000000000001" customHeight="1" x14ac:dyDescent="0.25">
      <c r="A610" s="105"/>
      <c r="G610" s="82"/>
    </row>
    <row r="611" spans="1:7" ht="20.100000000000001" customHeight="1" x14ac:dyDescent="0.25">
      <c r="A611" s="105"/>
      <c r="G611" s="82"/>
    </row>
    <row r="612" spans="1:7" ht="20.100000000000001" customHeight="1" x14ac:dyDescent="0.25">
      <c r="A612" s="105"/>
      <c r="G612" s="82"/>
    </row>
    <row r="613" spans="1:7" ht="20.100000000000001" customHeight="1" x14ac:dyDescent="0.25">
      <c r="A613" s="105"/>
      <c r="G613" s="82"/>
    </row>
    <row r="614" spans="1:7" ht="20.100000000000001" customHeight="1" x14ac:dyDescent="0.25">
      <c r="A614" s="105"/>
      <c r="G614" s="82"/>
    </row>
    <row r="615" spans="1:7" ht="20.100000000000001" customHeight="1" x14ac:dyDescent="0.25">
      <c r="A615" s="105"/>
      <c r="G615" s="82"/>
    </row>
    <row r="616" spans="1:7" ht="20.100000000000001" customHeight="1" x14ac:dyDescent="0.25">
      <c r="A616" s="105"/>
      <c r="G616" s="82"/>
    </row>
    <row r="617" spans="1:7" ht="20.100000000000001" customHeight="1" x14ac:dyDescent="0.25">
      <c r="A617" s="105"/>
      <c r="G617" s="82"/>
    </row>
    <row r="618" spans="1:7" ht="20.100000000000001" customHeight="1" x14ac:dyDescent="0.25">
      <c r="A618" s="105"/>
      <c r="G618" s="82"/>
    </row>
    <row r="619" spans="1:7" ht="20.100000000000001" customHeight="1" x14ac:dyDescent="0.25">
      <c r="A619" s="105"/>
      <c r="G619" s="82"/>
    </row>
    <row r="620" spans="1:7" ht="20.100000000000001" customHeight="1" x14ac:dyDescent="0.25">
      <c r="A620" s="105"/>
      <c r="G620" s="82"/>
    </row>
    <row r="621" spans="1:7" ht="20.100000000000001" customHeight="1" x14ac:dyDescent="0.25">
      <c r="A621" s="105"/>
      <c r="G621" s="82"/>
    </row>
    <row r="622" spans="1:7" ht="20.100000000000001" customHeight="1" x14ac:dyDescent="0.25">
      <c r="A622" s="105"/>
      <c r="G622" s="82"/>
    </row>
    <row r="623" spans="1:7" ht="20.100000000000001" customHeight="1" x14ac:dyDescent="0.25">
      <c r="A623" s="105"/>
      <c r="G623" s="82"/>
    </row>
    <row r="624" spans="1:7" ht="20.100000000000001" customHeight="1" x14ac:dyDescent="0.25">
      <c r="A624" s="105"/>
      <c r="G624" s="82"/>
    </row>
    <row r="625" spans="1:7" ht="20.100000000000001" customHeight="1" x14ac:dyDescent="0.25">
      <c r="A625" s="105"/>
      <c r="G625" s="82"/>
    </row>
    <row r="626" spans="1:7" ht="20.100000000000001" customHeight="1" x14ac:dyDescent="0.25">
      <c r="A626" s="105"/>
      <c r="G626" s="82"/>
    </row>
    <row r="627" spans="1:7" ht="20.100000000000001" customHeight="1" x14ac:dyDescent="0.25">
      <c r="A627" s="105"/>
      <c r="G627" s="82"/>
    </row>
    <row r="628" spans="1:7" ht="20.100000000000001" customHeight="1" x14ac:dyDescent="0.25">
      <c r="A628" s="105"/>
      <c r="G628" s="82"/>
    </row>
    <row r="629" spans="1:7" ht="20.100000000000001" customHeight="1" x14ac:dyDescent="0.25">
      <c r="A629" s="105"/>
      <c r="G629" s="82"/>
    </row>
    <row r="630" spans="1:7" ht="20.100000000000001" customHeight="1" x14ac:dyDescent="0.25">
      <c r="A630" s="105"/>
      <c r="G630" s="82"/>
    </row>
    <row r="631" spans="1:7" ht="20.100000000000001" customHeight="1" x14ac:dyDescent="0.25">
      <c r="A631" s="105"/>
      <c r="G631" s="82"/>
    </row>
    <row r="632" spans="1:7" ht="20.100000000000001" customHeight="1" x14ac:dyDescent="0.25">
      <c r="A632" s="105"/>
      <c r="G632" s="82"/>
    </row>
    <row r="633" spans="1:7" ht="20.100000000000001" customHeight="1" x14ac:dyDescent="0.25">
      <c r="A633" s="105"/>
      <c r="G633" s="82"/>
    </row>
    <row r="634" spans="1:7" ht="20.100000000000001" customHeight="1" x14ac:dyDescent="0.25">
      <c r="A634" s="105"/>
      <c r="G634" s="82"/>
    </row>
    <row r="635" spans="1:7" ht="20.100000000000001" customHeight="1" x14ac:dyDescent="0.25">
      <c r="A635" s="105"/>
      <c r="G635" s="82"/>
    </row>
    <row r="636" spans="1:7" ht="20.100000000000001" customHeight="1" x14ac:dyDescent="0.25">
      <c r="A636" s="105"/>
      <c r="G636" s="82"/>
    </row>
    <row r="637" spans="1:7" ht="20.100000000000001" customHeight="1" x14ac:dyDescent="0.25">
      <c r="A637" s="105"/>
      <c r="G637" s="82"/>
    </row>
    <row r="638" spans="1:7" ht="20.100000000000001" customHeight="1" x14ac:dyDescent="0.25">
      <c r="A638" s="105"/>
      <c r="G638" s="82"/>
    </row>
    <row r="639" spans="1:7" ht="20.100000000000001" customHeight="1" x14ac:dyDescent="0.25">
      <c r="A639" s="105"/>
      <c r="G639" s="82"/>
    </row>
    <row r="640" spans="1:7" ht="20.100000000000001" customHeight="1" x14ac:dyDescent="0.25">
      <c r="A640" s="105"/>
      <c r="G640" s="82"/>
    </row>
    <row r="641" spans="1:7" ht="20.100000000000001" customHeight="1" x14ac:dyDescent="0.25">
      <c r="A641" s="105"/>
      <c r="G641" s="82"/>
    </row>
    <row r="642" spans="1:7" ht="20.100000000000001" customHeight="1" x14ac:dyDescent="0.25">
      <c r="A642" s="105"/>
      <c r="G642" s="82"/>
    </row>
    <row r="643" spans="1:7" ht="20.100000000000001" customHeight="1" x14ac:dyDescent="0.25">
      <c r="A643" s="105"/>
      <c r="G643" s="82"/>
    </row>
    <row r="644" spans="1:7" ht="20.100000000000001" customHeight="1" x14ac:dyDescent="0.25">
      <c r="A644" s="105"/>
      <c r="G644" s="82"/>
    </row>
    <row r="645" spans="1:7" ht="20.100000000000001" customHeight="1" x14ac:dyDescent="0.25">
      <c r="A645" s="105"/>
      <c r="G645" s="82"/>
    </row>
    <row r="646" spans="1:7" ht="20.100000000000001" customHeight="1" x14ac:dyDescent="0.25">
      <c r="A646" s="105"/>
      <c r="G646" s="82"/>
    </row>
    <row r="647" spans="1:7" ht="20.100000000000001" customHeight="1" x14ac:dyDescent="0.25">
      <c r="A647" s="105"/>
      <c r="G647" s="82"/>
    </row>
    <row r="648" spans="1:7" ht="20.100000000000001" customHeight="1" x14ac:dyDescent="0.25">
      <c r="A648" s="105"/>
      <c r="G648" s="82"/>
    </row>
    <row r="649" spans="1:7" ht="20.100000000000001" customHeight="1" x14ac:dyDescent="0.25">
      <c r="A649" s="105"/>
      <c r="G649" s="82"/>
    </row>
    <row r="650" spans="1:7" ht="20.100000000000001" customHeight="1" x14ac:dyDescent="0.25">
      <c r="A650" s="105"/>
      <c r="G650" s="82"/>
    </row>
    <row r="651" spans="1:7" ht="20.100000000000001" customHeight="1" x14ac:dyDescent="0.25">
      <c r="A651" s="105"/>
      <c r="G651" s="82"/>
    </row>
    <row r="652" spans="1:7" ht="20.100000000000001" customHeight="1" x14ac:dyDescent="0.25">
      <c r="A652" s="105"/>
      <c r="G652" s="82"/>
    </row>
    <row r="653" spans="1:7" ht="20.100000000000001" customHeight="1" x14ac:dyDescent="0.25">
      <c r="A653" s="105"/>
      <c r="G653" s="82"/>
    </row>
    <row r="654" spans="1:7" ht="20.100000000000001" customHeight="1" x14ac:dyDescent="0.25">
      <c r="A654" s="105"/>
      <c r="G654" s="82"/>
    </row>
    <row r="655" spans="1:7" ht="20.100000000000001" customHeight="1" x14ac:dyDescent="0.25">
      <c r="A655" s="105"/>
      <c r="G655" s="82"/>
    </row>
    <row r="656" spans="1:7" ht="20.100000000000001" customHeight="1" x14ac:dyDescent="0.25">
      <c r="A656" s="105"/>
      <c r="G656" s="82"/>
    </row>
    <row r="657" spans="1:7" ht="20.100000000000001" customHeight="1" x14ac:dyDescent="0.25">
      <c r="A657" s="105"/>
      <c r="G657" s="82"/>
    </row>
    <row r="658" spans="1:7" ht="20.100000000000001" customHeight="1" x14ac:dyDescent="0.25">
      <c r="A658" s="105"/>
      <c r="G658" s="82"/>
    </row>
    <row r="659" spans="1:7" ht="20.100000000000001" customHeight="1" x14ac:dyDescent="0.25">
      <c r="A659" s="105"/>
      <c r="G659" s="82"/>
    </row>
    <row r="660" spans="1:7" ht="20.100000000000001" customHeight="1" x14ac:dyDescent="0.25">
      <c r="A660" s="105"/>
      <c r="G660" s="82"/>
    </row>
    <row r="661" spans="1:7" ht="20.100000000000001" customHeight="1" x14ac:dyDescent="0.25">
      <c r="A661" s="105"/>
      <c r="G661" s="82"/>
    </row>
    <row r="662" spans="1:7" ht="20.100000000000001" customHeight="1" x14ac:dyDescent="0.25">
      <c r="A662" s="105"/>
      <c r="G662" s="82"/>
    </row>
    <row r="663" spans="1:7" ht="20.100000000000001" customHeight="1" x14ac:dyDescent="0.25">
      <c r="A663" s="105"/>
      <c r="G663" s="82"/>
    </row>
    <row r="664" spans="1:7" ht="20.100000000000001" customHeight="1" x14ac:dyDescent="0.25">
      <c r="A664" s="105"/>
      <c r="G664" s="82"/>
    </row>
    <row r="665" spans="1:7" ht="20.100000000000001" customHeight="1" x14ac:dyDescent="0.25">
      <c r="A665" s="105"/>
      <c r="G665" s="82"/>
    </row>
    <row r="666" spans="1:7" ht="20.100000000000001" customHeight="1" x14ac:dyDescent="0.25">
      <c r="A666" s="105"/>
      <c r="G666" s="82"/>
    </row>
    <row r="667" spans="1:7" ht="20.100000000000001" customHeight="1" x14ac:dyDescent="0.25">
      <c r="A667" s="105"/>
      <c r="G667" s="82"/>
    </row>
    <row r="668" spans="1:7" ht="20.100000000000001" customHeight="1" x14ac:dyDescent="0.25">
      <c r="A668" s="105"/>
      <c r="G668" s="82"/>
    </row>
    <row r="669" spans="1:7" ht="20.100000000000001" customHeight="1" x14ac:dyDescent="0.25">
      <c r="A669" s="105"/>
      <c r="G669" s="82"/>
    </row>
    <row r="670" spans="1:7" ht="20.100000000000001" customHeight="1" x14ac:dyDescent="0.25">
      <c r="A670" s="105"/>
      <c r="G670" s="82"/>
    </row>
    <row r="671" spans="1:7" ht="20.100000000000001" customHeight="1" x14ac:dyDescent="0.25">
      <c r="A671" s="105"/>
      <c r="G671" s="82"/>
    </row>
    <row r="672" spans="1:7" ht="20.100000000000001" customHeight="1" x14ac:dyDescent="0.25">
      <c r="A672" s="105"/>
      <c r="G672" s="82"/>
    </row>
    <row r="673" spans="1:7" ht="20.100000000000001" customHeight="1" x14ac:dyDescent="0.25">
      <c r="A673" s="105"/>
      <c r="G673" s="82"/>
    </row>
    <row r="674" spans="1:7" ht="20.100000000000001" customHeight="1" x14ac:dyDescent="0.25">
      <c r="A674" s="105"/>
      <c r="G674" s="82"/>
    </row>
    <row r="675" spans="1:7" ht="20.100000000000001" customHeight="1" x14ac:dyDescent="0.25">
      <c r="A675" s="105"/>
      <c r="G675" s="82"/>
    </row>
    <row r="676" spans="1:7" ht="20.100000000000001" customHeight="1" x14ac:dyDescent="0.25">
      <c r="A676" s="105"/>
      <c r="G676" s="82"/>
    </row>
    <row r="677" spans="1:7" ht="20.100000000000001" customHeight="1" x14ac:dyDescent="0.25">
      <c r="A677" s="105"/>
      <c r="G677" s="82"/>
    </row>
    <row r="678" spans="1:7" ht="20.100000000000001" customHeight="1" x14ac:dyDescent="0.25">
      <c r="A678" s="105"/>
      <c r="G678" s="82"/>
    </row>
    <row r="679" spans="1:7" ht="20.100000000000001" customHeight="1" x14ac:dyDescent="0.25">
      <c r="A679" s="105"/>
      <c r="G679" s="82"/>
    </row>
    <row r="680" spans="1:7" ht="20.100000000000001" customHeight="1" x14ac:dyDescent="0.25">
      <c r="A680" s="105"/>
      <c r="G680" s="82"/>
    </row>
    <row r="681" spans="1:7" ht="20.100000000000001" customHeight="1" x14ac:dyDescent="0.25">
      <c r="A681" s="105"/>
      <c r="G681" s="82"/>
    </row>
    <row r="682" spans="1:7" ht="20.100000000000001" customHeight="1" x14ac:dyDescent="0.25">
      <c r="A682" s="105"/>
      <c r="G682" s="82"/>
    </row>
    <row r="683" spans="1:7" ht="20.100000000000001" customHeight="1" x14ac:dyDescent="0.25">
      <c r="A683" s="105"/>
      <c r="G683" s="82"/>
    </row>
    <row r="684" spans="1:7" ht="20.100000000000001" customHeight="1" x14ac:dyDescent="0.25">
      <c r="A684" s="105"/>
      <c r="G684" s="82"/>
    </row>
    <row r="685" spans="1:7" ht="20.100000000000001" customHeight="1" x14ac:dyDescent="0.25">
      <c r="A685" s="105"/>
      <c r="G685" s="82"/>
    </row>
    <row r="686" spans="1:7" ht="20.100000000000001" customHeight="1" x14ac:dyDescent="0.25">
      <c r="A686" s="105"/>
      <c r="G686" s="82"/>
    </row>
    <row r="687" spans="1:7" ht="20.100000000000001" customHeight="1" x14ac:dyDescent="0.25">
      <c r="A687" s="105"/>
      <c r="G687" s="82"/>
    </row>
    <row r="688" spans="1:7" ht="20.100000000000001" customHeight="1" x14ac:dyDescent="0.25">
      <c r="A688" s="105"/>
      <c r="G688" s="82"/>
    </row>
    <row r="689" spans="1:7" ht="20.100000000000001" customHeight="1" x14ac:dyDescent="0.25">
      <c r="A689" s="105"/>
      <c r="G689" s="82"/>
    </row>
    <row r="690" spans="1:7" ht="20.100000000000001" customHeight="1" x14ac:dyDescent="0.25">
      <c r="A690" s="105"/>
      <c r="G690" s="82"/>
    </row>
    <row r="691" spans="1:7" ht="20.100000000000001" customHeight="1" x14ac:dyDescent="0.25">
      <c r="A691" s="105"/>
      <c r="G691" s="82"/>
    </row>
    <row r="692" spans="1:7" ht="20.100000000000001" customHeight="1" x14ac:dyDescent="0.25">
      <c r="A692" s="105"/>
      <c r="G692" s="82"/>
    </row>
    <row r="693" spans="1:7" ht="20.100000000000001" customHeight="1" x14ac:dyDescent="0.25">
      <c r="A693" s="105"/>
      <c r="G693" s="82"/>
    </row>
    <row r="694" spans="1:7" ht="20.100000000000001" customHeight="1" x14ac:dyDescent="0.25">
      <c r="A694" s="105"/>
      <c r="G694" s="82"/>
    </row>
    <row r="695" spans="1:7" ht="20.100000000000001" customHeight="1" x14ac:dyDescent="0.25">
      <c r="A695" s="105"/>
      <c r="G695" s="82"/>
    </row>
    <row r="696" spans="1:7" ht="20.100000000000001" customHeight="1" x14ac:dyDescent="0.25">
      <c r="A696" s="105"/>
      <c r="G696" s="82"/>
    </row>
    <row r="697" spans="1:7" ht="20.100000000000001" customHeight="1" x14ac:dyDescent="0.25">
      <c r="A697" s="105"/>
      <c r="G697" s="82"/>
    </row>
    <row r="698" spans="1:7" ht="20.100000000000001" customHeight="1" x14ac:dyDescent="0.25">
      <c r="A698" s="105"/>
      <c r="G698" s="82"/>
    </row>
    <row r="699" spans="1:7" ht="20.100000000000001" customHeight="1" x14ac:dyDescent="0.25">
      <c r="A699" s="105"/>
      <c r="G699" s="82"/>
    </row>
    <row r="700" spans="1:7" ht="20.100000000000001" customHeight="1" x14ac:dyDescent="0.25">
      <c r="A700" s="105"/>
      <c r="G700" s="82"/>
    </row>
    <row r="701" spans="1:7" ht="20.100000000000001" customHeight="1" x14ac:dyDescent="0.25">
      <c r="A701" s="105"/>
      <c r="G701" s="82"/>
    </row>
    <row r="702" spans="1:7" ht="20.100000000000001" customHeight="1" x14ac:dyDescent="0.25">
      <c r="A702" s="105"/>
      <c r="G702" s="82"/>
    </row>
    <row r="703" spans="1:7" ht="20.100000000000001" customHeight="1" x14ac:dyDescent="0.25">
      <c r="A703" s="105"/>
      <c r="G703" s="82"/>
    </row>
    <row r="704" spans="1:7" ht="20.100000000000001" customHeight="1" x14ac:dyDescent="0.25">
      <c r="A704" s="105"/>
      <c r="G704" s="82"/>
    </row>
    <row r="705" spans="1:7" ht="20.100000000000001" customHeight="1" x14ac:dyDescent="0.25">
      <c r="A705" s="105"/>
      <c r="G705" s="82"/>
    </row>
    <row r="706" spans="1:7" ht="20.100000000000001" customHeight="1" x14ac:dyDescent="0.25">
      <c r="A706" s="105"/>
      <c r="G706" s="82"/>
    </row>
    <row r="707" spans="1:7" ht="20.100000000000001" customHeight="1" x14ac:dyDescent="0.25">
      <c r="A707" s="105"/>
      <c r="G707" s="82"/>
    </row>
    <row r="708" spans="1:7" ht="20.100000000000001" customHeight="1" x14ac:dyDescent="0.25">
      <c r="A708" s="105"/>
      <c r="G708" s="82"/>
    </row>
    <row r="709" spans="1:7" ht="20.100000000000001" customHeight="1" x14ac:dyDescent="0.25">
      <c r="A709" s="105"/>
      <c r="G709" s="82"/>
    </row>
    <row r="710" spans="1:7" ht="20.100000000000001" customHeight="1" x14ac:dyDescent="0.25">
      <c r="A710" s="105"/>
      <c r="G710" s="82"/>
    </row>
    <row r="711" spans="1:7" ht="20.100000000000001" customHeight="1" x14ac:dyDescent="0.25">
      <c r="A711" s="105"/>
      <c r="G711" s="82"/>
    </row>
    <row r="712" spans="1:7" ht="20.100000000000001" customHeight="1" x14ac:dyDescent="0.25">
      <c r="A712" s="105"/>
      <c r="G712" s="82"/>
    </row>
    <row r="713" spans="1:7" ht="20.100000000000001" customHeight="1" x14ac:dyDescent="0.25">
      <c r="A713" s="105"/>
      <c r="G713" s="82"/>
    </row>
    <row r="714" spans="1:7" ht="20.100000000000001" customHeight="1" x14ac:dyDescent="0.25">
      <c r="A714" s="105"/>
      <c r="G714" s="82"/>
    </row>
    <row r="715" spans="1:7" ht="20.100000000000001" customHeight="1" x14ac:dyDescent="0.25">
      <c r="A715" s="105"/>
      <c r="G715" s="82"/>
    </row>
    <row r="716" spans="1:7" ht="20.100000000000001" customHeight="1" x14ac:dyDescent="0.25">
      <c r="A716" s="105"/>
      <c r="G716" s="82"/>
    </row>
    <row r="717" spans="1:7" ht="20.100000000000001" customHeight="1" x14ac:dyDescent="0.25">
      <c r="A717" s="105"/>
      <c r="G717" s="82"/>
    </row>
    <row r="718" spans="1:7" ht="20.100000000000001" customHeight="1" x14ac:dyDescent="0.25">
      <c r="A718" s="105"/>
      <c r="G718" s="82"/>
    </row>
    <row r="719" spans="1:7" ht="20.100000000000001" customHeight="1" x14ac:dyDescent="0.25">
      <c r="A719" s="105"/>
      <c r="G719" s="82"/>
    </row>
    <row r="720" spans="1:7" ht="20.100000000000001" customHeight="1" x14ac:dyDescent="0.25">
      <c r="A720" s="105"/>
      <c r="G720" s="82"/>
    </row>
    <row r="721" spans="1:7" ht="20.100000000000001" customHeight="1" x14ac:dyDescent="0.25">
      <c r="A721" s="105"/>
      <c r="G721" s="82"/>
    </row>
    <row r="722" spans="1:7" ht="20.100000000000001" customHeight="1" x14ac:dyDescent="0.25">
      <c r="A722" s="105"/>
      <c r="G722" s="82"/>
    </row>
    <row r="723" spans="1:7" ht="20.100000000000001" customHeight="1" x14ac:dyDescent="0.25">
      <c r="A723" s="105"/>
      <c r="G723" s="82"/>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294" priority="147" timePeriod="yesterday">
      <formula>FLOOR(A6,1)=TODAY()-1</formula>
    </cfRule>
    <cfRule type="timePeriod" dxfId="293" priority="190" timePeriod="tomorrow">
      <formula>FLOOR(A6,1)=TODAY()+1</formula>
    </cfRule>
    <cfRule type="timePeriod" dxfId="292" priority="191" timePeriod="yesterday">
      <formula>FLOOR(A6,1)=TODAY()-1</formula>
    </cfRule>
    <cfRule type="timePeriod" dxfId="291" priority="192" timePeriod="yesterday">
      <formula>FLOOR(A6,1)=TODAY()-1</formula>
    </cfRule>
    <cfRule type="timePeriod" dxfId="290"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289" priority="173" operator="lessThanOrEqual">
      <formula>TODAY()</formula>
    </cfRule>
    <cfRule type="cellIs" dxfId="288" priority="174" operator="greaterThan">
      <formula>TODAY()</formula>
    </cfRule>
  </conditionalFormatting>
  <conditionalFormatting sqref="E9:E333">
    <cfRule type="expression" dxfId="287" priority="157">
      <formula>ISBLANK(INDIRECT("E"&amp;ROW()))</formula>
    </cfRule>
  </conditionalFormatting>
  <conditionalFormatting sqref="B9:D333">
    <cfRule type="expression" dxfId="286" priority="149">
      <formula>ISBLANK(INDIRECT("E"&amp;ROW()))*ISBLANK(INDIRECT("F"&amp;ROW()))</formula>
    </cfRule>
    <cfRule type="expression" dxfId="285" priority="150">
      <formula>INDIRECT("F"&amp;ROW()) &gt;= 0.9</formula>
    </cfRule>
    <cfRule type="expression" dxfId="284" priority="151">
      <formula>INDIRECT("F"&amp;ROW())&lt;0.9</formula>
    </cfRule>
    <cfRule type="expression" dxfId="283" priority="152">
      <formula>INDIRECT("E"&amp;ROW())&lt;TODAY() * NOT(ISBLANK(INDIRECT("E"&amp;ROW())))</formula>
    </cfRule>
  </conditionalFormatting>
  <conditionalFormatting sqref="B1:D1048576">
    <cfRule type="expression" dxfId="282" priority="143">
      <formula xml:space="preserve"> (INDIRECT("F" &amp; ROW()) &lt; 0.9) * (INDIRECT("E" &amp; ROW()) &gt; TODAY())</formula>
    </cfRule>
  </conditionalFormatting>
  <conditionalFormatting sqref="I7:DZ8 H9:DZ723">
    <cfRule type="expression" dxfId="281"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280" priority="92">
      <formula xml:space="preserve"> NOT(ISBLANK(INDIRECT("D"&amp;ROW()))) * NOT(ISODD(ROW())) *NOT(ISBLANK(INDIRECT("E"&amp;ROW())))*(INDIRECT(SUBSTITUTE(ADDRESS(1,COLUMN(),4),1,"") &amp; 6) &lt;= INDIRECT("E" &amp; ROW()))*(INDIRECT(SUBSTITUTE(ADDRESS(1,COLUMN(),4),1,"") &amp; 6) &gt;= INDIRECT("D" &amp; ROW()))</formula>
    </cfRule>
    <cfRule type="expression" dxfId="279"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78" priority="130">
      <formula>"'NOT(ISBLANK(INDIRECT(""E"" &amp; ROW()))) * NOT (ISBLANK(INDIRECT(""D"" &amp; ROW() ))) * (INDIRECT(""E"" &amp; ROW()) &lt; TODAY()) * INDIRECT(SUBSTITUTE(ADDRESS(1,COLUMN(),4),1,"""") &amp; 6) &gt; INDIRECT(""E"" &amp; ROW()) "</formula>
    </cfRule>
  </conditionalFormatting>
  <conditionalFormatting sqref="B9:D721">
    <cfRule type="expression" dxfId="277" priority="1">
      <formula xml:space="preserve"> INDIRECT("F" &amp; ROW()) &gt; 0.99</formula>
    </cfRule>
    <cfRule type="expression" dxfId="276" priority="137">
      <formula xml:space="preserve"> NOT(ISBLANK(INDIRECT("F" &amp; ROW()))) *( INDIRECT("D" &amp; ROW()) &gt; TODAY()) * INDIRECT("F"&amp;ROW()) &gt; 0.01 * NOT(INDIRECT("F" &amp; ROW()) &gt; 0.99)</formula>
    </cfRule>
    <cfRule type="expression" dxfId="275" priority="138">
      <formula>INDIRECT("D" &amp; ROW()) &gt; TODAY()</formula>
    </cfRule>
  </conditionalFormatting>
  <conditionalFormatting sqref="E22:E25 E28:E813">
    <cfRule type="expression" dxfId="274" priority="93">
      <formula xml:space="preserve"> INDIRECT("D" &amp; ROW()) &gt; TODAY()</formula>
    </cfRule>
  </conditionalFormatting>
  <conditionalFormatting sqref="A25:A29">
    <cfRule type="expression" dxfId="273" priority="63">
      <formula xml:space="preserve"> NOT(ISBLANK(INDIRECT("D"&amp;ROW()))) * NOT(ISODD(ROW())) *NOT(ISBLANK(INDIRECT("E"&amp;ROW())))*(INDIRECT(SUBSTITUTE(ADDRESS(1,COLUMN(),4),1,"") &amp; 6) &lt;= INDIRECT("E" &amp; ROW()))*(INDIRECT(SUBSTITUTE(ADDRESS(1,COLUMN(),4),1,"") &amp; 6) &gt;= INDIRECT("D" &amp; ROW()))</formula>
    </cfRule>
    <cfRule type="expression" dxfId="272"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271" priority="55">
      <formula xml:space="preserve"> NOT(ISBLANK(INDIRECT("D"&amp;ROW()))) * NOT(ISODD(ROW())) *NOT(ISBLANK(INDIRECT("E"&amp;ROW())))*(INDIRECT(SUBSTITUTE(ADDRESS(1,COLUMN(),4),1,"") &amp; 6) &lt;= INDIRECT("E" &amp; ROW()))*(INDIRECT(SUBSTITUTE(ADDRESS(1,COLUMN(),4),1,"") &amp; 6) &gt;= INDIRECT("D" &amp; ROW()))</formula>
    </cfRule>
    <cfRule type="expression" dxfId="270"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269" priority="20">
      <formula xml:space="preserve"> NOT(ISBLANK(INDIRECT("D"&amp;ROW()))) * NOT(ISODD(ROW())) *NOT(ISBLANK(INDIRECT("E"&amp;ROW())))*(INDIRECT(SUBSTITUTE(ADDRESS(1,COLUMN(),4),1,"") &amp; 6) &lt;= INDIRECT("E" &amp; ROW()))*(INDIRECT(SUBSTITUTE(ADDRESS(1,COLUMN(),4),1,"") &amp; 6) &gt;= INDIRECT("D" &amp; ROW()))</formula>
    </cfRule>
    <cfRule type="expression" dxfId="268"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267" priority="12">
      <formula xml:space="preserve"> NOT(ISBLANK(INDIRECT("D"&amp;ROW()))) * NOT(ISODD(ROW())) *NOT(ISBLANK(INDIRECT("E"&amp;ROW())))*(INDIRECT(SUBSTITUTE(ADDRESS(1,COLUMN(),4),1,"") &amp; 6) &lt;= INDIRECT("E" &amp; ROW()))*(INDIRECT(SUBSTITUTE(ADDRESS(1,COLUMN(),4),1,"") &amp; 6) &gt;= INDIRECT("D" &amp; ROW()))</formula>
    </cfRule>
    <cfRule type="expression" dxfId="266"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265" priority="4">
      <formula xml:space="preserve"> NOT(ISBLANK(INDIRECT("D"&amp;ROW()))) * NOT(ISODD(ROW())) *NOT(ISBLANK(INDIRECT("E"&amp;ROW())))*(INDIRECT(SUBSTITUTE(ADDRESS(1,COLUMN(),4),1,"") &amp; 6) &lt;= INDIRECT("E" &amp; ROW()))*(INDIRECT(SUBSTITUTE(ADDRESS(1,COLUMN(),4),1,"") &amp; 6) &gt;= INDIRECT("D" &amp; ROW()))</formula>
    </cfRule>
    <cfRule type="expression" dxfId="264"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Life Planner</vt:lpstr>
      <vt:lpstr>Journal</vt:lpstr>
      <vt:lpstr>Upload Release Sheet</vt:lpstr>
      <vt:lpstr>Life Map</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2018-05-27T07:30:25Z</dcterms:modified>
</cp:coreProperties>
</file>