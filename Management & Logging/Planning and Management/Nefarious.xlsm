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progr\Desktop\Nefarious\NEFARIOUS\Management &amp; Logging\Planning and Management\"/>
    </mc:Choice>
  </mc:AlternateContent>
  <bookViews>
    <workbookView xWindow="25605" yWindow="63660" windowWidth="38400" windowHeight="21045" tabRatio="540" activeTab="1"/>
  </bookViews>
  <sheets>
    <sheet name="Sheet1" sheetId="19" r:id="rId1"/>
    <sheet name="Life Planner" sheetId="6" r:id="rId2"/>
    <sheet name="Journal" sheetId="3" r:id="rId3"/>
    <sheet name="Life Map" sheetId="11" r:id="rId4"/>
    <sheet name="Revision Planning" sheetId="15" r:id="rId5"/>
    <sheet name="Life Planne" sheetId="18" r:id="rId6"/>
    <sheet name="Current Tasks" sheetId="9" r:id="rId7"/>
    <sheet name="GAANT" sheetId="1" r:id="rId8"/>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7" i="6" l="1"/>
  <c r="A8" i="6"/>
  <c r="A9" i="6"/>
  <c r="A10" i="6"/>
  <c r="A11" i="6"/>
  <c r="A12" i="6"/>
  <c r="A13" i="6"/>
  <c r="F4" i="18" l="1"/>
  <c r="F3" i="18" s="1"/>
  <c r="G4" i="18"/>
  <c r="G3" i="18" s="1"/>
  <c r="I4" i="18"/>
  <c r="I3" i="18" s="1"/>
  <c r="H4" i="18"/>
  <c r="H3" i="18" s="1"/>
  <c r="C4" i="18"/>
  <c r="C3" i="18" s="1"/>
  <c r="D4" i="18"/>
  <c r="D3" i="18" s="1"/>
  <c r="E4" i="18"/>
  <c r="E3" i="18" s="1"/>
  <c r="I31" i="18"/>
  <c r="H31" i="18"/>
  <c r="G31" i="18"/>
  <c r="F31" i="18"/>
  <c r="E31" i="18"/>
  <c r="D31" i="18"/>
  <c r="C31" i="18"/>
  <c r="A30" i="18"/>
  <c r="A29" i="18"/>
  <c r="A28" i="18"/>
  <c r="A27" i="18"/>
  <c r="A26" i="18"/>
  <c r="A25" i="18"/>
  <c r="A24" i="18"/>
  <c r="A23" i="18"/>
  <c r="A22" i="18"/>
  <c r="A21" i="18"/>
  <c r="A20" i="18"/>
  <c r="A19" i="18"/>
  <c r="A18" i="18"/>
  <c r="A17" i="18"/>
  <c r="A16" i="18"/>
  <c r="A15" i="18"/>
  <c r="A14" i="18"/>
  <c r="A13" i="18"/>
  <c r="A12" i="18"/>
  <c r="A11" i="18"/>
  <c r="A10" i="18"/>
  <c r="A9" i="18"/>
  <c r="A8" i="18"/>
  <c r="A7" i="18"/>
  <c r="A5" i="18"/>
  <c r="A2" i="18"/>
  <c r="A3" i="18" s="1"/>
  <c r="A1" i="18"/>
  <c r="J31" i="18" l="1"/>
  <c r="A23" i="6"/>
  <c r="L24" i="15" l="1"/>
  <c r="E24" i="15" l="1"/>
  <c r="H24" i="15"/>
  <c r="J24" i="15"/>
  <c r="A5" i="6" l="1"/>
  <c r="AS31" i="6" l="1"/>
  <c r="AT31" i="6"/>
  <c r="AU31" i="6"/>
  <c r="AV31" i="6"/>
  <c r="AW31" i="6"/>
  <c r="AX31" i="6"/>
  <c r="AY31" i="6"/>
  <c r="AZ31" i="6"/>
  <c r="BA31" i="6"/>
  <c r="BB31" i="6"/>
  <c r="BC31" i="6"/>
  <c r="BD31" i="6"/>
  <c r="BE31" i="6"/>
  <c r="BF31" i="6"/>
  <c r="BG31" i="6"/>
  <c r="BH31" i="6"/>
  <c r="BI31" i="6"/>
  <c r="BJ31" i="6"/>
  <c r="BK31" i="6"/>
  <c r="BL31" i="6"/>
  <c r="BM31" i="6"/>
  <c r="BN31" i="6"/>
  <c r="BO31" i="6"/>
  <c r="BP31" i="6"/>
  <c r="BQ31" i="6"/>
  <c r="BR31" i="6"/>
  <c r="BS31" i="6"/>
  <c r="BT31" i="6"/>
  <c r="BU31" i="6"/>
  <c r="BV31" i="6"/>
  <c r="BW31" i="6"/>
  <c r="BX31" i="6"/>
  <c r="BY31" i="6"/>
  <c r="BZ31" i="6"/>
  <c r="CA31" i="6"/>
  <c r="CB31" i="6"/>
  <c r="CC31" i="6"/>
  <c r="CD31" i="6"/>
  <c r="CE31" i="6"/>
  <c r="CF31" i="6"/>
  <c r="CG31" i="6"/>
  <c r="CH31" i="6"/>
  <c r="CI31" i="6"/>
  <c r="CJ31" i="6"/>
  <c r="CK31" i="6"/>
  <c r="CL31" i="6"/>
  <c r="CM31" i="6"/>
  <c r="CN31" i="6"/>
  <c r="CO31" i="6"/>
  <c r="CP31" i="6"/>
  <c r="CQ31" i="6"/>
  <c r="CR31" i="6"/>
  <c r="CS31" i="6"/>
  <c r="CT31" i="6"/>
  <c r="CU31" i="6"/>
  <c r="CV31" i="6"/>
  <c r="CW31" i="6"/>
  <c r="CX31" i="6"/>
  <c r="C31" i="6" l="1"/>
  <c r="D31" i="6"/>
  <c r="E31" i="6"/>
  <c r="F31" i="6"/>
  <c r="G31" i="6"/>
  <c r="H31" i="6"/>
  <c r="I31" i="6"/>
  <c r="J31" i="6"/>
  <c r="K31" i="6"/>
  <c r="L31" i="6"/>
  <c r="M31" i="6"/>
  <c r="N31" i="6"/>
  <c r="O31" i="6"/>
  <c r="P31" i="6"/>
  <c r="Q31" i="6"/>
  <c r="R31" i="6"/>
  <c r="S31" i="6"/>
  <c r="T31" i="6"/>
  <c r="U31" i="6"/>
  <c r="V31" i="6"/>
  <c r="W31" i="6"/>
  <c r="X31" i="6"/>
  <c r="Y31" i="6"/>
  <c r="Z31" i="6"/>
  <c r="AA31" i="6"/>
  <c r="AB31" i="6"/>
  <c r="AC31" i="6"/>
  <c r="AD31" i="6"/>
  <c r="AE31" i="6"/>
  <c r="AF31" i="6"/>
  <c r="AG31" i="6"/>
  <c r="AH31" i="6"/>
  <c r="AI31" i="6"/>
  <c r="AJ31" i="6"/>
  <c r="AK31" i="6"/>
  <c r="AL31" i="6"/>
  <c r="AM31" i="6"/>
  <c r="AN31" i="6"/>
  <c r="AO31" i="6"/>
  <c r="AP31" i="6"/>
  <c r="AQ31" i="6"/>
  <c r="AR31" i="6"/>
  <c r="A2" i="11"/>
  <c r="A1" i="11"/>
  <c r="A2" i="9"/>
  <c r="A1" i="9"/>
  <c r="H4" i="1"/>
  <c r="W6" i="1" s="1"/>
  <c r="C4" i="1"/>
  <c r="A2" i="6"/>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A14" i="6"/>
  <c r="A15" i="6"/>
  <c r="A16" i="6"/>
  <c r="A17" i="6"/>
  <c r="A18" i="6"/>
  <c r="A19" i="6"/>
  <c r="A20" i="6"/>
  <c r="A21" i="6"/>
  <c r="A22" i="6"/>
  <c r="A24" i="6"/>
  <c r="A25" i="6"/>
  <c r="A26" i="6"/>
  <c r="A27" i="6"/>
  <c r="A28" i="6"/>
  <c r="A29" i="6"/>
  <c r="A30" i="6"/>
  <c r="A1" i="6"/>
  <c r="C6" i="3"/>
  <c r="E6" i="3"/>
  <c r="EN6" i="1" l="1"/>
  <c r="GP6" i="1"/>
  <c r="I6" i="1"/>
  <c r="IY6" i="1"/>
  <c r="GZ6" i="1"/>
  <c r="HR6" i="1"/>
  <c r="EO6" i="1"/>
  <c r="CM6" i="1"/>
  <c r="S6" i="1"/>
  <c r="HE6" i="1"/>
  <c r="JQ6" i="1"/>
  <c r="CC6" i="1"/>
  <c r="ED6" i="1"/>
  <c r="MB6" i="1"/>
  <c r="AM6" i="1"/>
  <c r="GL6" i="1"/>
  <c r="BH6" i="1"/>
  <c r="CY6" i="1"/>
  <c r="CE6" i="1"/>
  <c r="LY6" i="1"/>
  <c r="IR6" i="1"/>
  <c r="BN6" i="1"/>
  <c r="A3" i="6"/>
  <c r="FD6" i="1"/>
  <c r="CS6" i="1"/>
  <c r="M6" i="1"/>
  <c r="JH6" i="1"/>
  <c r="HU6" i="1"/>
  <c r="ET6" i="1"/>
  <c r="BC6" i="1"/>
  <c r="DZ6" i="1"/>
  <c r="BW6" i="1"/>
  <c r="MW6" i="1"/>
  <c r="HB6" i="1"/>
  <c r="HP6" i="1"/>
  <c r="BX6" i="1"/>
  <c r="AK6" i="1"/>
  <c r="KG6" i="1"/>
  <c r="HF6" i="1"/>
  <c r="DO6" i="1"/>
  <c r="KQ6" i="1"/>
  <c r="JG6" i="1"/>
  <c r="HK6" i="1"/>
  <c r="EU6" i="1"/>
  <c r="FE6" i="1"/>
  <c r="JL6" i="1"/>
  <c r="HA6" i="1"/>
  <c r="DT6" i="1"/>
  <c r="CG6" i="1"/>
  <c r="MC6" i="1"/>
  <c r="JB6" i="1"/>
  <c r="DR6" i="1"/>
  <c r="AP6" i="1"/>
  <c r="MV6" i="1"/>
  <c r="FV6" i="1"/>
  <c r="HG6" i="1"/>
  <c r="EJ6" i="1"/>
  <c r="FN6" i="1"/>
  <c r="KB6" i="1"/>
  <c r="U6" i="1"/>
  <c r="ES6" i="1"/>
  <c r="AF6" i="1"/>
  <c r="HQ6" i="1"/>
  <c r="CW6" i="1"/>
  <c r="JR6" i="1"/>
  <c r="DB6" i="1"/>
  <c r="R6" i="1"/>
  <c r="KI6" i="1"/>
  <c r="CB6" i="1"/>
  <c r="T6" i="1"/>
  <c r="JM6" i="1"/>
  <c r="GF6" i="1"/>
  <c r="BR6" i="1"/>
  <c r="LN6" i="1"/>
  <c r="KL6" i="1"/>
  <c r="II6" i="1"/>
  <c r="GD6" i="1"/>
  <c r="BO6" i="1"/>
  <c r="CR6" i="1"/>
  <c r="AG6" i="1"/>
  <c r="KC6" i="1"/>
  <c r="GV6" i="1"/>
  <c r="FI6" i="1"/>
  <c r="CH6" i="1"/>
  <c r="MD6" i="1"/>
  <c r="LS6" i="1"/>
  <c r="KA6" i="1"/>
  <c r="HS6" i="1"/>
  <c r="AI6" i="1"/>
  <c r="H6" i="1"/>
  <c r="CJ6" i="1"/>
  <c r="EV6" i="1"/>
  <c r="HH6" i="1"/>
  <c r="JT6" i="1"/>
  <c r="X6" i="1"/>
  <c r="CK6" i="1"/>
  <c r="EW6" i="1"/>
  <c r="HI6" i="1"/>
  <c r="JU6" i="1"/>
  <c r="MG6" i="1"/>
  <c r="BP6" i="1"/>
  <c r="EB6" i="1"/>
  <c r="GN6" i="1"/>
  <c r="IZ6" i="1"/>
  <c r="AC6" i="1"/>
  <c r="CO6" i="1"/>
  <c r="FA6" i="1"/>
  <c r="HM6" i="1"/>
  <c r="JY6" i="1"/>
  <c r="P6" i="1"/>
  <c r="BZ6" i="1"/>
  <c r="EL6" i="1"/>
  <c r="GX6" i="1"/>
  <c r="JJ6" i="1"/>
  <c r="LV6" i="1"/>
  <c r="AU6" i="1"/>
  <c r="DG6" i="1"/>
  <c r="EQ6" i="1"/>
  <c r="LC6" i="1"/>
  <c r="CT6" i="1"/>
  <c r="JV6" i="1"/>
  <c r="BV6" i="1"/>
  <c r="JF6" i="1"/>
  <c r="AQ6" i="1"/>
  <c r="IM6" i="1"/>
  <c r="J6" i="1"/>
  <c r="GY6" i="1"/>
  <c r="MN6" i="1"/>
  <c r="FK6" i="1"/>
  <c r="IA6" i="1"/>
  <c r="JC6" i="1"/>
  <c r="AY6" i="1"/>
  <c r="EY6" i="1"/>
  <c r="FO6" i="1"/>
  <c r="AN6" i="1"/>
  <c r="CZ6" i="1"/>
  <c r="FL6" i="1"/>
  <c r="HX6" i="1"/>
  <c r="KJ6" i="1"/>
  <c r="AO6" i="1"/>
  <c r="DA6" i="1"/>
  <c r="FM6" i="1"/>
  <c r="HY6" i="1"/>
  <c r="KK6" i="1"/>
  <c r="Q6" i="1"/>
  <c r="CF6" i="1"/>
  <c r="ER6" i="1"/>
  <c r="HD6" i="1"/>
  <c r="JP6" i="1"/>
  <c r="AS6" i="1"/>
  <c r="DE6" i="1"/>
  <c r="FQ6" i="1"/>
  <c r="IC6" i="1"/>
  <c r="KO6" i="1"/>
  <c r="AD6" i="1"/>
  <c r="CP6" i="1"/>
  <c r="FB6" i="1"/>
  <c r="HN6" i="1"/>
  <c r="JZ6" i="1"/>
  <c r="ML6" i="1"/>
  <c r="BK6" i="1"/>
  <c r="DW6" i="1"/>
  <c r="GI6" i="1"/>
  <c r="MF6" i="1"/>
  <c r="EX6" i="1"/>
  <c r="LG6" i="1"/>
  <c r="EH6" i="1"/>
  <c r="KU6" i="1"/>
  <c r="DC6" i="1"/>
  <c r="KD6" i="1"/>
  <c r="AX6" i="1"/>
  <c r="IP6" i="1"/>
  <c r="K6" i="1"/>
  <c r="JS6" i="1"/>
  <c r="LX6" i="1"/>
  <c r="DS6" i="1"/>
  <c r="KT6" i="1"/>
  <c r="JW6" i="1"/>
  <c r="HW6" i="1"/>
  <c r="AV6" i="1"/>
  <c r="DH6" i="1"/>
  <c r="FT6" i="1"/>
  <c r="IF6" i="1"/>
  <c r="KR6" i="1"/>
  <c r="AW6" i="1"/>
  <c r="DI6" i="1"/>
  <c r="FU6" i="1"/>
  <c r="IG6" i="1"/>
  <c r="KS6" i="1"/>
  <c r="AB6" i="1"/>
  <c r="CN6" i="1"/>
  <c r="EZ6" i="1"/>
  <c r="HL6" i="1"/>
  <c r="JX6" i="1"/>
  <c r="BA6" i="1"/>
  <c r="DM6" i="1"/>
  <c r="FY6" i="1"/>
  <c r="IK6" i="1"/>
  <c r="KW6" i="1"/>
  <c r="AL6" i="1"/>
  <c r="CX6" i="1"/>
  <c r="FJ6" i="1"/>
  <c r="HV6" i="1"/>
  <c r="KH6" i="1"/>
  <c r="MT6" i="1"/>
  <c r="BS6" i="1"/>
  <c r="EE6" i="1"/>
  <c r="HC6" i="1"/>
  <c r="MP6" i="1"/>
  <c r="FS6" i="1"/>
  <c r="LW6" i="1"/>
  <c r="FC6" i="1"/>
  <c r="LK6" i="1"/>
  <c r="EI6" i="1"/>
  <c r="KV6" i="1"/>
  <c r="CD6" i="1"/>
  <c r="JK6" i="1"/>
  <c r="EA6" i="1"/>
  <c r="LR6" i="1"/>
  <c r="MZ6" i="1"/>
  <c r="GE6" i="1"/>
  <c r="L6" i="1"/>
  <c r="LT6" i="1"/>
  <c r="JN6" i="1"/>
  <c r="BD6" i="1"/>
  <c r="DP6" i="1"/>
  <c r="GB6" i="1"/>
  <c r="IN6" i="1"/>
  <c r="KZ6" i="1"/>
  <c r="BE6" i="1"/>
  <c r="DQ6" i="1"/>
  <c r="GC6" i="1"/>
  <c r="IO6" i="1"/>
  <c r="LA6" i="1"/>
  <c r="AJ6" i="1"/>
  <c r="CV6" i="1"/>
  <c r="FH6" i="1"/>
  <c r="HT6" i="1"/>
  <c r="KF6" i="1"/>
  <c r="BI6" i="1"/>
  <c r="DU6" i="1"/>
  <c r="GG6" i="1"/>
  <c r="IS6" i="1"/>
  <c r="LE6" i="1"/>
  <c r="AT6" i="1"/>
  <c r="DF6" i="1"/>
  <c r="FR6" i="1"/>
  <c r="ID6" i="1"/>
  <c r="KP6" i="1"/>
  <c r="N6" i="1"/>
  <c r="CA6" i="1"/>
  <c r="Z6" i="1"/>
  <c r="HZ6" i="1"/>
  <c r="MY6" i="1"/>
  <c r="GM6" i="1"/>
  <c r="MI6" i="1"/>
  <c r="FW6" i="1"/>
  <c r="LZ6" i="1"/>
  <c r="FF6" i="1"/>
  <c r="LL6" i="1"/>
  <c r="DJ6" i="1"/>
  <c r="KE6" i="1"/>
  <c r="EP6" i="1"/>
  <c r="MS6" i="1"/>
  <c r="IQ6" i="1"/>
  <c r="IH6" i="1"/>
  <c r="BG6" i="1"/>
  <c r="MQ6" i="1"/>
  <c r="DX6" i="1"/>
  <c r="LH6" i="1"/>
  <c r="GK6" i="1"/>
  <c r="LI6" i="1"/>
  <c r="FP6" i="1"/>
  <c r="KN6" i="1"/>
  <c r="EC6" i="1"/>
  <c r="JA6" i="1"/>
  <c r="BB6" i="1"/>
  <c r="DN6" i="1"/>
  <c r="FZ6" i="1"/>
  <c r="IL6" i="1"/>
  <c r="KX6" i="1"/>
  <c r="V6" i="1"/>
  <c r="CI6" i="1"/>
  <c r="BF6" i="1"/>
  <c r="IU6" i="1"/>
  <c r="AA6" i="1"/>
  <c r="HJ6" i="1"/>
  <c r="MR6" i="1"/>
  <c r="GT6" i="1"/>
  <c r="MK6" i="1"/>
  <c r="GA6" i="1"/>
  <c r="MA6" i="1"/>
  <c r="EM6" i="1"/>
  <c r="KY6" i="1"/>
  <c r="MJ6" i="1"/>
  <c r="O6" i="1"/>
  <c r="MH6" i="1"/>
  <c r="KM6" i="1"/>
  <c r="GQ6" i="1"/>
  <c r="CU6" i="1"/>
  <c r="BL6" i="1"/>
  <c r="GJ6" i="1"/>
  <c r="IV6" i="1"/>
  <c r="BM6" i="1"/>
  <c r="DY6" i="1"/>
  <c r="IW6" i="1"/>
  <c r="AR6" i="1"/>
  <c r="DD6" i="1"/>
  <c r="IB6" i="1"/>
  <c r="BQ6" i="1"/>
  <c r="GO6" i="1"/>
  <c r="LM6" i="1"/>
  <c r="BT6" i="1"/>
  <c r="EF6" i="1"/>
  <c r="GR6" i="1"/>
  <c r="JD6" i="1"/>
  <c r="LP6" i="1"/>
  <c r="BU6" i="1"/>
  <c r="EG6" i="1"/>
  <c r="GS6" i="1"/>
  <c r="JE6" i="1"/>
  <c r="LQ6" i="1"/>
  <c r="AZ6" i="1"/>
  <c r="DL6" i="1"/>
  <c r="FX6" i="1"/>
  <c r="IJ6" i="1"/>
  <c r="Y6" i="1"/>
  <c r="BY6" i="1"/>
  <c r="EK6" i="1"/>
  <c r="GW6" i="1"/>
  <c r="JI6" i="1"/>
  <c r="LU6" i="1"/>
  <c r="BJ6" i="1"/>
  <c r="DV6" i="1"/>
  <c r="GH6" i="1"/>
  <c r="IT6" i="1"/>
  <c r="LF6" i="1"/>
  <c r="AE6" i="1"/>
  <c r="CQ6" i="1"/>
  <c r="CL6" i="1"/>
  <c r="JO6" i="1"/>
  <c r="AH6" i="1"/>
  <c r="IE6" i="1"/>
  <c r="NA6" i="1"/>
  <c r="HO6" i="1"/>
  <c r="MU6" i="1"/>
  <c r="GU6" i="1"/>
  <c r="MM6" i="1"/>
  <c r="FG6" i="1"/>
  <c r="LO6" i="1"/>
  <c r="LD6" i="1"/>
  <c r="DK6" i="1"/>
  <c r="IX6" i="1"/>
  <c r="ME6" i="1"/>
  <c r="LB6" i="1"/>
  <c r="LJ6" i="1"/>
  <c r="MX6" i="1"/>
  <c r="MO6" i="1"/>
</calcChain>
</file>

<file path=xl/sharedStrings.xml><?xml version="1.0" encoding="utf-8"?>
<sst xmlns="http://schemas.openxmlformats.org/spreadsheetml/2006/main" count="760" uniqueCount="667">
  <si>
    <t>TASK</t>
  </si>
  <si>
    <t>Start Date</t>
  </si>
  <si>
    <t>End Date</t>
  </si>
  <si>
    <t>Progress</t>
  </si>
  <si>
    <t>STAGE</t>
  </si>
  <si>
    <t>TODAY</t>
  </si>
  <si>
    <t>AJAY VENKAT</t>
  </si>
  <si>
    <t>NEFARIOUS</t>
  </si>
  <si>
    <t>JOURNAL</t>
  </si>
  <si>
    <t>TODO</t>
  </si>
  <si>
    <t>W</t>
  </si>
  <si>
    <t>NOTES</t>
  </si>
  <si>
    <t>GAANT CHART</t>
  </si>
  <si>
    <t>DATE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</si>
  <si>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</si>
  <si>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</si>
  <si>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</si>
  <si>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</si>
  <si>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</si>
  <si>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 xml:space="preserve">- Work on the game plan on the train
- Work on the business elements if have time
- Setup next episode if have time </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</si>
  <si>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</si>
  <si>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SUBJECT</t>
  </si>
  <si>
    <t>Okay wow so I worked on this IK system and I found out a way to implement constraints and it is coming along nicely, so I am very happy with that. I did not have any other homework so it's all g…. So the next video will be amazing :)))</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</si>
  <si>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</si>
  <si>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</si>
  <si>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</si>
  <si>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</si>
  <si>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</si>
  <si>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</si>
  <si>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</si>
  <si>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</si>
  <si>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</si>
  <si>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</si>
  <si>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JUST WORK
Don't get angry
Follow timetable
Dicipline</t>
  </si>
  <si>
    <t>- Apprende vocabulario conjections verbe</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</si>
  <si>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</si>
  <si>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</si>
  <si>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</si>
  <si>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https://www.draw.io/</t>
  </si>
  <si>
    <t>Use this to graph our flow chart -&gt;</t>
  </si>
  <si>
    <t>PRIORITY</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</si>
  <si>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</si>
  <si>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</si>
  <si>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</si>
  <si>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</si>
  <si>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Use the x percent to find the y coordinate using an animation curve and use a formula to find the angle point… The best way to do this is create a local coordinate system at the origin….</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</si>
  <si>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</si>
  <si>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</si>
  <si>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</si>
  <si>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</si>
  <si>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</si>
  <si>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</si>
  <si>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Player Controller</t>
  </si>
  <si>
    <t xml:space="preserve">Spread By : </t>
  </si>
  <si>
    <t xml:space="preserve">Auto cell highlighting on needed to do tasks
Scrolling up and down
</t>
  </si>
  <si>
    <t>IDEAS :</t>
  </si>
  <si>
    <t>Work HARD! I woke up early and today I will be working on the story and I will only upload to the blog when I start working on the code but iuntil then I can going to keep this as my self reflection journal thingo.
I am going to start logging in this journal again, because I know I need to. Forget the hours and think about the progress you have made. 
'Movement does not equal progress' ~ Denzel Washington
https://www.youtube.com/watch?v=JFiIfy2OtVA&amp;list=PLaGFZY6GM01UauhIokm-rmXYo97aNzhL0&amp;index=6 ( ILOVETHISPLAYLIST)</t>
  </si>
  <si>
    <t>- Finish the story document</t>
  </si>
  <si>
    <t>Sick I even uploaded my process to my blog and I am going to sleep now as it is 9pm and I will be waking up at 3am to finish my story and I need to wrk on school stuff like writing peel as well because practise makes perfect. Commitment is required in all aspects of your life...</t>
  </si>
  <si>
    <t>WOW BREAKTHROUGH RIGHT HERE 
Okay so to get the ffect you were looking for in Blender, 
Just create your base mesh and subdivide and mirror stuff blah blah blah
Then apply the stuff and get rid of subdivisions
Get the multiresolution modifier
Sculpt the thingo
Then add decimate and it will look awesomeeeeeee
Etc, make sure to use MatCap and ambient occlusion when sculpting ;)
https://assetstore.unity.com/packages/vfx/shaders/free-matcap-shaders-8221</t>
  </si>
  <si>
    <t>I need to make adjustments in my life 
- Don't blame others for your mistake
- Wake up early
- Be commited
- Stop procrastinating
- Don't care what others think
Work on english game which will be pretty lit if I finish imao</t>
  </si>
  <si>
    <t xml:space="preserve">God I just need to understand that time is very precious and I need to spend a lot more time planning it more efficiently if I want to be able to do something with it, in all honesty you are wasting your breaks… You need to go into the library and use it to the full potential with your latop. Make sure you are pushing and pulling between these computers as well because you don't want any problems at school.
- You need to manage all of your subjects most importantly because the IB is pretty important so let's get on top of that, screw procrastination when it comes to this...
- You need to start making money, there are so many ways to make money out there... Skill isn't going to do sh*t when it comes to the real world so I need to hurry up and start making money, I need to use Udemy to make money through tutorials. 
- Upload all of your original videos on there and make money from that, on the side you need to work on Nefarious and then you need to make sure you are on top of you school stuff.
</t>
  </si>
  <si>
    <t>Currently I am working on so many things at the same time and I need to get my head wrapped around it.
I need to stick to a schedule and once I finish something you nee dto make sure to replace it, as far as the story is concerned I currently need to integrate my paper ideas onto the document and make sure everything is fine in that aspect. 
As far as the Lenovo is concerned, the screen isn't giving me any problems for now and the keyboard is fine and is like any other keyboard out there. It is great and will work for a very long time. I need to make sure I enable the setting where charging stops at some percent because then it charges all night :(  I also will get the laptop checked out on thursday and if it needs a replacement I will back everything up and get a replacement like that, I will have to take a note in though. It's okay but the warranty lasts for 2 years so nothing will happen in that time. Okay so I'm not going to blog today, nothing really important but I think I came up with the awesome story idea today which is pretty awesome, so nice :)</t>
  </si>
  <si>
    <t>- Modelling is lit now</t>
  </si>
  <si>
    <t>- Call JBHIFI If you can to ask them what you can do
- https://www.udemy.com/user/modforcegaming/</t>
  </si>
  <si>
    <t>You have also made a commitment for SAT exams, you will and must pass the SAT's for MIT...
These are life goals and you must work extra hard and understand the pain and suffering that you have to go through for th next three years so you can come out the other side and take a deep breath.</t>
  </si>
  <si>
    <t xml:space="preserve">Working on all the aspects in one day is too much work and cannot be done as I am spreading myself out too thin, so I will focus on one - two things a day and switch it up everyday, because you need to focus on all of these things.
- Udemy : Passion, Money
- Nefarious : Passion, Dedication
- School Work : Dedication and Commitment
- Exercise : Winning
- Piano : Dedication
</t>
  </si>
  <si>
    <r>
      <t xml:space="preserve">I have had an amazing 3AM Ritual - I woke up and had some coffee, I decided what I was going to do which waas work on the player controller even though I was supposed to be working on the Udemy course (I cant work on it until I have the end result setup!), I worked on that and got some ideas. </t>
    </r>
    <r>
      <rPr>
        <b/>
        <sz val="9"/>
        <color theme="1"/>
        <rFont val="Calibri"/>
        <family val="2"/>
        <scheme val="minor"/>
      </rPr>
      <t xml:space="preserve">I FINIALLY FINISHED BY STORY OUTLINE! </t>
    </r>
    <r>
      <rPr>
        <sz val="9"/>
        <color theme="1"/>
        <rFont val="Calibri"/>
        <family val="2"/>
        <scheme val="minor"/>
      </rPr>
      <t>I also reached 4km in 18 mins exactly so challenge yourself to beat that tomorrow by just a little -&gt; maybe 16 mins.
Amazing morning ritual and I will keep that for the rest of the week and see how it improved my life. Sleeping before 10 and waking up at 3 using the tablet, ipad and phone works ya. 2:30 alarm wakes me at 3...</t>
    </r>
  </si>
  <si>
    <t>- Need to work on my english assesment : First need to find an idea then I will execute the planner</t>
  </si>
  <si>
    <t>Welcome 3AM, I have found the inner drive. I know what I need to do. Work.
- Okay so I know how I am going to manage the player controller and this morning I setup the player controller and a little but of the ground snapping but I realised that you cannot use sphere cast you must use raycast for stepping. 
- I finished the story outline today which is amazing!!! Finally I finished and figured out the entire story step by step, I still need to flesh out things such as how you will escape the jail and different minibosses you will face along the way etc... But all of that is insignificant and will be created when you reach that stage in the story.
- This project is going great now I need to get started on the next part of the strory
The english is confusing I will ask my teacher tomorrow and tomorrow is confusing too, I have to wear the blazer etc.. Gawd. Well I did a lot today, I finished the story which is nice, I ran 4km so that's pre good I also worked on the player controller, also working on the neural net for the comsci which will allow me to relax for a little while now :)</t>
  </si>
  <si>
    <t>Okay so I woke up at 4 and my body couldn’t cope so I sletp until 5, so sorry about that but good that I did because I have basically finished the controller now I touched up lots of issues and I learnt new things!!! I did something amazing today and Im one step closer to finishing my udemy course which should be uploaded soooon..... GG</t>
  </si>
  <si>
    <t xml:space="preserve">Okay so corridor detection will be handled through RayCasting in the vector cross directino of up and forward (movement relative)… Then just minus the two values and check if the magnitude of the vector is lower than the bumper sphere's radius. If it is then you are in a corridor so you will just reduce the movement so you won't clip through. Sick :)
Well I did eventually get sick... But okay. I have a lot of homework especially the physics and maths stuff, I need to revise my spanish tommorrow but for now I will be working on my player controller making it more 'legit' let's say and tomorrow first thing in the morning I will be creating the first part to the udemy course and after that i will begin rapidly creating new videos and hopefully I will get it out by the deadline and start getting cashflow from that direction as well.
</t>
  </si>
  <si>
    <t>Saturday143</t>
  </si>
  <si>
    <t>Sunday144</t>
  </si>
  <si>
    <t>Monday145</t>
  </si>
  <si>
    <t>Tuesday146</t>
  </si>
  <si>
    <t>Wednesday147</t>
  </si>
  <si>
    <t>Thursday148</t>
  </si>
  <si>
    <t>Friday149</t>
  </si>
  <si>
    <t>Saturday150</t>
  </si>
  <si>
    <t>Sunday151</t>
  </si>
  <si>
    <t>Monday152</t>
  </si>
  <si>
    <t>Tuesday153</t>
  </si>
  <si>
    <t>Wednesday154</t>
  </si>
  <si>
    <t>Thursday155</t>
  </si>
  <si>
    <t>Friday156</t>
  </si>
  <si>
    <t>Saturday157</t>
  </si>
  <si>
    <t>Sunday158</t>
  </si>
  <si>
    <t>Monday159</t>
  </si>
  <si>
    <t>Tuesday160</t>
  </si>
  <si>
    <t>Wednesday161</t>
  </si>
  <si>
    <t>Thursday162</t>
  </si>
  <si>
    <t>Friday163</t>
  </si>
  <si>
    <t>Saturday164</t>
  </si>
  <si>
    <t>Sunday165</t>
  </si>
  <si>
    <t>Monday166</t>
  </si>
  <si>
    <t>Tuesday167</t>
  </si>
  <si>
    <t>Wednesday168</t>
  </si>
  <si>
    <t>Thursday169</t>
  </si>
  <si>
    <t>Friday170</t>
  </si>
  <si>
    <t>Saturday171</t>
  </si>
  <si>
    <t>Sunday172</t>
  </si>
  <si>
    <t>Monday173</t>
  </si>
  <si>
    <t>Tuesday174</t>
  </si>
  <si>
    <t>Wednesday175</t>
  </si>
  <si>
    <t>Thursday176</t>
  </si>
  <si>
    <t>Friday177</t>
  </si>
  <si>
    <t>Saturday178</t>
  </si>
  <si>
    <t>Sunday179</t>
  </si>
  <si>
    <t>Monday180</t>
  </si>
  <si>
    <t>Tuesday181</t>
  </si>
  <si>
    <t>Wednesday182</t>
  </si>
  <si>
    <t>Thursday183</t>
  </si>
  <si>
    <t>Friday184</t>
  </si>
  <si>
    <t>Saturday185</t>
  </si>
  <si>
    <t>Sunday186</t>
  </si>
  <si>
    <t>Monday187</t>
  </si>
  <si>
    <t>Tuesday188</t>
  </si>
  <si>
    <t>Wednesday189</t>
  </si>
  <si>
    <t>Thursday190</t>
  </si>
  <si>
    <t>Friday191</t>
  </si>
  <si>
    <t>Saturday192</t>
  </si>
  <si>
    <t>Sunday193</t>
  </si>
  <si>
    <t>Monday194</t>
  </si>
  <si>
    <t>Tuesday195</t>
  </si>
  <si>
    <t>Wednesday196</t>
  </si>
  <si>
    <t>Thursday197</t>
  </si>
  <si>
    <t>Friday198</t>
  </si>
  <si>
    <t>Saturday199</t>
  </si>
  <si>
    <t>Sunday200</t>
  </si>
  <si>
    <t>Monday201</t>
  </si>
  <si>
    <t>Tuesday202</t>
  </si>
  <si>
    <t>Wednesday203</t>
  </si>
  <si>
    <t>Thursday204</t>
  </si>
  <si>
    <t>Friday205</t>
  </si>
  <si>
    <t>Saturday206</t>
  </si>
  <si>
    <t>Sunday207</t>
  </si>
  <si>
    <t>Monday208</t>
  </si>
  <si>
    <t>Tuesday209</t>
  </si>
  <si>
    <t>Wednesday210</t>
  </si>
  <si>
    <t>Thursday211</t>
  </si>
  <si>
    <t>Friday212</t>
  </si>
  <si>
    <t>Saturday213</t>
  </si>
  <si>
    <t>Sunday214</t>
  </si>
  <si>
    <t>Monday215</t>
  </si>
  <si>
    <t>Tuesday216</t>
  </si>
  <si>
    <t>Wednesday217</t>
  </si>
  <si>
    <t>Thursday218</t>
  </si>
  <si>
    <t>Friday219</t>
  </si>
  <si>
    <t>Saturday220</t>
  </si>
  <si>
    <t>Sunday221</t>
  </si>
  <si>
    <t>Monday222</t>
  </si>
  <si>
    <t>Tuesday223</t>
  </si>
  <si>
    <t>Wednesday224</t>
  </si>
  <si>
    <t>Thursday225</t>
  </si>
  <si>
    <t>Friday226</t>
  </si>
  <si>
    <t>Saturday227</t>
  </si>
  <si>
    <t>Sunday228</t>
  </si>
  <si>
    <t>Monday229</t>
  </si>
  <si>
    <t>Tuesday230</t>
  </si>
  <si>
    <t>Wednesday231</t>
  </si>
  <si>
    <t>Thursday232</t>
  </si>
  <si>
    <t>Friday233</t>
  </si>
  <si>
    <t>Saturday234</t>
  </si>
  <si>
    <t>Sunday235</t>
  </si>
  <si>
    <t>Monday236</t>
  </si>
  <si>
    <t>Tuesday237</t>
  </si>
  <si>
    <t>Wednesday238</t>
  </si>
  <si>
    <t>Thursday239</t>
  </si>
  <si>
    <t>Friday240</t>
  </si>
  <si>
    <t>Saturday241</t>
  </si>
  <si>
    <t>Sunday242</t>
  </si>
  <si>
    <t>Monday243</t>
  </si>
  <si>
    <t>Tuesday244</t>
  </si>
  <si>
    <t>Wednesday245</t>
  </si>
  <si>
    <t>Thursday246</t>
  </si>
  <si>
    <t>Friday247</t>
  </si>
  <si>
    <t>Saturday248</t>
  </si>
  <si>
    <t>Sunday249</t>
  </si>
  <si>
    <t>Monday250</t>
  </si>
  <si>
    <t>Tuesday251</t>
  </si>
  <si>
    <t>Wednesday252</t>
  </si>
  <si>
    <t>Thursday253</t>
  </si>
  <si>
    <t>Friday254</t>
  </si>
  <si>
    <t>Saturday255</t>
  </si>
  <si>
    <t>Sunday256</t>
  </si>
  <si>
    <t>Monday257</t>
  </si>
  <si>
    <t>Tuesday258</t>
  </si>
  <si>
    <t>Wednesday259</t>
  </si>
  <si>
    <t>Thursday260</t>
  </si>
  <si>
    <t>Friday261</t>
  </si>
  <si>
    <t>Saturday262</t>
  </si>
  <si>
    <t>Sunday263</t>
  </si>
  <si>
    <t>Monday264</t>
  </si>
  <si>
    <t>Tuesday265</t>
  </si>
  <si>
    <t>Wednesday266</t>
  </si>
  <si>
    <t>Thursday267</t>
  </si>
  <si>
    <t>Friday268</t>
  </si>
  <si>
    <t>Saturday269</t>
  </si>
  <si>
    <t>Sunday270</t>
  </si>
  <si>
    <t>Monday271</t>
  </si>
  <si>
    <t>Tuesday272</t>
  </si>
  <si>
    <t>Wednesday273</t>
  </si>
  <si>
    <t>Thursday274</t>
  </si>
  <si>
    <t>Friday275</t>
  </si>
  <si>
    <t>Saturday276</t>
  </si>
  <si>
    <t>Sunday277</t>
  </si>
  <si>
    <t>Monday278</t>
  </si>
  <si>
    <t>Tuesday279</t>
  </si>
  <si>
    <t>Wednesday280</t>
  </si>
  <si>
    <t>Thursday281</t>
  </si>
  <si>
    <t>Friday282</t>
  </si>
  <si>
    <t>Saturday283</t>
  </si>
  <si>
    <t>Sunday284</t>
  </si>
  <si>
    <t>Monday285</t>
  </si>
  <si>
    <t>Tuesday286</t>
  </si>
  <si>
    <t>Wednesday287</t>
  </si>
  <si>
    <t>Thursday288</t>
  </si>
  <si>
    <t>Friday289</t>
  </si>
  <si>
    <t>Saturday290</t>
  </si>
  <si>
    <t>Sunday291</t>
  </si>
  <si>
    <t>Monday292</t>
  </si>
  <si>
    <t>Tuesday293</t>
  </si>
  <si>
    <t>Wednesday294</t>
  </si>
  <si>
    <t>Thursday295</t>
  </si>
  <si>
    <t>Friday296</t>
  </si>
  <si>
    <t>Saturday297</t>
  </si>
  <si>
    <t>Sunday298</t>
  </si>
  <si>
    <t>Monday299</t>
  </si>
  <si>
    <t>Tuesday300</t>
  </si>
  <si>
    <t>Wednesday301</t>
  </si>
  <si>
    <t>Thursday302</t>
  </si>
  <si>
    <t>Friday303</t>
  </si>
  <si>
    <t>Saturday304</t>
  </si>
  <si>
    <t>Sunday305</t>
  </si>
  <si>
    <t>Monday306</t>
  </si>
  <si>
    <t>Tuesday307</t>
  </si>
  <si>
    <t>Wednesday308</t>
  </si>
  <si>
    <t>Thursday309</t>
  </si>
  <si>
    <t>Friday310</t>
  </si>
  <si>
    <t>Saturday311</t>
  </si>
  <si>
    <t>Sunday312</t>
  </si>
  <si>
    <t>Monday313</t>
  </si>
  <si>
    <t>Tuesday314</t>
  </si>
  <si>
    <t>Wednesday315</t>
  </si>
  <si>
    <t>Thursday316</t>
  </si>
  <si>
    <t>Friday317</t>
  </si>
  <si>
    <t>Saturday318</t>
  </si>
  <si>
    <t>Sunday319</t>
  </si>
  <si>
    <t>Monday320</t>
  </si>
  <si>
    <t>Tuesday321</t>
  </si>
  <si>
    <t>Wednesday322</t>
  </si>
  <si>
    <t>Thursday323</t>
  </si>
  <si>
    <t>Friday324</t>
  </si>
  <si>
    <t>Saturday325</t>
  </si>
  <si>
    <t>Sunday326</t>
  </si>
  <si>
    <t>Monday327</t>
  </si>
  <si>
    <t>Tuesday328</t>
  </si>
  <si>
    <t>Wednesday329</t>
  </si>
  <si>
    <t>Thursday330</t>
  </si>
  <si>
    <t>Friday331</t>
  </si>
  <si>
    <t>Saturday332</t>
  </si>
  <si>
    <t>Sunday333</t>
  </si>
  <si>
    <t>Monday334</t>
  </si>
  <si>
    <t>Tuesday335</t>
  </si>
  <si>
    <t>Wednesday336</t>
  </si>
  <si>
    <t>Thursday337</t>
  </si>
  <si>
    <t>Friday338</t>
  </si>
  <si>
    <t>Saturday339</t>
  </si>
  <si>
    <t>Sunday340</t>
  </si>
  <si>
    <t>Monday341</t>
  </si>
  <si>
    <t>Tuesday342</t>
  </si>
  <si>
    <t>Wednesday343</t>
  </si>
  <si>
    <t>CAT</t>
  </si>
  <si>
    <t>- Today's goals :
- Follow schedule exactly
- Get some progress on the map + story 
- Don't get angry
- Make a simple melody - https://www.youtube.com/watch?v=LOJmdthxbjs</t>
  </si>
  <si>
    <t>Corridor detection is not working.
Okay so I have realised I need to be 'invested' time is money and money needs to be invested correctly to get a proper return yes? Yes. So I will invest all my time into the story for NEFARIOUS, then I will invest time into school revision as exams are coming up and procrastination won't help you do shit. So player controller is going to be on hold until I finish the entire story and I have a vision for the game. 
Like so the Udemy course won't begin until I finish the player controller to my full expectation.
https://www.ibroker.net.au/index.php?option=com_priceleafs&amp;view=priceleafs&amp;s=QLD&amp;d=1&amp;i=2500</t>
  </si>
  <si>
    <r>
      <t xml:space="preserve">Okay so I had a talk with my dad at 4 oclock and I really need to start adding these values … Calm, analysing, cold and lethal. Take any situation and make it advantageous for yourself, then nothing can bring you down. But just one more thing! GOD DAMMIT You woke up at 2:30 yet you went back to bed again and wake up at 4 , stop going back to bed. Do anything else. Exercise, something.
Woah I love how the study planner has evolved, it's so advanced now and can do whatveer I wantttt..... WOAAAH FILTERING SYSTEMS &lt;3
I can see this map going through a lot of iterations because obviously I want more species throughout the forest, and the witch kingdom needs to be a lot bigger.. + we need more creatures which we can get from http://www.fantasynamegenerators.com/world-of-warcraft.php#.WpCZUkxuJzk
which is also v important + blog today yea
</t>
    </r>
    <r>
      <rPr>
        <b/>
        <sz val="9"/>
        <color theme="1"/>
        <rFont val="Calibri"/>
        <family val="2"/>
        <scheme val="minor"/>
      </rPr>
      <t>Convert notes to a readable One Note file now that you know how to roganise this will be the best method gg</t>
    </r>
  </si>
  <si>
    <t>Udemy will make me the required money in order to get a tower which will allow me to speed up development for NEFARIOUS I will not depend on my parents to get me the required money I need in order to do this.</t>
  </si>
  <si>
    <t>Then I will begin to learn what areas I need improvement and I will work on those weak links and improve my ability to write the SAT Tests. You need at least $1200 which you will get from Udemy which is atleast 100+ students which should be possible to be aquired, you just have to setup the most interesting promo video which will blow people's mindssss!!! Talk about the 30 dollar asset on the asset store and how this trumps all of the character controllers in preformance and quality,</t>
  </si>
  <si>
    <t>This is in preperation for my SAT Test tommorow - https://collegereadiness.collegeboard.org/pdf/sat-practice-test-1.pdf
My priorities just changed in a heartbeat (my macbook died :( ) , the was my priorities changed : 
- UDEMY ABOVE ALL 
- Then NEFARIOUS
- SAT TEST
- School Work
Start from Substituation 1 tomorrow bc that's where I left off but apart from that I should be working on Udemy rn...</t>
  </si>
  <si>
    <t xml:space="preserve"> </t>
  </si>
  <si>
    <t>TASK MANAGER</t>
  </si>
  <si>
    <t>Percent</t>
  </si>
  <si>
    <t>Links</t>
  </si>
  <si>
    <t>Revision</t>
  </si>
  <si>
    <t>0 - 10</t>
  </si>
  <si>
    <t>Due Dates</t>
  </si>
  <si>
    <t>-</t>
  </si>
  <si>
    <t>Did not wake up early but I have a lot of work to do, as punishment you will wake up at 2 o clock tomorrow no matter what time you sleep tat
Okay so for the udemy course you need these features in the controller in order to get result in the promo : 
- You need the ability to stop at slopes 
- You need corridor detection and small gap detection etc... (using current velocity)</t>
  </si>
  <si>
    <t>TASKS LEFT</t>
  </si>
  <si>
    <t>Next Assesment + Assignment</t>
  </si>
  <si>
    <t>Tasks</t>
  </si>
  <si>
    <t>I need to remember to bring my phone on the train next time, I was so angry this morning because I did not wake up early. I need the two ipads in order to be able to wake up in the morning at the correct time. The MacBook is working which is the best thing, now I have three laptops and a working and powerful mic so that is very helpful.
So I will wake up tomorrow and full commitment on the player controller and then I will work on the Udemy course, then the story then I will begin full steam ahead on production.... I need a new planner for my project only aye
- I found the problem -&gt;</t>
  </si>
  <si>
    <t>The problem is that I'm spreading myself too thin, so I have planned out when I need to do revision and I will have time for homework afterwards etc… I will manage time all I need to do is wake up earlier.</t>
  </si>
  <si>
    <t xml:space="preserve">You have to make sure to say that this will teach you how controllers are made in your game and will help you build your own controller for your own 3D games! Promo is not about how good the end result is but how and what you are teaching them aboutt…
- Okay so all the features are complete now all you have to do is fix som small issues like corridor collisions, just capsule cast really small distance infront of you and check if it dies and if it does then you can't go there and make sure you check if that is true by raycasting from that point ...
</t>
  </si>
  <si>
    <t>Make sure you tell people it's not about making the perfect controller but it's about the level design + the player controller which leads to a good responsive polayer controller.</t>
  </si>
  <si>
    <t>I have almost finished the map in the game, but I still have to make sure that the regions are clear and are perfect… I also have to make sure I do the outline saying what I do in every single part of the map and what will happen or what could happen if I go that way.
I also must work on the character controller and finish that very soon so I can start working on the Udemy course and then I will be able to make some money which will allow me to get the computer that i want which allow me to create my game own my own machine!!! :)</t>
  </si>
  <si>
    <t>Was able to run 3.7 km in less that 18 mins this time and it was a very hard but good run! So that drained me and I only woke up at 5:40 today so hahah all g, I am nearly done with my player controller and I should begin writing the camera scripts now and after I finish that I can work on the third person controller and then I will be able to record it easily. But I should work on Nefarious now because it's pretty important in order to -&gt;
Made yet another helper for the day, I will work on all the ysstems!
You need to chill out about the entire NEFARIOUS thing, keep it on hold and help the Udemy course move along, this will give you financial backing for you to buy your computer! With the computer you will be able to help NEFARIOUS move 10x faster imagine tho!!</t>
  </si>
  <si>
    <t>By the end of Sunday I will be able to finish atleast the first two parts of the course and upload them to Udemy, then I can work on the Maths revision for the test on Tuesday. I need to wake up at 3am for the next two days in order to get these tasks done.</t>
  </si>
  <si>
    <t>Good morning world, today I will finish the promo video which is arguably the most important video of the whole series, I will be learning how others make promos… IM SICK AND TIRED OF BEING FUCKING SICK AND TIRED OF THIS LIFE. I WILL FOLLOW MY SCHEDULE TO POINT .. Do you understand the consequences of this? You slept 4 hours, this is the last day for this foolishness, you will work. You need money if you want to go to America and live the life you want, you need MONEY. MONEY is all you need to be successful got it? Yeah good. Make money. Live money. So be consstanct. Be triggered.</t>
  </si>
  <si>
    <t>Be a lone wolf.
(WOLF TAT) &lt;--- DREAM
I feel very stressed out and dis organised like I don't know what I'm doing, so today I am going to put an end to that and find a way to manage everything easily and efficiently…</t>
  </si>
  <si>
    <t>So I worked on many things today and today I accomplished 
- Finding a solid goal to where I am going, sorting out how to make money and my roadmap to relative success 
- Creation of a new management app which will help me so much in my life
- Sorting everything out</t>
  </si>
  <si>
    <t>So I recorded all the voice parts of the Udemy course but there is one problem I forgot to say my name… DUH! Okay so I realised I can't make a PROMO without a finished product and I would love to show the IK and all of the features that I will be implementing throughout the entire course with the character controller, and I need to a fix a lot of issues and by tthe end of it I would like to have a fully Inverse Kinematic + modelled character... :)
- Found the issue to the character bobbing on ground hit , I nee d aproper checking system (sphere check) to make sure that you are grounded and this will be used for all aspects but the real challenge is making sure it doesn't affect the jump, this should be simple and I will figure it out bc Im me and Im amazing imao</t>
  </si>
  <si>
    <t>Lone wolf attitude.</t>
  </si>
  <si>
    <t>So much maths revision but I have realised something we only have one life and I need to make the most of it. But low level : 
- I will finish the player controller to a high level to the point that I will be able to use it my own game, procedural animations, IK, fixed controls, everything... So I will be able to cross use it and show people how to really make an amazing controller with every feature.... No need to rush it. Chill out.
I also realised that if I do anything I want to do it great, so cross country you will train and you will do amazing, got it? Good bc I don't care.</t>
  </si>
  <si>
    <t>Website</t>
  </si>
  <si>
    <t>Udemy Release</t>
  </si>
  <si>
    <t>Blog Success</t>
  </si>
  <si>
    <t>Social Presence</t>
  </si>
  <si>
    <t>Funding + Game</t>
  </si>
  <si>
    <t>STEAM RELEASE…</t>
  </si>
  <si>
    <t>Percentage</t>
  </si>
  <si>
    <t>- Setup wordpress
- Learn how to setup themes and learn the basics
- Make sure that you know how to import posts and all the attributes
- Deisgn the website w/ blog and website esasy intergration
- Make sure that you learn everything about blogs, SEO integration and more... to get the best results for your website..
- Promot your game and mainly your Udemy course with some of your own ads</t>
  </si>
  <si>
    <t>Due</t>
  </si>
  <si>
    <t>- Record the promo video and the voices needed for that
- Make sure that all the player controller is fully up to scratch</t>
  </si>
  <si>
    <t xml:space="preserve"> - Build all the acccounts and learn tutorials on doing this powerfully
- Make sure that your website, blog, udemy, game all point to your social media</t>
  </si>
  <si>
    <t>Task</t>
  </si>
  <si>
    <t>- Once I get success in those top five above, I will certainly build up my YouTube cannel with that money. But mainly I will make sure I put the money towards a brand new computer (dedicated) that will handle my game making locally… Good! You need this.
- You will work on the game using your final game plan which is fully fleshed out already
- Create the game and follow out all the steps outlined on the game plan</t>
  </si>
  <si>
    <t>- This system will be very advanced and will efficiently cover all the aspects of the Player Controller including Inverse Kinematics, Rock climbing, slopes everything… Once this is complete only then will you begin to make your udemy course.</t>
  </si>
  <si>
    <t>Steam Release/Release</t>
  </si>
  <si>
    <t>You will try your game for steam and make sure that it is up to the quality of steam, and make sure that it will receive veryy good rating, if not you will put it on your ecomerce store on your website and you will use your powerful social presence to promote it. From there success awaits you at Unity Conferences and TED X talks</t>
  </si>
  <si>
    <t>Side Notes</t>
  </si>
  <si>
    <t>Intense Exercise + Gym</t>
  </si>
  <si>
    <t>IB 45 + MIT</t>
  </si>
  <si>
    <t>This will obviously be very benificial for me, 
- I will start of simple intensive and get the required experience and strength to move on in training
- In the endurance aspect now you can run around 3-4 km without stopping easy so you need to push yourself to atleast 7 km by the end of next year which should be easy, 1 + km per month should get you set</t>
  </si>
  <si>
    <t>Work really hard in the IB to make sure you get all the highest grades and when you get an IB 45 this will really help you in terms of getting into MIT.
- The most important thing is that you practiece your SAT exams to make sure that you are ready for those exams because in the end your end goal is to go to America and study there, because that's where all the opportunity is for technology.</t>
  </si>
  <si>
    <t>I figured out my priorities… I only have 1 computer now so I gotta work smart, efficient and powerfully with one computer and soon I will go home to a PC… ;)</t>
  </si>
  <si>
    <t>I created a trello board so I can refer back to that when I need to know what I am doing with my player currently, and once I finish that I will do everything elese + the website I am also working on now. The other thing I really need to focus on is the IB and the Socket.IO that I'm learning it's rpetty important imao...</t>
  </si>
  <si>
    <t>Young ICT Explorer</t>
  </si>
  <si>
    <t>- Make sure you have an amazing idea
- Build and plan</t>
  </si>
  <si>
    <t>Socket.IO QALINK</t>
  </si>
  <si>
    <t>- Learn Socket.IO
- Create it</t>
  </si>
  <si>
    <t>There's a reason you don't work well in teams. Own it.</t>
  </si>
  <si>
    <t>Goomorning, my priorities are pretty high right now, Maths -&gt; English -&gt; Spanish -&gt; Physics -&gt; Computer Sceience -&gt; Business -&gt; YICT -&gt; PLAYER CONTROLLER. I just created an amazing OneNote document which will allow me to organise my life and I finally feel complete I know my end goal and I will strive towards it, but you see you keep loosing motivation you must work wwork work get determined obbsessed with the end goal.</t>
  </si>
  <si>
    <t>Week</t>
  </si>
  <si>
    <t xml:space="preserve">Welcome, today I need to learn to wake up earlier ~ I can wake up to the alarm it's just you keep falling asleep, you need to push yourself and if you want go and exercise as soon as you wake up and it may wake you up and you won't have to exercise for the rest of the day ~ your endurance is getting better kid so nice job...
Woah okay so this is cool, so I created a simple plan for the website and my life is starting to take shape now, I know where I am going ~ I am going to build this high performance character which will teach me the ins and outs of using neural networks to accomplish complex tasks and I will also learn the ins and outs of building beautiful websites.
</t>
  </si>
  <si>
    <t>Woah. What do you want to accomplish, what is your dream? What is that ultimate goal… What is your direction??? You are going to die, soon. Very soon. You have already lived 1/10 of your life. Boom it's gone very soon. Use your energy towards that dream stop using it towards useless things such as complaining or boasting...</t>
  </si>
  <si>
    <t>Time is litteraly money. Spend it wisely.</t>
  </si>
  <si>
    <t xml:space="preserve">I couldn't sleep so why waste that time, time is money so I am going to work on my maths now so let's update my schedule for high performance… Everything is depended upon the website to give me what I want, the social presence, money, recognition etc… Good navigatable website that is built for the users not for you... </t>
  </si>
  <si>
    <t>Haha I know what I am doing wrong with my life, I am focusing too much on the planning aspect but I need to get down and dirty because planning is like my defense mechanism now. Today I will setup the new theme, setup a github repository and begin the basic layout. Then I will setup the player controller base based on overgrowth... First steps or no steps.</t>
  </si>
  <si>
    <t>ON TASK HOURS</t>
  </si>
  <si>
    <t>Im growing resentful of society. I am angry. I need to make a todo list on exactly what I need to achieve in the projects and integrate that with a list of what I need to do with school. I am going to die and I will attack the world in a different way and I will live my life to the full then, so what work do I need to do and that work i will do...
Some website name ideas : 
thegamemaster.com
theunknownmaster.com
unknowngames.com
theunknown.com
gametrapped.com</t>
  </si>
  <si>
    <t xml:space="preserve">- Very angry this morning, bad routing I need to sleep earlier I am slowly loosing my disciple and it is making me very god damn angry. Re-evaluate your life… okay. Hard truth is life is back breaking hard work and you must and you must work. Listen to me ajay you must. </t>
  </si>
  <si>
    <t>Hard work pays of. I have finally accomplished my goal of winning in the cross country, I came third which is an amzing accomplishment for me and I am super happy about it. I would love to continue to work hard for things I love and see them pay off. It was an utmost satisfaction to win the cross country and I was super estatic and will continue to do cross country and continue to win. Training works and I will continue to work out, I need to work on my endurance a little bit as I did stop a few times along the way to get a slight drink of water and I could have still came first, but unfrotunately it didn't happen. But third is amazin from nothing to this is absolutely amazing to think of and makes me feel amazing. Now I will implement this belief I have in hard work into everthing else and enjoy the process, continue to envision it before it happens and continue to work hard despite what anyone says including yourself. This was an eamazing experience and has taught me more than anything else in my life. Wow</t>
  </si>
  <si>
    <t xml:space="preserve">Okay so the next goal is 10km in one go, this will be amazing and I certainly think I can do it, all I have to do is now create a training schedule, track your progress, keep records. Do it better. Nice. 10km you got this, what's your motivation? Districts haha ofc! </t>
  </si>
  <si>
    <t>I really want to look into adding the 'IK RIG' technology Im going to districts boi</t>
  </si>
  <si>
    <t>I just started a website yesterday wow! CodeWithAjay.com sick name right, yeah it's from my sister. But I got an amazing idea which can even be used with the YICT challenge. It's like a thing where you can record motion with your ipad or phone or something and you send that video to your computer and then you can use some motion matching software to track your bones and then convert that into rigged positions and completely remove the need for motion capture in large studios etc... Pretty cool huh we could even use machine learning algorithms to stabilise the data and then we can create the IK rig technology in the talk to be able to add that motion capture to any rig taht you want and then procedurally animate that technology and give it to free to the public. Wow and keep an awesome blog about it and attract peolpe using that!</t>
  </si>
  <si>
    <t>Yesterday was quite fun in terms of revising. I just sat down and revised the entire things and I am quite happy as I did alright in my exams. Enough to pass me is what I did. :))</t>
  </si>
  <si>
    <t xml:space="preserve">Exam day and I did alright I guess, physics was easier because of all the revision so I am super happy due to that, well today will begin my discipline again and I will begin to work super hard on my own wrokf rom now. The priorities I currently have and need to balance interms of coding involve  : The YICT challnege, the website which is super important because dad is spending over 200 dollars on it in order to keep it hosted and you need to make sure you are using it wisely and to the best of your ability. THe next thing you need to be focusing on the the game you are working on right now (NEFARIOUS) which is a super important game for your development. Apart from all of this the IB is also part of your priorities + the SAT exams which will be very complicated. But the YICT challenge will be amaing for me and my popularity and will certainly imporve my confidence in myself. SO prioritiy wise I think - WEBSITE DEVELOPMENT ~ YICT DEVELOPMENT ~ IB ~  PUBLISHING THE THEORY ON YICT </t>
  </si>
  <si>
    <t>You gotta remember that NEFARIOUS is planned out and just waiting to get started on, but before I start I need backing. So I will finish the YICT challenge and start earning money through the wbeiste and fierce social development. Okay so today when I got home I just slacked and really it helped me unload and I feel like i can be a lot more productive now than just forcing myself to work, but 2 hours of slack = 2 days of continious work + punishment okay :)</t>
  </si>
  <si>
    <t>So it's decided huh. Nefarious only comes after I finish this website. YES Ofcourse because if the game doesn’t go twards your plan then you can always have the development log as a backup. If you make it interesting enough that caan be your main source of finance for now until your release that game. Plus the YICT allows you to follow your very big passion of learning and innovating technology. THis is the perfect opportunity + This motion capture system I am building will not only help others but it will allow me to animate my game with ease. Then you can work on the IK RIG to allow you to animate anything.</t>
  </si>
  <si>
    <t>Okay so the way you can convert your HTML files over to wordpress is a complicated process but it is much easier : HERE : HTML/CSS to Custom Wordpress Theme (2017 Update!) on YouTube and then you can convert your files into that. So use DreamWeaver or something to code it, maybe atom. IDK You are free now.
Woah okay so I think Ill jsut be coding it in wordpress it's self but I found these emazing resources that show things called material design which looks so beautiful which I will add to my website FOR SURE. Don't slack and give up design think like Steve Jobs.
Wow material design is a new revolution, it is so beautiful and atom has live preview so I will use that from now, should I blog on making a blogg.... HMM</t>
  </si>
  <si>
    <t>Listen to me, health is not important if you can't actually do anything good with it aye. Okay so what do you need to do. I need to build this website. 100% commitement towards that 100% work until you are sick. You just feel like you have enough time but you dont. Listen your WHY is to go to the unviersity of your choice! LISTEN TO ME! YOU ARE GOING TO MIT. Okay so in order to do that. YOU HAVE TO... WORK. YES OKAY. SO leanr how to build a website, how to make it popular. Share good content. Make money from it. YOU CAN DO IT. You always could and you always can. 100% in no less, every night every day.</t>
  </si>
  <si>
    <t>What the hell how could you do this</t>
  </si>
  <si>
    <t>You come back at 12 oclock, use the time on the train + use the time when you get back please please I am begging you.. If you want to go to university tthen you must work. Lets talk to ourselves for a minute, like billy olsbrook said - you have the talent you have all the power... you just need the discipline and control of your mind. Look focus like right now go into flow in seconds. Plan and execute. You needa  clear plan of what you are going to do with your life. Okay so this is the book you are writing foryouserlf okay so here is the plan -&gt; What is the most important thing for you now? This website right. It has a lot of potential, it will allow you to do what you want , writing about yourself writing about neural networks. Teaching and making money. This is important as then you can pay for your room in America and live there to get enough money to start a company there and innovate something and revolutionize your life. Every minute is preciiosu you must use it to the best of your ability. So once you work tooth and nail towards this website what are you going to do then. Don't just commit to learning, make sure you comming to innovating and making. So we create the YICT thing as a SIDE it's not as important to you as your NEFARIOUS GAME. Make sure you keep FOCUSED. FOCUS IS IMPORTANT. WAKING UP IS IMPORTANT. DOING IT WHEN YOU DONT FEeL LIKE IT IS IMPORTANT, ITS LIKE AT THE GYM BUT WITH YOUR FEELING (IT WILL MAKE YOU STRONGER), WHEN YOU WANT TO SLEEP.... DO 10 PUSHUPS WAKE YO SELF UP. Okay so you made the website and then you are working on your game okay, so long range goals up to 2 years of hard griding. What are you going to work on, on the side there are a few things you have to focus on right ~ right now there is the YICT competition which you have to have some level of focus in or else you wont be able to get the fame and recognition that comes out of that. Okay other than that we have the IB curriculium (listen to me, 3 hours a day for that to learn and revise your notes make sre you are not revising tthe weeks of the exam, schedule one day a week for a subject to go through and learn what you did that week and clarify any questions.) Important side is : Practicing the SAT, you want to go to MIT right. This is an important side and hsouldnt even be considered a side. This is damn important okay, damn damn important, sure MIT gives you financial support but doesnt mean they are going to employ idiots okay so you have to learn learn learn like you said to ritit. Okay another important side includes ; Creating algorithms and innovating using neural networks - this is purely for your blog and imporving you knowledge on all your topics and everything okay. You can do it, this will be the most intellectually stressful that willhelp you. Last thing is social presence this is important if you want to be known in this digital world, you need to pick one and work on that and support and grow your audience slowly. Read this wheneve ryou feel a bit lost</t>
  </si>
  <si>
    <t>IMMUNE TO DISTRACTIONS  
Just because you don’t see any immediate gains doesn’t mean your not making progress
You have the talent you have the skil but you don have the right mind. 
This is not a joke, there is a line | the great and the bad.. Literally. You have to engage in consistant action (its simle but its not EASY). Visualisation works if you work. Okay everything is HARD. You will have to work but it will be worth it. But it's possible. YOUR TEAM needs to support and allow you to show your potential, but if you not you are yourself.
Successfull people look for what the need around them and if they cant find it they make it. 2% will live their dreams
- Dont care about risking it and dont care about failing
It's not what you dont have its not about what you need that is stoppoing you.
Dream now. Work home.</t>
  </si>
  <si>
    <t xml:space="preserve">Okay so I've realised that now that I am starting this website, it needs organisation ofcourse so I have created the Website Tab which should be used in the development of this website to keep track of what I need to do and kindof help me through the process and every day in my journal when I wake up I want to write down a few goals for the day that I would like toa ccomplish. These are some of the goals for tomorrow tho - </t>
  </si>
  <si>
    <t>I would like to finish the header by tomorrow with the transisitions and I want it to be fully responsive, I also want the little slidehow part compelte by tomorrow and I ofcourse think that it is 100% possible. So learn grow and explore… ;)
But I really do love the design of the home page, you really nailed it there. I also want to express my gratitude towards the life that I am livving and all of the circumstances in my life.</t>
  </si>
  <si>
    <t>Like its revision day you just sit down and work your ass off the entire god damn day, I say we give a mix of both convolutional networks and in Convolutional Networks I will begin the coding process and I will write down how the network will work, I think I will be using a genetic algorithm for the backpropogation</t>
  </si>
  <si>
    <t>Taking a break from the code ALWAYS helps, so a problem that I was working on yesterday was so elementary to fix. The colour values in Unity actually have to be normalised in order to be used. Therefore there was no problem with the texture generation which is extremely good. Now I will work on the convolution process.</t>
  </si>
  <si>
    <t>Sorry I didn’t journal but the camp was on so yah, well today was extremely productive I guess, even though I did fall asleep for two hours at 7am. The exercise was very good as well I enjoyed that. Okay so the website is coming along nicely so far, I did lots of organisation in the website today and then I also made sure it was responsive so that was very cool. So everything there is inside the website so far is responsive and Im estimating at this rate the website will take me around 2-3 months to develop, then social marketing, SEO Optimisation and all of that will take another 2 months or so. Then actually beginning to write content and switching over to the next project (polishing) will take around a month so by the time I finish half a year would have been gone, then trafic will begin to take around 4 months to start gathering. Then you can start to see something from all the effort you are putting in. But in the end it is always worth it to have a good website because then you can use it for anything. And after this point you just have to add pages to dedicate whatever you want to it and then you can attract more people and promot etc... make a name foryourself.</t>
  </si>
  <si>
    <t>Okay so I have the workout all ready, everything is set for me to go to the gym MONDAY, okay so it seems that sat, sun, fri is closed due to easter holidays which is pre annoying but that's absolutely fine. I will go on Monday with the same determination and happiness. Okay but the bike ride was worth it and I did physics in the morning which was also worth it. So for the rest of the day for about 11 hours I will work on my website with maybe two hours for IB. But I doubt I will work on it today because I really need to grind on that IB. If I dont feel like exercising one day I will just ride my bike from now it makes me refreshed and very happy and throughout the day just doo 100 pushups atleast. Okay fitness and body is extremely important and so is eating so you have to focus on that as well, but that's fine. Work is also 1005 important if not more important than both.</t>
  </si>
  <si>
    <t>In order to become better than all those kids, you truly have to do something extraordinary. So this website will be complete and then you can blog on this regularly if it is professional looking. Then you can use that to promote yourself and make a name for yourself. Just keep pushing in every place possible, attend seminars etc.. Then once you're known, then you can begin working on your algorithms and creating tutorials on YouTube and Udemy and get a Patreon thingo. then you can enter the freelancing world of websites with that expeience and then begin creating websites for people who need it using wordpress. Then ofcourse you can begin making your game that you have wanted to make for a long time, you see you cant do anything FOR the money you have to do what you love to the best of your ability and TRUST that money will follow and happiness will FOLLOW that. But make sure you are uploading on your blog because passive income is important if you want to go to MIT. Which is what you are working for in the end. You can do it, you  can do it. FRESH START -&gt; Lets GRIND on that website. :) Lets gooo-&gt;</t>
  </si>
  <si>
    <t>I just realised something essential, just because I am coding and it is not compulsory doesn’t mean it ALWAYS HAS TO BE FUN. Sometimes it will get boring and drudgerous but you require discipline this is why you havent had a breakthrough yet. You don’t always have to have fun. Your future requires you to do well now. So dont screw it up. Make sure you are using these holdidays effectively</t>
  </si>
  <si>
    <t>For now we can have custom fields where I can put in YouTube urls and the category will be tutorial and then it will be putinto a simple area with the video, a description, difficulty and that's all for the window. Maybe a footer and a sidebar. Subscribe button for YouTube.
Blogging section will be split into two sections - when categorised one for the development and one for the general blogging. Will need to redesign the blog.
I want to design all of these elements before I continue making the homepage, because I need the clear idea. READ THIS BEFORE YOU CONTINUE.</t>
  </si>
  <si>
    <t>Im just saying okay this website doesn’t need to be perfect, it's alright for it to have its flaws because you can continue development after it is complete yea? SO don't stress to much and just focus on making it work because time is precious and you have to make sure you are using it in the most effective way posssible and atm the most effective thing is getting this website out there for people to read, SEO Optimisation and Socialising in order to get it big, then update it got it? Yeah well done. Okay then you can begin your life work (YOUR GAME) this website is just preperation for the fully planned out game you have sitting back there just hilling waiting  to be a thing okay so dont miss this opportunity.
So the problem with you is not that you dont have discipline or commitment or any of those things, you are clearly planned out and you know where you are going for lets say the next 4-7 months which is good. But what you are having trouble with is staying focused no keeping your energy up throughout the day. You just start to decline energy over the day so the key to doing this right is eating, drinking water and realising that you are falling out of your peak performance state. So when you feel yourself slipping get up do some punches, 30 pushups talk to yourself get some motivational videos up and start working again. Rememeber your WHY and look at the SMALL task that you have to do next and EXECUTE.</t>
  </si>
  <si>
    <t>Absolute rubbbish. Where the hell did your disciplnie go wtf man, Waking up at 7 what the actual ****.No. Sleep at 9 straight, no matter what you are doing close it the hell down and go to bed, wake up at 3 and go to work. You keep wasting time like its something you can waste, you retard. Atleast for the rest of the day no entertainment no nothing. Work. I need a physical book to plan it is so much easier so I am using that from now to plan my things.</t>
  </si>
  <si>
    <t>DO WHAT YOU LOVE and MONEY WILL COME…  Which is making your game
- SO I realised in order to create a video sharing site to send off tutorials as well, then you will have to create a dashboard where you can upload videos with fields like, video URL, description, thumbnail, difficulty, what series it is part of. Once you finish the blog section publish the website and then start promoting and work on the tutorials on the side and keep it on a Coming Soon page and keep development logs on that. Teach people through that for the start and work on the YoungICT. Those uploaded fields will go to a seperate DB which will be retrieved from the website when needed. This will take a long time but you can make it happen. Free videos will go on your website --- make sure you have promotions and stuff
______________________________________
I want to write a book... On a development topic and just write about it and publish it on my website for a very minimum price for let's say $10 with extreme value and push it out? But you can only do this stuff after you actual begin the site. There is so much potential with a good design. There is no sleep today, for the next two days. Tomorrow sleep at nine. You dont need sleep today you wasted enough time. Lol.</t>
  </si>
  <si>
    <t>CAMP</t>
  </si>
  <si>
    <t>Today was absolute sh*t okay, so unproductive so we know for a fact now that waking up early is the only way and sleeping late is bad for you .</t>
  </si>
  <si>
    <t>Today I need to read 1984 and do the IB course because they are just as important once you cover everything then you can move onotot the sat preperation.</t>
  </si>
  <si>
    <t xml:space="preserve"> So I have realised that I have a knack for making things simpler, I think I shoukls start a tutorial series on web development and make it easier for people and teach people how shit really works in web development and teach them properly how to create a wordpress theme from scratch. Yea thats right. Teach them about the wordpress.</t>
  </si>
  <si>
    <t>So if you get good at creating websites by the end of this time, then you can ofcourse start displaying your website work outside by creating themes and selling those themes not for wordpress only but for general HTML its self and having self contained dashboards inside the theme (your own custom wordpress hahah) so then you can use these themes to have a truly mixed experience of both coding and drag and drop feautres!. THen you can create themes using this technique by yourself. But another thing you can do with web development is making tutorials on the basics and then you can ofcourse start the fun task of freelancing.</t>
  </si>
  <si>
    <t>Okay so apart from a knack for splicity what about I also do freelancing well how do you get a kid to do it for you by have a banging portfolio and delivering and then turning those customers into people who would recommend you because once you build a personal relationship with thtem then they are hooked..... Okay but today was revolutionary I found out exactly how to get the forex data and now that I have some basic understanding on this topic I can use this to build a recurrent neural network in order to take this information and start predicting not only could I teach this too people but I could perfect it and use it for myself to get heaps of money and do what my dad always wanted to do and make him happy</t>
  </si>
  <si>
    <t>Okay so I realised the the quality I am looking for is staying up all night easily. I can do it. It is a skill that will imporve me . But another main problem is that I am becoming unfocused really quickly so I need to focus heads down and just push on the work. Just do it... PLUS TIME MANAGEMENT IS GOING OFF A BIT..</t>
  </si>
  <si>
    <t xml:space="preserve">FOCUS… Tha's all I need. Today allnighter I need to reset my body clock and work. I know what I need to do now. Commit. Burn the boats. </t>
  </si>
  <si>
    <t xml:space="preserve">Okay so I realised that what I am trying to do can be successful if I am not interrupted by Netflix, so I will not watch it today I will just continue to work because work is fun and it is nessecary for me to work. </t>
  </si>
  <si>
    <t>Okay so this is what I need to do now, there is a lot of people requesting that I continue my YouTube series which should be done because it was going good and not only that but you should keep your commitments and YouTube was one of them so I will compile a list of all the suggestions I have recieved and quote all of them and create the video which will address all of their suggestions and I will create the arm model and attatch that to the rig and then create the animations as discussed then in the next video I will adreess their suggestions. For the YICT I have been able to get an eye tracking idea which is quite amazing and Rajin likes it too and it will be accomplished quite easily... HAHA</t>
  </si>
  <si>
    <t xml:space="preserve">I feel like I am drowning, no idea where I am going with my life. Help. I will record and sleep at proper time and wake up at 3 oclock in the morning. I am drowinging I am losing it where am I going. What am I doing it all for? Money? Yes! Better life. Family ahahdwohdow wwhat tht. 
Okay order - 
I am currently working on the website, why it will allow me to keep a development log of what I do everyday in the nefarious world + talk about general blogging things in the game development world. My projects etc.. It will allow me to upload tutorials to my own leisure in both text and in video and will give me motivation for the YouTube channel becasue the video will direclty link to the website where people can engage there as well with a nicer interface built for me. Blah blah blah. Okay people can know about me I can get my name out there. A central point for me. ME. Social stuff on there as well, will begin social marketing opnce I am done this. So what will happen tho is when I finish my website well even during the process I am building the game (NEFARIOUS) which I want to be famous for creating okay I dont know if that is the name but I certainly want tht to be th game. I have everything setup already the plans EVERYTHING so all i have to do is statr building it and putting it on my development log all the time so people can start viewing it normally. Blah blah Need to SEO market th ewebsite to get it out there, growing YouTube is also important. Using the blog I can start to see some money say using AdSense and some promotions which I can sue in the website. Okay all good then the game will take a while
</t>
  </si>
  <si>
    <t>Wow so there is a lot of potential in you ajay you figured out how to do this image detection stuff in a decent way, so now you hve the algorithm in order to find distance which is quite important, with the distance then we can use some math to find out how left or right you are and using all of this information we can track your position and assuming you are always facing the screen we can create some type of camera motion including head tilting afterwards maybe some more attatchments to the glass? IDK figure it out be creative
 - to build so I will be loggin at the time, plus working on the YoungICT competition which if deemed succcessful will allow us to go to the next line up for the nationals competition if we win there then we will be able to really get a name for ourselves. This is an opportunity to boost who I really am. Okay so this is all good. Now the game is my breaking point, I need a good trailer a really good damn trailer and nice graphics and features which I think Unity can support nicely. i will have to learn a lot but I will make a determined effort in order to get my brain around building this game nicely. Using the help of Monday.com I can use plan my project which will get very complicated very soon but I always have trusty pen and paper to help put 1 and 1 . I will be using FreeMind on the mac to plan everything very soon so once I get everything down pat I will work on finishing the story based elements first like the map and then create 1 file which will highlight the story in cohesive terms, then the locations, then the character that will be in it. Then using these I will build a storyboard in word ofcouse then that will be ready. With the story board, map and all of that we just need to finalise the planning document and see if all the features are in there taht we need once that is complete we are ready for the first feature to be implemented which should certanily be the player controller. The player controller is the key to good movement throughout the world so I will be implementing that first and building all the systems that come along with it. Once I finish the extremeley complex and advanced controller, I will be releasing an Udemy course on it which will allwo people to get industry standard player controllers in their games as well. Which has to be optimised ofcourse (Will use the technique that Wolfire games used to get the player working with the dynamic movement etc...) okay so oncethat is all done and dusted I will move on to tht next and next. The website will be done bby this point and will be updated on the side which some type of mechanism (Post times) using the journal logger I made for NEFARIOUS. very helpful stuff btw. Social media will also keep up with my NEFARIOUS and I will amek sure all my subscribers are keeping in touch with my website. I will continue to make youtube videos. So I will go from Website + Youtube + NEFARIOUS + YICT once events are complete Youtube + NEFARIOUS which will be my main aspects + uploading courses on Udemy</t>
  </si>
  <si>
    <t>I need to get Nefarious back on the track, for logging just keep logging with the wordpress posts for now and then they will be added in as I build the site, put that in as well. So you will start the game then. Setup the environment, Pick a big part of the game that you are going to tackle and break that down into many smaller parts (say how much importance it will get and I will personally use Monday.com ) There is nothing wrong with Monday.com the only problem you have is that you are too old school but it is a good planner (better than pen and paper anyway..)
Once my website is comeplete, if it is to a satisfactory standard and the quality is up to scratch, I will offer my services for wordpress custom theme development for a very small price + linkedin account and put on fiverr and freelancing websites of the sort which I will use to make moeny a bit on the side + building up my portfolia then my main commitements will be Freelancing + Udemy + NEFARIOUS + Blog these are very desireable traits that I would love to have. When the game is finished I will upload through steam which I am hoping will become a big success, I will get my name out there with even 2 years of hard work. I will comeplete all of these things to the best of my ability, but today I will start with continuing the YouTube series despite how boring it looks to you it will hel psomeone outt ehre and will give you an opening to do much much more interesting videos okay. So be interesting and dont be a drag. Let's add some editing spice in there and some jokes if you can okay. Then after that tonight you WILL sleep. Okay 10:30 -&gt; 3:00 am SLEEP!!!!!!! Okay easy stuff. It's called sleeping nice. Okay so when you wake up I will be working on my website I want to grind on that to make sure I can push it out of the way to use my time for better things like Nefarious which will require my attention a lot + YICT which is needed.. So commitment list so far 
__________________________________________________________
- Website (Knock off by end of the month) -&gt; Refer to brainstorm when complete hp
- Young ICT (Work on slowly you have time)
- Nefarious (Start the story development and feature dev)
- YouTube will start uploading at a consistant rate again
-IB (Focus on this more)
________________________________________________________</t>
  </si>
  <si>
    <t>Writing my goals down for the day : 
- Release the YouTUbe video today
- Work on home page today
- Seek clarity on Nefarious</t>
  </si>
  <si>
    <t>Good morning ajay, so I realised I need to get a move on with the book because I only have a very few days until the end of the holidays and If I havent read it by the end of the holidays Im kinda screwed… I also need new books for school because I have run out of pretty much every book. So I will gather that as well. Okay I will read 3 hours today and sacrifice going out with friends for the betterment of my education.
Todays goals : 
- Setup the video files for tomorrow
- Finish off the final touchups for the home page and begin creating the php
- Begin researching and planning nefarious
- Read atleast 100 pages of the book... :)</t>
  </si>
  <si>
    <t>Okay so I spent a good  2 1/2 hours trying to setup the game files this morning but unfortunately it went all wrong, so I need to change up my strategy. Tomorrow I will disable the IK and then use blender to create animations for aim, idle and shoot then I will use IK to change the aim gesture somehow. But I need to make the animation work nicely because it doesnt work with children. So I will restart and configure animations first.... I will finish the homepage today and certainly start on nefarious because it is important and I am on a tight schedule actually</t>
  </si>
  <si>
    <t xml:space="preserve">Okay damn I got an amazing new story for the game and it really gives the game a purpose and it has a lot of story elements and can be quite fun as it gives the game more freedom towards the players. Okay so this unity competition we both know you have a smaller chance of getting chosen for this competition but like I learnt in that speech if you don't take the opportunity because of the fear of failure you will never know if you missed an opportunity or not... So just create the game design document and chill ;) </t>
  </si>
  <si>
    <t>Okay current commits : 
- Unity Dev Comp
- NEFARIOUS Story
- Website (IMPORTANT)
- Math of Intelligence https://www.youtube.com/watch?v=xRJCOz3AfYY
- 1984</t>
  </si>
  <si>
    <t>Life don’t always go to plan but try your best today listen to upbeat music and stay alive</t>
  </si>
  <si>
    <t xml:space="preserve">Sorry that I havent logged for a while, so when I was away (yesterday was boring) today wsa just sight seeing but I still got some valuable code in which will allow me to focus on the content for tomorrow. So I have it all organised tomorrow so It will be easy. Tomorrow I will need to finish the homepage content and with this new code it should be much much easier. Then I will get the piano pedal from JBHIFI which I will use to continue learning the piano as I was before. I will also attempt to get an idea of where I am going with the map for NEFARIOUS but mainly tomorrow should and will be focused on the web development aspect of things so you can show your friensd what you have been able to do. I will also want to finish the next part to the series tommorrow............ :) </t>
  </si>
  <si>
    <t>School starts. New discipline now. Make sure you are attentive in all your classes. Screw your 'friends' they are useless and meaningless.</t>
  </si>
  <si>
    <t>Spanish</t>
  </si>
  <si>
    <t>Business</t>
  </si>
  <si>
    <t>In order to detect the eyes for the YICT competition all you have to do 
- Use bckprop with this http://www.robots.ox.ac.uk/~vgg/practicals/cnn/ in order to generate a proper filter for the eyes and then feed it in a image of you in a webcam which will analye the tedxture and get an activation map for each pixel (smaaller version) then you use this to get the coordinates and change in position, to get the Z (forw and backw) using pixel length.....</t>
  </si>
  <si>
    <t>Maths</t>
  </si>
  <si>
    <r>
      <t xml:space="preserve">Okay today was an okay day, so I have realised </t>
    </r>
    <r>
      <rPr>
        <b/>
        <sz val="9"/>
        <color theme="1"/>
        <rFont val="Calibri"/>
        <family val="2"/>
        <scheme val="minor"/>
      </rPr>
      <t>FOCUS</t>
    </r>
    <r>
      <rPr>
        <sz val="9"/>
        <color theme="1"/>
        <rFont val="Calibri"/>
        <family val="2"/>
        <scheme val="minor"/>
      </rPr>
      <t xml:space="preserve"> is the most important thing… If you </t>
    </r>
    <r>
      <rPr>
        <b/>
        <sz val="9"/>
        <color theme="1"/>
        <rFont val="Calibri"/>
        <family val="2"/>
        <scheme val="minor"/>
      </rPr>
      <t>focus</t>
    </r>
    <r>
      <rPr>
        <sz val="9"/>
        <color theme="1"/>
        <rFont val="Calibri"/>
        <family val="2"/>
        <scheme val="minor"/>
      </rPr>
      <t xml:space="preserve"> then you can manage anything with </t>
    </r>
    <r>
      <rPr>
        <b/>
        <sz val="9"/>
        <color theme="1"/>
        <rFont val="Calibri"/>
        <family val="2"/>
        <scheme val="minor"/>
      </rPr>
      <t xml:space="preserve">discipline… </t>
    </r>
    <r>
      <rPr>
        <sz val="9"/>
        <color theme="1"/>
        <rFont val="Calibri"/>
        <family val="2"/>
        <scheme val="minor"/>
      </rPr>
      <t xml:space="preserve">You need to focus more in school, so with the right materials and mindset it will be possible. The YICT will be read up on tomorrow and the website you will complete (homepage) then after that it is just single pages which can be made easily... But there is a few things to do to PERFECT it. Listen once you finish your website you will have a platform to sharte CONTENT on. This is useful in every way. You need to SEO optimise and get yourself out there, easy. Then you can start making your GAME. Your game. The one thing that you are working towards. </t>
    </r>
    <r>
      <rPr>
        <b/>
        <sz val="9"/>
        <color theme="1"/>
        <rFont val="Calibri"/>
        <family val="2"/>
        <scheme val="minor"/>
      </rPr>
      <t>FOCUS</t>
    </r>
    <r>
      <rPr>
        <sz val="9"/>
        <color theme="1"/>
        <rFont val="Calibri"/>
        <family val="2"/>
        <scheme val="minor"/>
      </rPr>
      <t xml:space="preserve"> this is where you need to go.... :)</t>
    </r>
  </si>
  <si>
    <t>English</t>
  </si>
  <si>
    <t>COMSCI</t>
  </si>
  <si>
    <t>Finish By</t>
  </si>
  <si>
    <t>Ludum Dare Fri-Sun</t>
  </si>
  <si>
    <t>Pumped for ludum dare</t>
  </si>
  <si>
    <t>Physics</t>
  </si>
  <si>
    <t>Hey Okay we need to talk, if school, youtube and website are your serious commitments plus ludum dare and yICT. Then why arent you focusing on youtube. Prep the vid today so you can work on it… ;)</t>
  </si>
  <si>
    <t>STOP COMPLAINING. Nothing should make you complain? Bad food? Shit sleeping times? Continious work? Get some perspective. Stop complaining! ;)</t>
  </si>
  <si>
    <t xml:space="preserve">Part 1: 26/29
Part 2:22/24 (corrected)
Total 48/53
I will finish making this promo for this YouTube and will deliver USEFUL and important information to my audience who will BENEFIT from this because of the INFORMATIOn. I will explain clearly and slowly like Dad commented and it will be nice. NICEEEE... ;) </t>
  </si>
  <si>
    <t xml:space="preserve">Okay nice I woke up early and then tried to record and that didn't exaclty go to plan but I will try again and this time I will get it for sure, just some tips on the recording (please just talk when needed and don't blabber or be dumb.. Swallow your spit once in a while and don't talk too much it's not needed)... On the subject of your website. I don't think you understand the only way you can begin development of your game is if you finish this website so you have to do this quickly and there is a lot more you have to do anyway so can you just please hurry up and use PHP to add all the content you have the needed tools now you shouldn't be procrastinating you should just do it it's not so hard yknow you dumb shit. Just do it. and sleep early today because we have LUDUM dare. On that ludum dare note I don't think I want everyone participating for example James and Johan are not even that useful tbh. They will just be there fore the ideas. Rajin on the other hand could actually help me because he has some gaming + unity experience anyway so that will be good. :) </t>
  </si>
  <si>
    <t>Recording is done, so I am happy that I got that finished and completely out of the way, I had a very smooth exporting process so I am very happy with that I will also like to work on my website for a bit before I have to sleep so I can wake up at 4 oclock tomorrow so I can be at peak preformance at 11:00 AM and then just go. Make ideas on a brainstorming application and then make it work. Maybe record yourself with a webcam! :)</t>
  </si>
  <si>
    <t>I can't wait to do the Ludum Dare need to make sure my team is on board but if they are not I am not depending on them I can still do it. Ofcourse I can. ;)</t>
  </si>
  <si>
    <t>https://queenslandacademies.blob.core.windows.net/daymap/Resources/16124/Unit%207%20Marketing.pdf?sv=2017-04-17&amp;sr=b&amp;sig=raNNPS4aZekluJaWF1MyN9LYudqCjmYifWXukHiC9pU%3D&amp;se=2018-04-23T02%3A52%3A58Z&amp;sp=r</t>
  </si>
  <si>
    <r>
      <t xml:space="preserve">Hey journal I know I havent talked ot you in a while but I just want clarity again and I know this is where I can get that, I know the IB Diploma is important but if I become successful in my endeveurs (which I will) before I finish then everything is  pointless. So what should I focus on? Both, right? Yes okay I will focus on </t>
    </r>
    <r>
      <rPr>
        <b/>
        <sz val="9"/>
        <color theme="1"/>
        <rFont val="Calibri"/>
        <family val="2"/>
        <scheme val="minor"/>
      </rPr>
      <t xml:space="preserve">both. </t>
    </r>
    <r>
      <rPr>
        <sz val="9"/>
        <color theme="1"/>
        <rFont val="Calibri"/>
        <family val="2"/>
        <scheme val="minor"/>
      </rPr>
      <t>Now I need clarity on my game and that life that I have - I know I'm a hard worker and I can get stuff done if you want so there is no problem in the quantity of work but the quality needs to improve in these aspects : 3D Modelling (The only way to improve this is my practising the 3D modelling just for fun everday say to your sefl I am going to build this start off simple but then everyday build something harder and harder and go online and research on how you would do certain things see people do it and just do it. It's just moving vertecies around to do what you want right?) Optimisation and Organisation of Projects : YOu need to imporve this, especially coordination if you build a little team to bring your dreams to lfife as steve jobs said even if you are the most itntelligent person the best thing you can do is recruitment because it is much better to have a bunch of people helping you in your game and it will provide better content to your game. So edwin will hel you in your game and so will Junji, so I f they help you you will need them tocoordinate so if you want that to work you need a clear game plan on what the game is exactly music style, art style, concept arting, storbyboards etc...)</t>
    </r>
  </si>
  <si>
    <t>Coordination, 3D Modelling, Project Management and Music. Aspects of a game that will be outsourced is 3D Modelling (not entirely you will do some stuff as well such as player design I want to manager), music design (Junji + Johan can do a collab), Website and Promotion (Me and James), Creating the entire game (Me)</t>
  </si>
  <si>
    <r>
      <t xml:space="preserve">Okay so clarity seeking now : I am currently working on the website which is to allow me to put up development logs + tutorials in style yeah, so firest I will finish the home page then I will do all the other pages and will make sure there is a resume page in there somewhere as well. Once I do that I have a completed website I need to attatch all youtube videos to it and begin my posting (I need to have blank holders)... </t>
    </r>
    <r>
      <rPr>
        <b/>
        <sz val="9"/>
        <color theme="1"/>
        <rFont val="Calibri"/>
        <family val="2"/>
        <scheme val="minor"/>
      </rPr>
      <t xml:space="preserve">Then </t>
    </r>
    <r>
      <rPr>
        <sz val="9"/>
        <color theme="1"/>
        <rFont val="Calibri"/>
        <family val="2"/>
        <scheme val="minor"/>
      </rPr>
      <t xml:space="preserve">comes SEO Optimisation to get the website out there, yknow key words and plugins to help you out with that, HTTP securing your website by making sure encryptions etc are safe... </t>
    </r>
    <r>
      <rPr>
        <b/>
        <sz val="9"/>
        <color theme="1"/>
        <rFont val="Calibri"/>
        <family val="2"/>
        <scheme val="minor"/>
      </rPr>
      <t>Then</t>
    </r>
    <r>
      <rPr>
        <sz val="9"/>
        <color theme="1"/>
        <rFont val="Calibri"/>
        <family val="2"/>
        <scheme val="minor"/>
      </rPr>
      <t xml:space="preserve"> comes rapid content development + planning stage of your game, and I know what you are thinking you have already planned your game but the planning that you have done is just very broad on what systemsyou need you actually need a plan that details every event in the story and exactly what elements and scripts are needed, cut scenes, story boards, concept art alll should be done for planning stage the story board should be up on your wall with strings and shit.</t>
    </r>
    <r>
      <rPr>
        <b/>
        <sz val="9"/>
        <color theme="1"/>
        <rFont val="Calibri"/>
        <family val="2"/>
        <scheme val="minor"/>
      </rPr>
      <t xml:space="preserve"> </t>
    </r>
    <r>
      <rPr>
        <sz val="9"/>
        <color theme="1"/>
        <rFont val="Calibri"/>
        <family val="2"/>
        <scheme val="minor"/>
      </rPr>
      <t>Talking about Content Development I mean making Tutorials and Dev Logs and Posts on Machine Learning and Topics like Planning, and the Tutorials can be about what you are doing at the time so '</t>
    </r>
    <r>
      <rPr>
        <b/>
        <sz val="9"/>
        <color theme="1"/>
        <rFont val="Calibri"/>
        <family val="2"/>
        <scheme val="minor"/>
      </rPr>
      <t>Top 10 tips to Planning Your Indie Game</t>
    </r>
    <r>
      <rPr>
        <sz val="9"/>
        <color theme="1"/>
        <rFont val="Calibri"/>
        <family val="2"/>
        <scheme val="minor"/>
      </rPr>
      <t xml:space="preserve">' can be one title that you can throw out there. All of these will take you from being a programming teacher to a game development speaker which will grow your audience by even more... </t>
    </r>
    <r>
      <rPr>
        <b/>
        <sz val="9"/>
        <color theme="1"/>
        <rFont val="Calibri"/>
        <family val="2"/>
        <scheme val="minor"/>
      </rPr>
      <t xml:space="preserve">Then </t>
    </r>
    <r>
      <rPr>
        <sz val="9"/>
        <color theme="1"/>
        <rFont val="Calibri"/>
        <family val="2"/>
        <scheme val="minor"/>
      </rPr>
      <t xml:space="preserve">comes head down development which is the core stages this is where Project management comes into play a lot, you will need to be as organised as possible and carry out all the tasks and make sure your group is co-ordinated and on task and motivated the entire way through and you must not feel as just because you are not doing some work it is going to be easy or you are cheating... Trust me this is what is </t>
    </r>
    <r>
      <rPr>
        <b/>
        <sz val="9"/>
        <color theme="1"/>
        <rFont val="Calibri"/>
        <family val="2"/>
        <scheme val="minor"/>
      </rPr>
      <t>smart</t>
    </r>
    <r>
      <rPr>
        <sz val="9"/>
        <color theme="1"/>
        <rFont val="Calibri"/>
        <family val="2"/>
        <scheme val="minor"/>
      </rPr>
      <t xml:space="preserve"> for a project as big as yours. During head down developoment you release more and more dev logs which will be important towards your website and talking about general topics such as issues you are facing in Development and making YouTube videos like </t>
    </r>
    <r>
      <rPr>
        <b/>
        <sz val="9"/>
        <color theme="1"/>
        <rFont val="Calibri"/>
        <family val="2"/>
        <scheme val="minor"/>
      </rPr>
      <t>'Project Management for Indie Developers'</t>
    </r>
    <r>
      <rPr>
        <sz val="9"/>
        <color theme="1"/>
        <rFont val="Calibri"/>
        <family val="2"/>
        <scheme val="minor"/>
      </rPr>
      <t xml:space="preserve"> but in this stage you will also be working mainly on programming YouTube videos and your target should be 1 video per week atleast so spend a day just for a video from Planning -&gt; Release but obviously this will be hard with school so </t>
    </r>
    <r>
      <rPr>
        <b/>
        <sz val="9"/>
        <color theme="1"/>
        <rFont val="Calibri"/>
        <family val="2"/>
        <scheme val="minor"/>
      </rPr>
      <t xml:space="preserve">Time Management </t>
    </r>
    <r>
      <rPr>
        <sz val="9"/>
        <color theme="1"/>
        <rFont val="Calibri"/>
        <family val="2"/>
        <scheme val="minor"/>
      </rPr>
      <t xml:space="preserve">is key. So by this point your website would be pretty big and you are releasing heaps of content and they are all piumped for your game, your friends are also super motivated and you are all on track... </t>
    </r>
    <r>
      <rPr>
        <b/>
        <sz val="9"/>
        <color theme="1"/>
        <rFont val="Calibri"/>
        <family val="2"/>
        <scheme val="minor"/>
      </rPr>
      <t>Then</t>
    </r>
    <r>
      <rPr>
        <sz val="9"/>
        <color theme="1"/>
        <rFont val="Calibri"/>
        <family val="2"/>
        <scheme val="minor"/>
      </rPr>
      <t xml:space="preserve"> you finally are in the finishing stages of your game, these will be the most stressful then the video topics will go to stuff like </t>
    </r>
    <r>
      <rPr>
        <b/>
        <sz val="9"/>
        <color theme="1"/>
        <rFont val="Calibri"/>
        <family val="2"/>
        <scheme val="minor"/>
      </rPr>
      <t xml:space="preserve">'Top 10 Marketing Tips' </t>
    </r>
    <r>
      <rPr>
        <sz val="9"/>
        <color theme="1"/>
        <rFont val="Calibri"/>
        <family val="2"/>
        <scheme val="minor"/>
      </rPr>
      <t xml:space="preserve">and programming tutorials will slowly settle down. This year will be stressful you will have to release the game on steam while making sure everything works (by this time you have to let your parents invest atleast 3.5 k in a decent PC for you, so that you can work as efficiently as possible. You will be broadcasting on twitch playing your own game, your friends will share and share and we keep growing it. Asking bigger game entworks to view it and see our following already and even paying for YouTube ads collectively. Then we start to see some profit on Steam. </t>
    </r>
    <r>
      <rPr>
        <b/>
        <sz val="9"/>
        <color theme="1"/>
        <rFont val="Calibri"/>
        <family val="2"/>
        <scheme val="minor"/>
      </rPr>
      <t>Then</t>
    </r>
    <r>
      <rPr>
        <sz val="9"/>
        <color theme="1"/>
        <rFont val="Calibri"/>
        <family val="2"/>
        <scheme val="minor"/>
      </rPr>
      <t xml:space="preserve"> comes profit sharing and building a COmpany which will be AMAZING we will have news coverage and just beautiful bliss before we begin the sequel. Thank you for clarity journal I am signing out now :)</t>
    </r>
  </si>
  <si>
    <t>Very good exercise regime today and just if you need clarity just look above that is my life plan for the next 1-2 years and it will help you so much whenever you feel lost like wtf am I doing, just refer to it and you can just understand and put your head down and just work</t>
  </si>
  <si>
    <t>Okay It seems I was able to fix all the aspects of my game that were bugging me for a while. So I fixed the camera controller to make it work for any situation and also I added some cool banner art that will improve the game by loads. Okay for the website I want to have dynamic charts showing performance and everything so I can use chart.js for that- www.pexels.com</t>
  </si>
  <si>
    <t>I need to start taking the SAT more seriously, you need to take education more seriously to take you to high levels - https://www.wikihow.com/Prepare-for-the-SAT .. Follow this link to understand how to prepare and research about MIT this is your dream is it not -- this is also important link http://mitadmissions.org/apply/international/intltests</t>
  </si>
  <si>
    <t>Okay so this business idea that you have created can actually be something interesting but why can't you do it without that. Do it through software huh? Talk about it with rajin so you can create something out of it. But your plate is a bit full right now so just chill a bit</t>
  </si>
  <si>
    <t>Okay so I have realised that I need to take my life more seriously this entire distraction thing needs to stop. Today was an utter waste the only useful this I did was release this video if I can even manage doing that in the first place… Tomorrow I want a different you will wake at 3am no excuses and you shall work for the entire day. I want the physics work along with the english work done. I want you to compile a way to do SAT and the Unity certification because both will really help you and you need to udnerstand the reality which is that you have to work if you really want something. You need to get back to the website it really needs you in order to survive. Thanks for listenting again journal and I know where I am going with my life now and that is no excuse to be lazy you must still work hard an never get distracted like you did today. But like that guy said some days you win and some days you don't today you failed and tomorrow you will succeed and you must push through on more days than you don't....</t>
  </si>
  <si>
    <t>BRILLIANT DAY FOR ME</t>
  </si>
  <si>
    <t>Shit 5AM COME ON. What the hell stop going to sleep … You need to sleep at 9 to wake at 3 that's ow it works okay so stop being a bit** and go to sleep and wake up early.</t>
  </si>
  <si>
    <t>Okay so your ideal week has been setup in the timeline, and this will be amazing if you work on this for a long time. This improves so many aspects of your life while still giving priority to IB and your project and making sure you can work on all of the extra work. The one thing that you ave to follow is the time management aspect of this. I have to make sure that I always follow it and the main part of this discipline. If you want to go to MIT which you do it will be your dream come true you can make your parents proud and it will just be amazing. In order torder to do this I will have to work hard and the hard work doesnt have to be HARD you know it can be fun anff if you realise that everyday you are imrpving yourself and now just doing it for the sake of doing it then you will push throuhg. Listen to motivational speeches and and just think about being on MIT and learning there. How amazing it would be. to prove to everyone whatveer you said was true. You can work and do the IB I know you can. You are a brback breaking worker and I know this after the ludum dare. If you need to you can work. So make the IB Important, make your life... imporatnat...</t>
  </si>
  <si>
    <t>Okay today you will sleep at 9 and wake at t3. But what I really wanted to talk to you about is to focus at school you are falling behind again and you have this attention disorder which is annoying but it's fine you can work around it somehow. Okay so in Enlgish tomorrow you must ask your teacher if what you have done so far is okay and if you are doing it right so you can change it. If the maths is next week than you should start to prepare now lololol. Okay gn</t>
  </si>
  <si>
    <t>Goodmorning, website time. Wow okay so nice website progress today I fixed some cruicial issues but I still need to some some aspects for the Internet Explorer version. A lot of work still needed in English and need to practise more geometry for maths will do that tomorrow. Morning is website time don't screw that up. Use it for your website. But look at this</t>
  </si>
  <si>
    <t>https://www.the-blueprints.com/blueprints/</t>
  </si>
  <si>
    <t xml:space="preserve">Ive had enough, I really need to get a moveme on with this Website, I need to complete it so I can get to the full blown development of my game, you know dev log guy well he makes such good progress be like him okay. GOOOOOo </t>
  </si>
  <si>
    <t>we are going to die</t>
  </si>
  <si>
    <t xml:space="preserve">Okay so thiss website needs to be complete </t>
  </si>
  <si>
    <t>I AM AN ENTREPRENEUR, okay so as Simon Sinek said you need to provide value to others, why are you doing something!!!! Important. Well I need top stop investing too much time into this website I need to work on the game so I will finish this website quickly...</t>
  </si>
  <si>
    <t>I NEED TO MAKE SURE IM NOT PAYING TOO MUCH ATTENTION TO THIS WEBSITE, IT'S NOT THE DRIVING FACTOR FOR ME. I WANT TO DIVE HEAD FIRST INTO THE GAME THAT I AM DEVELOPING AND THIS BLOG IS JST MY COMMITMENT. IT'S BEEN GOING ON FOR TOO LONG.</t>
  </si>
  <si>
    <r>
      <t xml:space="preserve">Okay clarification time, for the last month and a half I have </t>
    </r>
    <r>
      <rPr>
        <b/>
        <sz val="9"/>
        <color theme="1"/>
        <rFont val="Calibri"/>
        <family val="2"/>
        <scheme val="minor"/>
      </rPr>
      <t>wasted</t>
    </r>
    <r>
      <rPr>
        <sz val="9"/>
        <color theme="1"/>
        <rFont val="Calibri"/>
        <family val="2"/>
        <scheme val="minor"/>
      </rPr>
      <t xml:space="preserve"> my time, it is time for the clarification process. Just go back and understand the time you have spent on this. Jesus </t>
    </r>
    <r>
      <rPr>
        <b/>
        <sz val="9"/>
        <color theme="1"/>
        <rFont val="Calibri"/>
        <family val="2"/>
        <scheme val="minor"/>
      </rPr>
      <t>2 MONTHS YOU HAVE SPENT ON THIS</t>
    </r>
    <r>
      <rPr>
        <sz val="9"/>
        <color theme="1"/>
        <rFont val="Calibri"/>
        <family val="2"/>
        <scheme val="minor"/>
      </rPr>
      <t xml:space="preserve"> okay and I finished half of the website in the last 2 days...??? Okay that's all in the past. Okay so all you have to do now is use the PHO to make sure the grid columns fix eachother. Then you have to do the quick filtering for tutorial etc... Then you have the entire menu system for all of them done. Then connect your socials, create a quick searching system. Just because we are being quick doesnt mean you have to make it ugly. So for the development log I want a nice timeline view. But that should take only less than 1 week considering you wake up at 3am the entire week. Okay I know SAT Prep may not be going on but I realised the lower the prorities I have the more I can focus on something. So once I finish the website I might start working on that okay! Nice. Laright so once I finish the front page of the home page, I want to add a nice image and starting thing to the home page. Then after that I need to make a single view for - Tutorial, Dev Log and Blog Post. Very simple and clean layouts that need no polising. Then you just create the little icons for your website. Then the big task of testing and filling out and linking everything in the website. Then you need to link it to CodeWithAjay.com, then begins the analytics setup and then SEO Optimisation plugins and just fully start posting. Then you need to quickly market it, on your channel, get it up on twitter - go advertising yourself on other websites - keep posting on relevant topics that are important but also post on development logs. Then you can </t>
    </r>
    <r>
      <rPr>
        <b/>
        <sz val="9"/>
        <color theme="1"/>
        <rFont val="Calibri"/>
        <family val="2"/>
        <scheme val="minor"/>
      </rPr>
      <t>finally begin working on your GAMEEEEEEE!!!</t>
    </r>
    <r>
      <rPr>
        <sz val="9"/>
        <color theme="1"/>
        <rFont val="Calibri"/>
        <family val="2"/>
        <scheme val="minor"/>
      </rPr>
      <t xml:space="preserve"> Minimum this will take 2 weeks and if I work hard I believe I can make this</t>
    </r>
  </si>
  <si>
    <t>You must have a dark side, only when it is needed. Always focused.</t>
  </si>
  <si>
    <t>Let's make this game a community thing so that everyone contributes in a positive way and I am the strongest link in the chain.</t>
  </si>
  <si>
    <t>Next Week</t>
  </si>
  <si>
    <t>I know I havent talked to you in a while, but I have been really busy with the exams which I have the english sorry today and I need to make sure I do the english today and do it well, just speak clearly and it will be fine..</t>
  </si>
  <si>
    <t>Wow, after this long 2 months I am finally near the end of the development of this website, I have worked quite hard on it over 2 iterations the first one being for the experience of developing the website and learning about wordpress (which I am very good at thank god hahah) and this month which i spent building this beautiful card layout which I will be using continiously and upadting over and over again without fail until it becomes massive. I will work on updating development logs every day including today and uploading tutorials which I need to set a time line for. I will begin writing a plan to fully make this game (learn about planning online etc..) Just now I need to finsish the footer, export data to wordpress and make everything work with codewithajay.com in which there will be a lot of problems.</t>
  </si>
  <si>
    <t>Okay just a few minor things like adding the image to the front and increasing the marginals and then the website ifs absically at it's finish. Do the log for today and then you will begin planning out what the release for the development logs will be and their structure. i am 100% doing the video logs so that will be a thing and I can see now that I can stick with a project this is a very good success and I am super happy with this result! Okay so once you plan out the video structure then you can work on how the game is going to be created and the checkpoints and you need to read up on how planning works etc.... SLEEEP</t>
  </si>
  <si>
    <r>
      <t xml:space="preserve">Woah okay so I realised I had to do a lot of stuff for SEO Optimsation and it was just a reallyyyy deep rabit hole which I cannot come out of, I need to keep checking the chache settings for google because currently it is bad and doesn't exactly work so I have to fix that. They say it will take up to a week so I have to wait. Today I want to be very productive in the game part so I will be planning today (the entire day yes) how I will be uploading content both blog wise and development log video wise, introductory videos. I will be researching how to plan out this game step by step starting off with the big tasks in the word doc and breaking them down into smaller and smaller takss until I can manager. So that's the </t>
    </r>
    <r>
      <rPr>
        <b/>
        <sz val="9"/>
        <color theme="1"/>
        <rFont val="Calibri"/>
        <family val="2"/>
        <scheme val="minor"/>
      </rPr>
      <t>plan</t>
    </r>
    <r>
      <rPr>
        <sz val="9"/>
        <color theme="1"/>
        <rFont val="Calibri"/>
        <family val="2"/>
        <scheme val="minor"/>
      </rPr>
      <t xml:space="preserve"> for today</t>
    </r>
  </si>
  <si>
    <t>Make sure you remove website clutter from computer, backup to the external drive and clean up the HTDOCS. Then you can begin planning</t>
  </si>
  <si>
    <t xml:space="preserve">Goodmorning world, today is a big day for me. The website is finally complete and I am ready to start the development process. I have 7 months until the end of this year and the way I use it is the best way to think about it.
Okay let's talk about this development in nefarious and it's development I want to create a proeper scheduling sheet, i want to upload a development log once every two weeks along the time I will be collecting footage and I will put it all together in the end and then will do a voice over with that footage at hand which will be highly post processed content. Everyday that I make progress on the game I will relentlessly put what I have done on the blog and will reveal the game's nature and story very soon. I will begin the first development log on what I have been doing, the game and some stuff about it about the website that I have been working on and the planning that I have been doing. The upload schedule and the plan of tutorials etc..
So today I would like to create an excel sheet outlining my regular updating habits on social media as well as YouTube and the content that I will be creating, I will look at the structure of other videos that do similar things and I will try and imitate what they do well and not be lazy in these aspects and bring to life clean and simple videos that are high quality. I will test moms mic and use it with audacity to try and create clean audio.
</t>
  </si>
  <si>
    <t>Need a proper layout for the blog, with a structure, I need to use the worpdress plugin on my phone which will automatically responsify the images to work for my website which is easy to use. I want to fix these small things up and then start the promotion process.</t>
  </si>
  <si>
    <t>So cool the website images are responsive now, I am awake now at 3 which it has been a while, the strategy being sleeping at 9 obviously. Well I don't have moms phone which is  ablessing and a curse because with the proper technique the macbook actually have very good sound quality so I will be using that now instead anyway. So I will finish the vocals before 4. And after 4 I will process the vocals properly and begin the editing process. I will determine what goes where and begin collecting some footage for the video until year</t>
  </si>
  <si>
    <t>Yeah I can't do this without the phone. I need to tell mom to keep it out tomorrow so I can use it or something. Maybe this afternoon will be a good itme.</t>
  </si>
  <si>
    <t>Okay I just feel a bit lost now , I feel very lost actually. I finished the website and I finished the player plan, so now I am onto building the player and this is where it is getting hard. I need to create a development log, and once I do that I can begin creating the player controller which is going to be the first real part of the game that I work on which will be fun. So I will work on the script now and then I will work on th game... This YICT Thing will take some time and I will work on it soon enough.</t>
  </si>
  <si>
    <t xml:space="preserve">Okay so I need a plan and I am just going to close my eyes and write this, okay so I have been working very hard on my game and I know that is my priority but I really want to consider many toher things as well - one my rel w k which I need to improve, then I need to focus on my IB studeies which is extremely imoprtant there is no need to just throw that asway okay. But this game is very important and I need to allocate time to it which I am not doing. But this YICT thing is also pretty big in my life and it is getting very complicated very quickly </t>
  </si>
  <si>
    <t>Wow what a turn of events, all of a sudden I am here in the middle of no where because of some random reasons. I am very sad about grandpa passing away and this has enlightened me a lot, even people that work their entire lives die. So you have to work as long as you need to in order to make a difference and then once you finish that you have to enjoy the rest of your tie and give back to those who were closest to you. This is how I am going to be living my life and this is how I advise everyone elese to live as well. I am going to work extra hard before university and work during university and get a lot of money and then I will give back to this world and then I will chill for the rest of my life. Thiss is how I will live</t>
  </si>
  <si>
    <t xml:space="preserve">Okay tlets talk technically now, okay so what stage are you on now I am in the development stage of my player yes. Yes. Okay so I finsihed the webssite sso I have to keep updating that. I need to more importantly make the development log for my game to get things started. This is how it will work, the development logs and website will be my side hustle while the game is my main hustle. This YICT and School is side side hustles even though school will ge more priority from me for now. </t>
  </si>
  <si>
    <t>So I need to understand that the key to all succcess in life, is disciple. I really lack in this factor. I always change the timetable based on what I feel like not on what should have happened. So from now I will follow the time table I have set even if I have no lcue what I am doing I will try and achieve it by getting a clue. Okay I need to focus up my life right now. This YICT is important. Yes. But it doesnt mean you can't focus on your game which is the biggest aspect right now because if you can finish the game then you will be able to go to steam and when you get to steam things wil take off from there. You can make a name for yourself and that is the most important factor. i could even if I wanted from there build an app. But based on this holographic YICT technology, if this becomes big then that's something. I just need to figure out what I am going to be working on in India....
I want to get a bsae prototype of my character controller ready, let's just work on this in my agile plan and make sure I get somethigns done.</t>
  </si>
  <si>
    <t>From now on I promise to myself that I will be disciplied.</t>
  </si>
  <si>
    <t>Today was an emotional day for everyone and I hope thatha reaches heaven and his soul rests in peace for eternity. I loved him very much but I just couldn’t bring myself to cry after how much I had cried before hand at home. But I did take something away from this experience - you must be the hardest worker in the room and you must work hard silently and touch as many people as you can with your time here. You have to touch them emotionally and do something for them so that when you die they cry and tell everyoone how great a person you were. Like there were so many of his patients there saying how he had saved their lives which was just amazing to hear. He worked so hard when he was little to get to where he always wanted to be which is a business man. He worked much much harder than me and I think I can work even harder and this is how I am going to do that - &gt;</t>
  </si>
  <si>
    <r>
      <t xml:space="preserve">You must be the hardest worker but be silent and </t>
    </r>
    <r>
      <rPr>
        <b/>
        <sz val="9"/>
        <color theme="1"/>
        <rFont val="Calibri"/>
        <family val="2"/>
        <scheme val="minor"/>
      </rPr>
      <t>kind</t>
    </r>
    <r>
      <rPr>
        <sz val="9"/>
        <color theme="1"/>
        <rFont val="Calibri"/>
        <family val="2"/>
        <scheme val="minor"/>
      </rPr>
      <t xml:space="preserve"> to everyone - okay lets focus on the hard working part first - hard work is synonomous with working smart. Working smart comes from discipline and that comes from good time management - so this is what I need you to do - whenever you set something on your time table i </t>
    </r>
    <r>
      <rPr>
        <b/>
        <sz val="9"/>
        <color theme="1"/>
        <rFont val="Calibri"/>
        <family val="2"/>
        <scheme val="minor"/>
      </rPr>
      <t xml:space="preserve">owe it to myself and keep a standard for myself that I do what I say I am going to do </t>
    </r>
    <r>
      <rPr>
        <sz val="9"/>
        <color theme="1"/>
        <rFont val="Calibri"/>
        <family val="2"/>
        <scheme val="minor"/>
      </rPr>
      <t xml:space="preserve">next I need to wake up early at 3 o'clock </t>
    </r>
    <r>
      <rPr>
        <b/>
        <sz val="9"/>
        <color theme="1"/>
        <rFont val="Calibri"/>
        <family val="2"/>
        <scheme val="minor"/>
      </rPr>
      <t>everyday</t>
    </r>
    <r>
      <rPr>
        <sz val="9"/>
        <color theme="1"/>
        <rFont val="Calibri"/>
        <family val="2"/>
        <scheme val="minor"/>
      </rPr>
      <t xml:space="preserve"> without fail. There are no excuses. On those days that you fall asleep at 11 oclock you don't set the alarm back. You keep it at the same time and if you don't sleep that day thats fine - you can sleep a bit earlier the next day but you will keep waking up at 3 oclock anyway. Next is taking care of your body - you need to exercise more regularly - for the arms you can work on 200 pushups (working up to it but first you can 100 pushups properly which as effective and then do your usual abs exercises)... Okay then working on the IB - you need to take more notes in class and stop talking to your firends. You need to focus on the content and get your head in the game.</t>
    </r>
  </si>
  <si>
    <t>Okay so I need to talk to you about standards - you need to hold yourself to a whole nother level if you want to go where you want to go -- you have realised how precious life is at India. Bam done and the life is gone. You also know that you are lucky asf that you are born to such a high quality family - like you saw all the kids on the street they are the unlucky ones you are not. Lets make a difference this year. I need this right now I just need to hold myself to another standard. I need to owe myself more - i deserve more - my family deserved more.</t>
  </si>
  <si>
    <r>
      <t xml:space="preserve">So let's make a change - these are the things I want to change - 1. watch your language (that’s all I need to say - easy - just be quiet, don't boast about your hard work - sure you work hard but doesn’t mean you have to tell everyone about it - </t>
    </r>
    <r>
      <rPr>
        <b/>
        <sz val="9"/>
        <color theme="1"/>
        <rFont val="Calibri"/>
        <family val="2"/>
        <scheme val="minor"/>
      </rPr>
      <t>be quiet</t>
    </r>
    <r>
      <rPr>
        <sz val="9"/>
        <color theme="1"/>
        <rFont val="Calibri"/>
        <family val="2"/>
        <scheme val="minor"/>
      </rPr>
      <t xml:space="preserve"> no swearing okay. Keep it quite -if you get angry just relax it ) easy okay. Next is holding yourself to a standard in discipline - if you set a time to do something first understand why you set that there - next you need more time so you will have to wake up at 2-3 oclock </t>
    </r>
    <r>
      <rPr>
        <b/>
        <sz val="9"/>
        <color theme="1"/>
        <rFont val="Calibri"/>
        <family val="2"/>
        <scheme val="minor"/>
      </rPr>
      <t>everyday</t>
    </r>
    <r>
      <rPr>
        <sz val="9"/>
        <color theme="1"/>
        <rFont val="Calibri"/>
        <family val="2"/>
        <scheme val="minor"/>
      </rPr>
      <t xml:space="preserve"> not just 1 or 2 days. EVERYDAY. Application is key. let's do something with all this information in your head. I need to equally operate 100% on all aspects of my life. Let's do ittttttt</t>
    </r>
  </si>
  <si>
    <r>
      <t xml:space="preserve">Okay lets talk about life now, okay this is important - you have to be excited about where you are going in life so lets talk a bit about this - fitness wise I am aiming for those blocky abs that come from a year of dedication . That's fitness I want the vainy big muscles on my arms there is no shame is saying that you want this. In terms of my game I want the full game done and released on steam with many many followers on YouTube and my website by that time. I want to reach upwards of 100,000 subscribers by that point and a fan base of 20,000 on my website. Once I reach this point people will buy my game when it is released for $10 and let's say 22,000 people buy it which is a stretch but yay - then $220,000 woah right. Thats a massive amount and I could easily give back to everyone who gave to me. I will be able to go to the talks and Unity conferences and I think I will take a day or two off to release the game on steam and support those who have helped me for a long time. The following on Twitter, YT and Website will help me out in buying the game. I will use the money to build myself a nice gaming pc to support development. I will be invited as a guest speaker at Unity and other conferences where I will make a lot of contacts. On the side the game will keep growing and soon I will begin development of a extension tto the game which is the multiplayer open world battle royal with players as bomb carriers etc with the entire game except in multiplayer controlling armies which will be awesome and then opening workshops etc and allowing people to extend this game with level designers and hosting those maps etc... Then I will be able to talk to the big blogging sites to get them to promote my game, at this point I will be in the finishing stages of the IB curriculum and would have had a lot of money by then, I am studying very hard and I would have finished taking the SATS and been recognised by MIT and been allowed for an interview. Dad and I will fly over and impress them with my amazing interview and I will soon be living in America with some friends and still be improving the game over theer. When I am there I will secure myself a job in some big game development company wher I will work in a lead role. I will also finish my university to a very high level and be picked by some big ccompanies to work there. While at these companies I will continuously work on my own development projects trying to take my life to the next level, while starting some tech startups with a secured job to make sure that nothing goes wrong like that. But at some point I will have to </t>
    </r>
    <r>
      <rPr>
        <b/>
        <sz val="9"/>
        <color theme="1"/>
        <rFont val="Calibri"/>
        <family val="2"/>
        <scheme val="minor"/>
      </rPr>
      <t>jump</t>
    </r>
    <r>
      <rPr>
        <sz val="9"/>
        <color theme="1"/>
        <rFont val="Calibri"/>
        <family val="2"/>
        <scheme val="minor"/>
      </rPr>
      <t xml:space="preserve"> this is important. Okay now I am very successfull and I will start the startup which I want it to be in the line of immersive games technology and inventing new platforms in which people can game and interact with technology (I want to do something as big as Oculous Rift)... Then I will really become a billionaire. Then I will work on my compnay and build games and become a philathropist starting big companies to save the environment and people. i will give back to everyone who gave to me etc... This is where I want to go in life - this will just be amazing...!!!!!!!!!!!!!!!!!!!!!!!!!!!!!!!!!!!!!!!</t>
    </r>
  </si>
  <si>
    <t>I hate travel.</t>
  </si>
  <si>
    <t>Time is up. Let's get to work now - what is the work? I don’t exactly know what I have to do  - I know I have some work in physics and business. But I really need to focus on keeping the house as clean as possible --- so that'll be the hard part. Wednesday put the clothes in the wash and take it out, wash the dishes when they get dirty and vacuum on saturday and sunday - it's only two weeks so I'll be alright.</t>
  </si>
  <si>
    <t>Don't need to talk too much but here are a few tips -
Wake up at 3:30 - 4:00 which is a good time, and soon progress up slowly…</t>
  </si>
  <si>
    <t>I need some type of a study plan………… A guide (written of what I am doing)</t>
  </si>
  <si>
    <t>It's at times like this when you are super overwhelmed that your reveal your true self and the hardworker in you and you can really shine. I love your work ethic when you're under pressure. Keep it up ;)</t>
  </si>
  <si>
    <t xml:space="preserve">I feel like shit because I woke up late and then slept again and woke up at 7:44 which is not good and I need to steady myself because I don't feel good ata ll. I need to exercise because I feel like absolute shit. I NEED TO FINISH MY DEVELOPMENT LOG TODAY. Today is one of those days where you just feel stuck and you can't work on ANYTHING yes. I know how this feels. Usually this is when I quit on a project but I won't do it this time. I just feel like shit. Tommorrow will be better.. But I need to progress on the game okay, and I need to 100% make the development log. So I am going to stop the development of the development vlog until I finish the entire player controller, which then I will go over and show show I did it etc.. I will make it interesting on the day I make the video. Like taking short real life segment of videos. Then I will talk about how I made the controller and where it is going to go from there. </t>
  </si>
  <si>
    <r>
      <t xml:space="preserve">In terms of IB and school this is what I need to do - 
I need to clarify all my questions with my teachers, in terms of physics etc.. But I need to do some serious math revisions on the concepts and problem solving because I am behind for sure. Then I must do the Spanish homework that was set because it will actually help me, and I need to know how to do this entire thing properly. Okay good I need sleep. </t>
    </r>
    <r>
      <rPr>
        <b/>
        <sz val="9"/>
        <color theme="1"/>
        <rFont val="Calibri"/>
        <family val="2"/>
        <scheme val="minor"/>
      </rPr>
      <t>Please tomorrow you need to wake up with the right attitude.</t>
    </r>
  </si>
  <si>
    <t>Alright in the development stage this is what I need to do still - 
I have began modelling but I feel stuck in that as well, I need to make sure I stick to the coding side, like I told myself I would. I need to make the slope checking works, this is what i will focus on for the rest of the day. I will fix the slopes PLEASE FINISH THE COMPLEX MOVEMENT AND THEN DO THE CAMERA.</t>
  </si>
  <si>
    <r>
      <t xml:space="preserve">I am going to be making development videos, especially those ones where I take people on an </t>
    </r>
    <r>
      <rPr>
        <b/>
        <sz val="9"/>
        <color theme="1"/>
        <rFont val="Calibri"/>
        <family val="2"/>
        <scheme val="minor"/>
      </rPr>
      <t>interesting journey</t>
    </r>
    <r>
      <rPr>
        <sz val="9"/>
        <color theme="1"/>
        <rFont val="Calibri"/>
        <family val="2"/>
        <scheme val="minor"/>
      </rPr>
      <t xml:space="preserve"> but I will only do that once I finish the player controller.</t>
    </r>
  </si>
  <si>
    <t>From now on I am going to use the teachers, as they are the ones that will actually help as they are getting paid to do very that!!!</t>
  </si>
  <si>
    <t>You realise that you are losing your disipline. And that person said - ' You speak and walk like a beast. But when it's time to do what beasts do, you back out… ' waking up at 2 am. See you have work but you don't wake up …. You can wake up and be productive but you punted that. Okay so do this on the train atleast...</t>
  </si>
  <si>
    <t>Two words : Wake up</t>
  </si>
  <si>
    <t>Once all the assignments are done, clean up the hard drive and backup the needed files.</t>
  </si>
  <si>
    <t xml:space="preserve">I know I haven't talked to you in a while - but you should really get some balls and just talk to her atleast. Yeah her. Just be like hey, how'd you go with physics. Hahaha I think we all did terrible - </t>
  </si>
  <si>
    <r>
      <t>Now the psat week have been pretty trash and I know I haven't talk to tyou but I know what I am doing. For the money I will be working with Akira on the side and it may even come with some good perks like getting this computer for a pretty cheep priceeee. So I can't wait for that. I just need to build him a good website and do some marketing (whcih he can pay for). I need to focus a lot more on YouTube as that will be the thing that funds for my PC. I will reelease the first video and if it does good then i will continue to release but if it doesnt do good then I am better off creating a really sophisticaed Udemy video or going for job over the</t>
    </r>
    <r>
      <rPr>
        <b/>
        <sz val="9"/>
        <color theme="1"/>
        <rFont val="Calibri"/>
        <family val="2"/>
        <scheme val="minor"/>
      </rPr>
      <t xml:space="preserve"> long term holidays.</t>
    </r>
  </si>
  <si>
    <t xml:space="preserve">Dad is right you still do have to help out around the house so affiliate marketing is the way to go, first promote bluehost and then get bigger </t>
  </si>
  <si>
    <r>
      <t xml:space="preserve">I am sick and tired of not working holy shit. I am so mad right now. I am going to vacuum the houe now then I will </t>
    </r>
    <r>
      <rPr>
        <b/>
        <sz val="9"/>
        <color theme="1"/>
        <rFont val="Calibri"/>
        <family val="2"/>
        <scheme val="minor"/>
      </rPr>
      <t>fix the slope controller, then I will optimise the controller a bit more</t>
    </r>
    <r>
      <rPr>
        <sz val="9"/>
        <color theme="1"/>
        <rFont val="Calibri"/>
        <family val="2"/>
        <scheme val="minor"/>
      </rPr>
      <t xml:space="preserve"> then I will begin </t>
    </r>
    <r>
      <rPr>
        <b/>
        <sz val="9"/>
        <color theme="1"/>
        <rFont val="Calibri"/>
        <family val="2"/>
        <scheme val="minor"/>
      </rPr>
      <t>finishing the game design document</t>
    </r>
    <r>
      <rPr>
        <sz val="9"/>
        <color theme="1"/>
        <rFont val="Calibri"/>
        <family val="2"/>
        <scheme val="minor"/>
      </rPr>
      <t xml:space="preserve"> and then I will work on the YICT PLAN which I will begin acting on tomorrow. I need to send data of the eye first, let me install the packages I need. Put a sold 1-2 horus to install it on mac, don't be lazy. I dont know if I have depression or not, haha :( . Okay so I need to switch to a task based management system where I set out a cert  amount of tasks per day and the goal is to finish those no matter what.</t>
    </r>
  </si>
  <si>
    <t>Today, let's try minimal distractions. It is possible you must believe…</t>
  </si>
  <si>
    <t>Don’t wase any more time on youtube
Working on YICT went pretty well today, I got the eye tracking working and I also know how to send data back and forth from the server to unity, so now I will build a plan for this that I can follow. If time persists I will try building my own algorithm for pupil detection. Or using the python input I can further refine. I will be exporting onto the phone and the phone has very good camera so eye tracking will be much much better.</t>
  </si>
  <si>
    <t>You are spreading yourself tooooo thin now, you need to lock in on a few things right now. One of them is a very good locomotion system because I have decided that movement is one of the most important aspects in my game and in order to get that right I have to make sure everything else works perfectly.</t>
  </si>
  <si>
    <t>I'm actually kind of happy YICT is off the map so I can focus more on my game. It's absolutely fine for me. But I also need to focus more in math, I know that seating position isn't helping me so I will start to move forward or atleast revise math. I need to do myimath today</t>
  </si>
  <si>
    <t>Like les brown says you must make decisions in your life that may not be so popular with your friends or family so you must act in your best self interest even if they say that you are selfish or whstver. It doesn’t matter, I will be working on my dream so screw everyone. I don't need them,</t>
  </si>
  <si>
    <t>I need a ritual (a morning ritual), wake up and … 00think about it00</t>
  </si>
  <si>
    <t>If you will use tomorrow wisely then stay at home… dcabf</t>
  </si>
  <si>
    <t>Look today you need to work, full displine okay. You gave up a super fun day for this and you better use it right</t>
  </si>
  <si>
    <t>Holy shit I just realised something, I don't have a definite goal that I am working towards. I need a goal and I need it now. I need a SMART goal. Why, where, how, what, and from there?</t>
  </si>
  <si>
    <t>Wow, massive leap forward in time from the last time I did inverse kinematics and I am so happy, it just goes to show how much I am imporving over the years and as time goes. Last time around I was struggling so much with getting gthis constraints to work and I am super happy that I have fully functional constraints, and I believe I will get the full body IK working and I will be able to show my audience how great this is. I will be adding this to my script and I'm going to reward myself slightly for an hour or two for the amazing amount of effort and work you put in. Ajay Venkat I truly love you, no matter what anyone says you are the best and we together are going to create this amazing game and build a channel and an empire together. We are unstoppable. This is what happens when you drink too much coffeeeee xoxoxoxo Ajay alove you !!! !:)D)D)D)</t>
  </si>
  <si>
    <t>Can't be a billionaire through games… Hahah, watch me world. I am going to be the first billionaire who started off through games. This is how I am going to do it - I am going to release this game, I will use the money that I earn from that to invest in houses and grow my profit from there, using the new capital I will build a technology that will revolutionise how games work ( a new platform )  using that I will re-invest and invest and patent it. I will license the technology to the biggest comapneis in the world and through that I will become one of the yougest billionaires of my time. Watch me world. Just watch me....</t>
  </si>
  <si>
    <t xml:space="preserve">So I was thinking, what if I reached out to a bigger and greater audience : 2 videos every one-two weeks ! Similar as well. Give people a start into development - 
Plan your next video to be the
- Introduction to Game Development Series
 : The full process of making a game (Why you are making it)
- Talking about the industry and if you are right for the job
 - Talk about planning
- Learning curve
  - How to plan (examples
 - Talk about motivation
 - Good sexc titleeee!!!
- Learning and staying at it
- Scope 
- Engines , Languages and What you are good at 
- Good places to get started with Unity (Promote your own channel)
______________________________________________
With a good quality mic, you can start pumping out superb quality commentaries on relevant topics and really expand your grasp around the game development industry on YouTube and even grow from there to Udemy with the very high quality mic and start selling courses on Udemy. Through all of these platforms + your own game being on steam you are certainly going places which I am very happy for.
</t>
  </si>
  <si>
    <t>Once I start getting a bigger YouTube channel maybe 1.5K I will use Patreon - https://www.patreon.com/
Okay in terms of the IK systemin my game, I don't want super complicated constraints right now, I just like the cone constraint that I have atm and I will expand into an eliptical one when i need it later, until then i can use box constraints etc to do the job. Same thing imao. I don't watnt to waste time on this. I jsut want to get the foot ik to work. I can do that tomorrow. I believ I will have one hour and if you use that one hour wisely I can get the FABRIK clases to work and then use that to build the algoirhtm. I can do that in the morning as well imao.</t>
  </si>
  <si>
    <t>I know I have the business on Thursday but there is nothing to revise except for doing a case study on Break Even and I will do that after I do math revision…</t>
  </si>
  <si>
    <r>
      <t xml:space="preserve">That was a pretty productive homework session, I wrote down a massive spanish paragraph where I learnt quite a few things, but I still need to do dedicated like home vocabulary + just vocabulary and verbs in general. Then I also did all the maths that we have been doing to make sure I am on track, which I am. I just will do some problem solving when I get back and then I will finish the IK system. I did some solid progress on Business I just revised the notes. </t>
    </r>
    <r>
      <rPr>
        <b/>
        <sz val="9"/>
        <color theme="1"/>
        <rFont val="Calibri"/>
        <family val="2"/>
        <scheme val="minor"/>
      </rPr>
      <t>This is what I will do, once I come back I will do some problem solving from trig in maths for 20 mins and then for the next 20 mins I will do some physics questions with components and do them correctly... Then I will do some more business and finish the IK system tonight. This is how to be productive and I like it because I am learning things and it will help me out greatly during the exams. Make sure you are energized when you are working. Just begin answering questions and talking to yourself for clarity like this. Adios amigo</t>
    </r>
  </si>
  <si>
    <t>I know the problem with the Ik system, you are trying to do a full body IK system, but that is just stupid for now, what you have to do is setup an IK chain at leg and solve for the leg in that script by it's self which connects to a root bone which just has a collection of chains and fires them. That's all. You need to delete all the classes and do that again. Screw links just keep the bones in one class and have a seperate list of floats that have the distances. This is much more optimised and smarter imao.
So create a single chain and solve that IK. This way we can have seperate Ik for the arms and the legs and they can both affect the appropriate poitns of the body because extending your arms isn't going to move your player, but moving your legs will lol. Okay I will implement it this way then.</t>
  </si>
  <si>
    <t>This IK Is giving me more trouble than I expected I made it simple for myself by segmenting it into two different bone piles, I just need to do it with a for loop. I think I may just have to compress it into one IK file, make that work and then I can move forward. I may have to use the LINk system again ;) That's how I can make it work. I can do that from 12-1 today</t>
  </si>
  <si>
    <t>Hey journal the last few days have been very chaotic so I haven't been able to talk to you. I was kindof finding myself. I was in a very dark place for the last 2 days. But im fine now. The IK system is set up on the fake bones I just need to attach it to the model and make it work with the animations and work with the floor and rotate stuff. Hahaha this development log will be good. I also want to finish the script for the introduction to game development. I want to be into the point and not tell people too much about me. I need a hook. I also want to work closely with Johan in order to create some cool video footage. I want to get my foot into the video development industry with a really cool intro im not sure. I also want to improve my YouTube retention rate. But while focusing on all of this I also want to be involved in studies so I will be working on revision this afternoon to make sure that I am on top of everything and then I will go onto writing the script for the two YouTube videos and hopefully I will wake up and record.</t>
  </si>
  <si>
    <t>BROKEN</t>
  </si>
  <si>
    <t>BROKEN &amp; FIXING</t>
  </si>
  <si>
    <t>Hhahahahahah need to make sure the agile plan is up to date.
I just want to acknolage the next landmark - which is buying a stable PC using the money that I earn and this will propel me to the next level. To do this I will improve my YouTube channel and begin to develop Unity Udemy Videos</t>
  </si>
  <si>
    <t>Important/Goals</t>
  </si>
  <si>
    <t xml:space="preserve">https://buildfire.com/free-app-promotion/
</t>
  </si>
  <si>
    <t xml:space="preserve">I can make an app for omney. If I can build an epic time management app that I WOULD USE . That is targetted for kids and improves motivation etc through a variety of means. Why the hell wouldn’t you use it. Then once you have a VERY SLEEEK UI with GOOD MECHANICS AND most importantly GOOD MARKETTING you will literally explode. They can't stop you. Use that
</t>
  </si>
  <si>
    <t>The IK system is beautiful . I am grateful for everything in my life. Parents, technology, friends and everything and everyone that meks me happy. Living in this amazing country and so much more. Thank you world. I woke up early today and I finished the IK system I believe. So wI will be able to apply the foot ik system today and I will just be back once I do some simple exercise. See the best thing to do is to work for 2 hours. Break. Your focus can last two hours which is very good
Well done ajay, really good work ethic today. I got the iK blending working and it came so randomly and quickly and almost by accident. I love it. I will be finishing the foot ik system tomorrow and blending it correctly. We will see how that works. I also want to spend some time on the app for the side purposes. Not only will it be very effective for me but also aid me alot. Tomorrow I need to focus more on school revision though. I need to commit myself for this week to fully be vested in the revision of all subjects, getting questions and asking teachers every day about the work and making sure i am 100% confident with all aspects of this</t>
  </si>
  <si>
    <t>I SOLVED IT!!! YASSS it needs heaps of tweaking for example the animation leg doesn’t lift sometimes, so I might just artificialise it. Wow this is amazing. I have to pay more attention to the ik from now and I will do blending of the hip bones to work with the rig. I will add a reference bone in every blender thing for arm positions, leg positions etc.. This will be good. I am happy worth the morning work imao</t>
  </si>
  <si>
    <r>
      <t xml:space="preserve">Okay I have to be slightly honest with myself, Unreal Engine is much better than Unity so what I will do is build as many development logs as possible and release them. I will research YouTube promotion and actively promote my channel and twitter. I need to start a following I will research this at 9-10 today. I need to get enough money to buy a </t>
    </r>
    <r>
      <rPr>
        <b/>
        <sz val="9"/>
        <color theme="1"/>
        <rFont val="Calibri"/>
        <family val="2"/>
        <scheme val="minor"/>
      </rPr>
      <t>very high end</t>
    </r>
    <r>
      <rPr>
        <sz val="9"/>
        <color theme="1"/>
        <rFont val="Calibri"/>
        <family val="2"/>
        <scheme val="minor"/>
      </rPr>
      <t xml:space="preserve"> gaming PC that can easily handle Unreal and I will port my game so far to Unreal and that shouldn't be hard as the code bases are the same and I will use the same logic and port it into C++ or Blueprint (I will learn about everything)</t>
    </r>
  </si>
  <si>
    <t>Let me clarify. I have the basic idea of the animation and IK blending working. Now I just need to be able to seamlessly blend between that, and for that I believe the best option is to use the motion curves to blend in and out of IK. Or I can even use my own animation curves. But I need to make sure that fooot IK is only being affected when it is needed and it is blending in and out seamlessly. I also need to be able to preserve the old animation without killing it too much, so I should blend in and out of IK it's self as well. Which can be done with the double blend effector tool. So if I get the right mix of everything and reposition the feet and ankle I should get the desireable results that I am looking for and I can teach it to people. But until then don't celebrate too early am iright.</t>
  </si>
  <si>
    <t>Ultimately, an influencer with a strong social media following, is someone who the fans and followers go to for inspiration and knowledge in a certain subject area. They motivate and provide expertise.</t>
  </si>
  <si>
    <r>
      <t xml:space="preserve">I've had enough of being passive. I'm almost like js. Working hard but never being recognised. I have accounts in instagram and twitter. I need to start actively posting and hashtagging. I have to find a marketting plan that suits me in order to build a following on YouTube, Instagram, Twitter and from there I can publish the game and an app. Think now, if you don't have a following by the time you upload your game, then how will all this hard work pay off. </t>
    </r>
    <r>
      <rPr>
        <b/>
        <sz val="9"/>
        <color theme="1"/>
        <rFont val="Calibri"/>
        <family val="2"/>
        <scheme val="minor"/>
      </rPr>
      <t>you need to focus on marketting yourself</t>
    </r>
    <r>
      <rPr>
        <sz val="9"/>
        <color theme="1"/>
        <rFont val="Calibri"/>
        <family val="2"/>
        <scheme val="minor"/>
      </rPr>
      <t xml:space="preserve"> in everyway possible. More tutorials, and start with a hook on YouTube, really engage audience. Think about how to do that on </t>
    </r>
    <r>
      <rPr>
        <u/>
        <sz val="9"/>
        <color theme="1"/>
        <rFont val="Calibri"/>
        <family val="2"/>
        <scheme val="minor"/>
      </rPr>
      <t>tutorials</t>
    </r>
    <r>
      <rPr>
        <sz val="9"/>
        <color theme="1"/>
        <rFont val="Calibri"/>
        <family val="2"/>
        <scheme val="minor"/>
      </rPr>
      <t xml:space="preserve">, the weekend after test week. I will upload a video once or twice a week. I will upload 2 developmetn logs over the weekend, with 3 tutorials and really boost the quality with my mic and many offscreen transitions teaching how things work. I will promote my Instagram and Twitter. </t>
    </r>
  </si>
  <si>
    <t>Once you get the system to work on the other character it will be very nice, see you just have to make sure that the basic system works and then after that it's all up to you. The problem though is that the elbow is taking away too much of it's power, so what you will have to do is tug it in the right direction by putting the elbow effector first and then using the rest of the chain to complete it.</t>
  </si>
  <si>
    <t>%</t>
  </si>
  <si>
    <t>Final Revision</t>
  </si>
  <si>
    <t>Days Until Exam</t>
  </si>
  <si>
    <t>Hard work was done</t>
  </si>
  <si>
    <t>Literrally 100 rays will be cast down and a terrain will be created around the player and a point there will be selected in order to be the place to land the feet.</t>
  </si>
  <si>
    <t>Build a tool to create the proper animatino curves. Do an animation analyser that takes the time of the current animation and displays it, you can create keyframes at the time.</t>
  </si>
  <si>
    <t>Working</t>
  </si>
  <si>
    <t>BUT WOW THIS http://www.gdcvault.com/play/1023316/Fitting-the-World-A-Biomechanical</t>
  </si>
  <si>
    <t>I have been obsessing over IK this much, but in reality it doesn’t really play a big part in real animation. So in blender create slope animation and an extreme version and a non extreme version. These can be interpolated between to get the feet closer to what it should be, then you can predit foot motion using previous and vel and calculate a new hip position to get the feet even closer, then you will predict individual foot position and then you can interpolate between this and the IK just as you are about to reach it and slowly blend into the rotation of the ground... You can do this and cut down a lot of IK cost and even stop using the elbow joint. This is so much easier for foot IK. Even for ledge climbing, you will only need slight changes in hand rotation, hand position, extension etc... You can do that later. This will be a big achievement to start with anyway. GL</t>
  </si>
  <si>
    <t>I am very unclear today and very agitated, the best thing I can do is go to sleep today and wake u pearly tomorrow and do some english revision, I am also going to exercise to make myself even more ready. I am going to go there and ace that shit</t>
  </si>
  <si>
    <t>This day has not been as productive as it could be so I will make the rest of the day the best of my day… Boom…
WOWW. The unity job system is out??! Okay, let's get the party started, you can run your IK code in your job system no?</t>
  </si>
  <si>
    <t>FULL BODY IK SYSTEM COMING WITH NEW UNITY WHATTTT. NEW JOB SYSTEM AVAILABLE WHATTTT. SHADE RGRAPH AVAILABLE WHAATT…. AHAHAHAHAHAHAHAHHA YESS UNITY I LOVE YOUUUUUUU</t>
  </si>
  <si>
    <t>Next term I wiill get books for all my subjects, and put my head down and take notes for all subjects and really focus. I can do this and I will do this. I will dedicate those study hours porperly and actually do work instead of procrastinate imao</t>
  </si>
  <si>
    <t>Focus, you can do this. You are smart. You are powerful. You will reach 1000 subscribers by the end of the next two months and you will consistently get high grades in this school. It is all I will aim for and I will do extremely well in life as well. Thank god. I will grind my ass off when Friday comes. Thursday enjoy... Then BOOM GO INTO ACTION. 4 video by the end of the two weeks with a finsihed foot Ik system... I have to update my agile planner imao</t>
  </si>
  <si>
    <t>To my credit I did work really hard but it didn't work out this time, but this did teach me something very valuable. Just because you work hard at the last momemnt doesn’t mean this world should respect you. You have to work hard from the very first day to the very last day until you are certain that you have reached the peak of every subject and it is possible. You just need to be able to balance your programming and the school work. Evryday after school I need you to work 3 hours on school work. But tht eproblem is that you don't really work on it, you kinda do it which isn't good enough. I need you to be practicing problems especially inside maths, I need you to work you a** off. Even if you are in standard level mathematics which is okay I will fight the hell back into the ihgh level mathematics. I can do it. I will do it. There is no other way. Same in programming, sit for programming take it as a job and f**king do it</t>
  </si>
  <si>
    <t xml:space="preserve">Why haven't I looked at machine learning on my channel yett…..??? </t>
  </si>
  <si>
    <t>Wow! I can't believe this. I got the elbow effector down down and it workrkrksksksksksksssss!!!!!!!! Okay so the elbow effector works, I got it to work, even if it is a sligh work around, it works, which is the main thing which is hpippyy! Okay now the contact system. Now talking about YouTube you do have the Nueral Network Idea which is quite mad imao, it's amazing idea and will guarantee a lot of views because it's all the hype rn and if you can createa  successfull series out of it then you are just a lad. Okay so self driving cars using the nueral networks, okay okay. We will have to learn all the calculus and since it will be very hard for me I will have an easier time explaining it to my viewers. In the meantime while I am learning that I will release the A* Pathfinding Videos to the Stealth Series to teach people about how to do pathfinding really easily in their games.... Using my own node based system yeah.... Then I will create an editor script to place these nodes so that they auto connect, boom clap clap... Yeah</t>
  </si>
  <si>
    <t>Yet again I feel lost, this game is way too big. I want to keep the idea and the story but it's way too big for me. I have to accept that, the sheer number of assets it would take to create this is enormouse and you have to be smart about this yea, so what you can do is downscale the game. For example journey very simple but one of the best games evr made, so not why re-imagine something like that. The art in the duelist art is beautiful, if you could re-create something like that but with an unique twist, for example you're not actually the player or something. I can create beautiful environments. Let's brainstorm some ideas with the art style of duelist.</t>
  </si>
  <si>
    <r>
      <t xml:space="preserve">Okay I think I can do this, but the problem I am having right now is planning, I actually do not have a clear sense of </t>
    </r>
    <r>
      <rPr>
        <b/>
        <sz val="9"/>
        <color theme="1"/>
        <rFont val="Calibri"/>
        <family val="2"/>
        <scheme val="minor"/>
      </rPr>
      <t>direction</t>
    </r>
    <r>
      <rPr>
        <sz val="9"/>
        <color theme="1"/>
        <rFont val="Calibri"/>
        <family val="2"/>
        <scheme val="minor"/>
      </rPr>
      <t xml:space="preserve"> it's a bit confusing. But I have cleared up the issue, I will go with imaginative worlds like the Duelist has portrayed but I will go for an over the shoulder approach for most of the game to hide. No i am not sure actrually. I think I need to calm down and think of a way I can portray a message throught this idea and how I can actually accomplish this. But until then I will continue to bs and build up Dev Logs</t>
    </r>
  </si>
  <si>
    <t>I know what I am lacking tho…. I am lacking a plan, the idea or the game it's self it not impossible. The lack of planning makes it impossible. I will spend the next 2 days getting a good plan. Don't be lazy on this…. +++ https://www.youtube.com/watch?v=wQmx3vjZSAY.. So my design skills need to improve obviously but you know how the chars have to look. But you need an overall statement of how you will finish the game and the actual story of the game. You carrying a bomb is not interesting..................................... It needs to have drama, action etc...</t>
  </si>
  <si>
    <t>if you w s g p - hollopr.c</t>
  </si>
  <si>
    <r>
      <t xml:space="preserve">The only person that believes in you is </t>
    </r>
    <r>
      <rPr>
        <b/>
        <sz val="9"/>
        <color theme="1"/>
        <rFont val="Calibri"/>
        <family val="2"/>
        <scheme val="minor"/>
      </rPr>
      <t>you</t>
    </r>
    <r>
      <rPr>
        <sz val="9"/>
        <color theme="1"/>
        <rFont val="Calibri"/>
        <family val="2"/>
        <scheme val="minor"/>
      </rPr>
      <t>. No one else does</t>
    </r>
  </si>
  <si>
    <t>So I finsiehd a rough outline of what the game should look like dnow I j</t>
  </si>
  <si>
    <t xml:space="preserve">I really need to re-calibrate. Why the fuck am I being so lazy huh, These two weeks are important and I have to utilise the time. I cannot waste it, 3AM from now, 3-4 I WILL DO MY WORK OR PLAN OUT THE REST OF THE DAY OR LISTEN TO MOTIVATION DOESN’T MATTER GET UP GET READY FOR THE GRIND. AT 5AM PRECISE I WILL BE EXERCISING. DONE THEN GO. SHOWER BOOM INSTANT 
You have a goal for the next two days, figure out the NNET problem, release DEV LOG 2 and I think the new thumbnail and tags really killed it or was it reddit again hahaha </t>
  </si>
  <si>
    <r>
      <t xml:space="preserve">Some Development notes to Self : 
Tools you will need : 
- Substance Editor (This will be amazing for all your objects and really be good)
- Amplify for Unity is the most talked about feature and will really help me (Pirate first then buy)
- Remember to finish all mechanics before jumping into design
- You need to watch lots of tutorials on how to level design and using the lighitng in Unity w/ volumetric lighting
______________________
I need to promote my twitter more and I need to get my facebook verified as well hahaha I need to get more socially involeved like Sykoo who is amazing, he has grown so much with social media marketing. That is how you do it. Grow your twitter following and then create amazing content. I need to learn neural nets because this video will do </t>
    </r>
    <r>
      <rPr>
        <b/>
        <sz val="9"/>
        <color theme="1"/>
        <rFont val="Calibri"/>
        <family val="2"/>
        <scheme val="minor"/>
      </rPr>
      <t>amazing</t>
    </r>
    <r>
      <rPr>
        <sz val="9"/>
        <color theme="1"/>
        <rFont val="Calibri"/>
        <family val="2"/>
        <scheme val="minor"/>
      </rPr>
      <t xml:space="preserve">
</t>
    </r>
  </si>
  <si>
    <t>That video that I watched just changes the way I look at thumbnails, I have a totally new intake on them, the way Sykoo manages his thumbnails is also beautiful. I am going to finish this development log script and pump it out. Then I will dedicate the rest of the day to 
- Learning how I will build the nueral net seris that I have promised
- Learning how to build the ledge climbing system
This system could help you -- https://www.youtube.com/watch?v=y4dLaZ5eK44
Teaches you in depth: https://www.youtube.com/watch?v=262XJe2I2D0
I don't want to release a video on backprop until I understand it fully so I will ask miss brookes but until then I will release a vid using genetic algs which is the bestttt &lt;#</t>
  </si>
  <si>
    <t>I need to look at more of how to actually do genetic algorithms, look at my problem and creata test case based on that. So in other words (PLAN)</t>
  </si>
  <si>
    <t>WHERE THE FUCK THE DISCIPLINE AT EH?
Come back to genetic algorithms in 2 days I need to work on the development log and then my own game. But this YouTube video is important but bro… Genetic algoirthms should be a brease for yoru. It's just this NNET part.RESTARTS AGAINSSS</t>
  </si>
  <si>
    <t>This nueral network video is very important for me, so if I can implement the NEAT algorithm into the car model then I have a way to do this. So let's get started and release that video……</t>
  </si>
  <si>
    <t>Okay so this is my goal and If I accomplish this I am okay, tomorrow I will publish the development log video, the day after that I will reelease an introduction to self driving car with neural entworks, I will explain that I will make a video on other machine learning topics including backpropogation with UNity and NEAT a very famous algorithm with unity but this is just an introduciton.. Explain with good visuals made in photoshop or somehinh... After that I will finish the A* Video for my stealth series, then I will be able to work on my ledfge climbing system......................................... YAS</t>
  </si>
  <si>
    <r>
      <t xml:space="preserve">Listen to motivation what the fuck, I need to get up and not waste this precious time. Sleep at nine wake at 3. Done no excuses or extending that damn period got it??
Okay so this is how it's gonna go. Priority list right -&gt; Okay so first prioirity is to finish recording the A* video for the Stealth Series and Edit that along side the Development Log video (Which you shoiukld re-record) and then publish both those videos and do some quick marketing on that. Once you finish those videos, you have the entire time left to work on the ledge climbing system, and an emininent video is going to come out on that so once you finish that system make sure to tutorialise it. Mean whiel you will improve your genetic algorithm to do slicing etc..but you will only work on that once you have finished the A* and Development Log. No touching machine elarning until those are done. You have to wake up at around 3 am from now so to do that and not waste </t>
    </r>
    <r>
      <rPr>
        <b/>
        <sz val="9"/>
        <color theme="1"/>
        <rFont val="Calibri"/>
        <family val="2"/>
        <scheme val="minor"/>
      </rPr>
      <t>7 hours</t>
    </r>
    <r>
      <rPr>
        <sz val="9"/>
        <color theme="1"/>
        <rFont val="Calibri"/>
        <family val="2"/>
        <scheme val="minor"/>
      </rPr>
      <t xml:space="preserve"> you must sleep at 9</t>
    </r>
  </si>
  <si>
    <t xml:space="preserve">I want the dev logs to have a differentiation factor and I believe what that can be is animations, like really good aniamtions that go along with the script during the time when there is no actual footage to show. So I would like to learn howt to do ze animation in order for me to become a boss. Thank god. This keyboard feels legendary wtfffffff nice i love it imao.... So I belive If i dont release this video today it will carry on tomorrow and we will have to postpone the A* video slighlty in order for us to get our shit together because i still need to actually finish developing the A* alogirhtm, I am just confident I know how to do it. But there is a lot of animational capabilities for the A* video so that will be good. Everything else is going pretty fine so yeaeaaaa thats good ;) </t>
  </si>
  <si>
    <t xml:space="preserve">Holy shit the blog is getting a lot of traction so I need to make sure I am updating on the blog, on twitter, on youtube :)) I can do thiss :) Let's go </t>
  </si>
  <si>
    <t xml:space="preserve">The next two days that I have planned are extremely goal oriented and will get me closer to my end of the 2 week goal, which is releasing the two videos. So I will release the Dev Log and begin work on that once I exercise today ………… Remember who to tell Bday tooo
F HER IM DONE. I'm moving on. If someone treats you that shit you don't need to put up with them. You know that channel that does game development tips?? Yeah do animations like them when you  dont have any footage to show + show some stockky looking footage... :) </t>
  </si>
  <si>
    <t>Yo we could do sick animations like blood and stuff and scrunch up paper for that sound effect like a person getting torn in half..?? (NAH JUST SIMPLE ANIMATIONS FAM) KEEP IT SIMPLE… But We can make the dialogue really funny and moving around…. We can do funny camera zooms etc...</t>
  </si>
  <si>
    <t>Fucking retard sleep at 9 whats your problem this is what you get if you don’t boom</t>
  </si>
  <si>
    <t>https://www.youtube.com/watch?v=tEIUWZ8jXYY</t>
  </si>
  <si>
    <t xml:space="preserve">This song made me realise that you need to be a beast. You need to work hard there is not asujhccess withouti work ethic. You need to exefcise like a mad man. Okayt fuck what they say, we are goingt o make a living with YouTube making games and get filthy rrich scew this. It's over I am going to goddddddd level. </t>
  </si>
  <si>
    <t>If I want to go to america I have to blow her away with a beautiful website. Welcome to the good likfe</t>
  </si>
  <si>
    <t>My next move is to build the world optimiser in NeFARIOUS and release an epic A* tutorial video teaching people how to make pathfinding of their dreams. I WILL DO THIS. This will be good… Don't do it for the views do it for the game like it was about originally</t>
  </si>
  <si>
    <t xml:space="preserve">Honestly the game is a waste without the open world optimisation so can you begin that today and if you can create a tutorial on that as well and it will more importantly help your game. FUCK THE A* for now. It's not working and it's okay fuck it fuck it
Tomorrrows world optimisation : 
Open World Building
    Custom World Streaming
        Using the Scene Manager 
        Custom LOD techniques
    Foilage Optimisation
        GPU Instancing
        For each scene build a txt file of pre-positioned foilage 
            Load them in dynamically by reading
    Job System
        Dynamically Loading Scenes into game
    World Builder
        Editor Window that manages ^^^^
        Works in conjunction with CRP 
            CRP tells the World Builder how to contruct the world
        OC 
    This needs to be further broken down when the time comes to do this Sprint
</t>
  </si>
  <si>
    <t>By the end of the holidays I must have finished the A* video series which is going to be amazing, I will also have finished the website which is important. I need it to be very stylish. I also need to have made some decent progress on the world builder in order to be able to talk about something inside the development logs, I can dedicate the entire video on that next time. Next time on the development logs I want to talk about more on how I did certain things and not just what I did. I also will shut the F up about subs yeah. I will use this week wisely.</t>
  </si>
  <si>
    <t>Okay so my new goal list for the end of this week - Have a working A* grid managing pathfinder that you can show off to the world and make an intense tutorial about it but with many visuals like sebastian lague explaining the heuristics and how we will make everything work.
Then I will be working on the world manager and I really need a planning sheet right now, I feel lost. AGILE PLANNER DOESNT WORK ahahaha I realise now..</t>
  </si>
  <si>
    <t>Trello will work with all the extensions hahahaha, from now on I will have to use PlanAway (free) to put events on there. With the chrome extensions I can use trello now and I will think about buying it once I make some $$ -- - so what am I going to do todayyyyy --- wlll I will finisht he A* algorithm for me, then I will begin story baord and my world optimisation system but think about it -- if you finisih world optimisation themn you dont have to wory at all. You hae finished.</t>
  </si>
  <si>
    <t>I need to seriously start looking into this ACT stuff because I will go to unviersity of California of masachusets so for that I will prepare. This term I will be focused and cull out the distractions.</t>
  </si>
  <si>
    <r>
      <t xml:space="preserve">I really have to learn to come to reality yes? I will begin the ledge climber system today and honestly take it sprint by sprint. I don't want to go over board killing myself because I don't know how to do stuff. The A* System I am going to create it for </t>
    </r>
    <r>
      <rPr>
        <b/>
        <sz val="9"/>
        <color theme="1"/>
        <rFont val="Calibri"/>
        <family val="2"/>
        <scheme val="minor"/>
      </rPr>
      <t>me</t>
    </r>
    <r>
      <rPr>
        <sz val="9"/>
        <color theme="1"/>
        <rFont val="Calibri"/>
        <family val="2"/>
        <scheme val="minor"/>
      </rPr>
      <t xml:space="preserve"> and then I will release it to YouTube based on what I feel. That's how I will grow, not by releasing what they want but by releasing what I want. Also for the development logs from now I will extend it's lenght by much more by explaining how I manage my systems in stead of just saying what I did. I also need to finish this website for school which is pre important so I will get that done as well. But other than that I can relax for an hour before I have to begin the grind.</t>
    </r>
  </si>
  <si>
    <t>Just think about it ajay once you finish all the systems that you have on your Trello then you have developed all the mechanics required for you to just begin designing the game and puttign everything together. Imaging how amazing that would be… Especially the NPC stuff then you would have all the control. The pathfinding algorithms you just have all the tools required and then you put it all together with the models, then you will just have to do a bit of animational scripting but your entire focus can be on that.</t>
  </si>
  <si>
    <t>I nedd to get my shit together. Discipline is the key no? Why are you losing motivation what's going onn. What is my game. I am questioning the idea of the game? Should I not make a simpler game like an easy runaway hit game..? Feel like this game is too complicated and over my head type yknow -- okay so what type of game would you like to make then?? I can make this open world game in the background but in the foreground I should create a game that I would like to play like a stealth based game but the obstacle I always have is that level based games never make it...</t>
  </si>
  <si>
    <t>I don't want to focus mechanic by mechanic. I want to get an idea and rapid prototype it into a vertical slice and allow my friends to play a very beta version of it and put it into it…</t>
  </si>
  <si>
    <t>There's also the idea of an open battle royal where AI are dropped in and realistic combat with stealth put in but it's a bit weird… So I need to figure out what I ened for a vertical slice and I will begin building it…
Alright happy birthday but this vertical slice will really help you visualise the game and how you can create it, I will begin witht he player development and making sure that it is up to scratch. I will not get too caught up with IK, I don't even want it to be a part of the vertical slice. I will completely manage that whence I finish the vertical slice....
Imagine how motivational it would be to have my player finished with a ledge climbing system,  and combat system with animations attached!!! Lets do it, but before that i need a design for my player</t>
  </si>
  <si>
    <t>I need a very intense story line and a way to fill up the game into a beautiful and compelx story and you must use stealth systems like in hitman with smoke grenades and flashes like in hitman with a combat system like Absolver w/ weapons such as arrows and aiming systems. Beautiful dialogue systems.... We need to figure out what a vertical slice level looks like with all of these aspects into one small little mission that people can play and give you some motivaiton -- Absolver is a great game but it doesnt have a story but my game will, and that's the story. I don't want it to be a large open world okay I need it to have many intricately smaller missions that lead into bigger ones etcc. Alll with an epic story tied to the top but before I can get there I need to finish the vertical slice in order to give me a sense of waht the game isssss</t>
  </si>
  <si>
    <t>Okay this is amazing. Clarity seeking time okay…. So lets talk about YouTube for a second okay -- This is YouTube clarity.. I will not be releasing a pathfinding tutorial on my channel infact the next tutorial I post willa ctually be about the next thing I develop for my gamewhich currently is the player which I will import and add a ledge climbing system too.</t>
  </si>
  <si>
    <t>So I will be creating the vertical slice which will be a realistic castle place where my palyer (fully modelled and animated) will be able to ledge climb around, fight enemies with a realistic combat system where he will be able to learn new attacks and shit and use stealth tactics to kill enemies and stuff. It will look v beautiful with volumetric fog and shit. I am currently working on the player model which i will beautifully texture, animate, rig and IK and properly attach animations to it with referencing IK poses that will display where the foot is about to land and cool stuff like that so with that I can use some cool IK to pull the foot down and stuff. But I will be making some awesome stuff.</t>
  </si>
  <si>
    <r>
      <t xml:space="preserve">In terms of the game, The game will no longer be just a forest… It will be a large open world with many many places to interact with and missions that </t>
    </r>
    <r>
      <rPr>
        <b/>
        <sz val="9"/>
        <color theme="1"/>
        <rFont val="Calibri"/>
        <family val="2"/>
        <scheme val="minor"/>
      </rPr>
      <t>will have something to do with the game story</t>
    </r>
    <r>
      <rPr>
        <sz val="9"/>
        <color theme="1"/>
        <rFont val="Calibri"/>
        <family val="2"/>
        <scheme val="minor"/>
      </rPr>
      <t xml:space="preserve"> in order to enter that dimernsion you will have to get this and this and to get this and this you will have to do this and this at this place liek that I want it liek that. The dialogue sysem will beautiful with beautiful weather systems and JUST EVERYTHING WILL BE BEAUTIFUL I LOVE THIS GAME&gt; I TIW ILL BE THE BEST. I need a deeeeeeeeeep asf story tho and I still need to know for sure If I am going to implemetn tthe side character or not or if he will over complicate things. I need to know </t>
    </r>
    <r>
      <rPr>
        <b/>
        <sz val="9"/>
        <color theme="1"/>
        <rFont val="Calibri"/>
        <family val="2"/>
        <scheme val="minor"/>
      </rPr>
      <t>how much freedom</t>
    </r>
    <r>
      <rPr>
        <sz val="9"/>
        <color theme="1"/>
        <rFont val="Calibri"/>
        <family val="2"/>
        <scheme val="minor"/>
      </rPr>
      <t xml:space="preserve"> the character should have or if it should just be like ABSOLVER where it is open world but it has set paths that you can take you cant just do whatever the f you want, which 100% reasonable you can make quite large worlds with that type of mechanic and it would be much easier to control, but then it would feel slrightly restricting, but we can play with it and see both ptions are available. Let's just focus on the player now, ledge climbing, stealth mechanics, strafing , ttack and I wanta  beaitful player mdoel which will just be amazinnnn</t>
    </r>
  </si>
  <si>
    <t>Discipline
Knowledge - Coding Knowledge 
- ACT Knowledge
Curiosity
Strength
Integrity (the quality of being honest and having strong moral principles.)
BE THE HERO OF YOUR OWN LIFE YOU GOT THIS</t>
  </si>
  <si>
    <t>So for now I will be working on the player making the model perfect getting the animations on him and actually progerssing and not making useless mechanis that I wont be able to see the result off. I need the player to be ablet o move around and implement the mechanics on to him so I will work on that and share my model creation next time. I will add lots of cool clothes, items and textures to him . I need to learn about how to texture that model then I also want to learn how to light scenes properly in Unty</t>
  </si>
  <si>
    <t>Wow okay what do I need to change abouttt meeee???? AS IN WHAT ABOUT MY MIND AND VALUES DO I NEED TO GROW?? Theres only 2 things to work on ACT, WEBSITE &amp; OFCOUSE PLAYER (SO 3 SORRY I CANT COUNT)</t>
  </si>
  <si>
    <t>You need to make the ledge controller</t>
  </si>
  <si>
    <r>
      <t xml:space="preserve">Okay so this bank roberry game, will allow people to be in a a small radius of this building where the bank is, I will allow for intricate building of the banks by other users where they can publish the levels and create new objects, like guns etc… They will be able tos hare all the content through a medium like a store etc... The more </t>
    </r>
    <r>
      <rPr>
        <b/>
        <sz val="9"/>
        <color theme="1"/>
        <rFont val="Calibri"/>
        <family val="2"/>
        <scheme val="minor"/>
      </rPr>
      <t>approved by community</t>
    </r>
    <r>
      <rPr>
        <sz val="9"/>
        <color theme="1"/>
        <rFont val="Calibri"/>
        <family val="2"/>
        <scheme val="minor"/>
      </rPr>
      <t xml:space="preserve"> banks you rob the higher your aresenal gets and you can rob more banks with more efficiency, steal more money have a quicker time and get your name on the leaderboards. It will be an interactive community... The main cores of this game include hitman like features like dragging bodies, disguising etc.. But I want my own take with the ability to really parkour with wall climbing etcc, the smoke bombs, flashes, lasers everything open. Everything in the environment is interactable including security cams which you may have to hack, no bullshit like hacking with your phone, you will need to go down and dirty. You can go in guns blazing, or you can keep your stealth up and social engineer your way in or even really stealth it out. But in order to give a sense of challenge you will have to pay for the items you want to take into the next mission and if you loose it, then you loose that money as well.... </t>
    </r>
  </si>
  <si>
    <t xml:space="preserve">I will write the game design document right now and I won't sleep for the rest of the day I just got a new idea and I am bound to finish it fuck sleeping yea </t>
  </si>
  <si>
    <t>Design</t>
  </si>
  <si>
    <t>Mechanics</t>
  </si>
  <si>
    <t>Detailed</t>
  </si>
  <si>
    <t>Other</t>
  </si>
  <si>
    <t>Other #2</t>
  </si>
  <si>
    <t>Description</t>
  </si>
  <si>
    <t>Player Design &amp; NPC Base Design</t>
  </si>
  <si>
    <t>Detailed Models &amp; Clothing Systems for interchanging clothing between NPC * Character</t>
  </si>
  <si>
    <t>Player Blend Animations</t>
  </si>
  <si>
    <t>Every single animation ( Make blend list and animation tree ) -&gt; Pivot, Walk, Run, Strafe, Jump, Fall</t>
  </si>
  <si>
    <t>NPC Systems</t>
  </si>
  <si>
    <t>Dialgoue Systems</t>
  </si>
  <si>
    <t>Parkouring Systems</t>
  </si>
  <si>
    <t>Heist Planning System</t>
  </si>
  <si>
    <t>Blueprints</t>
  </si>
  <si>
    <t>Distraction System</t>
  </si>
  <si>
    <t>Cloth Disguising System</t>
  </si>
  <si>
    <t>Ragdoll Body Draggin Systems</t>
  </si>
  <si>
    <t>Object Interaction Systems</t>
  </si>
  <si>
    <t>Weaponary Systems</t>
  </si>
  <si>
    <t>I need to : 
- Plan different menu levels
- Plan the stages up to the scene
- Where do you spawn
- How do you complete the objectives
- Are there employees, if so what role will they play ?
- How are the different ways you can fail
- It's an indoor based game is a ledge climber needed?
- What systems are most improtant
- How will you create each system and how long will it take
- You need to tactically sit down and plan the first level
- Plan all the differnt ways the level can be completetd 
- All the tools required to finish this level &amp; what mechanics
- All scenarious &amp; dialogues
- How you will create this mini level all the way from the menu to customisation to in-game spawning to finishing
- What does the UI look inside the game what information will it indicate?
- The weapons are effective for the first levels after that the harder levels require a lot of stealth because the NPC's don't give a shit who you are they will gun you down easily.
- Different ways to open the bank (Forcing an employee? Stealing the key? C4ing? Hacking? Getting clues?)
- How is this game extendable? Can you customise your player?
- Watch GTA Heist and figure out how they do things and where they lackkk</t>
  </si>
  <si>
    <t>Lets do this. This is a real game. People can interact more with this game…. It's something that you can get out there within 5 months and why the hell would you turn that down…
My mind is against me… Just remember that</t>
  </si>
  <si>
    <t>Theres a lot to plan for this game, like what each interaction is and different ways the player could approch each map, I have decided that employee NPC and Ledge Climbing will be included inside the game so that’s a thing. But there is so much to plan like I don't even know where to start, I believe we should make a comprehensive list of all the features &amp; things like --- NPC, then ITEM BUILDING etc... and then rank them by some order and begin that game and go mindlessly through the dust and finish the game. I need to finish a vertical slice of the stealth game so that my friends can play through as well. I need and will do this</t>
  </si>
  <si>
    <t>Yay let's get through this day with some beautiful music and 2 hours of sleep. This is life and I will make sure to plan out the game today so that I can begin the game by Monday… :) I know that you are a bit mad that you haven't been able to continue the previous game but all the efforts that you put into it are not wasted they can still be worked on using the mechanics of this game that I am building. But i have deep down always wanted to create a bank robbery game so why the hell not do it huh?</t>
  </si>
  <si>
    <t>Welcome, today I need to learn to wake up earlier ~ I can wake up to the alarm it's just you keep falling asleep, you need to push yourself and if you want go and exercise as soon as you wake up and it may wake you up and you won't have to exercise for th</t>
  </si>
  <si>
    <t>We hit the gym at 7 am so that I can ride my bike there and do a bunch of bench presses and try and increase that max total of weight that you can lift. I will begin the NPC System.. Well the NPC system is going good, but the problem is the player controlelr I iwl have to take a day to re-write the entire system. I have the basics but I have screwed up majorly somewhere along the line.. Im so stupid I will continue to build up my game but why not I be a udemy course instructor as well!! I will teach people how to build stuff in Unity</t>
  </si>
  <si>
    <t xml:space="preserve">Now that I got my high I don't need to play that game anymore I need to work. O I will work on the website and make it as beautiful as I want installing new fonts etc.. Then I will make </t>
  </si>
  <si>
    <t>Im starting to piss mylife away again. Tomorrow I wiill have the perefect day. Full work.The NPC's are very important towards this game but you have to make the editor for the NPC it is the most crucial part of the entire process I need a good editor that can communicate and make decisions. The graph get's</t>
  </si>
  <si>
    <t>Things to manage</t>
  </si>
  <si>
    <t>Other Importants</t>
  </si>
  <si>
    <t>Planning for the ACT Exams</t>
  </si>
  <si>
    <t>Revising Regularly</t>
  </si>
  <si>
    <t>Publishing Blog Posts</t>
  </si>
  <si>
    <t>Releasing Development Logs (Planned)</t>
  </si>
  <si>
    <t xml:space="preserve">Goal is 100 hours and the reward is to relax an entire day </t>
  </si>
  <si>
    <r>
      <rPr>
        <b/>
        <sz val="11"/>
        <color rgb="FF00F66F"/>
        <rFont val="Calibri"/>
        <family val="2"/>
        <scheme val="minor"/>
      </rPr>
      <t>Homework</t>
    </r>
    <r>
      <rPr>
        <b/>
        <sz val="11"/>
        <color theme="1"/>
        <rFont val="Calibri"/>
        <family val="2"/>
        <scheme val="minor"/>
      </rPr>
      <t xml:space="preserve">, </t>
    </r>
    <r>
      <rPr>
        <b/>
        <sz val="11"/>
        <color rgb="FF92D050"/>
        <rFont val="Calibri"/>
        <family val="2"/>
        <scheme val="minor"/>
      </rPr>
      <t>Nefarious</t>
    </r>
    <r>
      <rPr>
        <b/>
        <sz val="11"/>
        <color theme="1"/>
        <rFont val="Calibri"/>
        <family val="2"/>
        <scheme val="minor"/>
      </rPr>
      <t xml:space="preserve">, </t>
    </r>
    <r>
      <rPr>
        <b/>
        <sz val="11"/>
        <color rgb="FF00B0F0"/>
        <rFont val="Calibri"/>
        <family val="2"/>
        <scheme val="minor"/>
      </rPr>
      <t>App Development</t>
    </r>
    <r>
      <rPr>
        <b/>
        <sz val="11"/>
        <color theme="1"/>
        <rFont val="Calibri"/>
        <family val="2"/>
        <scheme val="minor"/>
      </rPr>
      <t xml:space="preserve">, </t>
    </r>
    <r>
      <rPr>
        <b/>
        <sz val="11"/>
        <color rgb="FFFF2929"/>
        <rFont val="Calibri"/>
        <family val="2"/>
        <scheme val="minor"/>
      </rPr>
      <t>YouTube (NEAT</t>
    </r>
    <r>
      <rPr>
        <b/>
        <sz val="11"/>
        <color theme="1"/>
        <rFont val="Calibri"/>
        <family val="2"/>
        <scheme val="minor"/>
      </rPr>
      <t xml:space="preserve">), </t>
    </r>
    <r>
      <rPr>
        <b/>
        <sz val="11"/>
        <color theme="8" tint="-0.249977111117893"/>
        <rFont val="Calibri"/>
        <family val="2"/>
        <scheme val="minor"/>
      </rPr>
      <t>Udemy Course &amp; Growing Social Media</t>
    </r>
  </si>
  <si>
    <t>Max attention span is 1.5 hours - 2.0 hours</t>
  </si>
  <si>
    <t>Working on the Licence</t>
  </si>
  <si>
    <t>I don't know how I feel anymore</t>
  </si>
  <si>
    <t>Alright I might be going through depression but Idc anymore okay. Alright so what I need to do is pretty clear - fuck making apps okay, that's going off track. You are going to make sure that you are focusing on game development  --- but you can branch of this into many different categories right --- BUILD UP YOUR WEBSITE (MAKE IT BIG) + WORK ON YOUTUBE CHANNEL + WORK ON A PREMIUM UDEMY COURSE.. Make the branch now</t>
  </si>
  <si>
    <t>Plan your website</t>
  </si>
  <si>
    <t>Install Java * Code Blocks &amp; Learn somee basic Java</t>
  </si>
  <si>
    <t>Spanish -- Learn Past tense</t>
  </si>
  <si>
    <t>NPC Editor</t>
  </si>
  <si>
    <t>Comsci Website</t>
  </si>
  <si>
    <t>Plan school</t>
  </si>
  <si>
    <t>Install Code Blocks
Finish the website for ComSci</t>
  </si>
  <si>
    <t>Revise the past tense for Spanish &amp; learn how it works -- but I believe I should wait…</t>
  </si>
  <si>
    <t>I need to go much much higher level thinking, what skills do you have --- Game Development but what can you learn  C++ , Unreal and many other things. What can I do with skills--- I can build the next best game development teaching site… I will finish the bank roberry game which I can make very realistic -- then I will be able to release it on steam &amp; have the website to be my development &amp; teaching log. I will publish on YouTube and grow there.... But where am I going to go from there, that's still only avg what is my purpose. ------------------------------------------------------------------------------------------------------------------------------------------------------------------------------------------------------------------------------------------------------------------------------------------------------------------------------------------------------------------------------------------------------------------------------------------------------------------------------------------------------------------------------------------------------------------------------------------------------------------------------------------------------------------------------------------------------------------------------------------------------------------------------------------------------------------------------------------------------------------------------------------------------- what -------------- is -------------- my -------------- purpose</t>
  </si>
  <si>
    <t>BEGIN THE WEBSITE</t>
  </si>
  <si>
    <t xml:space="preserve">You can't look up tto the top of the staircase right now, you just have to take the next step and hope it goes well like I said I have it all planned out -- succed in game dev release this game get it on steam, use money from that &amp; website &amp; YouTube to invest in houses -- work on that for 5 years and really build up a fortune. Invest that back into building some new technolgy hit a billion and retire. :) </t>
  </si>
  <si>
    <t xml:space="preserve">Finish the NPC Editor then you can build the NPC's then you will be able to conitnu eon your work… Then after that you will just have to program the AI using the editor then that will mean that most of the game is done. Then you work on the player controller </t>
  </si>
  <si>
    <t>LICENCE BEGIN</t>
  </si>
  <si>
    <t>MATHS REV BEGIN</t>
  </si>
  <si>
    <t>EPIC FOR MOTIVATION : https://www.youtube.com/watch?v=iZVjofdBw14</t>
  </si>
  <si>
    <t>I MATH &amp; PRACT</t>
  </si>
  <si>
    <t>Patience is important. Are you going to run from your game every time, huh? Are you going to keep running??????????????? I am going to finish this game no matter what. I have the game idea, I have everything why the fuck should I give up now. Listen to this -- https://www.youtube.com/watch?v=lsdqxeb9oMI... From now have a plan for the week and say how it contributes to the end result. Have a clear idea of what the game is.</t>
  </si>
  <si>
    <t>I have been putting off the simple things that make my life better. From now I am going to imply discipline and gratitude into my life..</t>
  </si>
  <si>
    <t>BEGIN NEFARIOUS</t>
  </si>
  <si>
    <t>GYM IT</t>
  </si>
  <si>
    <t>MAP</t>
  </si>
  <si>
    <t>PRE-DEV</t>
  </si>
  <si>
    <t xml:space="preserve">Building the Map </t>
  </si>
  <si>
    <t>Story Boarding</t>
  </si>
  <si>
    <t>Currently working on</t>
  </si>
  <si>
    <t>NEFARIOUS (Original (Map Design) )</t>
  </si>
  <si>
    <t>BEGIN THE WEBSITE//REST</t>
  </si>
  <si>
    <t>YOUTUBE PLAN . CUSTOM WEBSITE PLAN</t>
  </si>
  <si>
    <t>LEDGE CLIMBER</t>
  </si>
  <si>
    <t>CSGO</t>
  </si>
  <si>
    <t>REK</t>
  </si>
  <si>
    <t>Map Development</t>
  </si>
  <si>
    <t>Current Sprint</t>
  </si>
  <si>
    <t>Date Start - Date End</t>
  </si>
  <si>
    <t>PRI</t>
  </si>
  <si>
    <t>Pre-Development Sprint</t>
  </si>
  <si>
    <t>21/07/2018 -&gt; 2/08/2018</t>
  </si>
  <si>
    <t>Ledge Climber System Complete</t>
  </si>
  <si>
    <t>Development Log #2 Complete</t>
  </si>
  <si>
    <t>Map Development (Sketeched out and detailed) Complete</t>
  </si>
  <si>
    <t>Story Boarding Complete</t>
  </si>
  <si>
    <t>NPC-Development Sprint</t>
  </si>
  <si>
    <t>2/08/2018 -&gt; 20/08/2018</t>
  </si>
  <si>
    <t>NPC Behaviour Tree System</t>
  </si>
  <si>
    <t>Easily Addable Nodes</t>
  </si>
  <si>
    <t>FOV + Pathfinding</t>
  </si>
  <si>
    <t>Pathfinding Dynamic ov Terrains</t>
  </si>
  <si>
    <t>Sectioned Pathfinding</t>
  </si>
  <si>
    <t>Branching &amp; Random Decisions</t>
  </si>
  <si>
    <t>Random NPC Generation</t>
  </si>
  <si>
    <t>Patrolling &amp; Simple State Machines</t>
  </si>
  <si>
    <t>RELAX</t>
  </si>
  <si>
    <t>SLEEP</t>
  </si>
  <si>
    <t>CS PRC</t>
  </si>
  <si>
    <t xml:space="preserve">I need to focus on a couple of different things :
- YouTube Channel
- Website
- Nefarious
- IB 
- Licence
The more effort the more you will get out of life for example I didn’t feel like doing the licence maybe actually try and use the five second rule. Like now i need to get the clothes 5 4 3 </t>
  </si>
  <si>
    <t xml:space="preserve">The goal is to quickly finish the ledge climber system and then you can work on the NPC System then you can work on the level design and story boarding then we can really have the base systems down pat and begin the real development. Once you finish the first two steps you will release the next development then after that is the next steps....
Look aight finishing nefarious shouldnt be just some priority okay your parents believe in you that you will finish this darm game so finish it. Like the famous quote said don't look at the top of the stair case. Just look at hen next step and see how to solve that...
Effort is the cure all.. I am not currently puting in enough effort but that can change like that... so I will work work work
The 5 second rule does work and like that lady said once you start what they find is that it is really hard to stop and 2 hours gone like that. I managed to find the relative Vector to all the objects in the scene now I just need to find out if it is facing forward relative to the player or to the right then I will be albe to shimmy across any ledge no problem. Job well done, today went pretty good so I am quite happy with that. I love my selffffffff :)))  </t>
  </si>
  <si>
    <r>
      <t xml:space="preserve">You need to build up your channel by adding new exciting content that peop[le will be interested in watching…
You need to re-build your website so that it can support tutorials and development logs beautifully.
Nefarious
- Every week you need to work on a pre-development feature and a development feature
For example this week you should work on the </t>
    </r>
    <r>
      <rPr>
        <b/>
        <sz val="9"/>
        <color theme="1"/>
        <rFont val="Calibri"/>
        <family val="2"/>
        <scheme val="minor"/>
      </rPr>
      <t xml:space="preserve">Map Development </t>
    </r>
    <r>
      <rPr>
        <sz val="9"/>
        <color theme="1"/>
        <rFont val="Calibri"/>
        <family val="2"/>
        <scheme val="minor"/>
      </rPr>
      <t xml:space="preserve"> and the </t>
    </r>
    <r>
      <rPr>
        <b/>
        <sz val="9"/>
        <color theme="1"/>
        <rFont val="Calibri"/>
        <family val="2"/>
        <scheme val="minor"/>
      </rPr>
      <t>Ledge Climber System</t>
    </r>
    <r>
      <rPr>
        <sz val="9"/>
        <color theme="1"/>
        <rFont val="Calibri"/>
        <family val="2"/>
        <scheme val="minor"/>
      </rPr>
      <t xml:space="preserve">
or </t>
    </r>
    <r>
      <rPr>
        <b/>
        <sz val="9"/>
        <color theme="1"/>
        <rFont val="Calibri"/>
        <family val="2"/>
        <scheme val="minor"/>
      </rPr>
      <t>NPC System</t>
    </r>
    <r>
      <rPr>
        <sz val="9"/>
        <color theme="1"/>
        <rFont val="Calibri"/>
        <family val="2"/>
        <scheme val="minor"/>
      </rPr>
      <t xml:space="preserve">
In terms of the licence I will need to work on the licence
IB I need to focus on homework and assignments boom
___________________________
One of your goals is 1000 subscribers to WORK and STRIVE towards it ... Like those motivational videos said. Consistency and persistance in the ideas that you form will lead to eventual success. Not immediately. But surely. You got this ajay I love you.</t>
    </r>
  </si>
  <si>
    <t>LEDGE CLIMBER SYSTEM</t>
  </si>
  <si>
    <t>So this is how it will go, I will finish the Ledge Climber System then I will release a development log explaining how the system actually works in basics and asks for subs etc…</t>
  </si>
  <si>
    <t>Then I will work on the NPC Builder and make sure all NPC's have full control over their environment and senses so that I can build comprehensive NPC"S</t>
  </si>
  <si>
    <t>Now I will work on the story and map aspect which sets me up for the mechanic integration _&gt;&gt;&gt;</t>
  </si>
  <si>
    <t>relax</t>
  </si>
  <si>
    <t>MATH LEARN SIGN + INEQUALITIES WITH SIGN DIAGRAM</t>
  </si>
  <si>
    <t>COMSCI FINISHING UP PLAN</t>
  </si>
  <si>
    <t>PHYSICS READ THE ONE NOTE AND MAKE NOTES + Electric Fields and charges</t>
  </si>
  <si>
    <t>Spanish Propositions of Places (In front, behind)</t>
  </si>
  <si>
    <t>English Read Summary</t>
  </si>
  <si>
    <t>Woah I'm not really talkin to myself anymore am I? Well I am focusign a lot in school and I am realising that I can keep up with the content if I try and well I am smart. I know this. Well talking about Nefarious. Your sub base is increasing so expect more views I am extremely happy at this rate I will hit atleast 500 subs by the end of aug... which is pre cool. But I will release a video on the ledge climbing and everything else I have done (research on map development etc..) and the play for th ledge climber system i will explain how I am going to do it. But in terms of actually doing I will be creating the editor to select verticies which I am slightly maybe maybe putting off. But yea</t>
  </si>
  <si>
    <t>Write the Spanish Essay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</si>
</sst>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C09]dd\-mmm\-yy;@"/>
    <numFmt numFmtId="165" formatCode="[$-F800]dddd\,\ mmmm\ dd\,\ yyyy"/>
    <numFmt numFmtId="166" formatCode="[$-C09]d\ mmmm\ yyyy;@"/>
    <numFmt numFmtId="167" formatCode="[$-409]h:mm:ss\ AM/PM;@"/>
    <numFmt numFmtId="168" formatCode="0.0"/>
  </numFmts>
  <fonts count="44" x14ac:knownFonts="1">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b/>
      <i/>
      <u/>
      <sz val="16"/>
      <color theme="1"/>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b/>
      <i/>
      <sz val="11"/>
      <color theme="1"/>
      <name val="Calibri"/>
      <family val="2"/>
      <scheme val="minor"/>
    </font>
    <font>
      <u/>
      <sz val="11"/>
      <color theme="10"/>
      <name val="Calibri"/>
      <family val="2"/>
      <scheme val="minor"/>
    </font>
    <font>
      <b/>
      <u/>
      <sz val="12"/>
      <color theme="1"/>
      <name val="Calibri"/>
      <family val="2"/>
      <scheme val="minor"/>
    </font>
    <font>
      <sz val="11"/>
      <color theme="1" tint="4.9989318521683403E-2"/>
      <name val="Calibri"/>
      <family val="2"/>
      <scheme val="minor"/>
    </font>
    <font>
      <b/>
      <sz val="11"/>
      <color theme="1"/>
      <name val="Calibri"/>
      <family val="2"/>
      <scheme val="minor"/>
    </font>
    <font>
      <sz val="11"/>
      <color theme="1"/>
      <name val="Calibri"/>
      <family val="2"/>
      <scheme val="minor"/>
    </font>
    <font>
      <sz val="11"/>
      <name val="Calibri"/>
      <family val="2"/>
      <scheme val="minor"/>
    </font>
    <font>
      <b/>
      <sz val="14"/>
      <color rgb="FFFF0000"/>
      <name val="Calibri"/>
      <family val="2"/>
      <scheme val="minor"/>
    </font>
    <font>
      <i/>
      <sz val="11"/>
      <name val="Calibri"/>
      <family val="2"/>
      <scheme val="minor"/>
    </font>
    <font>
      <b/>
      <i/>
      <sz val="11"/>
      <name val="Calibri"/>
      <family val="2"/>
      <scheme val="minor"/>
    </font>
    <font>
      <i/>
      <sz val="11"/>
      <name val="Calibri"/>
      <family val="2"/>
      <scheme val="minor"/>
    </font>
    <font>
      <b/>
      <sz val="14"/>
      <color rgb="FFFF0000"/>
      <name val="Calibri"/>
      <family val="2"/>
      <scheme val="minor"/>
    </font>
    <font>
      <b/>
      <sz val="11"/>
      <name val="Calibri"/>
      <family val="2"/>
      <scheme val="minor"/>
    </font>
    <font>
      <b/>
      <i/>
      <u/>
      <sz val="11"/>
      <color theme="1"/>
      <name val="Calibri"/>
      <family val="2"/>
      <scheme val="minor"/>
    </font>
    <font>
      <sz val="11"/>
      <color rgb="FF9C0006"/>
      <name val="Calibri"/>
      <family val="2"/>
      <scheme val="minor"/>
    </font>
    <font>
      <sz val="11"/>
      <color rgb="FF9C6500"/>
      <name val="Calibri"/>
      <family val="2"/>
      <scheme val="minor"/>
    </font>
    <font>
      <b/>
      <sz val="11"/>
      <color rgb="FF9C0006"/>
      <name val="Calibri"/>
      <family val="2"/>
      <scheme val="minor"/>
    </font>
    <font>
      <b/>
      <sz val="11"/>
      <color rgb="FF9C6500"/>
      <name val="Calibri"/>
      <family val="2"/>
      <scheme val="minor"/>
    </font>
    <font>
      <b/>
      <sz val="14"/>
      <color theme="1"/>
      <name val="Calibri"/>
      <family val="2"/>
      <scheme val="minor"/>
    </font>
    <font>
      <b/>
      <sz val="11"/>
      <color rgb="FF3F3F3F"/>
      <name val="Calibri"/>
      <family val="2"/>
      <scheme val="minor"/>
    </font>
    <font>
      <sz val="10"/>
      <color rgb="FF006100"/>
      <name val="Calibri"/>
      <family val="2"/>
      <scheme val="minor"/>
    </font>
    <font>
      <sz val="18"/>
      <color rgb="FF006100"/>
      <name val="Calibri"/>
      <family val="2"/>
      <scheme val="minor"/>
    </font>
    <font>
      <u/>
      <sz val="9"/>
      <color theme="10"/>
      <name val="Calibri"/>
      <family val="2"/>
      <scheme val="minor"/>
    </font>
    <font>
      <sz val="11"/>
      <color theme="4" tint="-0.499984740745262"/>
      <name val="Calibri"/>
      <family val="2"/>
      <scheme val="minor"/>
    </font>
    <font>
      <u/>
      <sz val="9"/>
      <color theme="1"/>
      <name val="Calibri"/>
      <family val="2"/>
      <scheme val="minor"/>
    </font>
    <font>
      <sz val="11"/>
      <color theme="1"/>
      <name val="Calibri"/>
      <scheme val="minor"/>
    </font>
    <font>
      <sz val="9"/>
      <color rgb="FF9C6500"/>
      <name val="Calibri"/>
      <family val="2"/>
      <scheme val="minor"/>
    </font>
    <font>
      <i/>
      <sz val="11"/>
      <color theme="1" tint="4.9989318521683403E-2"/>
      <name val="Calibri"/>
      <family val="2"/>
      <scheme val="minor"/>
    </font>
    <font>
      <b/>
      <sz val="16"/>
      <color theme="1"/>
      <name val="Calibri"/>
      <family val="2"/>
      <scheme val="minor"/>
    </font>
    <font>
      <b/>
      <sz val="11"/>
      <color rgb="FF92D050"/>
      <name val="Calibri"/>
      <family val="2"/>
      <scheme val="minor"/>
    </font>
    <font>
      <b/>
      <sz val="11"/>
      <color rgb="FF00B0F0"/>
      <name val="Calibri"/>
      <family val="2"/>
      <scheme val="minor"/>
    </font>
    <font>
      <b/>
      <sz val="11"/>
      <color theme="8" tint="-0.249977111117893"/>
      <name val="Calibri"/>
      <family val="2"/>
      <scheme val="minor"/>
    </font>
    <font>
      <b/>
      <sz val="11"/>
      <color rgb="FF00F66F"/>
      <name val="Calibri"/>
      <family val="2"/>
      <scheme val="minor"/>
    </font>
    <font>
      <b/>
      <sz val="11"/>
      <color rgb="FFFF2929"/>
      <name val="Calibri"/>
      <family val="2"/>
      <scheme val="minor"/>
    </font>
  </fonts>
  <fills count="23">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rgb="FFFFC000"/>
        <bgColor indexed="64"/>
      </patternFill>
    </fill>
    <fill>
      <patternFill patternType="solid">
        <fgColor theme="7" tint="0.59999389629810485"/>
        <bgColor indexed="64"/>
      </patternFill>
    </fill>
    <fill>
      <patternFill patternType="solid">
        <fgColor rgb="FFFFFFCC"/>
      </patternFill>
    </fill>
    <fill>
      <patternFill patternType="solid">
        <fgColor rgb="FFFFC7CE"/>
      </patternFill>
    </fill>
    <fill>
      <patternFill patternType="solid">
        <fgColor rgb="FFFFEB9C"/>
      </patternFill>
    </fill>
    <fill>
      <patternFill patternType="solid">
        <fgColor rgb="FFF2F2F2"/>
      </patternFill>
    </fill>
    <fill>
      <patternFill patternType="solid">
        <fgColor rgb="FFA1C7F5"/>
        <bgColor indexed="64"/>
      </patternFill>
    </fill>
    <fill>
      <patternFill patternType="solid">
        <fgColor rgb="FFFFFF00"/>
        <bgColor indexed="64"/>
      </patternFill>
    </fill>
    <fill>
      <patternFill patternType="solid">
        <fgColor theme="4"/>
        <bgColor indexed="64"/>
      </patternFill>
    </fill>
    <fill>
      <patternFill patternType="solid">
        <fgColor theme="6" tint="0.59999389629810485"/>
        <bgColor indexed="64"/>
      </patternFill>
    </fill>
    <fill>
      <patternFill patternType="solid">
        <fgColor rgb="FF61D6FF"/>
        <bgColor indexed="64"/>
      </patternFill>
    </fill>
    <fill>
      <patternFill patternType="solid">
        <fgColor rgb="FFBD92DE"/>
        <bgColor indexed="64"/>
      </patternFill>
    </fill>
    <fill>
      <patternFill patternType="solid">
        <fgColor theme="9"/>
        <bgColor indexed="64"/>
      </patternFill>
    </fill>
    <fill>
      <patternFill patternType="solid">
        <fgColor theme="3"/>
        <bgColor indexed="64"/>
      </patternFill>
    </fill>
    <fill>
      <patternFill patternType="solid">
        <fgColor theme="1" tint="0.34998626667073579"/>
        <bgColor indexed="64"/>
      </patternFill>
    </fill>
  </fills>
  <borders count="25">
    <border>
      <left/>
      <right/>
      <top/>
      <bottom/>
      <diagonal/>
    </border>
    <border>
      <left/>
      <right/>
      <top style="thin">
        <color auto="1"/>
      </top>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bottom/>
      <diagonal/>
    </border>
    <border>
      <left/>
      <right style="thin">
        <color auto="1"/>
      </right>
      <top style="thin">
        <color auto="1"/>
      </top>
      <bottom/>
      <diagonal/>
    </border>
    <border>
      <left style="hair">
        <color auto="1"/>
      </left>
      <right style="hair">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thin">
        <color rgb="FFB2B2B2"/>
      </left>
      <right style="thin">
        <color rgb="FFB2B2B2"/>
      </right>
      <top style="thin">
        <color rgb="FFB2B2B2"/>
      </top>
      <bottom style="thin">
        <color rgb="FFB2B2B2"/>
      </bottom>
      <diagonal/>
    </border>
    <border>
      <left/>
      <right style="thin">
        <color rgb="FFB2B2B2"/>
      </right>
      <top/>
      <bottom/>
      <diagonal/>
    </border>
    <border>
      <left style="thin">
        <color rgb="FFB2B2B2"/>
      </left>
      <right/>
      <top/>
      <bottom/>
      <diagonal/>
    </border>
    <border>
      <left style="thin">
        <color rgb="FFB2B2B2"/>
      </left>
      <right style="thin">
        <color rgb="FFB2B2B2"/>
      </right>
      <top style="thin">
        <color rgb="FFB2B2B2"/>
      </top>
      <bottom/>
      <diagonal/>
    </border>
    <border>
      <left/>
      <right/>
      <top/>
      <bottom style="double">
        <color auto="1"/>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style="thin">
        <color rgb="FF7F7F7F"/>
      </bottom>
      <diagonal/>
    </border>
    <border>
      <left style="slantDashDot">
        <color auto="1"/>
      </left>
      <right/>
      <top style="double">
        <color auto="1"/>
      </top>
      <bottom/>
      <diagonal/>
    </border>
    <border>
      <left style="slantDashDot">
        <color auto="1"/>
      </left>
      <right/>
      <top/>
      <bottom/>
      <diagonal/>
    </border>
    <border>
      <left/>
      <right/>
      <top/>
      <bottom style="thick">
        <color auto="1"/>
      </bottom>
      <diagonal/>
    </border>
    <border>
      <left style="slantDashDot">
        <color auto="1"/>
      </left>
      <right/>
      <top/>
      <bottom style="thick">
        <color auto="1"/>
      </bottom>
      <diagonal/>
    </border>
  </borders>
  <cellStyleXfs count="9">
    <xf numFmtId="0" fontId="0" fillId="0" borderId="0">
      <alignment horizontal="center" vertical="center" wrapText="1"/>
    </xf>
    <xf numFmtId="0" fontId="1" fillId="2" borderId="0" applyNumberFormat="0" applyBorder="0" applyAlignment="0" applyProtection="0"/>
    <xf numFmtId="0" fontId="11" fillId="0" borderId="0" applyNumberFormat="0" applyFill="0" applyBorder="0" applyAlignment="0" applyProtection="0"/>
    <xf numFmtId="0" fontId="15" fillId="10" borderId="14" applyNumberFormat="0" applyFont="0" applyAlignment="0" applyProtection="0"/>
    <xf numFmtId="0" fontId="24" fillId="11" borderId="0" applyNumberFormat="0" applyBorder="0" applyAlignment="0" applyProtection="0"/>
    <xf numFmtId="0" fontId="25" fillId="12" borderId="0" applyNumberFormat="0" applyBorder="0" applyAlignment="0" applyProtection="0"/>
    <xf numFmtId="0" fontId="29" fillId="13" borderId="19" applyNumberFormat="0" applyAlignment="0" applyProtection="0"/>
    <xf numFmtId="0" fontId="33" fillId="14" borderId="20" applyNumberFormat="0" applyBorder="0" applyAlignment="0" applyProtection="0"/>
    <xf numFmtId="0" fontId="15" fillId="0" borderId="18">
      <alignment horizontal="center" vertical="center" wrapText="1"/>
    </xf>
  </cellStyleXfs>
  <cellXfs count="213">
    <xf numFmtId="0" fontId="0" fillId="0" borderId="0" xfId="0">
      <alignment horizontal="center" vertical="center" wrapText="1"/>
    </xf>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2" xfId="1" applyBorder="1" applyAlignment="1">
      <alignment horizontal="center" vertical="center" wrapText="1"/>
    </xf>
    <xf numFmtId="0" fontId="1" fillId="2" borderId="4" xfId="1" applyBorder="1" applyAlignment="1">
      <alignment horizontal="center" vertical="center" wrapText="1"/>
    </xf>
    <xf numFmtId="0" fontId="1" fillId="2" borderId="5" xfId="1" applyBorder="1" applyAlignment="1">
      <alignment horizontal="center" vertical="center" wrapText="1"/>
    </xf>
    <xf numFmtId="0" fontId="1" fillId="2" borderId="6" xfId="1" applyBorder="1" applyAlignment="1">
      <alignment horizontal="center" vertical="center" wrapText="1"/>
    </xf>
    <xf numFmtId="0" fontId="1" fillId="2" borderId="3" xfId="1" applyBorder="1"/>
    <xf numFmtId="0" fontId="0" fillId="4" borderId="3" xfId="0" applyFill="1" applyBorder="1">
      <alignment horizontal="center" vertical="center" wrapText="1"/>
    </xf>
    <xf numFmtId="0" fontId="0" fillId="5" borderId="3" xfId="0" applyFill="1" applyBorder="1" applyAlignment="1">
      <alignment horizontal="center" vertical="center" wrapText="1"/>
    </xf>
    <xf numFmtId="164" fontId="0" fillId="3" borderId="7" xfId="0" applyNumberFormat="1" applyFill="1" applyBorder="1" applyAlignment="1">
      <alignment horizontal="center" vertical="center" textRotation="90" wrapText="1"/>
    </xf>
    <xf numFmtId="164" fontId="2" fillId="5" borderId="8" xfId="0" applyNumberFormat="1" applyFont="1" applyFill="1" applyBorder="1" applyAlignment="1">
      <alignment textRotation="90"/>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2" xfId="1" applyNumberFormat="1" applyFont="1" applyBorder="1" applyAlignment="1">
      <alignment horizontal="center" vertical="center" wrapText="1"/>
    </xf>
    <xf numFmtId="10" fontId="3" fillId="4" borderId="0" xfId="0" applyNumberFormat="1" applyFont="1" applyFill="1" applyBorder="1" applyAlignment="1">
      <alignment horizontal="center" vertical="center"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2" xfId="1" applyFont="1" applyBorder="1" applyAlignment="1">
      <alignment horizontal="center" vertical="center" wrapText="1"/>
    </xf>
    <xf numFmtId="164" fontId="4" fillId="2" borderId="2"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0" fillId="4" borderId="2" xfId="0" applyFill="1" applyBorder="1" applyAlignment="1">
      <alignment horizontal="center" vertical="center" wrapText="1"/>
    </xf>
    <xf numFmtId="0" fontId="1" fillId="2" borderId="0" xfId="1" applyBorder="1" applyAlignment="1">
      <alignment horizontal="center" vertical="center" wrapText="1"/>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9" xfId="0" applyFill="1" applyBorder="1" applyAlignment="1">
      <alignment horizontal="center" vertical="center" wrapText="1"/>
    </xf>
    <xf numFmtId="0" fontId="0" fillId="3" borderId="10"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3"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3"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6"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0" fillId="7" borderId="0" xfId="0" applyFill="1" applyAlignment="1">
      <alignment horizontal="center" vertical="center" wrapText="1"/>
    </xf>
    <xf numFmtId="2" fontId="0" fillId="7" borderId="0" xfId="0" applyNumberFormat="1" applyFont="1" applyFill="1" applyAlignment="1">
      <alignment horizontal="center" vertical="center" wrapText="1"/>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0" fillId="8" borderId="0" xfId="0" applyFont="1" applyFill="1" applyAlignment="1">
      <alignment horizontal="center" vertical="center" wrapText="1"/>
    </xf>
    <xf numFmtId="2" fontId="0" fillId="8"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165" fontId="8" fillId="3" borderId="8" xfId="0" applyNumberFormat="1" applyFont="1" applyFill="1" applyBorder="1" applyAlignment="1">
      <alignment horizontal="center" vertical="center" wrapText="1"/>
    </xf>
    <xf numFmtId="165" fontId="8" fillId="3" borderId="3"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10" fillId="4" borderId="0" xfId="0" applyFont="1" applyFill="1" applyBorder="1" applyAlignment="1">
      <alignment horizontal="center" vertical="center" wrapText="1"/>
    </xf>
    <xf numFmtId="0" fontId="7" fillId="4" borderId="0" xfId="0" applyFont="1" applyFill="1" applyBorder="1" applyAlignment="1">
      <alignment horizontal="center" vertical="center" wrapText="1"/>
    </xf>
    <xf numFmtId="0" fontId="0" fillId="4" borderId="0" xfId="0" applyFill="1" applyBorder="1" applyAlignment="1">
      <alignment vertical="top" wrapText="1"/>
    </xf>
    <xf numFmtId="164" fontId="3" fillId="4" borderId="1" xfId="0" applyNumberFormat="1" applyFont="1" applyFill="1" applyBorder="1" applyAlignment="1">
      <alignment horizontal="right" vertical="center" wrapText="1"/>
    </xf>
    <xf numFmtId="49" fontId="8" fillId="3" borderId="11" xfId="0" applyNumberFormat="1" applyFont="1" applyFill="1" applyBorder="1" applyAlignment="1">
      <alignment horizontal="center" vertical="center" wrapText="1"/>
    </xf>
    <xf numFmtId="49" fontId="8" fillId="3" borderId="1" xfId="0" applyNumberFormat="1" applyFont="1" applyFill="1" applyBorder="1" applyAlignment="1">
      <alignment horizontal="center" vertical="center" wrapText="1"/>
    </xf>
    <xf numFmtId="2" fontId="8" fillId="3" borderId="1" xfId="0" applyNumberFormat="1" applyFont="1" applyFill="1" applyBorder="1" applyAlignment="1">
      <alignment horizontal="center" vertical="center" wrapText="1"/>
    </xf>
    <xf numFmtId="0" fontId="0" fillId="3" borderId="1" xfId="0" applyFill="1" applyBorder="1" applyAlignment="1">
      <alignment horizontal="center" vertical="center" wrapText="1"/>
    </xf>
    <xf numFmtId="49" fontId="8" fillId="3" borderId="12" xfId="0" applyNumberFormat="1" applyFont="1" applyFill="1" applyBorder="1" applyAlignment="1">
      <alignment horizontal="center" vertical="center" wrapText="1"/>
    </xf>
    <xf numFmtId="2" fontId="8" fillId="3" borderId="11" xfId="0" applyNumberFormat="1" applyFont="1" applyFill="1" applyBorder="1" applyAlignment="1">
      <alignment horizontal="center" vertical="center" wrapText="1"/>
    </xf>
    <xf numFmtId="0" fontId="0" fillId="3" borderId="11" xfId="0" applyFill="1" applyBorder="1" applyAlignment="1">
      <alignment horizontal="center" vertical="center" wrapText="1"/>
    </xf>
    <xf numFmtId="0" fontId="0" fillId="3" borderId="13" xfId="0" applyFill="1" applyBorder="1" applyAlignment="1">
      <alignment horizontal="center" vertical="center" wrapText="1"/>
    </xf>
    <xf numFmtId="49" fontId="9" fillId="3" borderId="12" xfId="0" applyNumberFormat="1" applyFont="1" applyFill="1" applyBorder="1" applyAlignment="1">
      <alignment horizontal="center" vertical="center" wrapText="1"/>
    </xf>
    <xf numFmtId="49" fontId="9" fillId="3" borderId="11" xfId="0" applyNumberFormat="1" applyFont="1" applyFill="1" applyBorder="1" applyAlignment="1">
      <alignment horizontal="center" vertical="center" wrapText="1"/>
    </xf>
    <xf numFmtId="22" fontId="12" fillId="7" borderId="0" xfId="0" applyNumberFormat="1" applyFont="1" applyFill="1" applyAlignment="1">
      <alignment horizontal="center" vertical="center" wrapText="1"/>
    </xf>
    <xf numFmtId="0" fontId="12" fillId="7" borderId="0" xfId="0" applyFont="1" applyFill="1" applyAlignment="1">
      <alignment horizontal="center" vertical="center" wrapText="1"/>
    </xf>
    <xf numFmtId="166" fontId="12" fillId="7" borderId="0" xfId="0" applyNumberFormat="1" applyFont="1" applyFill="1" applyAlignment="1">
      <alignment horizontal="center" vertical="center" wrapText="1"/>
    </xf>
    <xf numFmtId="164" fontId="3" fillId="3" borderId="1" xfId="0" applyNumberFormat="1" applyFont="1" applyFill="1" applyBorder="1" applyAlignment="1">
      <alignment horizontal="center" vertical="center" textRotation="90" wrapText="1"/>
    </xf>
    <xf numFmtId="10" fontId="3" fillId="3" borderId="1" xfId="0" applyNumberFormat="1" applyFont="1" applyFill="1" applyBorder="1" applyAlignment="1">
      <alignment horizontal="center" vertical="center" textRotation="90" wrapText="1"/>
    </xf>
    <xf numFmtId="0" fontId="1" fillId="2" borderId="9" xfId="1" applyBorder="1" applyAlignment="1">
      <alignment horizontal="center" vertical="center" wrapText="1"/>
    </xf>
    <xf numFmtId="164" fontId="1" fillId="2" borderId="10" xfId="1" applyNumberFormat="1" applyBorder="1" applyAlignment="1">
      <alignment horizontal="center" vertical="center" textRotation="90" wrapText="1"/>
    </xf>
    <xf numFmtId="0" fontId="4" fillId="2" borderId="9" xfId="1" applyFont="1" applyBorder="1" applyAlignment="1">
      <alignment horizontal="center" vertical="center" wrapText="1"/>
    </xf>
    <xf numFmtId="0" fontId="14" fillId="3" borderId="0" xfId="0" applyFont="1" applyFill="1" applyAlignment="1">
      <alignment horizontal="center" vertical="center" wrapText="1"/>
    </xf>
    <xf numFmtId="164" fontId="14" fillId="3" borderId="0" xfId="0" applyNumberFormat="1" applyFont="1" applyFill="1" applyBorder="1" applyAlignment="1">
      <alignment horizontal="center" vertical="center" wrapText="1"/>
    </xf>
    <xf numFmtId="0" fontId="0" fillId="0" borderId="0" xfId="0" applyAlignment="1">
      <alignment wrapText="1"/>
    </xf>
    <xf numFmtId="0" fontId="0" fillId="0" borderId="0" xfId="0" applyFill="1" applyAlignment="1">
      <alignment horizontal="center" vertical="center" wrapText="1"/>
    </xf>
    <xf numFmtId="0" fontId="10" fillId="7" borderId="0" xfId="0" applyFont="1" applyFill="1" applyAlignment="1">
      <alignment horizontal="center" vertical="center" wrapText="1"/>
    </xf>
    <xf numFmtId="0" fontId="10" fillId="0" borderId="0" xfId="0" applyFont="1" applyFill="1" applyAlignment="1">
      <alignment horizontal="center" vertical="center" wrapText="1"/>
    </xf>
    <xf numFmtId="0" fontId="10" fillId="0" borderId="0" xfId="0" applyFont="1" applyAlignment="1">
      <alignment horizontal="center" vertical="center" wrapText="1"/>
    </xf>
    <xf numFmtId="0" fontId="16" fillId="3" borderId="0" xfId="0" applyFont="1" applyFill="1" applyAlignment="1">
      <alignment horizontal="center" vertical="center" wrapText="1"/>
    </xf>
    <xf numFmtId="10" fontId="0" fillId="0" borderId="0" xfId="0" applyNumberFormat="1" applyAlignment="1">
      <alignment horizontal="center" vertical="center" wrapText="1"/>
    </xf>
    <xf numFmtId="0" fontId="18" fillId="10" borderId="14" xfId="3" applyFont="1" applyAlignment="1">
      <alignment horizontal="center" vertical="center" wrapText="1"/>
    </xf>
    <xf numFmtId="165" fontId="17" fillId="0" borderId="0" xfId="2" applyNumberFormat="1" applyFont="1" applyAlignment="1">
      <alignment horizontal="center" vertical="center" wrapText="1"/>
    </xf>
    <xf numFmtId="165" fontId="17" fillId="0" borderId="0" xfId="0" applyNumberFormat="1" applyFont="1" applyAlignment="1">
      <alignment horizontal="center" vertical="center" wrapText="1"/>
    </xf>
    <xf numFmtId="0" fontId="16" fillId="3" borderId="0" xfId="0" applyFont="1" applyFill="1" applyAlignment="1">
      <alignment wrapText="1"/>
    </xf>
    <xf numFmtId="0" fontId="16" fillId="7" borderId="0" xfId="0" applyFont="1" applyFill="1" applyAlignment="1">
      <alignment horizontal="center" vertical="center" wrapText="1"/>
    </xf>
    <xf numFmtId="0" fontId="0" fillId="0" borderId="15" xfId="0" applyBorder="1" applyAlignment="1">
      <alignment horizontal="center" vertical="center" wrapText="1"/>
    </xf>
    <xf numFmtId="0" fontId="0" fillId="0" borderId="16" xfId="0" applyBorder="1" applyAlignment="1">
      <alignment horizontal="center" vertical="center" wrapText="1"/>
    </xf>
    <xf numFmtId="0" fontId="20" fillId="10" borderId="17" xfId="3" applyFont="1" applyBorder="1" applyAlignment="1">
      <alignment horizontal="center" vertical="center" wrapText="1"/>
    </xf>
    <xf numFmtId="10" fontId="0" fillId="0" borderId="0" xfId="0" applyNumberFormat="1" applyBorder="1" applyAlignment="1">
      <alignment horizontal="center" vertical="center" wrapText="1"/>
    </xf>
    <xf numFmtId="165" fontId="0" fillId="0" borderId="0" xfId="0" applyNumberFormat="1" applyBorder="1" applyAlignment="1">
      <alignment horizontal="center" vertical="center" wrapText="1"/>
    </xf>
    <xf numFmtId="165" fontId="21" fillId="0" borderId="0" xfId="0" applyNumberFormat="1" applyFont="1" applyBorder="1" applyAlignment="1">
      <alignment horizontal="center" vertical="center" wrapText="1"/>
    </xf>
    <xf numFmtId="0" fontId="11" fillId="0" borderId="0" xfId="2" applyBorder="1" applyAlignment="1">
      <alignment horizontal="center" vertical="center" wrapText="1"/>
    </xf>
    <xf numFmtId="0" fontId="13" fillId="3" borderId="7" xfId="0" applyNumberFormat="1" applyFont="1" applyFill="1" applyBorder="1" applyAlignment="1">
      <alignment horizontal="center" vertical="center" wrapText="1"/>
    </xf>
    <xf numFmtId="0" fontId="13" fillId="3" borderId="0" xfId="0" applyNumberFormat="1" applyFont="1" applyFill="1" applyAlignment="1">
      <alignment horizontal="center" vertical="center" wrapText="1"/>
    </xf>
    <xf numFmtId="10" fontId="23" fillId="3" borderId="0" xfId="0" applyNumberFormat="1" applyFont="1" applyFill="1" applyBorder="1" applyAlignment="1">
      <alignment horizontal="center" vertical="center" wrapText="1"/>
    </xf>
    <xf numFmtId="0" fontId="22" fillId="3" borderId="0" xfId="0" applyFont="1" applyFill="1" applyAlignment="1">
      <alignment horizontal="center" vertical="center" wrapText="1"/>
    </xf>
    <xf numFmtId="0" fontId="19" fillId="10" borderId="14" xfId="3" applyFont="1" applyAlignment="1">
      <alignment horizontal="center" vertical="center" wrapText="1"/>
    </xf>
    <xf numFmtId="0" fontId="19" fillId="10" borderId="14" xfId="3" applyFont="1" applyBorder="1" applyAlignment="1">
      <alignment horizontal="center" vertical="center" wrapText="1"/>
    </xf>
    <xf numFmtId="10" fontId="14" fillId="3" borderId="0" xfId="0" applyNumberFormat="1" applyFont="1" applyFill="1" applyBorder="1" applyAlignment="1">
      <alignment horizontal="center" vertical="center" wrapText="1"/>
    </xf>
    <xf numFmtId="0" fontId="3" fillId="0" borderId="0" xfId="0" applyFont="1" applyAlignment="1">
      <alignment horizontal="center" vertical="center"/>
    </xf>
    <xf numFmtId="0" fontId="4" fillId="2" borderId="0" xfId="1" applyFont="1" applyAlignment="1">
      <alignment horizontal="center" vertical="center"/>
    </xf>
    <xf numFmtId="0" fontId="26" fillId="11" borderId="0" xfId="4" applyFont="1" applyAlignment="1">
      <alignment horizontal="center" vertical="center"/>
    </xf>
    <xf numFmtId="0" fontId="27" fillId="12" borderId="0" xfId="5" applyFont="1" applyAlignment="1">
      <alignment horizontal="center" vertical="center"/>
    </xf>
    <xf numFmtId="10" fontId="3" fillId="0" borderId="0" xfId="0" applyNumberFormat="1" applyFont="1" applyAlignment="1">
      <alignment horizontal="center" vertical="center" wrapText="1"/>
    </xf>
    <xf numFmtId="16" fontId="3" fillId="0" borderId="0" xfId="0" applyNumberFormat="1" applyFont="1" applyAlignment="1">
      <alignment horizontal="center" vertical="center"/>
    </xf>
    <xf numFmtId="14" fontId="3" fillId="0" borderId="0" xfId="0" applyNumberFormat="1" applyFont="1" applyAlignment="1">
      <alignment horizontal="center" vertical="center"/>
    </xf>
    <xf numFmtId="10" fontId="3" fillId="0" borderId="0" xfId="0" applyNumberFormat="1" applyFont="1" applyAlignment="1">
      <alignment horizontal="center" vertical="center"/>
    </xf>
    <xf numFmtId="165" fontId="28" fillId="3" borderId="0" xfId="0" applyNumberFormat="1" applyFont="1" applyFill="1" applyAlignment="1">
      <alignment horizontal="center" vertical="center" wrapText="1"/>
    </xf>
    <xf numFmtId="166" fontId="0" fillId="9" borderId="0" xfId="0" applyNumberFormat="1" applyFont="1" applyFill="1" applyBorder="1" applyAlignment="1">
      <alignment horizontal="center" vertical="center" wrapText="1"/>
    </xf>
    <xf numFmtId="165" fontId="3" fillId="7" borderId="0" xfId="0" applyNumberFormat="1" applyFont="1" applyFill="1" applyAlignment="1">
      <alignment horizontal="center" vertical="center" wrapText="1"/>
    </xf>
    <xf numFmtId="166" fontId="3" fillId="9" borderId="18" xfId="0" applyNumberFormat="1" applyFont="1" applyFill="1" applyBorder="1" applyAlignment="1">
      <alignment horizontal="center" vertical="center" wrapText="1"/>
    </xf>
    <xf numFmtId="165" fontId="3" fillId="3" borderId="0" xfId="0" applyNumberFormat="1" applyFont="1" applyFill="1" applyAlignment="1">
      <alignment horizontal="center" vertical="center" wrapText="1"/>
    </xf>
    <xf numFmtId="2" fontId="3" fillId="8" borderId="0" xfId="0" applyNumberFormat="1" applyFont="1" applyFill="1" applyAlignment="1">
      <alignment horizontal="center" vertical="center" wrapText="1"/>
    </xf>
    <xf numFmtId="0" fontId="11" fillId="0" borderId="16" xfId="2" applyBorder="1" applyAlignment="1">
      <alignment horizontal="center" vertical="center" wrapText="1"/>
    </xf>
    <xf numFmtId="49" fontId="24" fillId="11" borderId="12" xfId="4" applyNumberFormat="1" applyBorder="1" applyAlignment="1">
      <alignment horizontal="center" vertical="center" wrapText="1"/>
    </xf>
    <xf numFmtId="49" fontId="24" fillId="11" borderId="11" xfId="4" applyNumberFormat="1" applyBorder="1" applyAlignment="1">
      <alignment horizontal="center" vertical="center" wrapText="1"/>
    </xf>
    <xf numFmtId="2" fontId="24" fillId="11" borderId="11" xfId="4" applyNumberFormat="1" applyBorder="1" applyAlignment="1">
      <alignment horizontal="center" vertical="center" wrapText="1"/>
    </xf>
    <xf numFmtId="49" fontId="11" fillId="3" borderId="11" xfId="2" applyNumberFormat="1" applyFill="1" applyBorder="1" applyAlignment="1">
      <alignment horizontal="center" vertical="center" wrapText="1"/>
    </xf>
    <xf numFmtId="0" fontId="30" fillId="2" borderId="0" xfId="1" applyFont="1" applyAlignment="1">
      <alignment horizontal="center" vertical="center" wrapText="1"/>
    </xf>
    <xf numFmtId="165" fontId="30" fillId="2" borderId="3" xfId="1" applyNumberFormat="1" applyFont="1" applyBorder="1" applyAlignment="1">
      <alignment horizontal="center" vertical="center" wrapText="1"/>
    </xf>
    <xf numFmtId="49" fontId="30" fillId="2" borderId="12" xfId="1" applyNumberFormat="1" applyFont="1" applyBorder="1" applyAlignment="1">
      <alignment horizontal="center" vertical="center" wrapText="1"/>
    </xf>
    <xf numFmtId="49" fontId="30" fillId="2" borderId="11" xfId="1" applyNumberFormat="1" applyFont="1" applyBorder="1" applyAlignment="1">
      <alignment horizontal="center" vertical="center" wrapText="1"/>
    </xf>
    <xf numFmtId="2" fontId="30" fillId="2" borderId="11" xfId="1" applyNumberFormat="1" applyFont="1" applyBorder="1" applyAlignment="1">
      <alignment horizontal="center" vertical="center" wrapText="1"/>
    </xf>
    <xf numFmtId="0" fontId="30" fillId="2" borderId="11" xfId="1" applyFont="1" applyBorder="1" applyAlignment="1">
      <alignment horizontal="center" vertical="center" wrapText="1"/>
    </xf>
    <xf numFmtId="0" fontId="30" fillId="2" borderId="13" xfId="1" applyFont="1" applyBorder="1" applyAlignment="1">
      <alignment horizontal="center" vertical="center" wrapText="1"/>
    </xf>
    <xf numFmtId="49" fontId="31" fillId="2" borderId="11" xfId="1" applyNumberFormat="1" applyFont="1" applyBorder="1" applyAlignment="1">
      <alignment horizontal="center" vertical="center" wrapText="1"/>
    </xf>
    <xf numFmtId="49" fontId="32" fillId="3" borderId="11" xfId="2" applyNumberFormat="1" applyFont="1" applyFill="1" applyBorder="1" applyAlignment="1">
      <alignment horizontal="center" vertical="center" wrapText="1"/>
    </xf>
    <xf numFmtId="0" fontId="0" fillId="7" borderId="0" xfId="0" applyNumberFormat="1" applyFont="1" applyFill="1" applyAlignment="1">
      <alignment horizontal="center" vertical="center" wrapText="1" shrinkToFit="1"/>
    </xf>
    <xf numFmtId="18" fontId="0" fillId="3" borderId="0" xfId="0" applyNumberFormat="1" applyFont="1" applyFill="1" applyAlignment="1">
      <alignment horizontal="center" vertical="center" wrapText="1" shrinkToFit="1"/>
    </xf>
    <xf numFmtId="2" fontId="0" fillId="0" borderId="0" xfId="0" applyNumberFormat="1" applyFont="1" applyAlignment="1">
      <alignment horizontal="center" vertical="center" wrapText="1" shrinkToFit="1"/>
    </xf>
    <xf numFmtId="0" fontId="0" fillId="0" borderId="0" xfId="0" applyFont="1" applyAlignment="1">
      <alignment horizontal="center" vertical="center" wrapText="1" shrinkToFit="1"/>
    </xf>
    <xf numFmtId="0" fontId="0" fillId="3" borderId="0" xfId="0" applyFont="1" applyFill="1" applyAlignment="1">
      <alignment horizontal="center" vertical="center" wrapText="1" shrinkToFit="1"/>
    </xf>
    <xf numFmtId="0" fontId="1" fillId="0" borderId="0" xfId="1" applyFill="1" applyAlignment="1">
      <alignment horizontal="center" vertical="center" wrapText="1"/>
    </xf>
    <xf numFmtId="0" fontId="25" fillId="0" borderId="0" xfId="5" applyFill="1" applyAlignment="1">
      <alignment horizontal="center" vertical="center" wrapText="1"/>
    </xf>
    <xf numFmtId="0" fontId="24" fillId="0" borderId="0" xfId="4" applyFill="1" applyAlignment="1">
      <alignment horizontal="center" vertical="center" wrapText="1"/>
    </xf>
    <xf numFmtId="165" fontId="0" fillId="7" borderId="0" xfId="0" applyNumberFormat="1" applyFill="1" applyAlignment="1">
      <alignment horizontal="center" vertical="center" wrapText="1"/>
    </xf>
    <xf numFmtId="2" fontId="0" fillId="0" borderId="0" xfId="0" applyNumberFormat="1" applyFont="1" applyFill="1" applyAlignment="1">
      <alignment horizontal="center" vertical="center" wrapText="1" shrinkToFit="1"/>
    </xf>
    <xf numFmtId="167" fontId="0" fillId="7" borderId="0" xfId="0" applyNumberFormat="1" applyFont="1" applyFill="1" applyAlignment="1">
      <alignment horizontal="center" vertical="center" wrapText="1"/>
    </xf>
    <xf numFmtId="168" fontId="13" fillId="7" borderId="0" xfId="0" applyNumberFormat="1" applyFont="1" applyFill="1" applyAlignment="1">
      <alignment horizontal="center" vertical="center" wrapText="1"/>
    </xf>
    <xf numFmtId="10" fontId="0" fillId="7" borderId="0" xfId="0" applyNumberFormat="1" applyFill="1" applyAlignment="1">
      <alignment horizontal="center" vertical="center" wrapText="1"/>
    </xf>
    <xf numFmtId="0" fontId="0" fillId="8" borderId="0" xfId="0" applyFill="1" applyAlignment="1">
      <alignment horizontal="center" vertical="center" wrapText="1"/>
    </xf>
    <xf numFmtId="10" fontId="0" fillId="8" borderId="0" xfId="0" applyNumberFormat="1" applyFill="1" applyAlignment="1">
      <alignment horizontal="center" vertical="center" wrapText="1"/>
    </xf>
    <xf numFmtId="0" fontId="0" fillId="10" borderId="14" xfId="3" applyFont="1" applyAlignment="1">
      <alignment horizontal="center" vertical="center" wrapText="1"/>
    </xf>
    <xf numFmtId="10" fontId="0" fillId="10" borderId="14" xfId="3" applyNumberFormat="1" applyFont="1" applyAlignment="1">
      <alignment horizontal="center" vertical="center" wrapText="1"/>
    </xf>
    <xf numFmtId="0" fontId="29" fillId="13" borderId="19" xfId="6" applyAlignment="1">
      <alignment horizontal="center" vertical="center" wrapText="1"/>
    </xf>
    <xf numFmtId="10" fontId="29" fillId="13" borderId="19" xfId="6" applyNumberFormat="1" applyAlignment="1">
      <alignment horizontal="center" vertical="center" wrapText="1"/>
    </xf>
    <xf numFmtId="2" fontId="29" fillId="13" borderId="19" xfId="6" applyNumberFormat="1" applyAlignment="1">
      <alignment horizontal="center" vertical="center" wrapText="1"/>
    </xf>
    <xf numFmtId="16" fontId="25" fillId="12" borderId="0" xfId="5" applyNumberFormat="1" applyAlignment="1">
      <alignment horizontal="center" vertical="center" wrapText="1"/>
    </xf>
    <xf numFmtId="2" fontId="0" fillId="15" borderId="0" xfId="0" applyNumberFormat="1" applyFont="1" applyFill="1" applyAlignment="1">
      <alignment horizontal="center" vertical="center" wrapText="1" shrinkToFit="1"/>
    </xf>
    <xf numFmtId="2" fontId="35" fillId="8" borderId="0" xfId="0" applyNumberFormat="1" applyFont="1" applyFill="1" applyAlignment="1">
      <alignment horizontal="center" vertical="center" wrapText="1"/>
    </xf>
    <xf numFmtId="2" fontId="0" fillId="16" borderId="0" xfId="0" applyNumberFormat="1" applyFont="1" applyFill="1" applyAlignment="1">
      <alignment horizontal="center" vertical="center" wrapText="1" shrinkToFit="1"/>
    </xf>
    <xf numFmtId="10" fontId="0" fillId="0" borderId="0" xfId="0" applyNumberFormat="1" applyFill="1" applyAlignment="1">
      <alignment horizontal="center" vertical="center" wrapText="1"/>
    </xf>
    <xf numFmtId="2" fontId="0" fillId="6" borderId="0" xfId="0" applyNumberFormat="1" applyFont="1" applyFill="1" applyAlignment="1">
      <alignment horizontal="center" vertical="center" wrapText="1" shrinkToFit="1"/>
    </xf>
    <xf numFmtId="0" fontId="0" fillId="7" borderId="0" xfId="0" applyFill="1">
      <alignment horizontal="center" vertical="center" wrapText="1"/>
    </xf>
    <xf numFmtId="166" fontId="0" fillId="7" borderId="0" xfId="0" applyNumberFormat="1" applyFont="1" applyFill="1" applyAlignment="1">
      <alignment horizontal="center" vertical="center" wrapText="1"/>
    </xf>
    <xf numFmtId="165" fontId="37" fillId="3" borderId="0" xfId="0" applyNumberFormat="1" applyFont="1" applyFill="1" applyAlignment="1">
      <alignment horizontal="center" vertical="center" wrapText="1"/>
    </xf>
    <xf numFmtId="2" fontId="0" fillId="8" borderId="0" xfId="0" applyNumberFormat="1" applyFont="1" applyFill="1" applyAlignment="1">
      <alignment horizontal="center" vertical="center" wrapText="1" shrinkToFit="1"/>
    </xf>
    <xf numFmtId="2" fontId="0" fillId="17" borderId="0" xfId="0" applyNumberFormat="1" applyFont="1" applyFill="1" applyAlignment="1">
      <alignment horizontal="center" vertical="center" wrapText="1" shrinkToFit="1"/>
    </xf>
    <xf numFmtId="0" fontId="0" fillId="7" borderId="0" xfId="0" applyFill="1" applyAlignment="1">
      <alignment horizontal="center" vertical="center"/>
    </xf>
    <xf numFmtId="0" fontId="0" fillId="9" borderId="0" xfId="0" applyFill="1" applyAlignment="1">
      <alignment horizontal="center"/>
    </xf>
    <xf numFmtId="0" fontId="0" fillId="9" borderId="21" xfId="0" applyFill="1" applyBorder="1" applyAlignment="1">
      <alignment horizontal="center"/>
    </xf>
    <xf numFmtId="0" fontId="8" fillId="9" borderId="22" xfId="0" applyFont="1" applyFill="1" applyBorder="1" applyAlignment="1">
      <alignment horizontal="left" indent="5"/>
    </xf>
    <xf numFmtId="168" fontId="8" fillId="9" borderId="22" xfId="0" applyNumberFormat="1" applyFont="1" applyFill="1" applyBorder="1" applyAlignment="1">
      <alignment horizontal="left" indent="5"/>
    </xf>
    <xf numFmtId="0" fontId="0" fillId="9" borderId="22" xfId="0" applyFill="1" applyBorder="1">
      <alignment horizontal="center" vertical="center" wrapText="1"/>
    </xf>
    <xf numFmtId="0" fontId="0" fillId="0" borderId="0" xfId="0" applyFill="1">
      <alignment horizontal="center" vertical="center" wrapText="1"/>
    </xf>
    <xf numFmtId="2" fontId="0" fillId="8" borderId="23" xfId="0" applyNumberFormat="1" applyFont="1" applyFill="1" applyBorder="1" applyAlignment="1">
      <alignment horizontal="center" vertical="center" wrapText="1"/>
    </xf>
    <xf numFmtId="0" fontId="0" fillId="8" borderId="23" xfId="0" applyFont="1" applyFill="1" applyBorder="1" applyAlignment="1">
      <alignment horizontal="center" vertical="center" wrapText="1"/>
    </xf>
    <xf numFmtId="2" fontId="38" fillId="9" borderId="22" xfId="0" applyNumberFormat="1" applyFont="1" applyFill="1" applyBorder="1" applyAlignment="1">
      <alignment horizontal="center" vertical="center"/>
    </xf>
    <xf numFmtId="0" fontId="0" fillId="9" borderId="24" xfId="0" applyFill="1" applyBorder="1" applyAlignment="1">
      <alignment horizontal="center" vertical="center" wrapText="1" shrinkToFit="1"/>
    </xf>
    <xf numFmtId="166" fontId="36" fillId="9" borderId="18" xfId="5" applyNumberFormat="1" applyFont="1" applyFill="1" applyBorder="1" applyAlignment="1">
      <alignment horizontal="center" wrapText="1"/>
    </xf>
    <xf numFmtId="166" fontId="9" fillId="9" borderId="18" xfId="0" applyNumberFormat="1" applyFont="1" applyFill="1" applyBorder="1" applyAlignment="1">
      <alignment horizontal="center" wrapText="1"/>
    </xf>
    <xf numFmtId="2" fontId="0" fillId="18" borderId="0" xfId="0" applyNumberFormat="1" applyFont="1" applyFill="1" applyAlignment="1">
      <alignment horizontal="center" vertical="center" wrapText="1" shrinkToFit="1"/>
    </xf>
    <xf numFmtId="2" fontId="0" fillId="19" borderId="0" xfId="0" applyNumberFormat="1" applyFill="1">
      <alignment horizontal="center" vertical="center" wrapText="1"/>
    </xf>
    <xf numFmtId="2" fontId="0" fillId="20" borderId="0" xfId="0" applyNumberFormat="1" applyFont="1" applyFill="1" applyAlignment="1">
      <alignment horizontal="center" vertical="center" wrapText="1" shrinkToFit="1"/>
    </xf>
    <xf numFmtId="49" fontId="8" fillId="21" borderId="12" xfId="0" applyNumberFormat="1" applyFont="1" applyFill="1" applyBorder="1" applyAlignment="1">
      <alignment horizontal="center" vertical="center" wrapText="1"/>
    </xf>
    <xf numFmtId="49" fontId="8" fillId="21" borderId="11" xfId="0" applyNumberFormat="1" applyFont="1" applyFill="1" applyBorder="1" applyAlignment="1">
      <alignment horizontal="center" vertical="center" wrapText="1"/>
    </xf>
    <xf numFmtId="2" fontId="8" fillId="21" borderId="11" xfId="0" applyNumberFormat="1" applyFont="1" applyFill="1" applyBorder="1" applyAlignment="1">
      <alignment horizontal="center" vertical="center" wrapText="1"/>
    </xf>
    <xf numFmtId="166" fontId="9" fillId="9" borderId="18" xfId="0" applyNumberFormat="1" applyFont="1" applyFill="1" applyBorder="1" applyAlignment="1">
      <alignment horizontal="center" vertical="center" wrapText="1"/>
    </xf>
    <xf numFmtId="2" fontId="0" fillId="22" borderId="0" xfId="0" applyNumberFormat="1" applyFont="1" applyFill="1" applyAlignment="1">
      <alignment horizontal="center" vertical="center" wrapText="1" shrinkToFit="1"/>
    </xf>
    <xf numFmtId="168" fontId="13" fillId="3" borderId="0" xfId="0" applyNumberFormat="1" applyFont="1" applyFill="1" applyAlignment="1">
      <alignment horizontal="center" vertical="center" wrapText="1"/>
    </xf>
    <xf numFmtId="16" fontId="0" fillId="0" borderId="0" xfId="0" applyNumberFormat="1">
      <alignment horizontal="center" vertical="center" wrapText="1"/>
    </xf>
  </cellXfs>
  <cellStyles count="9">
    <cellStyle name="Bad" xfId="4" builtinId="27"/>
    <cellStyle name="Calculation" xfId="7" builtinId="22" customBuiltin="1"/>
    <cellStyle name="Good" xfId="1" builtinId="26"/>
    <cellStyle name="Half" xfId="8"/>
    <cellStyle name="Hyperlink" xfId="2" builtinId="8"/>
    <cellStyle name="Neutral" xfId="5" builtinId="28"/>
    <cellStyle name="Normal" xfId="0" builtinId="0" customBuiltin="1"/>
    <cellStyle name="Note" xfId="3" builtinId="10"/>
    <cellStyle name="Output" xfId="6" builtinId="21"/>
  </cellStyles>
  <dxfs count="608">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solid">
          <fgColor indexed="64"/>
          <bgColor rgb="FFFFC000"/>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4" formatCode="0.00%"/>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numFmt numFmtId="164" formatCode="[$-C09]dd\-mmm\-yy;@"/>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ont>
        <b/>
      </font>
      <alignment horizontal="center" vertical="center" textRotation="0" wrapText="1" indent="0" justifyLastLine="0" shrinkToFit="0" readingOrder="0"/>
      <border diagonalUp="0" diagonalDown="0" outline="0">
        <left/>
        <right style="thin">
          <color auto="1"/>
        </right>
        <top/>
        <bottom/>
      </border>
    </dxf>
    <dxf>
      <border outline="0">
        <left style="thin">
          <color auto="1"/>
        </left>
        <right style="thin">
          <color auto="1"/>
        </right>
        <top style="thin">
          <color auto="1"/>
        </top>
      </border>
    </dxf>
    <dxf>
      <font>
        <b/>
        <i val="0"/>
        <strike val="0"/>
        <condense val="0"/>
        <extend val="0"/>
        <outline val="0"/>
        <shadow val="0"/>
        <u val="none"/>
        <vertAlign val="baseline"/>
        <sz val="11"/>
        <color theme="1"/>
        <name val="Calibri"/>
        <scheme val="minor"/>
      </font>
      <fill>
        <patternFill patternType="solid">
          <fgColor indexed="64"/>
          <bgColor theme="2"/>
        </patternFill>
      </fill>
      <alignment horizontal="center" vertical="center" textRotation="0" wrapText="1" indent="0" justifyLastLine="0" shrinkToFit="0" readingOrder="0"/>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theme="9" tint="-0.24994659260841701"/>
        </patternFill>
      </fill>
    </dxf>
    <dxf>
      <fill>
        <patternFill>
          <bgColor theme="9" tint="0.39994506668294322"/>
        </patternFill>
      </fill>
    </dxf>
    <dxf>
      <fill>
        <patternFill>
          <bgColor rgb="FFA9DA74"/>
        </patternFill>
      </fill>
    </dxf>
    <dxf>
      <fill>
        <patternFill>
          <bgColor rgb="FFFBAFAF"/>
        </patternFill>
      </fill>
    </dxf>
    <dxf>
      <fill>
        <patternFill>
          <bgColor rgb="FF43CEFF"/>
        </patternFill>
      </fill>
    </dxf>
    <dxf>
      <font>
        <color theme="1"/>
      </font>
      <fill>
        <patternFill>
          <bgColor rgb="FFABDB77"/>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
      <font>
        <strike val="0"/>
        <outline val="0"/>
        <shadow val="0"/>
        <u val="none"/>
        <vertAlign val="baseline"/>
        <color rgb="FFFF0000"/>
        <name val="Calibri"/>
        <scheme val="minor"/>
      </font>
      <numFmt numFmtId="165" formatCode="[$-F800]dddd\,\ mmmm\ dd\,\ yyyy"/>
      <alignment horizontal="center" vertical="center" textRotation="0" wrapText="1" indent="0" justifyLastLine="0" shrinkToFit="0" readingOrder="0"/>
    </dxf>
    <dxf>
      <alignment horizontal="center" vertical="center" textRotation="0" wrapText="1" indent="0" justifyLastLine="0" shrinkToFit="0" readingOrder="0"/>
    </dxf>
    <dxf>
      <numFmt numFmtId="165" formatCode="[$-F800]dddd\,\ mmmm\ dd\,\ yyyy"/>
      <alignment textRotation="0" wrapText="1" justifyLastLine="0" shrinkToFit="0" readingOrder="0"/>
    </dxf>
    <dxf>
      <numFmt numFmtId="14" formatCode="0.00%"/>
      <alignment horizontal="center" vertical="center" textRotation="0" wrapText="1" indent="0" justifyLastLine="0" shrinkToFit="0" readingOrder="0"/>
    </dxf>
    <dxf>
      <alignment horizontal="center" vertical="center" textRotation="0" wrapText="1" indent="0" justifyLastLine="0" shrinkToFit="0" readingOrder="0"/>
      <border>
        <left style="thin">
          <color rgb="FFB2B2B2"/>
        </left>
      </border>
    </dxf>
    <dxf>
      <font>
        <b val="0"/>
        <i/>
        <strike val="0"/>
        <condense val="0"/>
        <extend val="0"/>
        <outline val="0"/>
        <shadow val="0"/>
        <u val="none"/>
        <vertAlign val="baseline"/>
        <sz val="11"/>
        <color auto="1"/>
        <name val="Calibri"/>
        <scheme val="minor"/>
      </font>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right style="thin">
          <color rgb="FFB2B2B2"/>
        </right>
      </border>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alignment horizontal="center" vertical="center" textRotation="0" wrapText="1" indent="0" justifyLastLine="0" shrinkToFit="0" readingOrder="0"/>
    </dxf>
    <dxf>
      <font>
        <b/>
        <i/>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dxf>
    <dxf>
      <font>
        <b/>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color rgb="FF9C6500"/>
      </font>
      <fill>
        <patternFill>
          <bgColor rgb="FFFFEB9C"/>
        </patternFill>
      </fill>
    </dxf>
    <dxf>
      <fill>
        <patternFill>
          <bgColor rgb="FFBFDDAB"/>
        </patternFill>
      </fill>
      <border>
        <top style="thin">
          <color auto="1"/>
        </top>
        <bottom style="thin">
          <color auto="1"/>
        </bottom>
      </border>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numFmt numFmtId="2" formatCode="0.0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tint="4.9989318521683403E-2"/>
        <name val="Calibri"/>
        <scheme val="minor"/>
      </font>
      <numFmt numFmtId="0" formatCode="General"/>
      <fill>
        <patternFill patternType="solid">
          <fgColor indexed="64"/>
          <bgColor theme="2"/>
        </patternFill>
      </fill>
      <alignment horizontal="center" vertical="center" textRotation="0" wrapText="1" indent="0" justifyLastLine="0" shrinkToFit="0" readingOrder="0"/>
    </dxf>
    <dxf>
      <font>
        <b/>
        <i val="0"/>
        <color theme="0"/>
      </font>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s>
  <tableStyles count="0" defaultTableStyle="TableStyleMedium2" defaultPivotStyle="PivotStyleLight16"/>
  <colors>
    <mruColors>
      <color rgb="FFBD92DE"/>
      <color rgb="FFFF5050"/>
      <color rgb="FF61D6FF"/>
      <color rgb="FFFF2929"/>
      <color rgb="FF00F66F"/>
      <color rgb="FFFF3B3B"/>
      <color rgb="FFA1C7F5"/>
      <color rgb="FFEBDD89"/>
      <color rgb="FFA9DA74"/>
      <color rgb="FFFBAF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Scroll" dx="22" fmlaLink="$H$3" horiz="1" max="389" page="10" val="374"/>
</file>

<file path=xl/ctrlProps/ctrlProp2.xml><?xml version="1.0" encoding="utf-8"?>
<formControlPr xmlns="http://schemas.microsoft.com/office/spreadsheetml/2009/9/main" objectType="Scroll" dx="22" fmlaLink="$N$3" horiz="1" max="20" min="1" page="1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85725</xdr:colOff>
          <xdr:row>0</xdr:row>
          <xdr:rowOff>76200</xdr:rowOff>
        </xdr:from>
        <xdr:to>
          <xdr:col>23</xdr:col>
          <xdr:colOff>190500</xdr:colOff>
          <xdr:row>1</xdr:row>
          <xdr:rowOff>104775</xdr:rowOff>
        </xdr:to>
        <xdr:sp macro="" textlink="">
          <xdr:nvSpPr>
            <xdr:cNvPr id="1030" name="Scroll Bar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xdr:row>
          <xdr:rowOff>85725</xdr:rowOff>
        </xdr:from>
        <xdr:to>
          <xdr:col>11</xdr:col>
          <xdr:colOff>533400</xdr:colOff>
          <xdr:row>2</xdr:row>
          <xdr:rowOff>371475</xdr:rowOff>
        </xdr:to>
        <xdr:sp macro="" textlink="">
          <xdr:nvSpPr>
            <xdr:cNvPr id="1031" name="Scroll Bar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ables/table1.xml><?xml version="1.0" encoding="utf-8"?>
<table xmlns="http://schemas.openxmlformats.org/spreadsheetml/2006/main" id="4" name="Table4" displayName="Table4" ref="C3:GU31" totalsRowCount="1" headerRowDxfId="600" dataDxfId="599" totalsRowDxfId="598">
  <autoFilter ref="C3:GU30"/>
  <tableColumns count="201">
    <tableColumn id="153" name="Saturday143" totalsRowFunction="custom" dataDxfId="597" totalsRowDxfId="200">
      <totalsRowFormula>SUM(C7:C30)</totalsRowFormula>
    </tableColumn>
    <tableColumn id="154" name="Sunday144" totalsRowFunction="custom" dataDxfId="596" totalsRowDxfId="199">
      <totalsRowFormula>SUM(D7:D30)</totalsRowFormula>
    </tableColumn>
    <tableColumn id="155" name="Monday145" totalsRowFunction="custom" dataDxfId="595" totalsRowDxfId="198">
      <totalsRowFormula>SUM(E7:E30)</totalsRowFormula>
    </tableColumn>
    <tableColumn id="156" name="Tuesday146" totalsRowFunction="custom" dataDxfId="594" totalsRowDxfId="197">
      <totalsRowFormula>SUM(F7:F30)</totalsRowFormula>
    </tableColumn>
    <tableColumn id="157" name="Wednesday147" totalsRowFunction="custom" dataDxfId="593" totalsRowDxfId="196">
      <totalsRowFormula>SUM(G7:G30)</totalsRowFormula>
    </tableColumn>
    <tableColumn id="158" name="Thursday148" totalsRowFunction="custom" dataDxfId="592" totalsRowDxfId="195">
      <totalsRowFormula>SUM(H7:H30)</totalsRowFormula>
    </tableColumn>
    <tableColumn id="159" name="Friday149" totalsRowFunction="custom" dataDxfId="591" totalsRowDxfId="194">
      <totalsRowFormula>SUM(I7:I30)</totalsRowFormula>
    </tableColumn>
    <tableColumn id="160" name="Saturday150" totalsRowFunction="custom" dataDxfId="590" totalsRowDxfId="193">
      <totalsRowFormula>SUM(J7:J30)</totalsRowFormula>
    </tableColumn>
    <tableColumn id="161" name="Sunday151" totalsRowFunction="custom" dataDxfId="589" totalsRowDxfId="192">
      <totalsRowFormula>SUM(K7:K30)</totalsRowFormula>
    </tableColumn>
    <tableColumn id="162" name="Monday152" totalsRowFunction="custom" dataDxfId="588" totalsRowDxfId="191">
      <totalsRowFormula>SUM(L7:L30)</totalsRowFormula>
    </tableColumn>
    <tableColumn id="163" name="Tuesday153" totalsRowFunction="custom" dataDxfId="587" totalsRowDxfId="190">
      <totalsRowFormula>SUM(M7:M30)</totalsRowFormula>
    </tableColumn>
    <tableColumn id="164" name="Wednesday154" totalsRowFunction="custom" dataDxfId="586" totalsRowDxfId="189">
      <totalsRowFormula>SUM(N7:N30)</totalsRowFormula>
    </tableColumn>
    <tableColumn id="165" name="Thursday155" totalsRowFunction="custom" dataDxfId="585" totalsRowDxfId="188">
      <totalsRowFormula>SUM(O7:O30)</totalsRowFormula>
    </tableColumn>
    <tableColumn id="166" name="Friday156" totalsRowFunction="custom" dataDxfId="584" totalsRowDxfId="187">
      <totalsRowFormula>SUM(P7:P30)</totalsRowFormula>
    </tableColumn>
    <tableColumn id="167" name="Saturday157" totalsRowFunction="custom" dataDxfId="583" totalsRowDxfId="186">
      <totalsRowFormula>SUM(Q7:Q30)</totalsRowFormula>
    </tableColumn>
    <tableColumn id="168" name="Sunday158" totalsRowFunction="custom" dataDxfId="582" totalsRowDxfId="185">
      <totalsRowFormula>SUM(R7:R30)</totalsRowFormula>
    </tableColumn>
    <tableColumn id="169" name="Monday159" totalsRowFunction="custom" dataDxfId="581" totalsRowDxfId="184">
      <totalsRowFormula>SUM(S7:S30)</totalsRowFormula>
    </tableColumn>
    <tableColumn id="170" name="Tuesday160" totalsRowFunction="custom" dataDxfId="580" totalsRowDxfId="183">
      <totalsRowFormula>SUM(T7:T30)</totalsRowFormula>
    </tableColumn>
    <tableColumn id="171" name="Wednesday161" totalsRowFunction="custom" dataDxfId="579" totalsRowDxfId="182">
      <totalsRowFormula>SUM(U7:U30)</totalsRowFormula>
    </tableColumn>
    <tableColumn id="172" name="Thursday162" totalsRowFunction="custom" dataDxfId="578" totalsRowDxfId="181">
      <totalsRowFormula>SUM(V7:V30)</totalsRowFormula>
    </tableColumn>
    <tableColumn id="173" name="Friday163" totalsRowFunction="custom" dataDxfId="577" totalsRowDxfId="180">
      <totalsRowFormula>SUM(W7:W30)</totalsRowFormula>
    </tableColumn>
    <tableColumn id="174" name="Saturday164" totalsRowFunction="custom" dataDxfId="576" totalsRowDxfId="179">
      <totalsRowFormula>SUM(X7:X30)</totalsRowFormula>
    </tableColumn>
    <tableColumn id="175" name="Sunday165" totalsRowFunction="custom" dataDxfId="575" totalsRowDxfId="178">
      <totalsRowFormula>SUM(Y7:Y30)</totalsRowFormula>
    </tableColumn>
    <tableColumn id="176" name="Monday166" totalsRowFunction="custom" dataDxfId="574" totalsRowDxfId="177">
      <totalsRowFormula>SUM(Z7:Z30)</totalsRowFormula>
    </tableColumn>
    <tableColumn id="177" name="Tuesday167" totalsRowFunction="custom" dataDxfId="573" totalsRowDxfId="176">
      <totalsRowFormula>SUM(AA7:AA30)</totalsRowFormula>
    </tableColumn>
    <tableColumn id="178" name="Wednesday168" totalsRowFunction="custom" dataDxfId="572" totalsRowDxfId="175">
      <totalsRowFormula>SUM(AB7:AB30)</totalsRowFormula>
    </tableColumn>
    <tableColumn id="179" name="Thursday169" totalsRowFunction="custom" dataDxfId="571" totalsRowDxfId="174">
      <totalsRowFormula>SUM(AC7:AC30)</totalsRowFormula>
    </tableColumn>
    <tableColumn id="180" name="Friday170" totalsRowFunction="custom" dataDxfId="570" totalsRowDxfId="173">
      <totalsRowFormula>SUM(AD7:AD30)</totalsRowFormula>
    </tableColumn>
    <tableColumn id="181" name="Saturday171" totalsRowFunction="custom" dataDxfId="569" totalsRowDxfId="172">
      <totalsRowFormula>SUM(AE7:AE30)</totalsRowFormula>
    </tableColumn>
    <tableColumn id="182" name="Sunday172" totalsRowFunction="custom" dataDxfId="568" totalsRowDxfId="171">
      <totalsRowFormula>SUM(AF7:AF30)</totalsRowFormula>
    </tableColumn>
    <tableColumn id="183" name="Monday173" totalsRowFunction="custom" dataDxfId="567" totalsRowDxfId="170">
      <totalsRowFormula>SUM(AG7:AG30)</totalsRowFormula>
    </tableColumn>
    <tableColumn id="184" name="Tuesday174" totalsRowFunction="custom" dataDxfId="566" totalsRowDxfId="169">
      <totalsRowFormula>SUM(AH7:AH30)</totalsRowFormula>
    </tableColumn>
    <tableColumn id="185" name="Wednesday175" totalsRowFunction="custom" dataDxfId="565" totalsRowDxfId="168">
      <totalsRowFormula>SUM(AI7:AI30)</totalsRowFormula>
    </tableColumn>
    <tableColumn id="186" name="Thursday176" totalsRowFunction="custom" dataDxfId="564" totalsRowDxfId="167">
      <totalsRowFormula>SUM(AJ7:AJ30)</totalsRowFormula>
    </tableColumn>
    <tableColumn id="187" name="Friday177" totalsRowFunction="custom" dataDxfId="563" totalsRowDxfId="166">
      <totalsRowFormula>SUM(AK7:AK30)</totalsRowFormula>
    </tableColumn>
    <tableColumn id="188" name="Saturday178" totalsRowFunction="custom" dataDxfId="562" totalsRowDxfId="165">
      <totalsRowFormula>SUM(AL7:AL30)</totalsRowFormula>
    </tableColumn>
    <tableColumn id="189" name="Sunday179" totalsRowFunction="custom" dataDxfId="561" totalsRowDxfId="164">
      <totalsRowFormula>SUM(AM7:AM30)</totalsRowFormula>
    </tableColumn>
    <tableColumn id="190" name="Monday180" totalsRowFunction="custom" dataDxfId="560" totalsRowDxfId="163">
      <totalsRowFormula>SUM(AN7:AN30)</totalsRowFormula>
    </tableColumn>
    <tableColumn id="191" name="Tuesday181" totalsRowFunction="custom" dataDxfId="559" totalsRowDxfId="162">
      <totalsRowFormula>SUM(AO7:AO30)</totalsRowFormula>
    </tableColumn>
    <tableColumn id="192" name="Wednesday182" totalsRowFunction="custom" dataDxfId="558" totalsRowDxfId="161">
      <totalsRowFormula>SUM(AP7:AP30)</totalsRowFormula>
    </tableColumn>
    <tableColumn id="193" name="Thursday183" totalsRowFunction="custom" dataDxfId="557" totalsRowDxfId="160">
      <totalsRowFormula>SUM(AQ7:AQ30)</totalsRowFormula>
    </tableColumn>
    <tableColumn id="194" name="Friday184" totalsRowFunction="custom" dataDxfId="556" totalsRowDxfId="159">
      <totalsRowFormula>SUM(AR7:AR30)</totalsRowFormula>
    </tableColumn>
    <tableColumn id="195" name="Saturday185" totalsRowFunction="custom" dataDxfId="555" totalsRowDxfId="158">
      <totalsRowFormula>SUM(AS7:AS30)</totalsRowFormula>
    </tableColumn>
    <tableColumn id="196" name="Sunday186" totalsRowFunction="custom" dataDxfId="554" totalsRowDxfId="157">
      <totalsRowFormula>SUM(AT7:AT30)</totalsRowFormula>
    </tableColumn>
    <tableColumn id="197" name="Monday187" totalsRowFunction="custom" dataDxfId="553" totalsRowDxfId="156">
      <totalsRowFormula>SUM(AU7:AU30)</totalsRowFormula>
    </tableColumn>
    <tableColumn id="198" name="Tuesday188" totalsRowFunction="custom" dataDxfId="552" totalsRowDxfId="155">
      <totalsRowFormula>SUM(AV7:AV30)</totalsRowFormula>
    </tableColumn>
    <tableColumn id="199" name="Wednesday189" totalsRowFunction="custom" dataDxfId="551" totalsRowDxfId="154">
      <totalsRowFormula>SUM(AW7:AW30)</totalsRowFormula>
    </tableColumn>
    <tableColumn id="200" name="Thursday190" totalsRowFunction="custom" dataDxfId="550" totalsRowDxfId="153">
      <totalsRowFormula>SUM(AX7:AX30)</totalsRowFormula>
    </tableColumn>
    <tableColumn id="201" name="Friday191" totalsRowFunction="custom" dataDxfId="549" totalsRowDxfId="152">
      <totalsRowFormula>SUM(AY7:AY30)</totalsRowFormula>
    </tableColumn>
    <tableColumn id="202" name="Saturday192" totalsRowFunction="custom" dataDxfId="548" totalsRowDxfId="151">
      <totalsRowFormula>SUM(AZ7:AZ30)</totalsRowFormula>
    </tableColumn>
    <tableColumn id="203" name="Sunday193" totalsRowFunction="custom" dataDxfId="547" totalsRowDxfId="150">
      <totalsRowFormula>SUM(BA7:BA30)</totalsRowFormula>
    </tableColumn>
    <tableColumn id="204" name="Monday194" totalsRowFunction="custom" dataDxfId="546" totalsRowDxfId="149">
      <totalsRowFormula>SUM(BB7:BB30)</totalsRowFormula>
    </tableColumn>
    <tableColumn id="205" name="Tuesday195" totalsRowFunction="custom" dataDxfId="545" totalsRowDxfId="148">
      <totalsRowFormula>SUM(BC7:BC30)</totalsRowFormula>
    </tableColumn>
    <tableColumn id="206" name="Wednesday196" totalsRowFunction="custom" dataDxfId="544" totalsRowDxfId="147">
      <totalsRowFormula>SUM(BD7:BD30)</totalsRowFormula>
    </tableColumn>
    <tableColumn id="207" name="Thursday197" totalsRowFunction="custom" dataDxfId="543" totalsRowDxfId="146">
      <totalsRowFormula>SUM(BE7:BE30)</totalsRowFormula>
    </tableColumn>
    <tableColumn id="208" name="Friday198" totalsRowFunction="custom" dataDxfId="542" totalsRowDxfId="145">
      <totalsRowFormula>SUM(BF7:BF30)</totalsRowFormula>
    </tableColumn>
    <tableColumn id="209" name="Saturday199" totalsRowFunction="custom" dataDxfId="541" totalsRowDxfId="144">
      <totalsRowFormula>SUM(BG7:BG30)</totalsRowFormula>
    </tableColumn>
    <tableColumn id="210" name="Sunday200" totalsRowFunction="custom" dataDxfId="540" totalsRowDxfId="143">
      <totalsRowFormula>SUM(BH7:BH30)</totalsRowFormula>
    </tableColumn>
    <tableColumn id="211" name="Monday201" totalsRowFunction="custom" dataDxfId="539" totalsRowDxfId="142">
      <totalsRowFormula>SUM(BI7:BI30)</totalsRowFormula>
    </tableColumn>
    <tableColumn id="212" name="Tuesday202" totalsRowFunction="custom" dataDxfId="538" totalsRowDxfId="141">
      <totalsRowFormula>SUM(BJ7:BJ30)</totalsRowFormula>
    </tableColumn>
    <tableColumn id="213" name="Wednesday203" totalsRowFunction="custom" dataDxfId="537" totalsRowDxfId="140">
      <totalsRowFormula>SUM(BK7:BK30)</totalsRowFormula>
    </tableColumn>
    <tableColumn id="214" name="Thursday204" totalsRowFunction="custom" dataDxfId="536" totalsRowDxfId="139">
      <totalsRowFormula>SUM(BL7:BL30)</totalsRowFormula>
    </tableColumn>
    <tableColumn id="215" name="Friday205" totalsRowFunction="custom" dataDxfId="535" totalsRowDxfId="138">
      <totalsRowFormula>SUM(BM7:BM30)</totalsRowFormula>
    </tableColumn>
    <tableColumn id="216" name="Saturday206" totalsRowFunction="custom" dataDxfId="534" totalsRowDxfId="137">
      <totalsRowFormula>SUM(BN7:BN30)</totalsRowFormula>
    </tableColumn>
    <tableColumn id="217" name="Sunday207" totalsRowFunction="custom" dataDxfId="533" totalsRowDxfId="136">
      <totalsRowFormula>SUM(BO7:BO30)</totalsRowFormula>
    </tableColumn>
    <tableColumn id="218" name="Monday208" totalsRowFunction="custom" dataDxfId="532" totalsRowDxfId="135">
      <totalsRowFormula>SUM(BP7:BP30)</totalsRowFormula>
    </tableColumn>
    <tableColumn id="219" name="Tuesday209" totalsRowFunction="custom" dataDxfId="531" totalsRowDxfId="134">
      <totalsRowFormula>SUM(BQ7:BQ30)</totalsRowFormula>
    </tableColumn>
    <tableColumn id="220" name="Wednesday210" totalsRowFunction="custom" dataDxfId="530" totalsRowDxfId="133">
      <totalsRowFormula>SUM(BR7:BR30)</totalsRowFormula>
    </tableColumn>
    <tableColumn id="221" name="Thursday211" totalsRowFunction="custom" dataDxfId="529" totalsRowDxfId="132">
      <totalsRowFormula>SUM(BS7:BS30)</totalsRowFormula>
    </tableColumn>
    <tableColumn id="222" name="Friday212" totalsRowFunction="custom" dataDxfId="528" totalsRowDxfId="131">
      <totalsRowFormula>SUM(BT7:BT30)</totalsRowFormula>
    </tableColumn>
    <tableColumn id="223" name="Saturday213" totalsRowFunction="custom" dataDxfId="527" totalsRowDxfId="130">
      <totalsRowFormula>SUM(BU7:BU30)</totalsRowFormula>
    </tableColumn>
    <tableColumn id="224" name="Sunday214" totalsRowFunction="custom" dataDxfId="526" totalsRowDxfId="129">
      <totalsRowFormula>SUM(BV7:BV30)</totalsRowFormula>
    </tableColumn>
    <tableColumn id="225" name="Monday215" totalsRowFunction="custom" dataDxfId="525" totalsRowDxfId="128">
      <totalsRowFormula>SUM(BW7:BW30)</totalsRowFormula>
    </tableColumn>
    <tableColumn id="226" name="Tuesday216" totalsRowFunction="custom" dataDxfId="524" totalsRowDxfId="127">
      <totalsRowFormula>SUM(BX7:BX30)</totalsRowFormula>
    </tableColumn>
    <tableColumn id="227" name="Wednesday217" totalsRowFunction="custom" dataDxfId="523" totalsRowDxfId="126">
      <totalsRowFormula>SUM(BY7:BY30)</totalsRowFormula>
    </tableColumn>
    <tableColumn id="228" name="Thursday218" totalsRowFunction="custom" dataDxfId="522" totalsRowDxfId="125">
      <totalsRowFormula>SUM(BZ7:BZ30)</totalsRowFormula>
    </tableColumn>
    <tableColumn id="229" name="Friday219" totalsRowFunction="custom" dataDxfId="521" totalsRowDxfId="124">
      <totalsRowFormula>SUM(CA7:CA30)</totalsRowFormula>
    </tableColumn>
    <tableColumn id="230" name="Saturday220" totalsRowFunction="custom" dataDxfId="520" totalsRowDxfId="123">
      <totalsRowFormula>SUM(CB7:CB30)</totalsRowFormula>
    </tableColumn>
    <tableColumn id="231" name="Sunday221" totalsRowFunction="custom" dataDxfId="519" totalsRowDxfId="122">
      <totalsRowFormula>SUM(CC7:CC30)</totalsRowFormula>
    </tableColumn>
    <tableColumn id="232" name="Monday222" totalsRowFunction="custom" dataDxfId="518" totalsRowDxfId="121">
      <totalsRowFormula>SUM(CD7:CD30)</totalsRowFormula>
    </tableColumn>
    <tableColumn id="233" name="Tuesday223" totalsRowFunction="custom" dataDxfId="517" totalsRowDxfId="120">
      <totalsRowFormula>SUM(CE7:CE30)</totalsRowFormula>
    </tableColumn>
    <tableColumn id="234" name="Wednesday224" totalsRowFunction="custom" dataDxfId="516" totalsRowDxfId="119">
      <totalsRowFormula>SUM(CF7:CF30)</totalsRowFormula>
    </tableColumn>
    <tableColumn id="235" name="Thursday225" totalsRowFunction="custom" dataDxfId="515" totalsRowDxfId="118">
      <totalsRowFormula>SUM(CG7:CG30)</totalsRowFormula>
    </tableColumn>
    <tableColumn id="236" name="Friday226" totalsRowFunction="custom" dataDxfId="514" totalsRowDxfId="117">
      <totalsRowFormula>SUM(CH7:CH30)</totalsRowFormula>
    </tableColumn>
    <tableColumn id="237" name="Saturday227" totalsRowFunction="custom" dataDxfId="513" totalsRowDxfId="116">
      <totalsRowFormula>SUM(CI7:CI30)</totalsRowFormula>
    </tableColumn>
    <tableColumn id="238" name="Sunday228" totalsRowFunction="custom" dataDxfId="512" totalsRowDxfId="115">
      <totalsRowFormula>SUM(CJ7:CJ30)</totalsRowFormula>
    </tableColumn>
    <tableColumn id="239" name="Monday229" totalsRowFunction="custom" dataDxfId="511" totalsRowDxfId="114">
      <totalsRowFormula>SUM(CK7:CK30)</totalsRowFormula>
    </tableColumn>
    <tableColumn id="240" name="Tuesday230" totalsRowFunction="custom" dataDxfId="510" totalsRowDxfId="113">
      <totalsRowFormula>SUM(CL7:CL30)</totalsRowFormula>
    </tableColumn>
    <tableColumn id="241" name="Wednesday231" totalsRowFunction="custom" dataDxfId="509" totalsRowDxfId="112">
      <totalsRowFormula>SUM(CM7:CM30)</totalsRowFormula>
    </tableColumn>
    <tableColumn id="242" name="Thursday232" totalsRowFunction="custom" dataDxfId="508" totalsRowDxfId="111">
      <totalsRowFormula>SUM(CN7:CN30)</totalsRowFormula>
    </tableColumn>
    <tableColumn id="243" name="Friday233" totalsRowFunction="custom" dataDxfId="507" totalsRowDxfId="110">
      <totalsRowFormula>SUM(CO7:CO30)</totalsRowFormula>
    </tableColumn>
    <tableColumn id="244" name="Saturday234" totalsRowFunction="custom" dataDxfId="506" totalsRowDxfId="109">
      <totalsRowFormula>SUM(CP7:CP30)</totalsRowFormula>
    </tableColumn>
    <tableColumn id="245" name="Sunday235" totalsRowFunction="custom" dataDxfId="505" totalsRowDxfId="108">
      <totalsRowFormula>SUM(CQ7:CQ30)</totalsRowFormula>
    </tableColumn>
    <tableColumn id="246" name="Monday236" totalsRowFunction="custom" dataDxfId="504" totalsRowDxfId="107">
      <totalsRowFormula>SUM(CR7:CR30)</totalsRowFormula>
    </tableColumn>
    <tableColumn id="247" name="Tuesday237" totalsRowFunction="custom" dataDxfId="503" totalsRowDxfId="106">
      <totalsRowFormula>SUM(CS7:CS30)</totalsRowFormula>
    </tableColumn>
    <tableColumn id="248" name="Wednesday238" totalsRowFunction="custom" dataDxfId="502" totalsRowDxfId="105">
      <totalsRowFormula>SUM(CT7:CT30)</totalsRowFormula>
    </tableColumn>
    <tableColumn id="249" name="Thursday239" totalsRowFunction="custom" dataDxfId="501" totalsRowDxfId="104">
      <totalsRowFormula>SUM(CU7:CU30)</totalsRowFormula>
    </tableColumn>
    <tableColumn id="250" name="Friday240" totalsRowFunction="custom" dataDxfId="500" totalsRowDxfId="103">
      <totalsRowFormula>SUM(CV7:CV30)</totalsRowFormula>
    </tableColumn>
    <tableColumn id="251" name="Saturday241" totalsRowFunction="custom" dataDxfId="499" totalsRowDxfId="102">
      <totalsRowFormula>SUM(CW7:CW30)</totalsRowFormula>
    </tableColumn>
    <tableColumn id="252" name="Sunday242" totalsRowFunction="custom" dataDxfId="498" totalsRowDxfId="101">
      <totalsRowFormula>SUM(CX7:CX30)</totalsRowFormula>
    </tableColumn>
    <tableColumn id="253" name="Monday243" dataDxfId="497" totalsRowDxfId="100"/>
    <tableColumn id="254" name="Tuesday244" dataDxfId="496" totalsRowDxfId="99"/>
    <tableColumn id="255" name="Wednesday245" dataDxfId="495" totalsRowDxfId="98"/>
    <tableColumn id="256" name="Thursday246" dataDxfId="494" totalsRowDxfId="97"/>
    <tableColumn id="257" name="Friday247" dataDxfId="493" totalsRowDxfId="96"/>
    <tableColumn id="258" name="Saturday248" dataDxfId="492" totalsRowDxfId="95"/>
    <tableColumn id="259" name="Sunday249" dataDxfId="491" totalsRowDxfId="94"/>
    <tableColumn id="260" name="Monday250" dataDxfId="490" totalsRowDxfId="93"/>
    <tableColumn id="261" name="Tuesday251" dataDxfId="489" totalsRowDxfId="92"/>
    <tableColumn id="262" name="Wednesday252" dataDxfId="488" totalsRowDxfId="91"/>
    <tableColumn id="263" name="Thursday253" dataDxfId="487" totalsRowDxfId="90"/>
    <tableColumn id="264" name="Friday254" dataDxfId="486" totalsRowDxfId="89"/>
    <tableColumn id="265" name="Saturday255" dataDxfId="485" totalsRowDxfId="88"/>
    <tableColumn id="266" name="Sunday256" dataDxfId="484" totalsRowDxfId="87"/>
    <tableColumn id="267" name="Monday257" dataDxfId="483" totalsRowDxfId="86"/>
    <tableColumn id="268" name="Tuesday258" dataDxfId="482" totalsRowDxfId="85"/>
    <tableColumn id="269" name="Wednesday259" dataDxfId="481" totalsRowDxfId="84"/>
    <tableColumn id="270" name="Thursday260" dataDxfId="480" totalsRowDxfId="83"/>
    <tableColumn id="271" name="Friday261" dataDxfId="479" totalsRowDxfId="82"/>
    <tableColumn id="272" name="Saturday262" dataDxfId="478" totalsRowDxfId="81"/>
    <tableColumn id="273" name="Sunday263" dataDxfId="477" totalsRowDxfId="80"/>
    <tableColumn id="274" name="Monday264" dataDxfId="476" totalsRowDxfId="79"/>
    <tableColumn id="275" name="Tuesday265" dataDxfId="475" totalsRowDxfId="78"/>
    <tableColumn id="276" name="Wednesday266" dataDxfId="474" totalsRowDxfId="77"/>
    <tableColumn id="277" name="Thursday267" dataDxfId="473" totalsRowDxfId="76"/>
    <tableColumn id="278" name="Friday268" dataDxfId="472" totalsRowDxfId="75"/>
    <tableColumn id="279" name="Saturday269" dataDxfId="471" totalsRowDxfId="74"/>
    <tableColumn id="280" name="Sunday270" dataDxfId="470" totalsRowDxfId="73"/>
    <tableColumn id="281" name="Monday271" dataDxfId="469" totalsRowDxfId="72"/>
    <tableColumn id="282" name="Tuesday272" dataDxfId="468" totalsRowDxfId="71"/>
    <tableColumn id="283" name="Wednesday273" dataDxfId="467" totalsRowDxfId="70"/>
    <tableColumn id="284" name="Thursday274" dataDxfId="466" totalsRowDxfId="69"/>
    <tableColumn id="285" name="Friday275" dataDxfId="465" totalsRowDxfId="68"/>
    <tableColumn id="286" name="Saturday276" dataDxfId="464" totalsRowDxfId="67"/>
    <tableColumn id="287" name="Sunday277" dataDxfId="463" totalsRowDxfId="66"/>
    <tableColumn id="288" name="Monday278" dataDxfId="462" totalsRowDxfId="65"/>
    <tableColumn id="289" name="Tuesday279" dataDxfId="461" totalsRowDxfId="64"/>
    <tableColumn id="290" name="Wednesday280" dataDxfId="460" totalsRowDxfId="63"/>
    <tableColumn id="291" name="Thursday281" dataDxfId="459" totalsRowDxfId="62"/>
    <tableColumn id="292" name="Friday282" dataDxfId="458" totalsRowDxfId="61"/>
    <tableColumn id="293" name="Saturday283" dataDxfId="457" totalsRowDxfId="60"/>
    <tableColumn id="294" name="Sunday284" dataDxfId="456" totalsRowDxfId="59"/>
    <tableColumn id="295" name="Monday285" dataDxfId="455" totalsRowDxfId="58"/>
    <tableColumn id="296" name="Tuesday286" dataDxfId="454" totalsRowDxfId="57"/>
    <tableColumn id="297" name="Wednesday287" dataDxfId="453" totalsRowDxfId="56"/>
    <tableColumn id="298" name="Thursday288" dataDxfId="452" totalsRowDxfId="55"/>
    <tableColumn id="299" name="Friday289" dataDxfId="451" totalsRowDxfId="54"/>
    <tableColumn id="300" name="Saturday290" dataDxfId="450" totalsRowDxfId="53"/>
    <tableColumn id="301" name="Sunday291" dataDxfId="449" totalsRowDxfId="52"/>
    <tableColumn id="302" name="Monday292" dataDxfId="448" totalsRowDxfId="51"/>
    <tableColumn id="303" name="Tuesday293" dataDxfId="447" totalsRowDxfId="50"/>
    <tableColumn id="304" name="Wednesday294" dataDxfId="446" totalsRowDxfId="49"/>
    <tableColumn id="305" name="Thursday295" dataDxfId="445" totalsRowDxfId="48"/>
    <tableColumn id="306" name="Friday296" dataDxfId="444" totalsRowDxfId="47"/>
    <tableColumn id="307" name="Saturday297" dataDxfId="443" totalsRowDxfId="46"/>
    <tableColumn id="308" name="Sunday298" dataDxfId="442" totalsRowDxfId="45"/>
    <tableColumn id="309" name="Monday299" dataDxfId="441" totalsRowDxfId="44"/>
    <tableColumn id="310" name="Tuesday300" dataDxfId="440" totalsRowDxfId="43"/>
    <tableColumn id="311" name="Wednesday301" dataDxfId="439" totalsRowDxfId="42"/>
    <tableColumn id="312" name="Thursday302" dataDxfId="438" totalsRowDxfId="41"/>
    <tableColumn id="313" name="Friday303" dataDxfId="437" totalsRowDxfId="40"/>
    <tableColumn id="314" name="Saturday304" dataDxfId="436" totalsRowDxfId="39"/>
    <tableColumn id="315" name="Sunday305" dataDxfId="435" totalsRowDxfId="38"/>
    <tableColumn id="316" name="Monday306" dataDxfId="434" totalsRowDxfId="37"/>
    <tableColumn id="317" name="Tuesday307" dataDxfId="433" totalsRowDxfId="36"/>
    <tableColumn id="318" name="Wednesday308" dataDxfId="432" totalsRowDxfId="35"/>
    <tableColumn id="319" name="Thursday309" dataDxfId="431" totalsRowDxfId="34"/>
    <tableColumn id="320" name="Friday310" dataDxfId="430" totalsRowDxfId="33"/>
    <tableColumn id="321" name="Saturday311" dataDxfId="429" totalsRowDxfId="32"/>
    <tableColumn id="322" name="Sunday312" dataDxfId="428" totalsRowDxfId="31"/>
    <tableColumn id="323" name="Monday313" dataDxfId="427" totalsRowDxfId="30"/>
    <tableColumn id="324" name="Tuesday314" dataDxfId="426" totalsRowDxfId="29"/>
    <tableColumn id="325" name="Wednesday315" dataDxfId="425" totalsRowDxfId="28"/>
    <tableColumn id="326" name="Thursday316" dataDxfId="424" totalsRowDxfId="27"/>
    <tableColumn id="327" name="Friday317" dataDxfId="423" totalsRowDxfId="26"/>
    <tableColumn id="328" name="Saturday318" dataDxfId="422" totalsRowDxfId="25"/>
    <tableColumn id="329" name="Sunday319" dataDxfId="421" totalsRowDxfId="24"/>
    <tableColumn id="330" name="Monday320" dataDxfId="420" totalsRowDxfId="23"/>
    <tableColumn id="331" name="Tuesday321" dataDxfId="419" totalsRowDxfId="22"/>
    <tableColumn id="332" name="Wednesday322" dataDxfId="418" totalsRowDxfId="21"/>
    <tableColumn id="333" name="Thursday323" dataDxfId="417" totalsRowDxfId="20"/>
    <tableColumn id="334" name="Friday324" dataDxfId="416" totalsRowDxfId="19"/>
    <tableColumn id="335" name="Saturday325" dataDxfId="415" totalsRowDxfId="18"/>
    <tableColumn id="336" name="Sunday326" dataDxfId="414" totalsRowDxfId="17"/>
    <tableColumn id="337" name="Monday327" dataDxfId="413" totalsRowDxfId="16"/>
    <tableColumn id="338" name="Tuesday328" dataDxfId="412" totalsRowDxfId="15"/>
    <tableColumn id="339" name="Wednesday329" dataDxfId="411" totalsRowDxfId="14"/>
    <tableColumn id="340" name="Thursday330" dataDxfId="410" totalsRowDxfId="13"/>
    <tableColumn id="341" name="Friday331" dataDxfId="409" totalsRowDxfId="12"/>
    <tableColumn id="342" name="Saturday332" dataDxfId="408" totalsRowDxfId="11"/>
    <tableColumn id="343" name="Sunday333" dataDxfId="407" totalsRowDxfId="10"/>
    <tableColumn id="344" name="Monday334" dataDxfId="406" totalsRowDxfId="9"/>
    <tableColumn id="345" name="Tuesday335" dataDxfId="405" totalsRowDxfId="8"/>
    <tableColumn id="346" name="Wednesday336" dataDxfId="404" totalsRowDxfId="7"/>
    <tableColumn id="347" name="Thursday337" dataDxfId="403" totalsRowDxfId="6"/>
    <tableColumn id="348" name="Friday338" dataDxfId="402" totalsRowDxfId="5"/>
    <tableColumn id="349" name="Saturday339" dataDxfId="401" totalsRowDxfId="4"/>
    <tableColumn id="350" name="Sunday340" dataDxfId="400" totalsRowDxfId="3"/>
    <tableColumn id="351" name="Monday341" dataDxfId="399" totalsRowDxfId="2"/>
    <tableColumn id="352" name="Tuesday342" dataDxfId="398" totalsRowDxfId="1"/>
    <tableColumn id="353" name="Wednesday343" dataDxfId="397" totalsRowDxfId="0"/>
  </tableColumns>
  <tableStyleInfo name="TableStyleLight1" showFirstColumn="0" showLastColumn="0" showRowStripes="1" showColumnStripes="0"/>
</table>
</file>

<file path=xl/tables/table2.xml><?xml version="1.0" encoding="utf-8"?>
<table xmlns="http://schemas.openxmlformats.org/spreadsheetml/2006/main" id="3" name="Table3" displayName="Table3" ref="C15:G120" totalsRowShown="0" headerRowDxfId="394" dataDxfId="393">
  <autoFilter ref="C15:G120"/>
  <tableColumns count="5">
    <tableColumn id="1" name="Task" dataDxfId="392"/>
    <tableColumn id="2" name="TODO" dataDxfId="391"/>
    <tableColumn id="3" name="Percentage" dataDxfId="390"/>
    <tableColumn id="4" name="Due" dataDxfId="389"/>
    <tableColumn id="5" name="Side Notes" dataDxfId="388"/>
  </tableColumns>
  <tableStyleInfo name="TableStyleLight1" showFirstColumn="0" showLastColumn="0" showRowStripes="1" showColumnStripes="0"/>
</table>
</file>

<file path=xl/tables/table3.xml><?xml version="1.0" encoding="utf-8"?>
<table xmlns="http://schemas.openxmlformats.org/spreadsheetml/2006/main" id="1" name="Table1" displayName="Table1" ref="B4:K11" totalsRowShown="0" headerRowDxfId="251" dataDxfId="250">
  <autoFilter ref="B4:K11"/>
  <sortState ref="B5:K12">
    <sortCondition descending="1" ref="B4:B12"/>
  </sortState>
  <tableColumns count="10">
    <tableColumn id="1" name="PRIORITY" dataDxfId="249"/>
    <tableColumn id="10" name="Finish By" dataDxfId="248"/>
    <tableColumn id="2" name="SUBJECT" dataDxfId="247"/>
    <tableColumn id="9" name="TASKS LEFT" dataDxfId="246"/>
    <tableColumn id="3" name="Tasks" dataDxfId="245" dataCellStyle="Note"/>
    <tableColumn id="4" name="Links" dataDxfId="244"/>
    <tableColumn id="5" name="Percent" dataDxfId="243"/>
    <tableColumn id="6" name="Due Dates" dataDxfId="242"/>
    <tableColumn id="7" name="Revision" dataDxfId="241" dataCellStyle="Normal"/>
    <tableColumn id="8" name="Next Assesment + Assignment" dataDxfId="240"/>
  </tableColumns>
  <tableStyleInfo name="TableStyleLight1" showFirstColumn="0" showLastColumn="0" showRowStripes="1" showColumnStripes="0"/>
</table>
</file>

<file path=xl/tables/table4.xml><?xml version="1.0" encoding="utf-8"?>
<table xmlns="http://schemas.openxmlformats.org/spreadsheetml/2006/main" id="6" name="Table6" displayName="Table6" ref="A7:F723" totalsRowShown="0" dataDxfId="208" tableBorderDxfId="207">
  <autoFilter ref="A7:F723"/>
  <tableColumns count="6">
    <tableColumn id="1" name="CAT" dataDxfId="206" dataCellStyle="Good"/>
    <tableColumn id="2" name="STAGE" dataDxfId="205"/>
    <tableColumn id="3" name="TASK" dataDxfId="204"/>
    <tableColumn id="4" name="Start Date" dataDxfId="203"/>
    <tableColumn id="5" name="End Date" dataDxfId="202"/>
    <tableColumn id="6" name="Progress" dataDxfId="201"/>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hyperlink" Target="https://buildfire.com/free-app-promotion/" TargetMode="External"/><Relationship Id="rId2" Type="http://schemas.openxmlformats.org/officeDocument/2006/relationships/hyperlink" Target="https://www.the-blueprints.com/blueprints/" TargetMode="External"/><Relationship Id="rId1" Type="http://schemas.openxmlformats.org/officeDocument/2006/relationships/hyperlink" Target="https://queenslandacademies.blob.core.windows.net/daymap/Resources/16124/Unit%207%20Marketing.pdf?sv=2017-04-17&amp;sr=b&amp;sig=raNNPS4aZekluJaWF1MyN9LYudqCjmYifWXukHiC9pU%3D&amp;se=2018-04-23T02%3A52%3A58Z&amp;sp=r" TargetMode="External"/><Relationship Id="rId4"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table" Target="../tables/table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2:D17"/>
  <sheetViews>
    <sheetView workbookViewId="0">
      <selection activeCell="C6" sqref="C6"/>
    </sheetView>
  </sheetViews>
  <sheetFormatPr defaultRowHeight="15" x14ac:dyDescent="0.25"/>
  <cols>
    <col min="1" max="1" width="33.42578125" customWidth="1"/>
    <col min="2" max="2" width="26" customWidth="1"/>
    <col min="3" max="3" width="68.7109375" customWidth="1"/>
  </cols>
  <sheetData>
    <row r="2" spans="1:4" x14ac:dyDescent="0.25">
      <c r="A2" t="s">
        <v>630</v>
      </c>
      <c r="B2" t="s">
        <v>631</v>
      </c>
      <c r="C2" t="s">
        <v>563</v>
      </c>
      <c r="D2" t="s">
        <v>632</v>
      </c>
    </row>
    <row r="3" spans="1:4" ht="30" customHeight="1" x14ac:dyDescent="0.25">
      <c r="A3" s="42" t="s">
        <v>633</v>
      </c>
      <c r="B3" s="212" t="s">
        <v>634</v>
      </c>
      <c r="C3" t="s">
        <v>635</v>
      </c>
    </row>
    <row r="4" spans="1:4" x14ac:dyDescent="0.25">
      <c r="C4" t="s">
        <v>636</v>
      </c>
    </row>
    <row r="5" spans="1:4" x14ac:dyDescent="0.25">
      <c r="C5" t="s">
        <v>637</v>
      </c>
    </row>
    <row r="6" spans="1:4" x14ac:dyDescent="0.25">
      <c r="C6" t="s">
        <v>638</v>
      </c>
    </row>
    <row r="8" spans="1:4" ht="30.75" customHeight="1" x14ac:dyDescent="0.25">
      <c r="A8" s="42" t="s">
        <v>639</v>
      </c>
      <c r="B8" t="s">
        <v>640</v>
      </c>
      <c r="C8" t="s">
        <v>641</v>
      </c>
    </row>
    <row r="9" spans="1:4" x14ac:dyDescent="0.25">
      <c r="C9" t="s">
        <v>642</v>
      </c>
    </row>
    <row r="10" spans="1:4" x14ac:dyDescent="0.25">
      <c r="C10" t="s">
        <v>643</v>
      </c>
    </row>
    <row r="11" spans="1:4" x14ac:dyDescent="0.25">
      <c r="C11" t="s">
        <v>644</v>
      </c>
    </row>
    <row r="12" spans="1:4" x14ac:dyDescent="0.25">
      <c r="C12" t="s">
        <v>645</v>
      </c>
    </row>
    <row r="13" spans="1:4" x14ac:dyDescent="0.25">
      <c r="C13" t="s">
        <v>646</v>
      </c>
    </row>
    <row r="14" spans="1:4" x14ac:dyDescent="0.25">
      <c r="C14" t="s">
        <v>647</v>
      </c>
    </row>
    <row r="15" spans="1:4" x14ac:dyDescent="0.25">
      <c r="C15" t="s">
        <v>648</v>
      </c>
    </row>
    <row r="17" ht="33.75" customHeight="1" x14ac:dyDescent="0.2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0000"/>
  </sheetPr>
  <dimension ref="A1:GU41"/>
  <sheetViews>
    <sheetView tabSelected="1" topLeftCell="A8" zoomScale="130" zoomScaleNormal="130" workbookViewId="0">
      <selection activeCell="H11" sqref="H11:H12"/>
    </sheetView>
  </sheetViews>
  <sheetFormatPr defaultColWidth="8.85546875" defaultRowHeight="15" x14ac:dyDescent="0.25"/>
  <cols>
    <col min="1" max="1" width="27.28515625" style="66" customWidth="1"/>
    <col min="2" max="2" width="25.5703125" style="69" bestFit="1" customWidth="1"/>
    <col min="3" max="239" width="20.7109375" style="73" customWidth="1"/>
    <col min="240" max="16384" width="8.85546875" style="73"/>
  </cols>
  <sheetData>
    <row r="1" spans="1:203" s="67" customFormat="1" x14ac:dyDescent="0.25">
      <c r="A1" s="68">
        <f ca="1">TODAY()</f>
        <v>43306</v>
      </c>
    </row>
    <row r="2" spans="1:203" s="96" customFormat="1" ht="66.75" customHeight="1" x14ac:dyDescent="0.25">
      <c r="A2" s="95">
        <f ca="1">NOW()</f>
        <v>43306.455487500003</v>
      </c>
      <c r="B2" s="97">
        <v>43157</v>
      </c>
    </row>
    <row r="3" spans="1:203" s="125" customFormat="1" ht="33" customHeight="1" x14ac:dyDescent="0.25">
      <c r="A3" s="170">
        <f ca="1">HOUR(A2)</f>
        <v>10</v>
      </c>
      <c r="B3" s="124"/>
      <c r="C3" s="125" t="s">
        <v>72</v>
      </c>
      <c r="D3" s="125" t="s">
        <v>73</v>
      </c>
      <c r="E3" s="211" t="s">
        <v>74</v>
      </c>
      <c r="F3" s="125" t="s">
        <v>75</v>
      </c>
      <c r="G3" s="125" t="s">
        <v>76</v>
      </c>
      <c r="H3" s="125" t="s">
        <v>77</v>
      </c>
      <c r="I3" s="125" t="s">
        <v>78</v>
      </c>
      <c r="J3" s="125" t="s">
        <v>79</v>
      </c>
      <c r="K3" s="125" t="s">
        <v>80</v>
      </c>
      <c r="L3" s="125" t="s">
        <v>81</v>
      </c>
      <c r="M3" s="125" t="s">
        <v>82</v>
      </c>
      <c r="N3" s="125" t="s">
        <v>83</v>
      </c>
      <c r="O3" s="125" t="s">
        <v>84</v>
      </c>
      <c r="P3" s="125" t="s">
        <v>85</v>
      </c>
      <c r="Q3" s="125" t="s">
        <v>86</v>
      </c>
      <c r="R3" s="125" t="s">
        <v>87</v>
      </c>
      <c r="S3" s="125" t="s">
        <v>88</v>
      </c>
      <c r="T3" s="125" t="s">
        <v>89</v>
      </c>
      <c r="U3" s="125" t="s">
        <v>90</v>
      </c>
      <c r="V3" s="125" t="s">
        <v>91</v>
      </c>
      <c r="W3" s="125" t="s">
        <v>92</v>
      </c>
      <c r="X3" s="125" t="s">
        <v>93</v>
      </c>
      <c r="Y3" s="125" t="s">
        <v>94</v>
      </c>
      <c r="Z3" s="125" t="s">
        <v>95</v>
      </c>
      <c r="AA3" s="125" t="s">
        <v>96</v>
      </c>
      <c r="AB3" s="125" t="s">
        <v>97</v>
      </c>
      <c r="AC3" s="125" t="s">
        <v>98</v>
      </c>
      <c r="AD3" s="125" t="s">
        <v>99</v>
      </c>
      <c r="AE3" s="125" t="s">
        <v>100</v>
      </c>
      <c r="AF3" s="125" t="s">
        <v>101</v>
      </c>
      <c r="AG3" s="125" t="s">
        <v>102</v>
      </c>
      <c r="AH3" s="125" t="s">
        <v>103</v>
      </c>
      <c r="AI3" s="125" t="s">
        <v>104</v>
      </c>
      <c r="AJ3" s="125" t="s">
        <v>105</v>
      </c>
      <c r="AK3" s="125" t="s">
        <v>106</v>
      </c>
      <c r="AL3" s="125" t="s">
        <v>107</v>
      </c>
      <c r="AM3" s="125" t="s">
        <v>108</v>
      </c>
      <c r="AN3" s="125" t="s">
        <v>109</v>
      </c>
      <c r="AO3" s="125" t="s">
        <v>110</v>
      </c>
      <c r="AP3" s="125" t="s">
        <v>111</v>
      </c>
      <c r="AQ3" s="125" t="s">
        <v>112</v>
      </c>
      <c r="AR3" s="125" t="s">
        <v>113</v>
      </c>
      <c r="AS3" s="125" t="s">
        <v>114</v>
      </c>
      <c r="AT3" s="125" t="s">
        <v>115</v>
      </c>
      <c r="AU3" s="125" t="s">
        <v>116</v>
      </c>
      <c r="AV3" s="125" t="s">
        <v>117</v>
      </c>
      <c r="AW3" s="125" t="s">
        <v>118</v>
      </c>
      <c r="AX3" s="125" t="s">
        <v>119</v>
      </c>
      <c r="AY3" s="125" t="s">
        <v>120</v>
      </c>
      <c r="AZ3" s="125" t="s">
        <v>121</v>
      </c>
      <c r="BA3" s="125" t="s">
        <v>122</v>
      </c>
      <c r="BB3" s="125" t="s">
        <v>123</v>
      </c>
      <c r="BC3" s="125" t="s">
        <v>124</v>
      </c>
      <c r="BD3" s="125" t="s">
        <v>125</v>
      </c>
      <c r="BE3" s="125" t="s">
        <v>126</v>
      </c>
      <c r="BF3" s="125" t="s">
        <v>127</v>
      </c>
      <c r="BG3" s="125" t="s">
        <v>128</v>
      </c>
      <c r="BH3" s="125" t="s">
        <v>129</v>
      </c>
      <c r="BI3" s="125" t="s">
        <v>130</v>
      </c>
      <c r="BJ3" s="125" t="s">
        <v>131</v>
      </c>
      <c r="BK3" s="125" t="s">
        <v>132</v>
      </c>
      <c r="BL3" s="125" t="s">
        <v>133</v>
      </c>
      <c r="BM3" s="125" t="s">
        <v>134</v>
      </c>
      <c r="BN3" s="125" t="s">
        <v>135</v>
      </c>
      <c r="BO3" s="125" t="s">
        <v>136</v>
      </c>
      <c r="BP3" s="125" t="s">
        <v>137</v>
      </c>
      <c r="BQ3" s="125" t="s">
        <v>138</v>
      </c>
      <c r="BR3" s="125" t="s">
        <v>139</v>
      </c>
      <c r="BS3" s="125" t="s">
        <v>140</v>
      </c>
      <c r="BT3" s="125" t="s">
        <v>141</v>
      </c>
      <c r="BU3" s="125" t="s">
        <v>142</v>
      </c>
      <c r="BV3" s="125" t="s">
        <v>143</v>
      </c>
      <c r="BW3" s="125" t="s">
        <v>144</v>
      </c>
      <c r="BX3" s="125" t="s">
        <v>145</v>
      </c>
      <c r="BY3" s="125" t="s">
        <v>146</v>
      </c>
      <c r="BZ3" s="125" t="s">
        <v>147</v>
      </c>
      <c r="CA3" s="125" t="s">
        <v>148</v>
      </c>
      <c r="CB3" s="125" t="s">
        <v>149</v>
      </c>
      <c r="CC3" s="125" t="s">
        <v>150</v>
      </c>
      <c r="CD3" s="125" t="s">
        <v>151</v>
      </c>
      <c r="CE3" s="125" t="s">
        <v>152</v>
      </c>
      <c r="CF3" s="125" t="s">
        <v>153</v>
      </c>
      <c r="CG3" s="125" t="s">
        <v>154</v>
      </c>
      <c r="CH3" s="125" t="s">
        <v>155</v>
      </c>
      <c r="CI3" s="125" t="s">
        <v>156</v>
      </c>
      <c r="CJ3" s="125" t="s">
        <v>157</v>
      </c>
      <c r="CK3" s="125" t="s">
        <v>158</v>
      </c>
      <c r="CL3" s="125" t="s">
        <v>159</v>
      </c>
      <c r="CM3" s="125" t="s">
        <v>160</v>
      </c>
      <c r="CN3" s="125" t="s">
        <v>161</v>
      </c>
      <c r="CO3" s="125" t="s">
        <v>162</v>
      </c>
      <c r="CP3" s="125" t="s">
        <v>163</v>
      </c>
      <c r="CQ3" s="125" t="s">
        <v>164</v>
      </c>
      <c r="CR3" s="125" t="s">
        <v>165</v>
      </c>
      <c r="CS3" s="125" t="s">
        <v>166</v>
      </c>
      <c r="CT3" s="125" t="s">
        <v>167</v>
      </c>
      <c r="CU3" s="125" t="s">
        <v>168</v>
      </c>
      <c r="CV3" s="125" t="s">
        <v>169</v>
      </c>
      <c r="CW3" s="125" t="s">
        <v>170</v>
      </c>
      <c r="CX3" s="125" t="s">
        <v>171</v>
      </c>
      <c r="CY3" s="125" t="s">
        <v>172</v>
      </c>
      <c r="CZ3" s="125" t="s">
        <v>173</v>
      </c>
      <c r="DA3" s="125" t="s">
        <v>174</v>
      </c>
      <c r="DB3" s="125" t="s">
        <v>175</v>
      </c>
      <c r="DC3" s="125" t="s">
        <v>176</v>
      </c>
      <c r="DD3" s="125" t="s">
        <v>177</v>
      </c>
      <c r="DE3" s="125" t="s">
        <v>178</v>
      </c>
      <c r="DF3" s="125" t="s">
        <v>179</v>
      </c>
      <c r="DG3" s="125" t="s">
        <v>180</v>
      </c>
      <c r="DH3" s="125" t="s">
        <v>181</v>
      </c>
      <c r="DI3" s="125" t="s">
        <v>182</v>
      </c>
      <c r="DJ3" s="125" t="s">
        <v>183</v>
      </c>
      <c r="DK3" s="125" t="s">
        <v>184</v>
      </c>
      <c r="DL3" s="125" t="s">
        <v>185</v>
      </c>
      <c r="DM3" s="125" t="s">
        <v>186</v>
      </c>
      <c r="DN3" s="125" t="s">
        <v>187</v>
      </c>
      <c r="DO3" s="125" t="s">
        <v>188</v>
      </c>
      <c r="DP3" s="125" t="s">
        <v>189</v>
      </c>
      <c r="DQ3" s="125" t="s">
        <v>190</v>
      </c>
      <c r="DR3" s="125" t="s">
        <v>191</v>
      </c>
      <c r="DS3" s="125" t="s">
        <v>192</v>
      </c>
      <c r="DT3" s="125" t="s">
        <v>193</v>
      </c>
      <c r="DU3" s="125" t="s">
        <v>194</v>
      </c>
      <c r="DV3" s="125" t="s">
        <v>195</v>
      </c>
      <c r="DW3" s="125" t="s">
        <v>196</v>
      </c>
      <c r="DX3" s="125" t="s">
        <v>197</v>
      </c>
      <c r="DY3" s="125" t="s">
        <v>198</v>
      </c>
      <c r="DZ3" s="125" t="s">
        <v>199</v>
      </c>
      <c r="EA3" s="125" t="s">
        <v>200</v>
      </c>
      <c r="EB3" s="125" t="s">
        <v>201</v>
      </c>
      <c r="EC3" s="125" t="s">
        <v>202</v>
      </c>
      <c r="ED3" s="125" t="s">
        <v>203</v>
      </c>
      <c r="EE3" s="125" t="s">
        <v>204</v>
      </c>
      <c r="EF3" s="125" t="s">
        <v>205</v>
      </c>
      <c r="EG3" s="125" t="s">
        <v>206</v>
      </c>
      <c r="EH3" s="125" t="s">
        <v>207</v>
      </c>
      <c r="EI3" s="125" t="s">
        <v>208</v>
      </c>
      <c r="EJ3" s="125" t="s">
        <v>209</v>
      </c>
      <c r="EK3" s="125" t="s">
        <v>210</v>
      </c>
      <c r="EL3" s="125" t="s">
        <v>211</v>
      </c>
      <c r="EM3" s="125" t="s">
        <v>212</v>
      </c>
      <c r="EN3" s="125" t="s">
        <v>213</v>
      </c>
      <c r="EO3" s="125" t="s">
        <v>214</v>
      </c>
      <c r="EP3" s="125" t="s">
        <v>215</v>
      </c>
      <c r="EQ3" s="125" t="s">
        <v>216</v>
      </c>
      <c r="ER3" s="125" t="s">
        <v>217</v>
      </c>
      <c r="ES3" s="125" t="s">
        <v>218</v>
      </c>
      <c r="ET3" s="125" t="s">
        <v>219</v>
      </c>
      <c r="EU3" s="125" t="s">
        <v>220</v>
      </c>
      <c r="EV3" s="125" t="s">
        <v>221</v>
      </c>
      <c r="EW3" s="125" t="s">
        <v>222</v>
      </c>
      <c r="EX3" s="125" t="s">
        <v>223</v>
      </c>
      <c r="EY3" s="125" t="s">
        <v>224</v>
      </c>
      <c r="EZ3" s="125" t="s">
        <v>225</v>
      </c>
      <c r="FA3" s="125" t="s">
        <v>226</v>
      </c>
      <c r="FB3" s="125" t="s">
        <v>227</v>
      </c>
      <c r="FC3" s="125" t="s">
        <v>228</v>
      </c>
      <c r="FD3" s="125" t="s">
        <v>229</v>
      </c>
      <c r="FE3" s="125" t="s">
        <v>230</v>
      </c>
      <c r="FF3" s="125" t="s">
        <v>231</v>
      </c>
      <c r="FG3" s="125" t="s">
        <v>232</v>
      </c>
      <c r="FH3" s="125" t="s">
        <v>233</v>
      </c>
      <c r="FI3" s="125" t="s">
        <v>234</v>
      </c>
      <c r="FJ3" s="125" t="s">
        <v>235</v>
      </c>
      <c r="FK3" s="125" t="s">
        <v>236</v>
      </c>
      <c r="FL3" s="125" t="s">
        <v>237</v>
      </c>
      <c r="FM3" s="125" t="s">
        <v>238</v>
      </c>
      <c r="FN3" s="125" t="s">
        <v>239</v>
      </c>
      <c r="FO3" s="125" t="s">
        <v>240</v>
      </c>
      <c r="FP3" s="125" t="s">
        <v>241</v>
      </c>
      <c r="FQ3" s="125" t="s">
        <v>242</v>
      </c>
      <c r="FR3" s="125" t="s">
        <v>243</v>
      </c>
      <c r="FS3" s="125" t="s">
        <v>244</v>
      </c>
      <c r="FT3" s="125" t="s">
        <v>245</v>
      </c>
      <c r="FU3" s="125" t="s">
        <v>246</v>
      </c>
      <c r="FV3" s="125" t="s">
        <v>247</v>
      </c>
      <c r="FW3" s="125" t="s">
        <v>248</v>
      </c>
      <c r="FX3" s="125" t="s">
        <v>249</v>
      </c>
      <c r="FY3" s="125" t="s">
        <v>250</v>
      </c>
      <c r="FZ3" s="125" t="s">
        <v>251</v>
      </c>
      <c r="GA3" s="125" t="s">
        <v>252</v>
      </c>
      <c r="GB3" s="125" t="s">
        <v>253</v>
      </c>
      <c r="GC3" s="125" t="s">
        <v>254</v>
      </c>
      <c r="GD3" s="125" t="s">
        <v>255</v>
      </c>
      <c r="GE3" s="125" t="s">
        <v>256</v>
      </c>
      <c r="GF3" s="125" t="s">
        <v>257</v>
      </c>
      <c r="GG3" s="125" t="s">
        <v>258</v>
      </c>
      <c r="GH3" s="125" t="s">
        <v>259</v>
      </c>
      <c r="GI3" s="125" t="s">
        <v>260</v>
      </c>
      <c r="GJ3" s="125" t="s">
        <v>261</v>
      </c>
      <c r="GK3" s="125" t="s">
        <v>262</v>
      </c>
      <c r="GL3" s="125" t="s">
        <v>263</v>
      </c>
      <c r="GM3" s="125" t="s">
        <v>264</v>
      </c>
      <c r="GN3" s="125" t="s">
        <v>265</v>
      </c>
      <c r="GO3" s="125" t="s">
        <v>266</v>
      </c>
      <c r="GP3" s="125" t="s">
        <v>267</v>
      </c>
      <c r="GQ3" s="125" t="s">
        <v>268</v>
      </c>
      <c r="GR3" s="125" t="s">
        <v>269</v>
      </c>
      <c r="GS3" s="125" t="s">
        <v>270</v>
      </c>
      <c r="GT3" s="125" t="s">
        <v>271</v>
      </c>
      <c r="GU3" s="125" t="s">
        <v>272</v>
      </c>
    </row>
    <row r="4" spans="1:203" s="71" customFormat="1" ht="32.25" customHeight="1" x14ac:dyDescent="0.25">
      <c r="A4" s="70"/>
      <c r="C4" s="72">
        <v>43302</v>
      </c>
      <c r="D4" s="72">
        <v>43303</v>
      </c>
      <c r="E4" s="72">
        <v>43304</v>
      </c>
      <c r="F4" s="72">
        <v>43305</v>
      </c>
      <c r="G4" s="72">
        <v>43306</v>
      </c>
      <c r="H4" s="72">
        <v>43307</v>
      </c>
      <c r="I4" s="72">
        <v>43308</v>
      </c>
      <c r="J4" s="72">
        <v>43309</v>
      </c>
      <c r="K4" s="72">
        <v>43310</v>
      </c>
      <c r="L4" s="72">
        <v>43311</v>
      </c>
      <c r="M4" s="72">
        <v>43312</v>
      </c>
      <c r="N4" s="72">
        <v>43313</v>
      </c>
      <c r="O4" s="72">
        <v>43314</v>
      </c>
      <c r="P4" s="72">
        <v>43315</v>
      </c>
      <c r="Q4" s="72">
        <v>43316</v>
      </c>
      <c r="R4" s="72">
        <v>43317</v>
      </c>
      <c r="S4" s="72">
        <v>43318</v>
      </c>
      <c r="T4" s="72">
        <v>43319</v>
      </c>
      <c r="U4" s="72">
        <v>43320</v>
      </c>
      <c r="V4" s="72">
        <v>43321</v>
      </c>
      <c r="W4" s="72">
        <v>43322</v>
      </c>
      <c r="X4" s="72">
        <v>43323</v>
      </c>
      <c r="Y4" s="72">
        <v>43324</v>
      </c>
      <c r="Z4" s="72">
        <v>43325</v>
      </c>
      <c r="AA4" s="72">
        <v>43326</v>
      </c>
      <c r="AB4" s="72">
        <v>43327</v>
      </c>
      <c r="AC4" s="72">
        <v>43328</v>
      </c>
      <c r="AD4" s="72">
        <v>43329</v>
      </c>
      <c r="AE4" s="72">
        <v>43330</v>
      </c>
      <c r="AF4" s="72">
        <v>43331</v>
      </c>
      <c r="AG4" s="72">
        <v>43332</v>
      </c>
      <c r="AH4" s="72">
        <v>43333</v>
      </c>
      <c r="AI4" s="72">
        <v>43334</v>
      </c>
      <c r="AJ4" s="72">
        <v>43335</v>
      </c>
      <c r="AK4" s="72">
        <v>43336</v>
      </c>
      <c r="AL4" s="72">
        <v>43337</v>
      </c>
      <c r="AM4" s="72">
        <v>43338</v>
      </c>
      <c r="AN4" s="72">
        <v>43339</v>
      </c>
      <c r="AO4" s="72">
        <v>43340</v>
      </c>
      <c r="AP4" s="72">
        <v>43341</v>
      </c>
      <c r="AQ4" s="72">
        <v>43342</v>
      </c>
      <c r="AR4" s="72">
        <v>43343</v>
      </c>
      <c r="AS4" s="72">
        <v>43344</v>
      </c>
      <c r="AT4" s="72">
        <v>43345</v>
      </c>
      <c r="AU4" s="72">
        <v>43346</v>
      </c>
      <c r="AV4" s="72">
        <v>43347</v>
      </c>
      <c r="AW4" s="72">
        <v>43348</v>
      </c>
      <c r="AX4" s="72">
        <v>43349</v>
      </c>
      <c r="AY4" s="72">
        <v>43350</v>
      </c>
      <c r="AZ4" s="72">
        <v>43351</v>
      </c>
      <c r="BA4" s="72">
        <v>43352</v>
      </c>
      <c r="BB4" s="72">
        <v>43353</v>
      </c>
      <c r="BC4" s="72">
        <v>43354</v>
      </c>
      <c r="BD4" s="72">
        <v>43355</v>
      </c>
      <c r="BE4" s="72">
        <v>43356</v>
      </c>
      <c r="BF4" s="72">
        <v>43357</v>
      </c>
      <c r="BG4" s="72">
        <v>43358</v>
      </c>
      <c r="BH4" s="72">
        <v>43359</v>
      </c>
      <c r="BI4" s="72">
        <v>43360</v>
      </c>
      <c r="BJ4" s="72">
        <v>43361</v>
      </c>
      <c r="BK4" s="72">
        <v>43362</v>
      </c>
      <c r="BL4" s="72">
        <v>43363</v>
      </c>
      <c r="BM4" s="72">
        <v>43364</v>
      </c>
      <c r="BN4" s="72">
        <v>43365</v>
      </c>
      <c r="BO4" s="72">
        <v>43366</v>
      </c>
      <c r="BP4" s="72">
        <v>43367</v>
      </c>
      <c r="BQ4" s="72">
        <v>43368</v>
      </c>
      <c r="BR4" s="72">
        <v>43369</v>
      </c>
      <c r="BS4" s="72">
        <v>43370</v>
      </c>
      <c r="BT4" s="72">
        <v>43371</v>
      </c>
      <c r="BU4" s="72">
        <v>43372</v>
      </c>
      <c r="BV4" s="72">
        <v>43373</v>
      </c>
      <c r="BW4" s="72">
        <v>43374</v>
      </c>
      <c r="BX4" s="72">
        <v>43375</v>
      </c>
      <c r="BY4" s="72">
        <v>43376</v>
      </c>
      <c r="BZ4" s="72">
        <v>43377</v>
      </c>
      <c r="CA4" s="72">
        <v>43378</v>
      </c>
      <c r="CB4" s="72">
        <v>43379</v>
      </c>
      <c r="CC4" s="72">
        <v>43380</v>
      </c>
      <c r="CD4" s="72">
        <v>43381</v>
      </c>
      <c r="CE4" s="72">
        <v>43382</v>
      </c>
      <c r="CF4" s="72">
        <v>43383</v>
      </c>
      <c r="CG4" s="72">
        <v>43384</v>
      </c>
      <c r="CH4" s="72">
        <v>43385</v>
      </c>
      <c r="CI4" s="72">
        <v>43386</v>
      </c>
      <c r="CJ4" s="72">
        <v>43387</v>
      </c>
      <c r="CK4" s="72">
        <v>43388</v>
      </c>
      <c r="CL4" s="72">
        <v>43389</v>
      </c>
      <c r="CM4" s="72">
        <v>43390</v>
      </c>
      <c r="CN4" s="72">
        <v>43391</v>
      </c>
      <c r="CO4" s="72">
        <v>43392</v>
      </c>
      <c r="CP4" s="72">
        <v>43393</v>
      </c>
      <c r="CQ4" s="72">
        <v>43394</v>
      </c>
      <c r="CR4" s="72">
        <v>43395</v>
      </c>
      <c r="CS4" s="72">
        <v>43396</v>
      </c>
      <c r="CT4" s="72">
        <v>43397</v>
      </c>
      <c r="CU4" s="72">
        <v>43398</v>
      </c>
      <c r="CV4" s="72">
        <v>43399</v>
      </c>
      <c r="CW4" s="72">
        <v>43400</v>
      </c>
      <c r="CX4" s="72">
        <v>43401</v>
      </c>
      <c r="CY4" s="72">
        <v>43402</v>
      </c>
      <c r="CZ4" s="72">
        <v>43403</v>
      </c>
      <c r="DA4" s="72">
        <v>43404</v>
      </c>
      <c r="DB4" s="72">
        <v>43405</v>
      </c>
      <c r="DC4" s="72">
        <v>43406</v>
      </c>
      <c r="DD4" s="72">
        <v>43407</v>
      </c>
      <c r="DE4" s="72">
        <v>43408</v>
      </c>
      <c r="DF4" s="72">
        <v>43409</v>
      </c>
      <c r="DG4" s="72">
        <v>43410</v>
      </c>
      <c r="DH4" s="72">
        <v>43411</v>
      </c>
      <c r="DI4" s="72">
        <v>43412</v>
      </c>
      <c r="DJ4" s="72">
        <v>43413</v>
      </c>
      <c r="DK4" s="72">
        <v>43414</v>
      </c>
      <c r="DL4" s="72">
        <v>43415</v>
      </c>
      <c r="DM4" s="72">
        <v>43416</v>
      </c>
      <c r="DN4" s="72">
        <v>43417</v>
      </c>
      <c r="DO4" s="72">
        <v>43418</v>
      </c>
      <c r="DP4" s="72">
        <v>43419</v>
      </c>
      <c r="DQ4" s="72">
        <v>43420</v>
      </c>
      <c r="DR4" s="72">
        <v>43421</v>
      </c>
      <c r="DS4" s="72">
        <v>43422</v>
      </c>
      <c r="DT4" s="72">
        <v>43423</v>
      </c>
      <c r="DU4" s="72">
        <v>43424</v>
      </c>
      <c r="DV4" s="72">
        <v>43425</v>
      </c>
      <c r="DW4" s="72">
        <v>43426</v>
      </c>
      <c r="DX4" s="72">
        <v>43427</v>
      </c>
      <c r="DY4" s="72">
        <v>43428</v>
      </c>
      <c r="DZ4" s="72">
        <v>43429</v>
      </c>
      <c r="EA4" s="72">
        <v>43430</v>
      </c>
      <c r="EB4" s="72">
        <v>43431</v>
      </c>
      <c r="EC4" s="72">
        <v>43432</v>
      </c>
      <c r="ED4" s="72">
        <v>43433</v>
      </c>
      <c r="EE4" s="72">
        <v>43434</v>
      </c>
      <c r="EF4" s="72">
        <v>43435</v>
      </c>
      <c r="EG4" s="72">
        <v>43436</v>
      </c>
      <c r="EH4" s="72">
        <v>43437</v>
      </c>
      <c r="EI4" s="72">
        <v>43438</v>
      </c>
      <c r="EJ4" s="72">
        <v>43439</v>
      </c>
      <c r="EK4" s="72">
        <v>43440</v>
      </c>
      <c r="EL4" s="72">
        <v>43441</v>
      </c>
      <c r="EM4" s="72">
        <v>43442</v>
      </c>
      <c r="EN4" s="72">
        <v>43443</v>
      </c>
      <c r="EO4" s="72">
        <v>43444</v>
      </c>
      <c r="EP4" s="72">
        <v>43445</v>
      </c>
      <c r="EQ4" s="72">
        <v>43446</v>
      </c>
      <c r="ER4" s="72">
        <v>43447</v>
      </c>
      <c r="ES4" s="72">
        <v>43448</v>
      </c>
      <c r="ET4" s="72">
        <v>43449</v>
      </c>
      <c r="EU4" s="72">
        <v>43450</v>
      </c>
      <c r="EV4" s="72">
        <v>43451</v>
      </c>
      <c r="EW4" s="72">
        <v>43452</v>
      </c>
      <c r="EX4" s="72">
        <v>43453</v>
      </c>
      <c r="EY4" s="72">
        <v>43454</v>
      </c>
      <c r="EZ4" s="72">
        <v>43455</v>
      </c>
      <c r="FA4" s="72">
        <v>43456</v>
      </c>
      <c r="FB4" s="72">
        <v>43457</v>
      </c>
      <c r="FC4" s="72">
        <v>43458</v>
      </c>
      <c r="FD4" s="72">
        <v>43459</v>
      </c>
      <c r="FE4" s="72">
        <v>43460</v>
      </c>
      <c r="FF4" s="72">
        <v>43461</v>
      </c>
      <c r="FG4" s="72">
        <v>43462</v>
      </c>
      <c r="FH4" s="72">
        <v>43463</v>
      </c>
      <c r="FI4" s="72">
        <v>43464</v>
      </c>
      <c r="FJ4" s="72">
        <v>43465</v>
      </c>
      <c r="FK4" s="72">
        <v>43466</v>
      </c>
      <c r="FL4" s="72">
        <v>43467</v>
      </c>
      <c r="FM4" s="72">
        <v>43468</v>
      </c>
      <c r="FN4" s="72">
        <v>43469</v>
      </c>
      <c r="FO4" s="72">
        <v>43470</v>
      </c>
      <c r="FP4" s="72">
        <v>43471</v>
      </c>
      <c r="FQ4" s="72">
        <v>43472</v>
      </c>
      <c r="FR4" s="72">
        <v>43473</v>
      </c>
      <c r="FS4" s="72">
        <v>43474</v>
      </c>
      <c r="FT4" s="72">
        <v>43475</v>
      </c>
      <c r="FU4" s="72">
        <v>43476</v>
      </c>
      <c r="FV4" s="72">
        <v>43477</v>
      </c>
      <c r="FW4" s="72">
        <v>43478</v>
      </c>
      <c r="FX4" s="72">
        <v>43479</v>
      </c>
      <c r="FY4" s="72">
        <v>43480</v>
      </c>
      <c r="FZ4" s="72">
        <v>43481</v>
      </c>
      <c r="GA4" s="72">
        <v>43482</v>
      </c>
      <c r="GB4" s="72">
        <v>43483</v>
      </c>
      <c r="GC4" s="72">
        <v>43484</v>
      </c>
      <c r="GD4" s="72">
        <v>43485</v>
      </c>
      <c r="GE4" s="72">
        <v>43486</v>
      </c>
      <c r="GF4" s="72">
        <v>43487</v>
      </c>
      <c r="GG4" s="72">
        <v>43488</v>
      </c>
      <c r="GH4" s="72">
        <v>43489</v>
      </c>
      <c r="GI4" s="72">
        <v>43490</v>
      </c>
      <c r="GJ4" s="72">
        <v>43491</v>
      </c>
      <c r="GK4" s="72">
        <v>43492</v>
      </c>
      <c r="GL4" s="72">
        <v>43493</v>
      </c>
      <c r="GM4" s="72">
        <v>43494</v>
      </c>
      <c r="GN4" s="72">
        <v>43495</v>
      </c>
      <c r="GO4" s="72">
        <v>43496</v>
      </c>
      <c r="GP4" s="72">
        <v>43497</v>
      </c>
      <c r="GQ4" s="72">
        <v>43498</v>
      </c>
      <c r="GR4" s="72">
        <v>43499</v>
      </c>
      <c r="GS4" s="72">
        <v>43500</v>
      </c>
      <c r="GT4" s="72">
        <v>43501</v>
      </c>
      <c r="GU4" s="72">
        <v>43502</v>
      </c>
    </row>
    <row r="5" spans="1:203" s="71" customFormat="1" ht="32.25" customHeight="1" x14ac:dyDescent="0.25">
      <c r="A5" s="169">
        <f ca="1">NOW()</f>
        <v>43306.455487500003</v>
      </c>
      <c r="B5" s="139" t="s">
        <v>334</v>
      </c>
      <c r="C5" s="140"/>
      <c r="D5" s="140"/>
      <c r="E5" s="140"/>
      <c r="F5" s="140"/>
      <c r="G5" s="140"/>
      <c r="H5" s="140"/>
      <c r="I5" s="140"/>
      <c r="J5" s="140"/>
      <c r="K5" s="140"/>
      <c r="L5" s="140"/>
      <c r="M5" s="140"/>
      <c r="N5" s="140"/>
      <c r="O5" s="140"/>
      <c r="P5" s="140"/>
      <c r="Q5" s="140"/>
      <c r="R5" s="140"/>
      <c r="S5" s="140"/>
      <c r="T5" s="140"/>
      <c r="U5" s="140"/>
      <c r="V5" s="140"/>
      <c r="W5" s="140"/>
      <c r="X5" s="140"/>
      <c r="Y5" s="140"/>
      <c r="Z5" s="140"/>
      <c r="AA5" s="140"/>
      <c r="AB5" s="140"/>
      <c r="AC5" s="140"/>
      <c r="AD5" s="140"/>
      <c r="AE5" s="140"/>
      <c r="AF5" s="140"/>
      <c r="AG5" s="140"/>
      <c r="AH5" s="140"/>
      <c r="AI5" s="140"/>
      <c r="AJ5" s="140"/>
      <c r="AK5" s="140"/>
      <c r="AL5" s="140"/>
      <c r="AM5" s="140"/>
      <c r="AN5" s="140"/>
      <c r="AO5" s="140"/>
      <c r="AP5" s="140"/>
      <c r="AQ5" s="140"/>
      <c r="AR5" s="140"/>
      <c r="AS5" s="140"/>
      <c r="AT5" s="140"/>
      <c r="AU5" s="140"/>
      <c r="AV5" s="140"/>
      <c r="AW5" s="140"/>
      <c r="AX5" s="140"/>
      <c r="AY5" s="140"/>
      <c r="AZ5" s="140"/>
      <c r="BA5" s="140"/>
      <c r="BB5" s="140"/>
      <c r="BC5" s="140"/>
      <c r="BD5" s="140"/>
      <c r="BE5" s="140"/>
      <c r="BF5" s="140"/>
      <c r="BG5" s="140"/>
      <c r="BH5" s="140"/>
      <c r="BI5" s="140"/>
      <c r="BJ5" s="140"/>
      <c r="BK5" s="140"/>
      <c r="BL5" s="140"/>
      <c r="BM5" s="140"/>
      <c r="BN5" s="140"/>
      <c r="BO5" s="140"/>
      <c r="BP5" s="140"/>
      <c r="BQ5" s="140"/>
      <c r="BR5" s="140"/>
      <c r="BS5" s="140"/>
      <c r="BT5" s="140"/>
      <c r="BU5" s="140"/>
      <c r="BV5" s="140"/>
      <c r="BW5" s="140"/>
      <c r="BX5" s="140"/>
      <c r="BY5" s="140"/>
      <c r="BZ5" s="140"/>
      <c r="CA5" s="140"/>
      <c r="CB5" s="140"/>
      <c r="CC5" s="140"/>
      <c r="CD5" s="140"/>
      <c r="CE5" s="140"/>
      <c r="CF5" s="140"/>
      <c r="CG5" s="140"/>
      <c r="CH5" s="140"/>
      <c r="CI5" s="140"/>
      <c r="CJ5" s="140"/>
      <c r="CK5" s="140"/>
      <c r="CL5" s="140"/>
      <c r="CM5" s="140"/>
      <c r="CN5" s="140"/>
      <c r="CO5" s="140"/>
      <c r="CP5" s="140"/>
      <c r="CQ5" s="140"/>
      <c r="CR5" s="140"/>
      <c r="CS5" s="140"/>
      <c r="CT5" s="140"/>
      <c r="CU5" s="140"/>
      <c r="CV5" s="140"/>
      <c r="CW5" s="140"/>
      <c r="CX5" s="140"/>
      <c r="CY5" s="140"/>
      <c r="CZ5" s="140"/>
      <c r="DA5" s="140"/>
      <c r="DB5" s="140"/>
      <c r="DC5" s="140"/>
      <c r="DD5" s="140"/>
      <c r="DE5" s="140"/>
      <c r="DF5" s="140"/>
      <c r="DG5" s="140"/>
      <c r="DH5" s="140"/>
      <c r="DI5" s="140"/>
      <c r="DJ5" s="140"/>
      <c r="DK5" s="140"/>
      <c r="DL5" s="140"/>
      <c r="DM5" s="140"/>
      <c r="DN5" s="140"/>
      <c r="DO5" s="140"/>
      <c r="DP5" s="140"/>
      <c r="DQ5" s="140"/>
      <c r="DR5" s="140"/>
      <c r="DS5" s="140"/>
      <c r="DT5" s="140"/>
      <c r="DU5" s="140"/>
      <c r="DV5" s="140"/>
      <c r="DW5" s="140"/>
      <c r="DX5" s="140"/>
      <c r="DY5" s="140"/>
      <c r="DZ5" s="140"/>
      <c r="EA5" s="140"/>
      <c r="EB5" s="140"/>
      <c r="EC5" s="140"/>
      <c r="ED5" s="140"/>
      <c r="EE5" s="140"/>
      <c r="EF5" s="140"/>
      <c r="EG5" s="140"/>
      <c r="EH5" s="140"/>
      <c r="EI5" s="140"/>
      <c r="EJ5" s="140"/>
      <c r="EK5" s="140"/>
      <c r="EL5" s="140"/>
      <c r="EM5" s="140"/>
      <c r="EN5" s="140"/>
      <c r="EO5" s="140"/>
      <c r="EP5" s="140"/>
      <c r="EQ5" s="140"/>
      <c r="ER5" s="140"/>
      <c r="ES5" s="140"/>
      <c r="ET5" s="140"/>
      <c r="EU5" s="140"/>
      <c r="EV5" s="140"/>
      <c r="EW5" s="140"/>
      <c r="EX5" s="140"/>
      <c r="EY5" s="140"/>
      <c r="EZ5" s="140"/>
      <c r="FA5" s="140"/>
      <c r="FB5" s="140"/>
      <c r="FC5" s="140"/>
      <c r="FD5" s="140"/>
      <c r="FE5" s="140"/>
      <c r="FF5" s="140"/>
      <c r="FG5" s="140"/>
      <c r="FH5" s="140"/>
      <c r="FI5" s="140"/>
      <c r="FJ5" s="140"/>
      <c r="FK5" s="140"/>
      <c r="FL5" s="140"/>
      <c r="FM5" s="140"/>
      <c r="FN5" s="140"/>
      <c r="FO5" s="140"/>
      <c r="FP5" s="140"/>
      <c r="FQ5" s="140"/>
      <c r="FR5" s="140"/>
      <c r="FS5" s="140"/>
      <c r="FT5" s="140"/>
      <c r="FU5" s="140"/>
      <c r="FV5" s="140"/>
      <c r="FW5" s="140"/>
      <c r="FX5" s="140"/>
      <c r="FY5" s="140"/>
      <c r="FZ5" s="140"/>
      <c r="GA5" s="140"/>
      <c r="GB5" s="140"/>
      <c r="GC5" s="140"/>
      <c r="GD5" s="140"/>
      <c r="GE5" s="140"/>
      <c r="GF5" s="140"/>
      <c r="GG5" s="140"/>
      <c r="GH5" s="140"/>
      <c r="GI5" s="140"/>
      <c r="GJ5" s="140"/>
      <c r="GK5" s="140"/>
      <c r="GL5" s="140"/>
      <c r="GM5" s="140"/>
      <c r="GN5" s="140"/>
      <c r="GO5" s="140"/>
      <c r="GP5" s="140"/>
      <c r="GQ5" s="140"/>
      <c r="GR5" s="140"/>
      <c r="GS5" s="140"/>
      <c r="GT5" s="140"/>
      <c r="GU5" s="140"/>
    </row>
    <row r="6" spans="1:203" s="143" customFormat="1" ht="51" customHeight="1" thickBot="1" x14ac:dyDescent="0.3">
      <c r="A6" s="141"/>
      <c r="B6" s="139" t="s">
        <v>488</v>
      </c>
      <c r="C6" s="209"/>
      <c r="D6" s="209" t="s">
        <v>622</v>
      </c>
      <c r="E6" s="209" t="s">
        <v>623</v>
      </c>
      <c r="F6" s="209"/>
      <c r="G6" s="209"/>
      <c r="H6" s="209"/>
      <c r="I6" s="209"/>
      <c r="J6" s="209"/>
      <c r="K6" s="209"/>
      <c r="L6" s="209"/>
      <c r="M6" s="209"/>
      <c r="N6" s="209"/>
      <c r="O6" s="209"/>
      <c r="P6" s="209"/>
      <c r="Q6" s="209"/>
      <c r="R6" s="209"/>
      <c r="S6" s="209"/>
      <c r="T6" s="209"/>
      <c r="U6" s="209"/>
      <c r="V6" s="142"/>
      <c r="W6" s="142"/>
      <c r="X6" s="142"/>
      <c r="Y6" s="142"/>
      <c r="Z6" s="142"/>
      <c r="AA6" s="142"/>
      <c r="AB6" s="142"/>
      <c r="AC6" s="142"/>
      <c r="AD6" s="142"/>
      <c r="AE6" s="142"/>
      <c r="AF6" s="142"/>
      <c r="AG6" s="142"/>
      <c r="AH6" s="142"/>
      <c r="AI6" s="142"/>
      <c r="AJ6" s="142"/>
      <c r="AK6" s="142"/>
      <c r="AL6" s="142"/>
      <c r="AM6" s="142"/>
      <c r="AN6" s="142"/>
      <c r="AO6" s="142"/>
      <c r="AP6" s="142"/>
      <c r="AQ6" s="142"/>
      <c r="AR6" s="142"/>
      <c r="AS6" s="142"/>
      <c r="AT6" s="142"/>
      <c r="AU6" s="142"/>
      <c r="AV6" s="142"/>
      <c r="AW6" s="142"/>
      <c r="AX6" s="142"/>
      <c r="AY6" s="142"/>
      <c r="AZ6" s="142"/>
      <c r="BA6" s="142"/>
      <c r="BB6" s="142"/>
      <c r="BC6" s="142"/>
      <c r="BD6" s="142"/>
      <c r="BE6" s="142"/>
      <c r="BF6" s="142"/>
      <c r="BG6" s="142"/>
      <c r="BH6" s="142"/>
      <c r="BI6" s="142"/>
      <c r="BJ6" s="142"/>
      <c r="BK6" s="142"/>
      <c r="BL6" s="142"/>
      <c r="BM6" s="142"/>
      <c r="BN6" s="142"/>
      <c r="BO6" s="142"/>
      <c r="BP6" s="142"/>
      <c r="BQ6" s="142"/>
      <c r="BR6" s="142"/>
      <c r="BS6" s="142"/>
      <c r="BT6" s="142"/>
      <c r="BU6" s="142"/>
      <c r="BV6" s="142"/>
      <c r="BW6" s="142"/>
      <c r="BX6" s="142"/>
      <c r="BY6" s="142"/>
      <c r="BZ6" s="142"/>
      <c r="CA6" s="142"/>
      <c r="CB6" s="142"/>
      <c r="CC6" s="142"/>
      <c r="CD6" s="142"/>
      <c r="CE6" s="142"/>
      <c r="CF6" s="142"/>
      <c r="CG6" s="142"/>
      <c r="CH6" s="142"/>
      <c r="CI6" s="142"/>
      <c r="CJ6" s="142"/>
      <c r="CK6" s="142"/>
      <c r="CL6" s="142"/>
      <c r="CM6" s="142"/>
      <c r="CN6" s="142"/>
      <c r="CO6" s="142"/>
      <c r="CP6" s="142"/>
      <c r="CQ6" s="142"/>
      <c r="CR6" s="142"/>
      <c r="CS6" s="142"/>
      <c r="CT6" s="142"/>
      <c r="CU6" s="142"/>
      <c r="CV6" s="142"/>
      <c r="CW6" s="142"/>
      <c r="CX6" s="142"/>
      <c r="CY6" s="142"/>
      <c r="CZ6" s="142"/>
      <c r="DA6" s="142"/>
      <c r="DB6" s="142"/>
      <c r="DC6" s="142"/>
      <c r="DD6" s="142"/>
      <c r="DE6" s="142"/>
      <c r="DF6" s="142"/>
      <c r="DG6" s="142"/>
      <c r="DH6" s="142"/>
      <c r="DI6" s="142"/>
      <c r="DJ6" s="142"/>
      <c r="DK6" s="142"/>
      <c r="DL6" s="142"/>
      <c r="DM6" s="142"/>
      <c r="DN6" s="142"/>
      <c r="DO6" s="142"/>
      <c r="DP6" s="142"/>
      <c r="DQ6" s="142"/>
      <c r="DR6" s="142"/>
      <c r="DS6" s="142"/>
      <c r="DT6" s="142"/>
      <c r="DU6" s="142"/>
      <c r="DV6" s="142"/>
      <c r="DW6" s="142"/>
      <c r="DX6" s="142"/>
      <c r="DY6" s="142"/>
      <c r="DZ6" s="142"/>
      <c r="EA6" s="142"/>
      <c r="EB6" s="142"/>
      <c r="EC6" s="142"/>
      <c r="ED6" s="142"/>
      <c r="EE6" s="142"/>
      <c r="EF6" s="142"/>
      <c r="EG6" s="142"/>
      <c r="EH6" s="142"/>
      <c r="EI6" s="142"/>
      <c r="EJ6" s="142"/>
      <c r="EK6" s="142"/>
      <c r="EL6" s="142"/>
      <c r="EM6" s="142"/>
      <c r="EN6" s="142"/>
      <c r="EO6" s="142"/>
      <c r="EP6" s="142"/>
      <c r="EQ6" s="142"/>
      <c r="ER6" s="142"/>
      <c r="ES6" s="142"/>
      <c r="ET6" s="142"/>
      <c r="EU6" s="142"/>
      <c r="EV6" s="142"/>
      <c r="EW6" s="142"/>
      <c r="EX6" s="142"/>
      <c r="EY6" s="142"/>
      <c r="EZ6" s="142"/>
      <c r="FA6" s="142"/>
      <c r="FB6" s="142"/>
      <c r="FC6" s="142"/>
      <c r="FD6" s="142"/>
      <c r="FE6" s="142"/>
      <c r="FF6" s="142"/>
      <c r="FG6" s="142"/>
      <c r="FH6" s="142"/>
      <c r="FI6" s="142"/>
      <c r="FJ6" s="142"/>
      <c r="FK6" s="142"/>
      <c r="FL6" s="142"/>
      <c r="FM6" s="142"/>
      <c r="FN6" s="142"/>
      <c r="FO6" s="142"/>
      <c r="FP6" s="142"/>
      <c r="FQ6" s="142"/>
      <c r="FR6" s="142"/>
      <c r="FS6" s="142"/>
      <c r="FT6" s="142"/>
      <c r="FU6" s="142"/>
      <c r="FV6" s="142"/>
      <c r="FW6" s="142"/>
      <c r="FX6" s="142"/>
      <c r="FY6" s="142"/>
      <c r="FZ6" s="142"/>
      <c r="GA6" s="142"/>
      <c r="GB6" s="142"/>
      <c r="GC6" s="142"/>
      <c r="GD6" s="142"/>
      <c r="GE6" s="142"/>
      <c r="GF6" s="142"/>
      <c r="GG6" s="142"/>
      <c r="GH6" s="142"/>
      <c r="GI6" s="142"/>
      <c r="GJ6" s="142"/>
      <c r="GK6" s="142"/>
      <c r="GL6" s="142"/>
      <c r="GM6" s="142"/>
      <c r="GN6" s="142"/>
      <c r="GO6" s="142"/>
      <c r="GP6" s="142"/>
      <c r="GQ6" s="142"/>
      <c r="GR6" s="142"/>
      <c r="GS6" s="142"/>
      <c r="GT6" s="142"/>
      <c r="GU6" s="142"/>
    </row>
    <row r="7" spans="1:203" s="162" customFormat="1" ht="20.100000000000001" customHeight="1" thickTop="1" x14ac:dyDescent="0.25">
      <c r="A7" s="159">
        <f>HOUR(B7)</f>
        <v>0</v>
      </c>
      <c r="B7" s="160">
        <v>0</v>
      </c>
      <c r="C7" s="168"/>
      <c r="D7" s="168" t="s">
        <v>607</v>
      </c>
      <c r="E7" s="168"/>
      <c r="F7" s="168"/>
      <c r="G7" s="168"/>
      <c r="H7" s="168"/>
      <c r="I7" s="168"/>
      <c r="J7" s="168"/>
      <c r="K7" s="168"/>
      <c r="L7" s="168"/>
      <c r="M7" s="168"/>
      <c r="N7" s="168"/>
      <c r="O7" s="168"/>
      <c r="P7" s="168"/>
      <c r="Q7" s="168"/>
      <c r="R7" s="168"/>
      <c r="S7" s="168"/>
      <c r="T7" s="168"/>
      <c r="U7" s="168"/>
      <c r="V7" s="168"/>
      <c r="W7" s="168"/>
      <c r="X7" s="168"/>
      <c r="Y7" s="168"/>
      <c r="Z7" s="168"/>
      <c r="AA7" s="168"/>
      <c r="AB7" s="168"/>
      <c r="AC7" s="168"/>
      <c r="AD7" s="168"/>
      <c r="AE7" s="168"/>
      <c r="AF7" s="168"/>
      <c r="AG7" s="168"/>
      <c r="AH7" s="168"/>
      <c r="AI7" s="168"/>
      <c r="AJ7" s="168"/>
      <c r="AK7" s="168"/>
      <c r="AL7" s="168"/>
      <c r="AM7" s="168"/>
      <c r="AN7" s="168"/>
      <c r="AO7" s="168"/>
      <c r="AP7" s="168"/>
      <c r="AQ7" s="168"/>
      <c r="AR7" s="168"/>
      <c r="AS7" s="168"/>
      <c r="AT7" s="168"/>
      <c r="AU7" s="168"/>
      <c r="AV7" s="168"/>
      <c r="AW7" s="168"/>
      <c r="AX7" s="168"/>
      <c r="AY7" s="168"/>
      <c r="AZ7" s="168"/>
      <c r="BA7" s="168"/>
      <c r="BB7" s="168"/>
      <c r="BC7" s="168"/>
      <c r="BD7" s="168"/>
      <c r="BE7" s="168"/>
      <c r="BF7" s="168"/>
      <c r="BG7" s="168"/>
      <c r="BH7" s="168"/>
      <c r="BI7" s="168"/>
      <c r="BJ7" s="168"/>
      <c r="BK7" s="168"/>
      <c r="BL7" s="168"/>
      <c r="BM7" s="168"/>
      <c r="BN7" s="168"/>
      <c r="BO7" s="168"/>
      <c r="BP7" s="168"/>
      <c r="BQ7" s="168"/>
      <c r="BR7" s="168"/>
      <c r="BS7" s="168"/>
      <c r="BT7" s="168"/>
      <c r="BU7" s="168"/>
      <c r="BV7" s="168"/>
      <c r="BW7" s="168"/>
      <c r="BX7" s="168"/>
      <c r="BY7" s="168"/>
      <c r="BZ7" s="168"/>
      <c r="CA7" s="168"/>
      <c r="CB7" s="168"/>
      <c r="CC7" s="168"/>
      <c r="CD7" s="168"/>
      <c r="CE7" s="168"/>
      <c r="CF7" s="168"/>
      <c r="CG7" s="168"/>
      <c r="CH7" s="168"/>
      <c r="CI7" s="168"/>
      <c r="CJ7" s="168"/>
      <c r="CK7" s="168"/>
      <c r="CL7" s="168"/>
      <c r="CM7" s="168"/>
      <c r="CN7" s="168"/>
      <c r="CO7" s="168"/>
      <c r="CP7" s="168"/>
      <c r="CQ7" s="168"/>
      <c r="CR7" s="168"/>
      <c r="CS7" s="168"/>
      <c r="CT7" s="168"/>
      <c r="CU7" s="168"/>
      <c r="CV7" s="168"/>
      <c r="CW7" s="168"/>
      <c r="CX7" s="168"/>
      <c r="CY7" s="168"/>
      <c r="CZ7" s="168"/>
      <c r="DA7" s="168"/>
      <c r="DB7" s="168"/>
      <c r="DC7" s="168"/>
      <c r="DD7" s="168"/>
      <c r="DE7" s="168"/>
      <c r="DF7" s="168"/>
      <c r="DG7" s="168"/>
      <c r="DH7" s="168"/>
      <c r="DI7" s="168"/>
      <c r="DJ7" s="168"/>
      <c r="DK7" s="168"/>
      <c r="DL7" s="168"/>
      <c r="DM7" s="168"/>
      <c r="DN7" s="168"/>
      <c r="DO7" s="168"/>
      <c r="DP7" s="168"/>
      <c r="DQ7" s="168"/>
      <c r="DR7" s="168"/>
      <c r="DS7" s="168"/>
      <c r="DT7" s="168"/>
      <c r="DU7" s="168"/>
      <c r="DV7" s="168"/>
      <c r="DW7" s="168"/>
      <c r="DX7" s="168"/>
      <c r="DY7" s="168"/>
      <c r="DZ7" s="168"/>
      <c r="EA7" s="168"/>
      <c r="EB7" s="168"/>
      <c r="EC7" s="168"/>
      <c r="ED7" s="168"/>
      <c r="EE7" s="168"/>
      <c r="EF7" s="168"/>
      <c r="EG7" s="168"/>
      <c r="EH7" s="168"/>
      <c r="EI7" s="168"/>
      <c r="EJ7" s="168"/>
      <c r="EK7" s="168"/>
      <c r="EL7" s="168"/>
      <c r="EM7" s="168"/>
      <c r="EN7" s="168"/>
      <c r="EO7" s="168"/>
      <c r="EP7" s="168"/>
      <c r="EQ7" s="168"/>
      <c r="ER7" s="168"/>
      <c r="ES7" s="168"/>
      <c r="ET7" s="168"/>
      <c r="EU7" s="168"/>
      <c r="EV7" s="168"/>
      <c r="EW7" s="168"/>
      <c r="EX7" s="168"/>
      <c r="EY7" s="168"/>
      <c r="EZ7" s="168"/>
      <c r="FA7" s="168"/>
      <c r="FB7" s="168"/>
      <c r="FC7" s="168"/>
      <c r="FD7" s="168"/>
      <c r="FE7" s="168"/>
      <c r="FF7" s="168"/>
      <c r="FG7" s="168"/>
      <c r="FH7" s="168"/>
      <c r="FI7" s="168"/>
      <c r="FJ7" s="168"/>
      <c r="FK7" s="168"/>
      <c r="FL7" s="168"/>
      <c r="FM7" s="168"/>
      <c r="FN7" s="168"/>
      <c r="FO7" s="168"/>
      <c r="FP7" s="168"/>
      <c r="FQ7" s="168"/>
      <c r="FR7" s="168"/>
      <c r="FS7" s="168"/>
      <c r="FT7" s="168"/>
      <c r="FU7" s="168"/>
      <c r="FV7" s="168"/>
      <c r="FW7" s="168"/>
      <c r="FX7" s="168"/>
      <c r="FY7" s="168"/>
      <c r="FZ7" s="168"/>
      <c r="GA7" s="168"/>
      <c r="GB7" s="168"/>
      <c r="GC7" s="168"/>
      <c r="GD7" s="168"/>
      <c r="GE7" s="168"/>
      <c r="GF7" s="168"/>
      <c r="GG7" s="168"/>
      <c r="GH7" s="168"/>
      <c r="GI7" s="168"/>
      <c r="GJ7" s="168"/>
      <c r="GK7" s="168"/>
      <c r="GL7" s="161"/>
      <c r="GM7" s="161"/>
      <c r="GN7" s="161"/>
      <c r="GO7" s="161"/>
      <c r="GP7" s="161"/>
      <c r="GQ7" s="161"/>
      <c r="GR7" s="161"/>
      <c r="GS7" s="161"/>
      <c r="GT7" s="161"/>
      <c r="GU7" s="161"/>
    </row>
    <row r="8" spans="1:203" s="162" customFormat="1" ht="20.100000000000001" customHeight="1" x14ac:dyDescent="0.25">
      <c r="A8" s="159">
        <f>HOUR(B8)</f>
        <v>1</v>
      </c>
      <c r="B8" s="160">
        <v>4.1666666666666699E-2</v>
      </c>
      <c r="C8" s="182"/>
      <c r="D8" s="168" t="s">
        <v>607</v>
      </c>
      <c r="E8" s="182"/>
      <c r="F8" s="182"/>
      <c r="G8" s="182"/>
      <c r="H8" s="182"/>
      <c r="I8" s="168"/>
      <c r="J8" s="168"/>
      <c r="K8" s="168"/>
      <c r="L8" s="168"/>
      <c r="M8" s="168"/>
      <c r="N8" s="168"/>
      <c r="O8" s="168"/>
      <c r="P8" s="168"/>
      <c r="Q8" s="168"/>
      <c r="R8" s="168"/>
      <c r="S8" s="168"/>
      <c r="T8" s="168"/>
      <c r="U8" s="168"/>
      <c r="V8" s="168"/>
      <c r="W8" s="168"/>
      <c r="X8" s="168"/>
      <c r="Y8" s="168"/>
      <c r="Z8" s="168"/>
      <c r="AA8" s="168"/>
      <c r="AB8" s="168"/>
      <c r="AC8" s="168"/>
      <c r="AD8" s="168"/>
      <c r="AE8" s="168"/>
      <c r="AF8" s="168"/>
      <c r="AG8" s="168"/>
      <c r="AH8" s="168"/>
      <c r="AI8" s="168"/>
      <c r="AJ8" s="168"/>
      <c r="AK8" s="168"/>
      <c r="AL8" s="168"/>
      <c r="AM8" s="168"/>
      <c r="AN8" s="168"/>
      <c r="AO8" s="168"/>
      <c r="AP8" s="168"/>
      <c r="AQ8" s="168"/>
      <c r="AR8" s="168"/>
      <c r="AS8" s="168"/>
      <c r="AT8" s="168"/>
      <c r="AU8" s="168"/>
      <c r="AV8" s="168"/>
      <c r="AW8" s="168"/>
      <c r="AX8" s="168"/>
      <c r="AY8" s="168"/>
      <c r="AZ8" s="168"/>
      <c r="BA8" s="168"/>
      <c r="BB8" s="168"/>
      <c r="BC8" s="168"/>
      <c r="BD8" s="168"/>
      <c r="BE8" s="168"/>
      <c r="BF8" s="168"/>
      <c r="BG8" s="168"/>
      <c r="BH8" s="168"/>
      <c r="BI8" s="168"/>
      <c r="BJ8" s="168"/>
      <c r="BK8" s="168"/>
      <c r="BL8" s="168"/>
      <c r="BM8" s="168"/>
      <c r="BN8" s="168"/>
      <c r="BO8" s="168"/>
      <c r="BP8" s="168"/>
      <c r="BQ8" s="168"/>
      <c r="BR8" s="168"/>
      <c r="BS8" s="168"/>
      <c r="BT8" s="168"/>
      <c r="BU8" s="168"/>
      <c r="BV8" s="168"/>
      <c r="BW8" s="168"/>
      <c r="BX8" s="168"/>
      <c r="BY8" s="168"/>
      <c r="BZ8" s="168"/>
      <c r="CA8" s="168"/>
      <c r="CB8" s="168"/>
      <c r="CC8" s="168"/>
      <c r="CD8" s="168"/>
      <c r="CE8" s="168"/>
      <c r="CF8" s="168"/>
      <c r="CG8" s="168"/>
      <c r="CH8" s="168"/>
      <c r="CI8" s="168"/>
      <c r="CJ8" s="168"/>
      <c r="CK8" s="168"/>
      <c r="CL8" s="168"/>
      <c r="CM8" s="168"/>
      <c r="CN8" s="168"/>
      <c r="CO8" s="168"/>
      <c r="CP8" s="168"/>
      <c r="CQ8" s="168"/>
      <c r="CR8" s="168"/>
      <c r="CS8" s="168"/>
      <c r="CT8" s="168"/>
      <c r="CU8" s="168"/>
      <c r="CV8" s="168"/>
      <c r="CW8" s="168"/>
      <c r="CX8" s="168"/>
      <c r="CY8" s="168"/>
      <c r="CZ8" s="168"/>
      <c r="DA8" s="168"/>
      <c r="DB8" s="168"/>
      <c r="DC8" s="168"/>
      <c r="DD8" s="168"/>
      <c r="DE8" s="168"/>
      <c r="DF8" s="168"/>
      <c r="DG8" s="168"/>
      <c r="DH8" s="168"/>
      <c r="DI8" s="168"/>
      <c r="DJ8" s="168"/>
      <c r="DK8" s="168"/>
      <c r="DL8" s="168"/>
      <c r="DM8" s="168"/>
      <c r="DN8" s="168"/>
      <c r="DO8" s="168"/>
      <c r="DP8" s="168"/>
      <c r="DQ8" s="168"/>
      <c r="DR8" s="168"/>
      <c r="DS8" s="168"/>
      <c r="DT8" s="168"/>
      <c r="DU8" s="168"/>
      <c r="DV8" s="168"/>
      <c r="DW8" s="168"/>
      <c r="DX8" s="168"/>
      <c r="DY8" s="168"/>
      <c r="DZ8" s="168"/>
      <c r="EA8" s="168"/>
      <c r="EB8" s="168"/>
      <c r="EC8" s="168"/>
      <c r="ED8" s="168"/>
      <c r="EE8" s="168"/>
      <c r="EF8" s="168"/>
      <c r="EG8" s="168"/>
      <c r="EH8" s="168"/>
      <c r="EI8" s="168"/>
      <c r="EJ8" s="168"/>
      <c r="EK8" s="168"/>
      <c r="EL8" s="168"/>
      <c r="EM8" s="168"/>
      <c r="EN8" s="168"/>
      <c r="EO8" s="168"/>
      <c r="EP8" s="168"/>
      <c r="EQ8" s="168"/>
      <c r="ER8" s="168"/>
      <c r="ES8" s="168"/>
      <c r="ET8" s="168"/>
      <c r="EU8" s="168"/>
      <c r="EV8" s="168"/>
      <c r="EW8" s="168"/>
      <c r="EX8" s="168"/>
      <c r="EY8" s="168"/>
      <c r="EZ8" s="168"/>
      <c r="FA8" s="168"/>
      <c r="FB8" s="168"/>
      <c r="FC8" s="168"/>
      <c r="FD8" s="168"/>
      <c r="FE8" s="168"/>
      <c r="FF8" s="168"/>
      <c r="FG8" s="168"/>
      <c r="FH8" s="168"/>
      <c r="FI8" s="168"/>
      <c r="FJ8" s="168"/>
      <c r="FK8" s="168"/>
      <c r="FL8" s="168"/>
      <c r="FM8" s="168"/>
      <c r="FN8" s="168"/>
      <c r="FO8" s="168"/>
      <c r="FP8" s="168"/>
      <c r="FQ8" s="168"/>
      <c r="FR8" s="168"/>
      <c r="FS8" s="168"/>
      <c r="FT8" s="168"/>
      <c r="FU8" s="168"/>
      <c r="FV8" s="168"/>
      <c r="FW8" s="168"/>
      <c r="FX8" s="168"/>
      <c r="FY8" s="168"/>
      <c r="FZ8" s="168"/>
      <c r="GA8" s="168"/>
      <c r="GB8" s="168"/>
      <c r="GC8" s="168"/>
      <c r="GD8" s="168"/>
      <c r="GE8" s="168"/>
      <c r="GF8" s="168"/>
      <c r="GG8" s="168"/>
      <c r="GH8" s="168"/>
      <c r="GI8" s="168"/>
      <c r="GJ8" s="168"/>
      <c r="GK8" s="168"/>
      <c r="GL8" s="168"/>
      <c r="GM8" s="168"/>
      <c r="GN8" s="168"/>
      <c r="GO8" s="168"/>
      <c r="GP8" s="168"/>
      <c r="GQ8" s="168"/>
      <c r="GR8" s="168"/>
      <c r="GS8" s="168"/>
      <c r="GT8" s="168"/>
      <c r="GU8" s="168"/>
    </row>
    <row r="9" spans="1:203" s="162" customFormat="1" ht="20.100000000000001" customHeight="1" x14ac:dyDescent="0.25">
      <c r="A9" s="159">
        <f t="shared" ref="A9:A30" si="0">HOUR(B9)</f>
        <v>2</v>
      </c>
      <c r="B9" s="160">
        <v>8.3333333333333301E-2</v>
      </c>
      <c r="C9" s="168" t="s">
        <v>607</v>
      </c>
      <c r="D9" s="168" t="s">
        <v>607</v>
      </c>
      <c r="E9" s="168"/>
      <c r="F9" s="168"/>
      <c r="G9" s="168"/>
      <c r="H9" s="168"/>
      <c r="I9" s="168"/>
      <c r="J9" s="168"/>
      <c r="K9" s="168"/>
      <c r="L9" s="168"/>
      <c r="M9" s="168"/>
      <c r="N9" s="168"/>
      <c r="O9" s="168"/>
      <c r="P9" s="168"/>
      <c r="Q9" s="168"/>
      <c r="R9" s="168"/>
      <c r="S9" s="168"/>
      <c r="T9" s="168"/>
      <c r="U9" s="168"/>
      <c r="V9" s="168"/>
      <c r="W9" s="168"/>
      <c r="X9" s="168"/>
      <c r="Y9" s="168"/>
      <c r="Z9" s="168"/>
      <c r="AA9" s="168"/>
      <c r="AB9" s="168"/>
      <c r="AC9" s="168"/>
      <c r="AD9" s="168"/>
      <c r="AE9" s="168"/>
      <c r="AF9" s="168"/>
      <c r="AG9" s="168"/>
      <c r="AH9" s="168"/>
      <c r="AI9" s="168"/>
      <c r="AJ9" s="168"/>
      <c r="AK9" s="168"/>
      <c r="AL9" s="168"/>
      <c r="AM9" s="168"/>
      <c r="AN9" s="168"/>
      <c r="AO9" s="168"/>
      <c r="AP9" s="168"/>
      <c r="AQ9" s="168"/>
      <c r="AR9" s="168"/>
      <c r="AS9" s="168"/>
      <c r="AT9" s="168"/>
      <c r="AU9" s="168"/>
      <c r="AV9" s="168"/>
      <c r="AW9" s="168"/>
      <c r="AX9" s="168"/>
      <c r="AY9" s="168"/>
      <c r="AZ9" s="168"/>
      <c r="BA9" s="168"/>
      <c r="BB9" s="168"/>
      <c r="BC9" s="168"/>
      <c r="BD9" s="168"/>
      <c r="BE9" s="168"/>
      <c r="BF9" s="168"/>
      <c r="BG9" s="168"/>
      <c r="BH9" s="168"/>
      <c r="BI9" s="168"/>
      <c r="BJ9" s="168"/>
      <c r="BK9" s="168"/>
      <c r="BL9" s="168"/>
      <c r="BM9" s="168"/>
      <c r="BN9" s="168"/>
      <c r="BO9" s="168"/>
      <c r="BP9" s="168"/>
      <c r="BQ9" s="168"/>
      <c r="BR9" s="168"/>
      <c r="BS9" s="168"/>
      <c r="BT9" s="168"/>
      <c r="BU9" s="168"/>
      <c r="BV9" s="168"/>
      <c r="BW9" s="168"/>
      <c r="BX9" s="168"/>
      <c r="BY9" s="168"/>
      <c r="BZ9" s="168"/>
      <c r="CA9" s="168"/>
      <c r="CB9" s="168"/>
      <c r="CC9" s="168"/>
      <c r="CD9" s="168"/>
      <c r="CE9" s="168"/>
      <c r="CF9" s="168"/>
      <c r="CG9" s="168"/>
      <c r="CH9" s="168"/>
      <c r="CI9" s="168"/>
      <c r="CJ9" s="168"/>
      <c r="CK9" s="168"/>
      <c r="CL9" s="168"/>
      <c r="CM9" s="168"/>
      <c r="CN9" s="168"/>
      <c r="CO9" s="168"/>
      <c r="CP9" s="168"/>
      <c r="CQ9" s="168"/>
      <c r="CR9" s="168"/>
      <c r="CS9" s="168"/>
      <c r="CT9" s="168"/>
      <c r="CU9" s="168"/>
      <c r="CV9" s="168"/>
      <c r="CW9" s="168"/>
      <c r="CX9" s="168"/>
      <c r="CY9" s="168"/>
      <c r="CZ9" s="168"/>
      <c r="DA9" s="168"/>
      <c r="DB9" s="168"/>
      <c r="DC9" s="168"/>
      <c r="DD9" s="168"/>
      <c r="DE9" s="168"/>
      <c r="DF9" s="168"/>
      <c r="DG9" s="168"/>
      <c r="DH9" s="168"/>
      <c r="DI9" s="168"/>
      <c r="DJ9" s="168"/>
      <c r="DK9" s="168"/>
      <c r="DL9" s="168"/>
      <c r="DM9" s="168"/>
      <c r="DN9" s="168"/>
      <c r="DO9" s="168"/>
      <c r="DP9" s="168"/>
      <c r="DQ9" s="168"/>
      <c r="DR9" s="168"/>
      <c r="DS9" s="168"/>
      <c r="DT9" s="168"/>
      <c r="DU9" s="168"/>
      <c r="DV9" s="168"/>
      <c r="DW9" s="168"/>
      <c r="DX9" s="168"/>
      <c r="DY9" s="168"/>
      <c r="DZ9" s="168"/>
      <c r="EA9" s="168"/>
      <c r="EB9" s="168"/>
      <c r="EC9" s="168"/>
      <c r="ED9" s="168"/>
      <c r="EE9" s="168"/>
      <c r="EF9" s="168"/>
      <c r="EG9" s="168"/>
      <c r="EH9" s="168"/>
      <c r="EI9" s="168"/>
      <c r="EJ9" s="168"/>
      <c r="EK9" s="168"/>
      <c r="EL9" s="168"/>
      <c r="EM9" s="168"/>
      <c r="EN9" s="168"/>
      <c r="EO9" s="168"/>
      <c r="EP9" s="168"/>
      <c r="EQ9" s="168"/>
      <c r="ER9" s="168"/>
      <c r="ES9" s="168"/>
      <c r="ET9" s="168"/>
      <c r="EU9" s="168"/>
      <c r="EV9" s="168"/>
      <c r="EW9" s="168"/>
      <c r="EX9" s="168"/>
      <c r="EY9" s="168"/>
      <c r="EZ9" s="168"/>
      <c r="FA9" s="168"/>
      <c r="FB9" s="168"/>
      <c r="FC9" s="168"/>
      <c r="FD9" s="168"/>
      <c r="FE9" s="168"/>
      <c r="FF9" s="168"/>
      <c r="FG9" s="168"/>
      <c r="FH9" s="168"/>
      <c r="FI9" s="168"/>
      <c r="FJ9" s="168"/>
      <c r="FK9" s="168"/>
      <c r="FL9" s="168"/>
      <c r="FM9" s="168"/>
      <c r="FN9" s="168"/>
      <c r="FO9" s="168"/>
      <c r="FP9" s="168"/>
      <c r="FQ9" s="168"/>
      <c r="FR9" s="168"/>
      <c r="FS9" s="168"/>
      <c r="FT9" s="168"/>
      <c r="FU9" s="168"/>
      <c r="FV9" s="168"/>
      <c r="FW9" s="168"/>
      <c r="FX9" s="168"/>
      <c r="FY9" s="168"/>
      <c r="FZ9" s="168"/>
      <c r="GA9" s="168"/>
      <c r="GB9" s="168"/>
      <c r="GC9" s="168"/>
      <c r="GD9" s="168"/>
      <c r="GE9" s="168"/>
      <c r="GF9" s="168"/>
      <c r="GG9" s="168"/>
      <c r="GH9" s="168"/>
      <c r="GI9" s="168"/>
      <c r="GJ9" s="168"/>
      <c r="GK9" s="168"/>
      <c r="GL9" s="168"/>
      <c r="GM9" s="168"/>
      <c r="GN9" s="168"/>
      <c r="GO9" s="168"/>
      <c r="GP9" s="168"/>
      <c r="GQ9" s="168"/>
      <c r="GR9" s="168"/>
      <c r="GS9" s="168"/>
      <c r="GT9" s="168"/>
      <c r="GU9" s="168"/>
    </row>
    <row r="10" spans="1:203" s="163" customFormat="1" x14ac:dyDescent="0.25">
      <c r="A10" s="159">
        <f t="shared" si="0"/>
        <v>3</v>
      </c>
      <c r="B10" s="160">
        <v>0.125</v>
      </c>
      <c r="C10" s="168" t="s">
        <v>616</v>
      </c>
      <c r="D10" s="168" t="s">
        <v>626</v>
      </c>
      <c r="E10" s="168"/>
      <c r="F10" s="168" t="s">
        <v>607</v>
      </c>
      <c r="G10" s="168" t="s">
        <v>607</v>
      </c>
      <c r="H10" s="168" t="s">
        <v>607</v>
      </c>
      <c r="I10" s="168"/>
      <c r="J10" s="168"/>
      <c r="K10" s="168"/>
      <c r="L10" s="168"/>
      <c r="M10" s="168"/>
      <c r="N10" s="168"/>
      <c r="O10" s="168"/>
      <c r="P10" s="168"/>
      <c r="Q10" s="168"/>
      <c r="R10" s="168"/>
      <c r="S10" s="168"/>
      <c r="T10" s="168"/>
      <c r="U10" s="168"/>
      <c r="V10" s="168"/>
      <c r="W10" s="168"/>
      <c r="X10" s="168"/>
      <c r="Y10" s="168"/>
      <c r="Z10" s="168"/>
      <c r="AA10" s="168"/>
      <c r="AB10" s="168"/>
      <c r="AC10" s="168"/>
      <c r="AD10" s="168"/>
      <c r="AE10" s="168"/>
      <c r="AF10" s="168"/>
      <c r="AG10" s="168"/>
      <c r="AH10" s="168"/>
      <c r="AI10" s="168"/>
      <c r="AJ10" s="168"/>
      <c r="AK10" s="168"/>
      <c r="AL10" s="168"/>
      <c r="AM10" s="168"/>
      <c r="AN10" s="168"/>
      <c r="AO10" s="168"/>
      <c r="AP10" s="168"/>
      <c r="AQ10" s="168"/>
      <c r="AR10" s="168"/>
      <c r="AS10" s="168"/>
      <c r="AT10" s="168"/>
      <c r="AU10" s="168"/>
      <c r="AV10" s="168"/>
      <c r="AW10" s="168"/>
      <c r="AX10" s="168"/>
      <c r="AY10" s="168"/>
      <c r="AZ10" s="168"/>
      <c r="BA10" s="168"/>
      <c r="BB10" s="168"/>
      <c r="BC10" s="168"/>
      <c r="BD10" s="168"/>
      <c r="BE10" s="168"/>
      <c r="BF10" s="168"/>
      <c r="BG10" s="168"/>
      <c r="BH10" s="168"/>
      <c r="BI10" s="168"/>
      <c r="BJ10" s="168"/>
      <c r="BK10" s="168"/>
      <c r="BL10" s="168"/>
      <c r="BM10" s="168"/>
      <c r="BN10" s="168"/>
      <c r="BO10" s="168"/>
      <c r="BP10" s="168"/>
      <c r="BQ10" s="168"/>
      <c r="BR10" s="168"/>
      <c r="BS10" s="168"/>
      <c r="BT10" s="168"/>
      <c r="BU10" s="168"/>
      <c r="BV10" s="168"/>
      <c r="BW10" s="168"/>
      <c r="BX10" s="168"/>
      <c r="BY10" s="168"/>
      <c r="BZ10" s="168"/>
      <c r="CA10" s="168"/>
      <c r="CB10" s="168"/>
      <c r="CC10" s="168"/>
      <c r="CD10" s="168"/>
      <c r="CE10" s="168"/>
      <c r="CF10" s="168"/>
      <c r="CG10" s="168"/>
      <c r="CH10" s="168"/>
      <c r="CI10" s="168"/>
      <c r="CJ10" s="168"/>
      <c r="CK10" s="168"/>
      <c r="CL10" s="168"/>
      <c r="CM10" s="168"/>
      <c r="CN10" s="168"/>
      <c r="CO10" s="168"/>
      <c r="CP10" s="168"/>
      <c r="CQ10" s="168"/>
      <c r="CR10" s="168"/>
      <c r="CS10" s="168"/>
      <c r="CT10" s="168"/>
      <c r="CU10" s="168"/>
      <c r="CV10" s="168"/>
      <c r="CW10" s="168"/>
      <c r="CX10" s="168"/>
      <c r="CY10" s="168"/>
      <c r="CZ10" s="168"/>
      <c r="DA10" s="168"/>
      <c r="DB10" s="168"/>
      <c r="DC10" s="168"/>
      <c r="DD10" s="168"/>
      <c r="DE10" s="168"/>
      <c r="DF10" s="168"/>
      <c r="DG10" s="168"/>
      <c r="DH10" s="168"/>
      <c r="DI10" s="168"/>
      <c r="DJ10" s="168"/>
      <c r="DK10" s="168"/>
      <c r="DL10" s="168"/>
      <c r="DM10" s="168"/>
      <c r="DN10" s="168"/>
      <c r="DO10" s="168"/>
      <c r="DP10" s="168"/>
      <c r="DQ10" s="168"/>
      <c r="DR10" s="168"/>
      <c r="DS10" s="168"/>
      <c r="DT10" s="168"/>
      <c r="DU10" s="168"/>
      <c r="DV10" s="168"/>
      <c r="DW10" s="168"/>
      <c r="DX10" s="168"/>
      <c r="DY10" s="168"/>
      <c r="DZ10" s="168"/>
      <c r="EA10" s="168"/>
      <c r="EB10" s="168"/>
      <c r="EC10" s="168"/>
      <c r="ED10" s="168"/>
      <c r="EE10" s="168"/>
      <c r="EF10" s="168"/>
      <c r="EG10" s="168"/>
      <c r="EH10" s="168"/>
      <c r="EI10" s="168"/>
      <c r="EJ10" s="168"/>
      <c r="EK10" s="168"/>
      <c r="EL10" s="168"/>
      <c r="EM10" s="168"/>
      <c r="EN10" s="168"/>
      <c r="EO10" s="168"/>
      <c r="EP10" s="168"/>
      <c r="EQ10" s="168"/>
      <c r="ER10" s="168"/>
      <c r="ES10" s="168"/>
      <c r="ET10" s="168"/>
      <c r="EU10" s="168"/>
      <c r="EV10" s="168"/>
      <c r="EW10" s="168"/>
      <c r="EX10" s="168"/>
      <c r="EY10" s="168"/>
      <c r="EZ10" s="168"/>
      <c r="FA10" s="168"/>
      <c r="FB10" s="168"/>
      <c r="FC10" s="168"/>
      <c r="FD10" s="168"/>
      <c r="FE10" s="168"/>
      <c r="FF10" s="168"/>
      <c r="FG10" s="168"/>
      <c r="FH10" s="168"/>
      <c r="FI10" s="168"/>
      <c r="FJ10" s="168"/>
      <c r="FK10" s="168"/>
      <c r="FL10" s="168"/>
      <c r="FM10" s="168"/>
      <c r="FN10" s="168"/>
      <c r="FO10" s="168"/>
      <c r="FP10" s="168"/>
      <c r="FQ10" s="168"/>
      <c r="FR10" s="168"/>
      <c r="FS10" s="168"/>
      <c r="FT10" s="168"/>
      <c r="FU10" s="168"/>
      <c r="FV10" s="168"/>
      <c r="FW10" s="168"/>
      <c r="FX10" s="168"/>
      <c r="FY10" s="168"/>
      <c r="FZ10" s="168"/>
      <c r="GA10" s="168"/>
      <c r="GB10" s="168"/>
      <c r="GC10" s="168"/>
      <c r="GD10" s="168"/>
      <c r="GE10" s="168"/>
      <c r="GF10" s="168"/>
      <c r="GG10" s="168"/>
      <c r="GH10" s="168"/>
      <c r="GI10" s="168"/>
      <c r="GJ10" s="168"/>
      <c r="GK10" s="168"/>
      <c r="GL10" s="168"/>
      <c r="GM10" s="168"/>
      <c r="GN10" s="168"/>
      <c r="GO10" s="168"/>
      <c r="GP10" s="168"/>
      <c r="GQ10" s="168"/>
      <c r="GR10" s="168"/>
      <c r="GS10" s="168"/>
      <c r="GT10" s="168"/>
      <c r="GU10" s="168"/>
    </row>
    <row r="11" spans="1:203" s="162" customFormat="1" x14ac:dyDescent="0.25">
      <c r="A11" s="159">
        <f t="shared" si="0"/>
        <v>4</v>
      </c>
      <c r="B11" s="160">
        <v>0.16666666666666699</v>
      </c>
      <c r="C11" s="168" t="s">
        <v>616</v>
      </c>
      <c r="D11" s="168" t="s">
        <v>626</v>
      </c>
      <c r="E11" s="168"/>
      <c r="F11" s="168" t="s">
        <v>607</v>
      </c>
      <c r="G11" s="168" t="s">
        <v>607</v>
      </c>
      <c r="H11" s="168" t="s">
        <v>607</v>
      </c>
      <c r="I11" s="168"/>
      <c r="J11" s="168"/>
      <c r="K11" s="168"/>
      <c r="L11" s="168"/>
      <c r="M11" s="168"/>
      <c r="N11" s="168"/>
      <c r="O11" s="168"/>
      <c r="P11" s="168"/>
      <c r="Q11" s="168"/>
      <c r="R11" s="168"/>
      <c r="S11" s="168"/>
      <c r="T11" s="168"/>
      <c r="U11" s="168"/>
      <c r="V11" s="168"/>
      <c r="W11" s="168"/>
      <c r="X11" s="168"/>
      <c r="Y11" s="168"/>
      <c r="Z11" s="168"/>
      <c r="AA11" s="168"/>
      <c r="AB11" s="168"/>
      <c r="AC11" s="168"/>
      <c r="AD11" s="168"/>
      <c r="AE11" s="168"/>
      <c r="AF11" s="168"/>
      <c r="AG11" s="168"/>
      <c r="AH11" s="168"/>
      <c r="AI11" s="168"/>
      <c r="AJ11" s="168"/>
      <c r="AK11" s="168"/>
      <c r="AL11" s="168"/>
      <c r="AM11" s="168"/>
      <c r="AN11" s="168"/>
      <c r="AO11" s="168"/>
      <c r="AP11" s="168"/>
      <c r="AQ11" s="168"/>
      <c r="AR11" s="168"/>
      <c r="AS11" s="168"/>
      <c r="AT11" s="168"/>
      <c r="AU11" s="168"/>
      <c r="AV11" s="168"/>
      <c r="AW11" s="168"/>
      <c r="AX11" s="168"/>
      <c r="AY11" s="168"/>
      <c r="AZ11" s="168"/>
      <c r="BA11" s="168"/>
      <c r="BB11" s="168"/>
      <c r="BC11" s="168"/>
      <c r="BD11" s="168"/>
      <c r="BE11" s="168"/>
      <c r="BF11" s="168"/>
      <c r="BG11" s="168"/>
      <c r="BH11" s="168"/>
      <c r="BI11" s="168"/>
      <c r="BJ11" s="168"/>
      <c r="BK11" s="168"/>
      <c r="BL11" s="168"/>
      <c r="BM11" s="168"/>
      <c r="BN11" s="168"/>
      <c r="BO11" s="168"/>
      <c r="BP11" s="168"/>
      <c r="BQ11" s="168"/>
      <c r="BR11" s="168"/>
      <c r="BS11" s="168"/>
      <c r="BT11" s="168"/>
      <c r="BU11" s="168"/>
      <c r="BV11" s="168"/>
      <c r="BW11" s="168"/>
      <c r="BX11" s="168"/>
      <c r="BY11" s="168"/>
      <c r="BZ11" s="168"/>
      <c r="CA11" s="168"/>
      <c r="CB11" s="168"/>
      <c r="CC11" s="168"/>
      <c r="CD11" s="168"/>
      <c r="CE11" s="168"/>
      <c r="CF11" s="168"/>
      <c r="CG11" s="168"/>
      <c r="CH11" s="168"/>
      <c r="CI11" s="168"/>
      <c r="CJ11" s="168"/>
      <c r="CK11" s="168"/>
      <c r="CL11" s="168"/>
      <c r="CM11" s="168"/>
      <c r="CN11" s="168"/>
      <c r="CO11" s="168"/>
      <c r="CP11" s="168"/>
      <c r="CQ11" s="168"/>
      <c r="CR11" s="168"/>
      <c r="CS11" s="168"/>
      <c r="CT11" s="168"/>
      <c r="CU11" s="168"/>
      <c r="CV11" s="168"/>
      <c r="CW11" s="168"/>
      <c r="CX11" s="168"/>
      <c r="CY11" s="168"/>
      <c r="CZ11" s="168"/>
      <c r="DA11" s="168"/>
      <c r="DB11" s="168"/>
      <c r="DC11" s="168"/>
      <c r="DD11" s="168"/>
      <c r="DE11" s="168"/>
      <c r="DF11" s="168"/>
      <c r="DG11" s="168"/>
      <c r="DH11" s="168"/>
      <c r="DI11" s="168"/>
      <c r="DJ11" s="168"/>
      <c r="DK11" s="168"/>
      <c r="DL11" s="168"/>
      <c r="DM11" s="168"/>
      <c r="DN11" s="168"/>
      <c r="DO11" s="168"/>
      <c r="DP11" s="168"/>
      <c r="DQ11" s="168"/>
      <c r="DR11" s="168"/>
      <c r="DS11" s="168"/>
      <c r="DT11" s="168"/>
      <c r="DU11" s="168"/>
      <c r="DV11" s="168"/>
      <c r="DW11" s="168"/>
      <c r="DX11" s="168"/>
      <c r="DY11" s="168"/>
      <c r="DZ11" s="168"/>
      <c r="EA11" s="168"/>
      <c r="EB11" s="168"/>
      <c r="EC11" s="168"/>
      <c r="ED11" s="168"/>
      <c r="EE11" s="168"/>
      <c r="EF11" s="168"/>
      <c r="EG11" s="168"/>
      <c r="EH11" s="168"/>
      <c r="EI11" s="168"/>
      <c r="EJ11" s="168"/>
      <c r="EK11" s="168"/>
      <c r="EL11" s="168"/>
      <c r="EM11" s="168"/>
      <c r="EN11" s="168"/>
      <c r="EO11" s="168"/>
      <c r="EP11" s="168"/>
      <c r="EQ11" s="168"/>
      <c r="ER11" s="168"/>
      <c r="ES11" s="168"/>
      <c r="ET11" s="168"/>
      <c r="EU11" s="168"/>
      <c r="EV11" s="168"/>
      <c r="EW11" s="168"/>
      <c r="EX11" s="168"/>
      <c r="EY11" s="168"/>
      <c r="EZ11" s="168"/>
      <c r="FA11" s="168"/>
      <c r="FB11" s="168"/>
      <c r="FC11" s="168"/>
      <c r="FD11" s="168"/>
      <c r="FE11" s="168"/>
      <c r="FF11" s="168"/>
      <c r="FG11" s="168"/>
      <c r="FH11" s="168"/>
      <c r="FI11" s="168"/>
      <c r="FJ11" s="168"/>
      <c r="FK11" s="168"/>
      <c r="FL11" s="168"/>
      <c r="FM11" s="168"/>
      <c r="FN11" s="168"/>
      <c r="FO11" s="168"/>
      <c r="FP11" s="168"/>
      <c r="FQ11" s="168"/>
      <c r="FR11" s="168"/>
      <c r="FS11" s="168"/>
      <c r="FT11" s="168"/>
      <c r="FU11" s="168"/>
      <c r="FV11" s="168"/>
      <c r="FW11" s="168"/>
      <c r="FX11" s="168"/>
      <c r="FY11" s="168"/>
      <c r="FZ11" s="168"/>
      <c r="GA11" s="168"/>
      <c r="GB11" s="168"/>
      <c r="GC11" s="168"/>
      <c r="GD11" s="168"/>
      <c r="GE11" s="168"/>
      <c r="GF11" s="168"/>
      <c r="GG11" s="168"/>
      <c r="GH11" s="168"/>
      <c r="GI11" s="168"/>
      <c r="GJ11" s="168"/>
      <c r="GK11" s="168"/>
      <c r="GL11" s="168"/>
      <c r="GM11" s="168"/>
      <c r="GN11" s="168"/>
      <c r="GO11" s="168"/>
      <c r="GP11" s="168"/>
      <c r="GQ11" s="168"/>
      <c r="GR11" s="168"/>
      <c r="GS11" s="168"/>
      <c r="GT11" s="168"/>
      <c r="GU11" s="168"/>
    </row>
    <row r="12" spans="1:203" s="162" customFormat="1" ht="20.100000000000001" customHeight="1" x14ac:dyDescent="0.25">
      <c r="A12" s="159">
        <f t="shared" si="0"/>
        <v>5</v>
      </c>
      <c r="B12" s="160">
        <v>0.20833333333333301</v>
      </c>
      <c r="C12" s="168" t="s">
        <v>607</v>
      </c>
      <c r="D12" s="168" t="s">
        <v>626</v>
      </c>
      <c r="E12" s="168"/>
      <c r="F12" s="168"/>
      <c r="G12" s="168" t="s">
        <v>626</v>
      </c>
      <c r="H12" s="168" t="s">
        <v>607</v>
      </c>
      <c r="I12" s="168"/>
      <c r="J12" s="168"/>
      <c r="K12" s="168"/>
      <c r="L12" s="168"/>
      <c r="M12" s="168"/>
      <c r="N12" s="168"/>
      <c r="O12" s="168"/>
      <c r="P12" s="168"/>
      <c r="Q12" s="168"/>
      <c r="R12" s="168"/>
      <c r="S12" s="168"/>
      <c r="T12" s="168"/>
      <c r="U12" s="168"/>
      <c r="V12" s="168"/>
      <c r="W12" s="168"/>
      <c r="X12" s="168"/>
      <c r="Y12" s="168"/>
      <c r="Z12" s="168"/>
      <c r="AA12" s="168"/>
      <c r="AB12" s="168"/>
      <c r="AC12" s="168"/>
      <c r="AD12" s="168"/>
      <c r="AE12" s="168"/>
      <c r="AF12" s="168"/>
      <c r="AG12" s="168"/>
      <c r="AH12" s="168"/>
      <c r="AI12" s="168"/>
      <c r="AJ12" s="168"/>
      <c r="AK12" s="168"/>
      <c r="AL12" s="168"/>
      <c r="AM12" s="168"/>
      <c r="AN12" s="168"/>
      <c r="AO12" s="168"/>
      <c r="AP12" s="168"/>
      <c r="AQ12" s="168"/>
      <c r="AR12" s="168"/>
      <c r="AS12" s="168"/>
      <c r="AT12" s="168"/>
      <c r="AU12" s="168"/>
      <c r="AV12" s="168"/>
      <c r="AW12" s="168"/>
      <c r="AX12" s="168"/>
      <c r="AY12" s="168"/>
      <c r="AZ12" s="168"/>
      <c r="BA12" s="168"/>
      <c r="BB12" s="168"/>
      <c r="BC12" s="168"/>
      <c r="BD12" s="168"/>
      <c r="BE12" s="168"/>
      <c r="BF12" s="168"/>
      <c r="BG12" s="168"/>
      <c r="BH12" s="168"/>
      <c r="BI12" s="168"/>
      <c r="BJ12" s="168"/>
      <c r="BK12" s="168"/>
      <c r="BL12" s="168"/>
      <c r="BM12" s="168"/>
      <c r="BN12" s="168"/>
      <c r="BO12" s="168"/>
      <c r="BP12" s="168"/>
      <c r="BQ12" s="168"/>
      <c r="BR12" s="168"/>
      <c r="BS12" s="168"/>
      <c r="BT12" s="168"/>
      <c r="BU12" s="168"/>
      <c r="BV12" s="168"/>
      <c r="BW12" s="168"/>
      <c r="BX12" s="168"/>
      <c r="BY12" s="168"/>
      <c r="BZ12" s="168"/>
      <c r="CA12" s="168"/>
      <c r="CB12" s="168"/>
      <c r="CC12" s="168"/>
      <c r="CD12" s="168"/>
      <c r="CE12" s="168"/>
      <c r="CF12" s="168"/>
      <c r="CG12" s="168"/>
      <c r="CH12" s="168"/>
      <c r="CI12" s="168"/>
      <c r="CJ12" s="168"/>
      <c r="CK12" s="168"/>
      <c r="CL12" s="168"/>
      <c r="CM12" s="168"/>
      <c r="CN12" s="168"/>
      <c r="CO12" s="168"/>
      <c r="CP12" s="168"/>
      <c r="CQ12" s="168"/>
      <c r="CR12" s="168"/>
      <c r="CS12" s="168"/>
      <c r="CT12" s="168"/>
      <c r="CU12" s="168"/>
      <c r="CV12" s="168"/>
      <c r="CW12" s="168"/>
      <c r="CX12" s="168"/>
      <c r="CY12" s="168"/>
      <c r="CZ12" s="168"/>
      <c r="DA12" s="168"/>
      <c r="DB12" s="168"/>
      <c r="DC12" s="168"/>
      <c r="DD12" s="168"/>
      <c r="DE12" s="168"/>
      <c r="DF12" s="168"/>
      <c r="DG12" s="168"/>
      <c r="DH12" s="168"/>
      <c r="DI12" s="168"/>
      <c r="DJ12" s="168"/>
      <c r="DK12" s="168"/>
      <c r="DL12" s="168"/>
      <c r="DM12" s="168"/>
      <c r="DN12" s="168"/>
      <c r="DO12" s="168"/>
      <c r="DP12" s="168"/>
      <c r="DQ12" s="168"/>
      <c r="DR12" s="168"/>
      <c r="DS12" s="168"/>
      <c r="DT12" s="168"/>
      <c r="DU12" s="168"/>
      <c r="DV12" s="168"/>
      <c r="DW12" s="168"/>
      <c r="DX12" s="168"/>
      <c r="DY12" s="168"/>
      <c r="DZ12" s="168"/>
      <c r="EA12" s="168"/>
      <c r="EB12" s="168"/>
      <c r="EC12" s="168"/>
      <c r="ED12" s="168"/>
      <c r="EE12" s="168"/>
      <c r="EF12" s="168"/>
      <c r="EG12" s="168"/>
      <c r="EH12" s="168"/>
      <c r="EI12" s="168"/>
      <c r="EJ12" s="168"/>
      <c r="EK12" s="168"/>
      <c r="EL12" s="168"/>
      <c r="EM12" s="168"/>
      <c r="EN12" s="168"/>
      <c r="EO12" s="168"/>
      <c r="EP12" s="168"/>
      <c r="EQ12" s="168"/>
      <c r="ER12" s="168"/>
      <c r="ES12" s="168"/>
      <c r="ET12" s="168"/>
      <c r="EU12" s="168"/>
      <c r="EV12" s="168"/>
      <c r="EW12" s="168"/>
      <c r="EX12" s="168"/>
      <c r="EY12" s="168"/>
      <c r="EZ12" s="168"/>
      <c r="FA12" s="168"/>
      <c r="FB12" s="168"/>
      <c r="FC12" s="168"/>
      <c r="FD12" s="168"/>
      <c r="FE12" s="168"/>
      <c r="FF12" s="168"/>
      <c r="FG12" s="168"/>
      <c r="FH12" s="168"/>
      <c r="FI12" s="168"/>
      <c r="FJ12" s="168"/>
      <c r="FK12" s="168"/>
      <c r="FL12" s="168"/>
      <c r="FM12" s="168"/>
      <c r="FN12" s="168"/>
      <c r="FO12" s="168"/>
      <c r="FP12" s="168"/>
      <c r="FQ12" s="168"/>
      <c r="FR12" s="168"/>
      <c r="FS12" s="168"/>
      <c r="FT12" s="168"/>
      <c r="FU12" s="168"/>
      <c r="FV12" s="168"/>
      <c r="FW12" s="168"/>
      <c r="FX12" s="168"/>
      <c r="FY12" s="168"/>
      <c r="FZ12" s="168"/>
      <c r="GA12" s="168"/>
      <c r="GB12" s="168"/>
      <c r="GC12" s="168"/>
      <c r="GD12" s="168"/>
      <c r="GE12" s="168"/>
      <c r="GF12" s="168"/>
      <c r="GG12" s="168"/>
      <c r="GH12" s="168"/>
      <c r="GI12" s="168"/>
      <c r="GJ12" s="168"/>
      <c r="GK12" s="168"/>
      <c r="GL12" s="168"/>
      <c r="GM12" s="168"/>
      <c r="GN12" s="168"/>
      <c r="GO12" s="168"/>
      <c r="GP12" s="168"/>
      <c r="GQ12" s="168"/>
      <c r="GR12" s="168"/>
      <c r="GS12" s="168"/>
      <c r="GT12" s="168"/>
      <c r="GU12" s="168"/>
    </row>
    <row r="13" spans="1:203" s="162" customFormat="1" ht="20.100000000000001" customHeight="1" x14ac:dyDescent="0.25">
      <c r="A13" s="159">
        <f t="shared" si="0"/>
        <v>6</v>
      </c>
      <c r="B13" s="160">
        <v>0.25</v>
      </c>
      <c r="C13" s="168" t="s">
        <v>617</v>
      </c>
      <c r="D13" s="168" t="s">
        <v>629</v>
      </c>
      <c r="E13" s="168"/>
      <c r="F13" s="168"/>
      <c r="G13" s="168"/>
      <c r="H13" s="168" t="s">
        <v>280</v>
      </c>
      <c r="I13" s="168"/>
      <c r="J13" s="168"/>
      <c r="K13" s="168"/>
      <c r="L13" s="168"/>
      <c r="M13" s="168"/>
      <c r="N13" s="168"/>
      <c r="O13" s="168"/>
      <c r="P13" s="168"/>
      <c r="Q13" s="168"/>
      <c r="R13" s="168"/>
      <c r="S13" s="168"/>
      <c r="T13" s="168"/>
      <c r="U13" s="168"/>
      <c r="V13" s="168"/>
      <c r="W13" s="168"/>
      <c r="X13" s="168"/>
      <c r="Y13" s="168"/>
      <c r="Z13" s="168"/>
      <c r="AA13" s="168"/>
      <c r="AB13" s="168"/>
      <c r="AC13" s="168"/>
      <c r="AD13" s="168"/>
      <c r="AE13" s="168"/>
      <c r="AF13" s="168"/>
      <c r="AG13" s="168"/>
      <c r="AH13" s="168"/>
      <c r="AI13" s="168"/>
      <c r="AJ13" s="168"/>
      <c r="AK13" s="168"/>
      <c r="AL13" s="168"/>
      <c r="AM13" s="168"/>
      <c r="AN13" s="168"/>
      <c r="AO13" s="168"/>
      <c r="AP13" s="168"/>
      <c r="AQ13" s="168"/>
      <c r="AR13" s="168"/>
      <c r="AS13" s="168"/>
      <c r="AT13" s="168"/>
      <c r="AU13" s="168"/>
      <c r="AV13" s="168"/>
      <c r="AW13" s="168"/>
      <c r="AX13" s="168"/>
      <c r="AY13" s="168"/>
      <c r="AZ13" s="168"/>
      <c r="BA13" s="168"/>
      <c r="BB13" s="168"/>
      <c r="BC13" s="168"/>
      <c r="BD13" s="168"/>
      <c r="BE13" s="168"/>
      <c r="BF13" s="168"/>
      <c r="BG13" s="168"/>
      <c r="BH13" s="168"/>
      <c r="BI13" s="168"/>
      <c r="BJ13" s="168"/>
      <c r="BK13" s="168"/>
      <c r="BL13" s="168"/>
      <c r="BM13" s="168"/>
      <c r="BN13" s="168"/>
      <c r="BO13" s="168"/>
      <c r="BP13" s="168"/>
      <c r="BQ13" s="168"/>
      <c r="BR13" s="168"/>
      <c r="BS13" s="168"/>
      <c r="BT13" s="168"/>
      <c r="BU13" s="168"/>
      <c r="BV13" s="168"/>
      <c r="BW13" s="168"/>
      <c r="BX13" s="168"/>
      <c r="BY13" s="168"/>
      <c r="BZ13" s="168"/>
      <c r="CA13" s="168"/>
      <c r="CB13" s="168"/>
      <c r="CC13" s="168"/>
      <c r="CD13" s="168"/>
      <c r="CE13" s="168"/>
      <c r="CF13" s="168"/>
      <c r="CG13" s="168"/>
      <c r="CH13" s="168"/>
      <c r="CI13" s="168"/>
      <c r="CJ13" s="168"/>
      <c r="CK13" s="168"/>
      <c r="CL13" s="168"/>
      <c r="CM13" s="168"/>
      <c r="CN13" s="168"/>
      <c r="CO13" s="168"/>
      <c r="CP13" s="168"/>
      <c r="CQ13" s="168"/>
      <c r="CR13" s="168"/>
      <c r="CS13" s="168"/>
      <c r="CT13" s="168"/>
      <c r="CU13" s="168"/>
      <c r="CV13" s="168"/>
      <c r="CW13" s="168"/>
      <c r="CX13" s="168"/>
      <c r="CY13" s="168"/>
      <c r="CZ13" s="168"/>
      <c r="DA13" s="168"/>
      <c r="DB13" s="168"/>
      <c r="DC13" s="168"/>
      <c r="DD13" s="168"/>
      <c r="DE13" s="168"/>
      <c r="DF13" s="168"/>
      <c r="DG13" s="168"/>
      <c r="DH13" s="168"/>
      <c r="DI13" s="168"/>
      <c r="DJ13" s="168"/>
      <c r="DK13" s="168"/>
      <c r="DL13" s="168"/>
      <c r="DM13" s="168"/>
      <c r="DN13" s="168"/>
      <c r="DO13" s="168"/>
      <c r="DP13" s="168"/>
      <c r="DQ13" s="168"/>
      <c r="DR13" s="168"/>
      <c r="DS13" s="168"/>
      <c r="DT13" s="168"/>
      <c r="DU13" s="168"/>
      <c r="DV13" s="168"/>
      <c r="DW13" s="168"/>
      <c r="DX13" s="168"/>
      <c r="DY13" s="168"/>
      <c r="DZ13" s="168"/>
      <c r="EA13" s="168"/>
      <c r="EB13" s="168"/>
      <c r="EC13" s="168"/>
      <c r="ED13" s="168"/>
      <c r="EE13" s="168"/>
      <c r="EF13" s="168"/>
      <c r="EG13" s="168"/>
      <c r="EH13" s="168"/>
      <c r="EI13" s="168"/>
      <c r="EJ13" s="168"/>
      <c r="EK13" s="168"/>
      <c r="EL13" s="168"/>
      <c r="EM13" s="168"/>
      <c r="EN13" s="168"/>
      <c r="EO13" s="168"/>
      <c r="EP13" s="168"/>
      <c r="EQ13" s="168"/>
      <c r="ER13" s="168"/>
      <c r="ES13" s="168"/>
      <c r="ET13" s="168"/>
      <c r="EU13" s="168"/>
      <c r="EV13" s="168"/>
      <c r="EW13" s="168"/>
      <c r="EX13" s="168"/>
      <c r="EY13" s="168"/>
      <c r="EZ13" s="168"/>
      <c r="FA13" s="168"/>
      <c r="FB13" s="168"/>
      <c r="FC13" s="168"/>
      <c r="FD13" s="168"/>
      <c r="FE13" s="168"/>
      <c r="FF13" s="168"/>
      <c r="FG13" s="168"/>
      <c r="FH13" s="168"/>
      <c r="FI13" s="168"/>
      <c r="FJ13" s="168"/>
      <c r="FK13" s="168"/>
      <c r="FL13" s="168"/>
      <c r="FM13" s="168"/>
      <c r="FN13" s="168"/>
      <c r="FO13" s="168"/>
      <c r="FP13" s="168"/>
      <c r="FQ13" s="168"/>
      <c r="FR13" s="168"/>
      <c r="FS13" s="168"/>
      <c r="FT13" s="168"/>
      <c r="FU13" s="168"/>
      <c r="FV13" s="168"/>
      <c r="FW13" s="168"/>
      <c r="FX13" s="168"/>
      <c r="FY13" s="168"/>
      <c r="FZ13" s="168"/>
      <c r="GA13" s="168"/>
      <c r="GB13" s="168"/>
      <c r="GC13" s="168"/>
      <c r="GD13" s="168"/>
      <c r="GE13" s="168"/>
      <c r="GF13" s="168"/>
      <c r="GG13" s="168"/>
      <c r="GH13" s="168"/>
      <c r="GI13" s="168"/>
      <c r="GJ13" s="168"/>
      <c r="GK13" s="168"/>
      <c r="GL13" s="168"/>
      <c r="GM13" s="168"/>
      <c r="GN13" s="168"/>
      <c r="GO13" s="168"/>
      <c r="GP13" s="168"/>
      <c r="GQ13" s="168"/>
      <c r="GR13" s="168"/>
      <c r="GS13" s="168"/>
      <c r="GT13" s="168"/>
      <c r="GU13" s="168"/>
    </row>
    <row r="14" spans="1:203" s="162" customFormat="1" ht="20.100000000000001" customHeight="1" x14ac:dyDescent="0.25">
      <c r="A14" s="159">
        <f t="shared" si="0"/>
        <v>7</v>
      </c>
      <c r="B14" s="160">
        <v>0.29166666666666702</v>
      </c>
      <c r="C14" s="168" t="s">
        <v>617</v>
      </c>
      <c r="D14" s="168" t="s">
        <v>629</v>
      </c>
      <c r="E14" s="168"/>
      <c r="F14" s="168"/>
      <c r="G14" s="168"/>
      <c r="H14" s="168"/>
      <c r="I14" s="168"/>
      <c r="J14" s="168"/>
      <c r="K14" s="168"/>
      <c r="L14" s="168"/>
      <c r="M14" s="168"/>
      <c r="N14" s="168"/>
      <c r="O14" s="168"/>
      <c r="P14" s="168"/>
      <c r="Q14" s="168"/>
      <c r="R14" s="168"/>
      <c r="S14" s="168"/>
      <c r="T14" s="168"/>
      <c r="U14" s="168"/>
      <c r="V14" s="168"/>
      <c r="W14" s="168"/>
      <c r="X14" s="168"/>
      <c r="Y14" s="168"/>
      <c r="Z14" s="168"/>
      <c r="AA14" s="168"/>
      <c r="AB14" s="168"/>
      <c r="AC14" s="168"/>
      <c r="AD14" s="168"/>
      <c r="AE14" s="168"/>
      <c r="AF14" s="168"/>
      <c r="AG14" s="168"/>
      <c r="AH14" s="168"/>
      <c r="AI14" s="168"/>
      <c r="AJ14" s="168"/>
      <c r="AK14" s="168"/>
      <c r="AL14" s="168"/>
      <c r="AM14" s="168"/>
      <c r="AN14" s="168"/>
      <c r="AO14" s="168"/>
      <c r="AP14" s="168"/>
      <c r="AQ14" s="168"/>
      <c r="AR14" s="168"/>
      <c r="AS14" s="168"/>
      <c r="AT14" s="168"/>
      <c r="AU14" s="168"/>
      <c r="AV14" s="168"/>
      <c r="AW14" s="168"/>
      <c r="AX14" s="168"/>
      <c r="AY14" s="168"/>
      <c r="AZ14" s="168"/>
      <c r="BA14" s="168"/>
      <c r="BB14" s="168"/>
      <c r="BC14" s="168"/>
      <c r="BD14" s="168"/>
      <c r="BE14" s="168"/>
      <c r="BF14" s="168"/>
      <c r="BG14" s="168"/>
      <c r="BH14" s="168"/>
      <c r="BI14" s="168"/>
      <c r="BJ14" s="168"/>
      <c r="BK14" s="168"/>
      <c r="BL14" s="168"/>
      <c r="BM14" s="168"/>
      <c r="BN14" s="168"/>
      <c r="BO14" s="168"/>
      <c r="BP14" s="168"/>
      <c r="BQ14" s="168"/>
      <c r="BR14" s="168"/>
      <c r="BS14" s="168"/>
      <c r="BT14" s="168"/>
      <c r="BU14" s="168"/>
      <c r="BV14" s="168"/>
      <c r="BW14" s="168"/>
      <c r="BX14" s="168"/>
      <c r="BY14" s="168"/>
      <c r="BZ14" s="168"/>
      <c r="CA14" s="168"/>
      <c r="CB14" s="168"/>
      <c r="CC14" s="168"/>
      <c r="CD14" s="168"/>
      <c r="CE14" s="168"/>
      <c r="CF14" s="168"/>
      <c r="CG14" s="168"/>
      <c r="CH14" s="168"/>
      <c r="CI14" s="168"/>
      <c r="CJ14" s="168"/>
      <c r="CK14" s="168"/>
      <c r="CL14" s="168"/>
      <c r="CM14" s="168"/>
      <c r="CN14" s="168"/>
      <c r="CO14" s="168"/>
      <c r="CP14" s="168"/>
      <c r="CQ14" s="168"/>
      <c r="CR14" s="168"/>
      <c r="CS14" s="168"/>
      <c r="CT14" s="168"/>
      <c r="CU14" s="168"/>
      <c r="CV14" s="168"/>
      <c r="CW14" s="168"/>
      <c r="CX14" s="168"/>
      <c r="CY14" s="168"/>
      <c r="CZ14" s="168"/>
      <c r="DA14" s="168"/>
      <c r="DB14" s="168"/>
      <c r="DC14" s="168"/>
      <c r="DD14" s="168"/>
      <c r="DE14" s="168"/>
      <c r="DF14" s="168"/>
      <c r="DG14" s="168"/>
      <c r="DH14" s="168"/>
      <c r="DI14" s="168"/>
      <c r="DJ14" s="168"/>
      <c r="DK14" s="168"/>
      <c r="DL14" s="168"/>
      <c r="DM14" s="168"/>
      <c r="DN14" s="168"/>
      <c r="DO14" s="168"/>
      <c r="DP14" s="168"/>
      <c r="DQ14" s="168"/>
      <c r="DR14" s="168"/>
      <c r="DS14" s="168"/>
      <c r="DT14" s="168"/>
      <c r="DU14" s="168"/>
      <c r="DV14" s="168"/>
      <c r="DW14" s="168"/>
      <c r="DX14" s="168"/>
      <c r="DY14" s="168"/>
      <c r="DZ14" s="168"/>
      <c r="EA14" s="168"/>
      <c r="EB14" s="168"/>
      <c r="EC14" s="168"/>
      <c r="ED14" s="168"/>
      <c r="EE14" s="168"/>
      <c r="EF14" s="168"/>
      <c r="EG14" s="168"/>
      <c r="EH14" s="168"/>
      <c r="EI14" s="168"/>
      <c r="EJ14" s="168"/>
      <c r="EK14" s="168"/>
      <c r="EL14" s="168"/>
      <c r="EM14" s="168"/>
      <c r="EN14" s="168"/>
      <c r="EO14" s="168"/>
      <c r="EP14" s="168"/>
      <c r="EQ14" s="168"/>
      <c r="ER14" s="168"/>
      <c r="ES14" s="168"/>
      <c r="ET14" s="168"/>
      <c r="EU14" s="168"/>
      <c r="EV14" s="168"/>
      <c r="EW14" s="168"/>
      <c r="EX14" s="168"/>
      <c r="EY14" s="168"/>
      <c r="EZ14" s="168"/>
      <c r="FA14" s="168"/>
      <c r="FB14" s="168"/>
      <c r="FC14" s="168"/>
      <c r="FD14" s="168"/>
      <c r="FE14" s="168"/>
      <c r="FF14" s="168"/>
      <c r="FG14" s="168"/>
      <c r="FH14" s="168"/>
      <c r="FI14" s="168"/>
      <c r="FJ14" s="168"/>
      <c r="FK14" s="168"/>
      <c r="FL14" s="168"/>
      <c r="FM14" s="168"/>
      <c r="FN14" s="168"/>
      <c r="FO14" s="168"/>
      <c r="FP14" s="168"/>
      <c r="FQ14" s="168"/>
      <c r="FR14" s="168"/>
      <c r="FS14" s="168"/>
      <c r="FT14" s="168"/>
      <c r="FU14" s="168"/>
      <c r="FV14" s="168"/>
      <c r="FW14" s="168"/>
      <c r="FX14" s="168"/>
      <c r="FY14" s="168"/>
      <c r="FZ14" s="168"/>
      <c r="GA14" s="168"/>
      <c r="GB14" s="168"/>
      <c r="GC14" s="168"/>
      <c r="GD14" s="168"/>
      <c r="GE14" s="168"/>
      <c r="GF14" s="168"/>
      <c r="GG14" s="168"/>
      <c r="GH14" s="168"/>
      <c r="GI14" s="168"/>
      <c r="GJ14" s="168"/>
      <c r="GK14" s="168"/>
      <c r="GL14" s="168"/>
      <c r="GM14" s="168"/>
      <c r="GN14" s="168"/>
      <c r="GO14" s="168"/>
      <c r="GP14" s="168"/>
      <c r="GQ14" s="168"/>
      <c r="GR14" s="168"/>
      <c r="GS14" s="168"/>
      <c r="GT14" s="168"/>
      <c r="GU14" s="168"/>
    </row>
    <row r="15" spans="1:203" s="162" customFormat="1" ht="20.100000000000001" customHeight="1" x14ac:dyDescent="0.25">
      <c r="A15" s="159">
        <f t="shared" si="0"/>
        <v>8</v>
      </c>
      <c r="B15" s="160">
        <v>0.33333333333333298</v>
      </c>
      <c r="C15" s="168" t="s">
        <v>617</v>
      </c>
      <c r="D15" s="168" t="s">
        <v>651</v>
      </c>
      <c r="E15" s="168"/>
      <c r="F15" s="168"/>
      <c r="G15" s="168"/>
      <c r="H15" s="168"/>
      <c r="I15" s="168"/>
      <c r="J15" s="168"/>
      <c r="K15" s="168"/>
      <c r="L15" s="168"/>
      <c r="M15" s="168"/>
      <c r="N15" s="168"/>
      <c r="O15" s="168"/>
      <c r="P15" s="168"/>
      <c r="Q15" s="168"/>
      <c r="R15" s="168"/>
      <c r="S15" s="168"/>
      <c r="T15" s="168"/>
      <c r="U15" s="168"/>
      <c r="V15" s="168"/>
      <c r="W15" s="168"/>
      <c r="X15" s="168"/>
      <c r="Y15" s="168"/>
      <c r="Z15" s="168"/>
      <c r="AA15" s="168"/>
      <c r="AB15" s="168"/>
      <c r="AC15" s="168"/>
      <c r="AD15" s="168"/>
      <c r="AE15" s="168"/>
      <c r="AF15" s="168"/>
      <c r="AG15" s="168"/>
      <c r="AH15" s="168"/>
      <c r="AI15" s="168"/>
      <c r="AJ15" s="168"/>
      <c r="AK15" s="168"/>
      <c r="AL15" s="168"/>
      <c r="AM15" s="168"/>
      <c r="AN15" s="168"/>
      <c r="AO15" s="168"/>
      <c r="AP15" s="168"/>
      <c r="AQ15" s="168"/>
      <c r="AR15" s="168"/>
      <c r="AS15" s="168"/>
      <c r="AT15" s="168"/>
      <c r="AU15" s="168"/>
      <c r="AV15" s="168"/>
      <c r="AW15" s="168"/>
      <c r="AX15" s="168"/>
      <c r="AY15" s="168"/>
      <c r="AZ15" s="168"/>
      <c r="BA15" s="168"/>
      <c r="BB15" s="168"/>
      <c r="BC15" s="168"/>
      <c r="BD15" s="168"/>
      <c r="BE15" s="168"/>
      <c r="BF15" s="168"/>
      <c r="BG15" s="168"/>
      <c r="BH15" s="168"/>
      <c r="BI15" s="168"/>
      <c r="BJ15" s="168"/>
      <c r="BK15" s="168"/>
      <c r="BL15" s="168"/>
      <c r="BM15" s="168"/>
      <c r="BN15" s="168"/>
      <c r="BO15" s="168"/>
      <c r="BP15" s="168"/>
      <c r="BQ15" s="168"/>
      <c r="BR15" s="168"/>
      <c r="BS15" s="168"/>
      <c r="BT15" s="168"/>
      <c r="BU15" s="168"/>
      <c r="BV15" s="168"/>
      <c r="BW15" s="168"/>
      <c r="BX15" s="168"/>
      <c r="BY15" s="168"/>
      <c r="BZ15" s="168"/>
      <c r="CA15" s="168"/>
      <c r="CB15" s="168"/>
      <c r="CC15" s="168"/>
      <c r="CD15" s="168"/>
      <c r="CE15" s="168"/>
      <c r="CF15" s="168"/>
      <c r="CG15" s="168"/>
      <c r="CH15" s="168"/>
      <c r="CI15" s="168"/>
      <c r="CJ15" s="168"/>
      <c r="CK15" s="168"/>
      <c r="CL15" s="168"/>
      <c r="CM15" s="168"/>
      <c r="CN15" s="168"/>
      <c r="CO15" s="168"/>
      <c r="CP15" s="168"/>
      <c r="CQ15" s="168"/>
      <c r="CR15" s="168"/>
      <c r="CS15" s="168"/>
      <c r="CT15" s="168"/>
      <c r="CU15" s="168"/>
      <c r="CV15" s="168"/>
      <c r="CW15" s="168"/>
      <c r="CX15" s="168"/>
      <c r="CY15" s="168"/>
      <c r="CZ15" s="168"/>
      <c r="DA15" s="168"/>
      <c r="DB15" s="168"/>
      <c r="DC15" s="168"/>
      <c r="DD15" s="168"/>
      <c r="DE15" s="168"/>
      <c r="DF15" s="168"/>
      <c r="DG15" s="168"/>
      <c r="DH15" s="168"/>
      <c r="DI15" s="168"/>
      <c r="DJ15" s="168"/>
      <c r="DK15" s="168"/>
      <c r="DL15" s="168"/>
      <c r="DM15" s="168"/>
      <c r="DN15" s="168"/>
      <c r="DO15" s="168"/>
      <c r="DP15" s="168"/>
      <c r="DQ15" s="168"/>
      <c r="DR15" s="168"/>
      <c r="DS15" s="168"/>
      <c r="DT15" s="168"/>
      <c r="DU15" s="168"/>
      <c r="DV15" s="168"/>
      <c r="DW15" s="168"/>
      <c r="DX15" s="168"/>
      <c r="DY15" s="168"/>
      <c r="DZ15" s="168"/>
      <c r="EA15" s="168"/>
      <c r="EB15" s="168"/>
      <c r="EC15" s="168"/>
      <c r="ED15" s="168"/>
      <c r="EE15" s="168"/>
      <c r="EF15" s="168"/>
      <c r="EG15" s="168"/>
      <c r="EH15" s="168"/>
      <c r="EI15" s="168"/>
      <c r="EJ15" s="168"/>
      <c r="EK15" s="168"/>
      <c r="EL15" s="168"/>
      <c r="EM15" s="168"/>
      <c r="EN15" s="168"/>
      <c r="EO15" s="168"/>
      <c r="EP15" s="168"/>
      <c r="EQ15" s="168"/>
      <c r="ER15" s="168"/>
      <c r="ES15" s="168"/>
      <c r="ET15" s="168"/>
      <c r="EU15" s="168"/>
      <c r="EV15" s="168"/>
      <c r="EW15" s="168"/>
      <c r="EX15" s="168"/>
      <c r="EY15" s="168"/>
      <c r="EZ15" s="168"/>
      <c r="FA15" s="168"/>
      <c r="FB15" s="168"/>
      <c r="FC15" s="168"/>
      <c r="FD15" s="168"/>
      <c r="FE15" s="168"/>
      <c r="FF15" s="168"/>
      <c r="FG15" s="168"/>
      <c r="FH15" s="168"/>
      <c r="FI15" s="168"/>
      <c r="FJ15" s="168"/>
      <c r="FK15" s="168"/>
      <c r="FL15" s="168"/>
      <c r="FM15" s="168"/>
      <c r="FN15" s="168"/>
      <c r="FO15" s="168"/>
      <c r="FP15" s="168"/>
      <c r="FQ15" s="168"/>
      <c r="FR15" s="168"/>
      <c r="FS15" s="168"/>
      <c r="FT15" s="168"/>
      <c r="FU15" s="168"/>
      <c r="FV15" s="168"/>
      <c r="FW15" s="168"/>
      <c r="FX15" s="168"/>
      <c r="FY15" s="168"/>
      <c r="FZ15" s="168"/>
      <c r="GA15" s="168"/>
      <c r="GB15" s="168"/>
      <c r="GC15" s="168"/>
      <c r="GD15" s="168"/>
      <c r="GE15" s="168"/>
      <c r="GF15" s="168"/>
      <c r="GG15" s="168"/>
      <c r="GH15" s="168"/>
      <c r="GI15" s="168"/>
      <c r="GJ15" s="168"/>
      <c r="GK15" s="168"/>
      <c r="GL15" s="168"/>
      <c r="GM15" s="168"/>
      <c r="GN15" s="168"/>
      <c r="GO15" s="168"/>
      <c r="GP15" s="168"/>
      <c r="GQ15" s="168"/>
      <c r="GR15" s="168"/>
      <c r="GS15" s="168"/>
      <c r="GT15" s="168"/>
      <c r="GU15" s="168"/>
    </row>
    <row r="16" spans="1:203" s="162" customFormat="1" ht="30" x14ac:dyDescent="0.25">
      <c r="A16" s="159">
        <f t="shared" si="0"/>
        <v>9</v>
      </c>
      <c r="B16" s="160">
        <v>0.375</v>
      </c>
      <c r="C16" s="168" t="s">
        <v>624</v>
      </c>
      <c r="D16" s="168" t="s">
        <v>626</v>
      </c>
      <c r="E16" s="168"/>
      <c r="F16" s="168"/>
      <c r="G16" s="168"/>
      <c r="H16" s="168"/>
      <c r="I16" s="168"/>
      <c r="J16" s="168"/>
      <c r="K16" s="168"/>
      <c r="L16" s="168"/>
      <c r="M16" s="168"/>
      <c r="N16" s="168"/>
      <c r="O16" s="168"/>
      <c r="P16" s="168"/>
      <c r="Q16" s="168"/>
      <c r="R16" s="168"/>
      <c r="S16" s="168"/>
      <c r="T16" s="168"/>
      <c r="U16" s="168"/>
      <c r="V16" s="168"/>
      <c r="W16" s="168"/>
      <c r="X16" s="168"/>
      <c r="Y16" s="168"/>
      <c r="Z16" s="168"/>
      <c r="AA16" s="168"/>
      <c r="AB16" s="168"/>
      <c r="AC16" s="168"/>
      <c r="AD16" s="168"/>
      <c r="AE16" s="168"/>
      <c r="AF16" s="168"/>
      <c r="AG16" s="168"/>
      <c r="AH16" s="168"/>
      <c r="AI16" s="168"/>
      <c r="AJ16" s="168"/>
      <c r="AK16" s="168"/>
      <c r="AL16" s="168"/>
      <c r="AM16" s="168"/>
      <c r="AN16" s="168"/>
      <c r="AO16" s="168"/>
      <c r="AP16" s="168"/>
      <c r="AQ16" s="168"/>
      <c r="AR16" s="168"/>
      <c r="AS16" s="168"/>
      <c r="AT16" s="168"/>
      <c r="AU16" s="168"/>
      <c r="AV16" s="168"/>
      <c r="AW16" s="168"/>
      <c r="AX16" s="168"/>
      <c r="AY16" s="168"/>
      <c r="AZ16" s="168"/>
      <c r="BA16" s="168"/>
      <c r="BB16" s="168"/>
      <c r="BC16" s="168"/>
      <c r="BD16" s="168"/>
      <c r="BE16" s="168"/>
      <c r="BF16" s="168"/>
      <c r="BG16" s="168"/>
      <c r="BH16" s="168"/>
      <c r="BI16" s="168"/>
      <c r="BJ16" s="168"/>
      <c r="BK16" s="168"/>
      <c r="BL16" s="168"/>
      <c r="BM16" s="168"/>
      <c r="BN16" s="168"/>
      <c r="BO16" s="168"/>
      <c r="BP16" s="168"/>
      <c r="BQ16" s="168"/>
      <c r="BR16" s="168"/>
      <c r="BS16" s="168"/>
      <c r="BT16" s="168"/>
      <c r="BU16" s="168"/>
      <c r="BV16" s="168"/>
      <c r="BW16" s="168"/>
      <c r="BX16" s="168"/>
      <c r="BY16" s="168"/>
      <c r="BZ16" s="168"/>
      <c r="CA16" s="168"/>
      <c r="CB16" s="168"/>
      <c r="CC16" s="168"/>
      <c r="CD16" s="168"/>
      <c r="CE16" s="168"/>
      <c r="CF16" s="168"/>
      <c r="CG16" s="168"/>
      <c r="CH16" s="168"/>
      <c r="CI16" s="168"/>
      <c r="CJ16" s="168"/>
      <c r="CK16" s="168"/>
      <c r="CL16" s="168"/>
      <c r="CM16" s="168"/>
      <c r="CN16" s="168"/>
      <c r="CO16" s="168"/>
      <c r="CP16" s="168"/>
      <c r="CQ16" s="168"/>
      <c r="CR16" s="168"/>
      <c r="CS16" s="168"/>
      <c r="CT16" s="168"/>
      <c r="CU16" s="168"/>
      <c r="CV16" s="168"/>
      <c r="CW16" s="168"/>
      <c r="CX16" s="168"/>
      <c r="CY16" s="168"/>
      <c r="CZ16" s="168"/>
      <c r="DA16" s="168"/>
      <c r="DB16" s="168"/>
      <c r="DC16" s="168"/>
      <c r="DD16" s="168"/>
      <c r="DE16" s="168"/>
      <c r="DF16" s="168"/>
      <c r="DG16" s="168"/>
      <c r="DH16" s="168"/>
      <c r="DI16" s="168"/>
      <c r="DJ16" s="168"/>
      <c r="DK16" s="168"/>
      <c r="DL16" s="168"/>
      <c r="DM16" s="168"/>
      <c r="DN16" s="168"/>
      <c r="DO16" s="168"/>
      <c r="DP16" s="168"/>
      <c r="DQ16" s="168"/>
      <c r="DR16" s="168"/>
      <c r="DS16" s="168"/>
      <c r="DT16" s="168"/>
      <c r="DU16" s="168"/>
      <c r="DV16" s="168"/>
      <c r="DW16" s="168"/>
      <c r="DX16" s="168"/>
      <c r="DY16" s="168"/>
      <c r="DZ16" s="168"/>
      <c r="EA16" s="168"/>
      <c r="EB16" s="168"/>
      <c r="EC16" s="168"/>
      <c r="ED16" s="168"/>
      <c r="EE16" s="168"/>
      <c r="EF16" s="168"/>
      <c r="EG16" s="168"/>
      <c r="EH16" s="168"/>
      <c r="EI16" s="168"/>
      <c r="EJ16" s="168"/>
      <c r="EK16" s="168"/>
      <c r="EL16" s="168"/>
      <c r="EM16" s="168"/>
      <c r="EN16" s="168"/>
      <c r="EO16" s="168"/>
      <c r="EP16" s="168"/>
      <c r="EQ16" s="168"/>
      <c r="ER16" s="168"/>
      <c r="ES16" s="168"/>
      <c r="ET16" s="168"/>
      <c r="EU16" s="168"/>
      <c r="EV16" s="168"/>
      <c r="EW16" s="168"/>
      <c r="EX16" s="168"/>
      <c r="EY16" s="168"/>
      <c r="EZ16" s="168"/>
      <c r="FA16" s="168"/>
      <c r="FB16" s="168"/>
      <c r="FC16" s="168"/>
      <c r="FD16" s="168"/>
      <c r="FE16" s="168"/>
      <c r="FF16" s="168"/>
      <c r="FG16" s="168"/>
      <c r="FH16" s="168"/>
      <c r="FI16" s="168"/>
      <c r="FJ16" s="168"/>
      <c r="FK16" s="168"/>
      <c r="FL16" s="168"/>
      <c r="FM16" s="168"/>
      <c r="FN16" s="168"/>
      <c r="FO16" s="168"/>
      <c r="FP16" s="168"/>
      <c r="FQ16" s="168"/>
      <c r="FR16" s="168"/>
      <c r="FS16" s="168"/>
      <c r="FT16" s="168"/>
      <c r="FU16" s="168"/>
      <c r="FV16" s="168"/>
      <c r="FW16" s="168"/>
      <c r="FX16" s="168"/>
      <c r="FY16" s="168"/>
      <c r="FZ16" s="168"/>
      <c r="GA16" s="168"/>
      <c r="GB16" s="168"/>
      <c r="GC16" s="168"/>
      <c r="GD16" s="168"/>
      <c r="GE16" s="168"/>
      <c r="GF16" s="168"/>
      <c r="GG16" s="168"/>
      <c r="GH16" s="168"/>
      <c r="GI16" s="168"/>
      <c r="GJ16" s="168"/>
      <c r="GK16" s="168"/>
      <c r="GL16" s="168"/>
      <c r="GM16" s="168"/>
      <c r="GN16" s="168"/>
      <c r="GO16" s="168"/>
      <c r="GP16" s="168"/>
      <c r="GQ16" s="168"/>
      <c r="GR16" s="168"/>
      <c r="GS16" s="168"/>
      <c r="GT16" s="168"/>
      <c r="GU16" s="168"/>
    </row>
    <row r="17" spans="1:203" s="162" customFormat="1" ht="45" x14ac:dyDescent="0.25">
      <c r="A17" s="159">
        <f t="shared" si="0"/>
        <v>10</v>
      </c>
      <c r="B17" s="160">
        <v>0.41666666666666702</v>
      </c>
      <c r="C17" s="210" t="s">
        <v>625</v>
      </c>
      <c r="D17" s="168" t="s">
        <v>626</v>
      </c>
      <c r="E17" s="168"/>
      <c r="F17" s="168"/>
      <c r="G17" s="168"/>
      <c r="H17" s="168"/>
      <c r="I17" s="168"/>
      <c r="J17" s="168"/>
      <c r="K17" s="168"/>
      <c r="L17" s="168"/>
      <c r="M17" s="168"/>
      <c r="N17" s="168"/>
      <c r="O17" s="168"/>
      <c r="P17" s="168"/>
      <c r="Q17" s="168"/>
      <c r="R17" s="168"/>
      <c r="S17" s="168"/>
      <c r="T17" s="168"/>
      <c r="U17" s="168"/>
      <c r="V17" s="168"/>
      <c r="W17" s="168"/>
      <c r="X17" s="168"/>
      <c r="Y17" s="168"/>
      <c r="Z17" s="168"/>
      <c r="AA17" s="168"/>
      <c r="AB17" s="168"/>
      <c r="AC17" s="168"/>
      <c r="AD17" s="168"/>
      <c r="AE17" s="168"/>
      <c r="AF17" s="168"/>
      <c r="AG17" s="168"/>
      <c r="AH17" s="168"/>
      <c r="AI17" s="168"/>
      <c r="AJ17" s="168"/>
      <c r="AK17" s="168"/>
      <c r="AL17" s="168"/>
      <c r="AM17" s="168"/>
      <c r="AN17" s="168"/>
      <c r="AO17" s="168"/>
      <c r="AP17" s="168"/>
      <c r="AQ17" s="168"/>
      <c r="AR17" s="168"/>
      <c r="AS17" s="168"/>
      <c r="AT17" s="168"/>
      <c r="AU17" s="168"/>
      <c r="AV17" s="168"/>
      <c r="AW17" s="168"/>
      <c r="AX17" s="168"/>
      <c r="AY17" s="168"/>
      <c r="AZ17" s="168"/>
      <c r="BA17" s="168"/>
      <c r="BB17" s="168"/>
      <c r="BC17" s="168"/>
      <c r="BD17" s="168"/>
      <c r="BE17" s="168"/>
      <c r="BF17" s="168"/>
      <c r="BG17" s="168"/>
      <c r="BH17" s="168"/>
      <c r="BI17" s="168"/>
      <c r="BJ17" s="168"/>
      <c r="BK17" s="168"/>
      <c r="BL17" s="168"/>
      <c r="BM17" s="168"/>
      <c r="BN17" s="168"/>
      <c r="BO17" s="168"/>
      <c r="BP17" s="168"/>
      <c r="BQ17" s="168"/>
      <c r="BR17" s="168"/>
      <c r="BS17" s="168"/>
      <c r="BT17" s="168"/>
      <c r="BU17" s="168"/>
      <c r="BV17" s="168"/>
      <c r="BW17" s="168"/>
      <c r="BX17" s="168"/>
      <c r="BY17" s="168"/>
      <c r="BZ17" s="168"/>
      <c r="CA17" s="168"/>
      <c r="CB17" s="168"/>
      <c r="CC17" s="168"/>
      <c r="CD17" s="168"/>
      <c r="CE17" s="168"/>
      <c r="CF17" s="168"/>
      <c r="CG17" s="168"/>
      <c r="CH17" s="168"/>
      <c r="CI17" s="168"/>
      <c r="CJ17" s="168"/>
      <c r="CK17" s="168"/>
      <c r="CL17" s="168"/>
      <c r="CM17" s="168"/>
      <c r="CN17" s="168"/>
      <c r="CO17" s="168"/>
      <c r="CP17" s="168"/>
      <c r="CQ17" s="168"/>
      <c r="CR17" s="168"/>
      <c r="CS17" s="168"/>
      <c r="CT17" s="168"/>
      <c r="CU17" s="168"/>
      <c r="CV17" s="168"/>
      <c r="CW17" s="168"/>
      <c r="CX17" s="168"/>
      <c r="CY17" s="168"/>
      <c r="CZ17" s="168"/>
      <c r="DA17" s="168"/>
      <c r="DB17" s="168"/>
      <c r="DC17" s="168"/>
      <c r="DD17" s="168"/>
      <c r="DE17" s="168"/>
      <c r="DF17" s="168"/>
      <c r="DG17" s="168"/>
      <c r="DH17" s="168"/>
      <c r="DI17" s="168"/>
      <c r="DJ17" s="168"/>
      <c r="DK17" s="168"/>
      <c r="DL17" s="168"/>
      <c r="DM17" s="168"/>
      <c r="DN17" s="168"/>
      <c r="DO17" s="168"/>
      <c r="DP17" s="168"/>
      <c r="DQ17" s="168"/>
      <c r="DR17" s="168"/>
      <c r="DS17" s="168"/>
      <c r="DT17" s="168"/>
      <c r="DU17" s="168"/>
      <c r="DV17" s="168"/>
      <c r="DW17" s="168"/>
      <c r="DX17" s="168"/>
      <c r="DY17" s="168"/>
      <c r="DZ17" s="168"/>
      <c r="EA17" s="168"/>
      <c r="EB17" s="168"/>
      <c r="EC17" s="168"/>
      <c r="ED17" s="168"/>
      <c r="EE17" s="168"/>
      <c r="EF17" s="168"/>
      <c r="EG17" s="168"/>
      <c r="EH17" s="168"/>
      <c r="EI17" s="168"/>
      <c r="EJ17" s="168"/>
      <c r="EK17" s="168"/>
      <c r="EL17" s="168"/>
      <c r="EM17" s="168"/>
      <c r="EN17" s="168"/>
      <c r="EO17" s="168"/>
      <c r="EP17" s="168"/>
      <c r="EQ17" s="168"/>
      <c r="ER17" s="168"/>
      <c r="ES17" s="168"/>
      <c r="ET17" s="168"/>
      <c r="EU17" s="168"/>
      <c r="EV17" s="168"/>
      <c r="EW17" s="168"/>
      <c r="EX17" s="168"/>
      <c r="EY17" s="168"/>
      <c r="EZ17" s="168"/>
      <c r="FA17" s="168"/>
      <c r="FB17" s="168"/>
      <c r="FC17" s="168"/>
      <c r="FD17" s="168"/>
      <c r="FE17" s="168"/>
      <c r="FF17" s="168"/>
      <c r="FG17" s="168"/>
      <c r="FH17" s="168"/>
      <c r="FI17" s="168"/>
      <c r="FJ17" s="168"/>
      <c r="FK17" s="168"/>
      <c r="FL17" s="168"/>
      <c r="FM17" s="168"/>
      <c r="FN17" s="168"/>
      <c r="FO17" s="168"/>
      <c r="FP17" s="168"/>
      <c r="FQ17" s="168"/>
      <c r="FR17" s="168"/>
      <c r="FS17" s="168"/>
      <c r="FT17" s="168"/>
      <c r="FU17" s="168"/>
      <c r="FV17" s="168"/>
      <c r="FW17" s="168"/>
      <c r="FX17" s="168"/>
      <c r="FY17" s="168"/>
      <c r="FZ17" s="168"/>
      <c r="GA17" s="168"/>
      <c r="GB17" s="168"/>
      <c r="GC17" s="168"/>
      <c r="GD17" s="168"/>
      <c r="GE17" s="168"/>
      <c r="GF17" s="168"/>
      <c r="GG17" s="168"/>
      <c r="GH17" s="168"/>
      <c r="GI17" s="168"/>
      <c r="GJ17" s="168"/>
      <c r="GK17" s="168"/>
      <c r="GL17" s="168"/>
      <c r="GM17" s="168"/>
      <c r="GN17" s="168"/>
      <c r="GO17" s="168"/>
      <c r="GP17" s="168"/>
      <c r="GQ17" s="168"/>
      <c r="GR17" s="168"/>
      <c r="GS17" s="168"/>
      <c r="GT17" s="168"/>
      <c r="GU17" s="168"/>
    </row>
    <row r="18" spans="1:203" s="162" customFormat="1" x14ac:dyDescent="0.25">
      <c r="A18" s="159">
        <f t="shared" si="0"/>
        <v>11</v>
      </c>
      <c r="B18" s="160">
        <v>0.45833333333333298</v>
      </c>
      <c r="C18" s="210"/>
      <c r="D18" s="168" t="s">
        <v>607</v>
      </c>
      <c r="E18" s="168" t="s">
        <v>607</v>
      </c>
      <c r="F18" s="168"/>
      <c r="G18" s="168"/>
      <c r="H18" s="168"/>
      <c r="I18" s="168"/>
      <c r="J18" s="168"/>
      <c r="K18" s="168"/>
      <c r="L18" s="168"/>
      <c r="M18" s="168"/>
      <c r="N18" s="168"/>
      <c r="O18" s="168"/>
      <c r="P18" s="168"/>
      <c r="Q18" s="168"/>
      <c r="R18" s="168"/>
      <c r="S18" s="168"/>
      <c r="T18" s="168"/>
      <c r="U18" s="168"/>
      <c r="V18" s="168"/>
      <c r="W18" s="168"/>
      <c r="X18" s="168"/>
      <c r="Y18" s="168"/>
      <c r="Z18" s="168"/>
      <c r="AA18" s="168"/>
      <c r="AB18" s="168"/>
      <c r="AC18" s="168"/>
      <c r="AD18" s="168"/>
      <c r="AE18" s="168"/>
      <c r="AF18" s="168"/>
      <c r="AG18" s="168"/>
      <c r="AH18" s="168"/>
      <c r="AI18" s="168"/>
      <c r="AJ18" s="168"/>
      <c r="AK18" s="168"/>
      <c r="AL18" s="168"/>
      <c r="AM18" s="168"/>
      <c r="AN18" s="168"/>
      <c r="AO18" s="168"/>
      <c r="AP18" s="168"/>
      <c r="AQ18" s="168"/>
      <c r="AR18" s="168"/>
      <c r="AS18" s="168"/>
      <c r="AT18" s="168"/>
      <c r="AU18" s="168"/>
      <c r="AV18" s="168"/>
      <c r="AW18" s="168"/>
      <c r="AX18" s="168"/>
      <c r="AY18" s="168"/>
      <c r="AZ18" s="168"/>
      <c r="BA18" s="168"/>
      <c r="BB18" s="168"/>
      <c r="BC18" s="168"/>
      <c r="BD18" s="168"/>
      <c r="BE18" s="168"/>
      <c r="BF18" s="168"/>
      <c r="BG18" s="168"/>
      <c r="BH18" s="168"/>
      <c r="BI18" s="168"/>
      <c r="BJ18" s="168"/>
      <c r="BK18" s="168"/>
      <c r="BL18" s="168"/>
      <c r="BM18" s="168"/>
      <c r="BN18" s="168"/>
      <c r="BO18" s="168"/>
      <c r="BP18" s="168"/>
      <c r="BQ18" s="168"/>
      <c r="BR18" s="168"/>
      <c r="BS18" s="168"/>
      <c r="BT18" s="168"/>
      <c r="BU18" s="168"/>
      <c r="BV18" s="168"/>
      <c r="BW18" s="168"/>
      <c r="BX18" s="168"/>
      <c r="BY18" s="168"/>
      <c r="BZ18" s="168"/>
      <c r="CA18" s="168"/>
      <c r="CB18" s="168"/>
      <c r="CC18" s="168"/>
      <c r="CD18" s="168"/>
      <c r="CE18" s="168"/>
      <c r="CF18" s="168"/>
      <c r="CG18" s="168"/>
      <c r="CH18" s="168"/>
      <c r="CI18" s="168"/>
      <c r="CJ18" s="168"/>
      <c r="CK18" s="168"/>
      <c r="CL18" s="168"/>
      <c r="CM18" s="168"/>
      <c r="CN18" s="168"/>
      <c r="CO18" s="168"/>
      <c r="CP18" s="168"/>
      <c r="CQ18" s="168"/>
      <c r="CR18" s="168"/>
      <c r="CS18" s="168"/>
      <c r="CT18" s="168"/>
      <c r="CU18" s="168"/>
      <c r="CV18" s="168"/>
      <c r="CW18" s="168"/>
      <c r="CX18" s="168"/>
      <c r="CY18" s="168"/>
      <c r="CZ18" s="168"/>
      <c r="DA18" s="168"/>
      <c r="DB18" s="168"/>
      <c r="DC18" s="168"/>
      <c r="DD18" s="168"/>
      <c r="DE18" s="168"/>
      <c r="DF18" s="168"/>
      <c r="DG18" s="168"/>
      <c r="DH18" s="168"/>
      <c r="DI18" s="168"/>
      <c r="DJ18" s="168"/>
      <c r="DK18" s="168"/>
      <c r="DL18" s="168"/>
      <c r="DM18" s="168"/>
      <c r="DN18" s="168"/>
      <c r="DO18" s="168"/>
      <c r="DP18" s="168"/>
      <c r="DQ18" s="168"/>
      <c r="DR18" s="168"/>
      <c r="DS18" s="168"/>
      <c r="DT18" s="168"/>
      <c r="DU18" s="168"/>
      <c r="DV18" s="168"/>
      <c r="DW18" s="168"/>
      <c r="DX18" s="168"/>
      <c r="DY18" s="168"/>
      <c r="DZ18" s="168"/>
      <c r="EA18" s="168"/>
      <c r="EB18" s="168"/>
      <c r="EC18" s="168"/>
      <c r="ED18" s="168"/>
      <c r="EE18" s="168"/>
      <c r="EF18" s="168"/>
      <c r="EG18" s="168"/>
      <c r="EH18" s="168"/>
      <c r="EI18" s="168"/>
      <c r="EJ18" s="168"/>
      <c r="EK18" s="168"/>
      <c r="EL18" s="168"/>
      <c r="EM18" s="168"/>
      <c r="EN18" s="168"/>
      <c r="EO18" s="168"/>
      <c r="EP18" s="168"/>
      <c r="EQ18" s="168"/>
      <c r="ER18" s="168"/>
      <c r="ES18" s="168"/>
      <c r="ET18" s="168"/>
      <c r="EU18" s="168"/>
      <c r="EV18" s="168"/>
      <c r="EW18" s="168"/>
      <c r="EX18" s="168"/>
      <c r="EY18" s="168"/>
      <c r="EZ18" s="168"/>
      <c r="FA18" s="168"/>
      <c r="FB18" s="168"/>
      <c r="FC18" s="168"/>
      <c r="FD18" s="168"/>
      <c r="FE18" s="168"/>
      <c r="FF18" s="168"/>
      <c r="FG18" s="168"/>
      <c r="FH18" s="168"/>
      <c r="FI18" s="168"/>
      <c r="FJ18" s="168"/>
      <c r="FK18" s="168"/>
      <c r="FL18" s="168"/>
      <c r="FM18" s="168"/>
      <c r="FN18" s="168"/>
      <c r="FO18" s="168"/>
      <c r="FP18" s="168"/>
      <c r="FQ18" s="168"/>
      <c r="FR18" s="168"/>
      <c r="FS18" s="168"/>
      <c r="FT18" s="168"/>
      <c r="FU18" s="168"/>
      <c r="FV18" s="168"/>
      <c r="FW18" s="168"/>
      <c r="FX18" s="168"/>
      <c r="FY18" s="168"/>
      <c r="FZ18" s="168"/>
      <c r="GA18" s="168"/>
      <c r="GB18" s="168"/>
      <c r="GC18" s="168"/>
      <c r="GD18" s="168"/>
      <c r="GE18" s="168"/>
      <c r="GF18" s="168"/>
      <c r="GG18" s="168"/>
      <c r="GH18" s="168"/>
      <c r="GI18" s="168"/>
      <c r="GJ18" s="168"/>
      <c r="GK18" s="168"/>
      <c r="GL18" s="168"/>
      <c r="GM18" s="168"/>
      <c r="GN18" s="168"/>
      <c r="GO18" s="168"/>
      <c r="GP18" s="168"/>
      <c r="GQ18" s="168"/>
      <c r="GR18" s="168"/>
      <c r="GS18" s="168"/>
      <c r="GT18" s="168"/>
      <c r="GU18" s="168"/>
    </row>
    <row r="19" spans="1:203" s="162" customFormat="1" ht="45" x14ac:dyDescent="0.25">
      <c r="A19" s="159">
        <f t="shared" si="0"/>
        <v>12</v>
      </c>
      <c r="B19" s="160">
        <v>0.5</v>
      </c>
      <c r="C19" s="168" t="s">
        <v>625</v>
      </c>
      <c r="D19" s="168" t="s">
        <v>607</v>
      </c>
      <c r="E19" s="168" t="s">
        <v>607</v>
      </c>
      <c r="F19" s="168"/>
      <c r="G19" s="168"/>
      <c r="H19" s="168"/>
      <c r="I19" s="168"/>
      <c r="J19" s="168"/>
      <c r="K19" s="168"/>
      <c r="L19" s="168"/>
      <c r="M19" s="168"/>
      <c r="N19" s="168"/>
      <c r="O19" s="168"/>
      <c r="P19" s="168"/>
      <c r="Q19" s="168"/>
      <c r="R19" s="168"/>
      <c r="S19" s="168"/>
      <c r="T19" s="168"/>
      <c r="U19" s="168"/>
      <c r="V19" s="168"/>
      <c r="W19" s="168"/>
      <c r="X19" s="168"/>
      <c r="Y19" s="168"/>
      <c r="Z19" s="168"/>
      <c r="AA19" s="168"/>
      <c r="AB19" s="168"/>
      <c r="AC19" s="168"/>
      <c r="AD19" s="168"/>
      <c r="AE19" s="168"/>
      <c r="AF19" s="168"/>
      <c r="AG19" s="168"/>
      <c r="AH19" s="168"/>
      <c r="AI19" s="168"/>
      <c r="AJ19" s="168"/>
      <c r="AK19" s="168"/>
      <c r="AL19" s="168"/>
      <c r="AM19" s="168"/>
      <c r="AN19" s="168"/>
      <c r="AO19" s="168"/>
      <c r="AP19" s="168"/>
      <c r="AQ19" s="168"/>
      <c r="AR19" s="168"/>
      <c r="AS19" s="168"/>
      <c r="AT19" s="168"/>
      <c r="AU19" s="168"/>
      <c r="AV19" s="168"/>
      <c r="AW19" s="168"/>
      <c r="AX19" s="168"/>
      <c r="AY19" s="168"/>
      <c r="AZ19" s="168"/>
      <c r="BA19" s="168"/>
      <c r="BB19" s="168"/>
      <c r="BC19" s="168"/>
      <c r="BD19" s="168"/>
      <c r="BE19" s="168"/>
      <c r="BF19" s="168"/>
      <c r="BG19" s="168"/>
      <c r="BH19" s="168"/>
      <c r="BI19" s="168"/>
      <c r="BJ19" s="168"/>
      <c r="BK19" s="168"/>
      <c r="BL19" s="168"/>
      <c r="BM19" s="168"/>
      <c r="BN19" s="168"/>
      <c r="BO19" s="168"/>
      <c r="BP19" s="168"/>
      <c r="BQ19" s="168"/>
      <c r="BR19" s="168"/>
      <c r="BS19" s="168"/>
      <c r="BT19" s="168"/>
      <c r="BU19" s="168"/>
      <c r="BV19" s="168"/>
      <c r="BW19" s="168"/>
      <c r="BX19" s="168"/>
      <c r="BY19" s="168"/>
      <c r="BZ19" s="168"/>
      <c r="CA19" s="168"/>
      <c r="CB19" s="168"/>
      <c r="CC19" s="168"/>
      <c r="CD19" s="168"/>
      <c r="CE19" s="168"/>
      <c r="CF19" s="168"/>
      <c r="CG19" s="168"/>
      <c r="CH19" s="168"/>
      <c r="CI19" s="168"/>
      <c r="CJ19" s="168"/>
      <c r="CK19" s="168"/>
      <c r="CL19" s="168"/>
      <c r="CM19" s="168"/>
      <c r="CN19" s="168"/>
      <c r="CO19" s="168"/>
      <c r="CP19" s="168"/>
      <c r="CQ19" s="168"/>
      <c r="CR19" s="168"/>
      <c r="CS19" s="168"/>
      <c r="CT19" s="168"/>
      <c r="CU19" s="168"/>
      <c r="CV19" s="168"/>
      <c r="CW19" s="168"/>
      <c r="CX19" s="168"/>
      <c r="CY19" s="168"/>
      <c r="CZ19" s="168"/>
      <c r="DA19" s="168"/>
      <c r="DB19" s="168"/>
      <c r="DC19" s="168"/>
      <c r="DD19" s="168"/>
      <c r="DE19" s="168"/>
      <c r="DF19" s="168"/>
      <c r="DG19" s="168"/>
      <c r="DH19" s="168"/>
      <c r="DI19" s="168"/>
      <c r="DJ19" s="168"/>
      <c r="DK19" s="168"/>
      <c r="DL19" s="168"/>
      <c r="DM19" s="168"/>
      <c r="DN19" s="168"/>
      <c r="DO19" s="168"/>
      <c r="DP19" s="168"/>
      <c r="DQ19" s="168"/>
      <c r="DR19" s="168"/>
      <c r="DS19" s="168"/>
      <c r="DT19" s="168"/>
      <c r="DU19" s="168"/>
      <c r="DV19" s="168"/>
      <c r="DW19" s="168"/>
      <c r="DX19" s="168"/>
      <c r="DY19" s="168"/>
      <c r="DZ19" s="168"/>
      <c r="EA19" s="168"/>
      <c r="EB19" s="168"/>
      <c r="EC19" s="168"/>
      <c r="ED19" s="168"/>
      <c r="EE19" s="168"/>
      <c r="EF19" s="168"/>
      <c r="EG19" s="168"/>
      <c r="EH19" s="168"/>
      <c r="EI19" s="168"/>
      <c r="EJ19" s="168"/>
      <c r="EK19" s="168"/>
      <c r="EL19" s="168"/>
      <c r="EM19" s="168"/>
      <c r="EN19" s="168"/>
      <c r="EO19" s="168"/>
      <c r="EP19" s="168"/>
      <c r="EQ19" s="168"/>
      <c r="ER19" s="168"/>
      <c r="ES19" s="168"/>
      <c r="ET19" s="168"/>
      <c r="EU19" s="168"/>
      <c r="EV19" s="168"/>
      <c r="EW19" s="168"/>
      <c r="EX19" s="168"/>
      <c r="EY19" s="168"/>
      <c r="EZ19" s="168"/>
      <c r="FA19" s="168"/>
      <c r="FB19" s="168"/>
      <c r="FC19" s="168"/>
      <c r="FD19" s="168"/>
      <c r="FE19" s="168"/>
      <c r="FF19" s="168"/>
      <c r="FG19" s="168"/>
      <c r="FH19" s="168"/>
      <c r="FI19" s="168"/>
      <c r="FJ19" s="168"/>
      <c r="FK19" s="168"/>
      <c r="FL19" s="168"/>
      <c r="FM19" s="168"/>
      <c r="FN19" s="168"/>
      <c r="FO19" s="168"/>
      <c r="FP19" s="168"/>
      <c r="FQ19" s="168"/>
      <c r="FR19" s="168"/>
      <c r="FS19" s="168"/>
      <c r="FT19" s="168"/>
      <c r="FU19" s="168"/>
      <c r="FV19" s="168"/>
      <c r="FW19" s="168"/>
      <c r="FX19" s="168"/>
      <c r="FY19" s="168"/>
      <c r="FZ19" s="168"/>
      <c r="GA19" s="168"/>
      <c r="GB19" s="168"/>
      <c r="GC19" s="168"/>
      <c r="GD19" s="168"/>
      <c r="GE19" s="168"/>
      <c r="GF19" s="168"/>
      <c r="GG19" s="168"/>
      <c r="GH19" s="168"/>
      <c r="GI19" s="168"/>
      <c r="GJ19" s="168"/>
      <c r="GK19" s="168"/>
      <c r="GL19" s="168"/>
      <c r="GM19" s="168"/>
      <c r="GN19" s="168"/>
      <c r="GO19" s="168"/>
      <c r="GP19" s="168"/>
      <c r="GQ19" s="168"/>
      <c r="GR19" s="168"/>
      <c r="GS19" s="168"/>
      <c r="GT19" s="168"/>
      <c r="GU19" s="168"/>
    </row>
    <row r="20" spans="1:203" s="162" customFormat="1" x14ac:dyDescent="0.25">
      <c r="A20" s="159">
        <f t="shared" si="0"/>
        <v>13</v>
      </c>
      <c r="B20" s="160">
        <v>0.54166666666666696</v>
      </c>
      <c r="C20" s="180"/>
      <c r="D20" s="168" t="s">
        <v>607</v>
      </c>
      <c r="E20" s="168" t="s">
        <v>659</v>
      </c>
      <c r="F20" s="168"/>
      <c r="G20" s="168"/>
      <c r="H20" s="168"/>
      <c r="I20" s="168"/>
      <c r="J20" s="168"/>
      <c r="K20" s="168"/>
      <c r="L20" s="168"/>
      <c r="M20" s="168"/>
      <c r="N20" s="168"/>
      <c r="O20" s="168"/>
      <c r="P20" s="168"/>
      <c r="Q20" s="168"/>
      <c r="R20" s="168"/>
      <c r="S20" s="168"/>
      <c r="T20" s="168"/>
      <c r="U20" s="168"/>
      <c r="V20" s="168"/>
      <c r="W20" s="168"/>
      <c r="X20" s="168"/>
      <c r="Y20" s="168"/>
      <c r="Z20" s="168"/>
      <c r="AA20" s="168"/>
      <c r="AB20" s="168"/>
      <c r="AC20" s="168"/>
      <c r="AD20" s="168"/>
      <c r="AE20" s="168"/>
      <c r="AF20" s="168"/>
      <c r="AG20" s="168"/>
      <c r="AH20" s="168"/>
      <c r="AI20" s="168"/>
      <c r="AJ20" s="168"/>
      <c r="AK20" s="168"/>
      <c r="AL20" s="168"/>
      <c r="AM20" s="168"/>
      <c r="AN20" s="168"/>
      <c r="AO20" s="168"/>
      <c r="AP20" s="168"/>
      <c r="AQ20" s="168"/>
      <c r="AR20" s="168"/>
      <c r="AS20" s="168"/>
      <c r="AT20" s="168"/>
      <c r="AU20" s="168"/>
      <c r="AV20" s="168"/>
      <c r="AW20" s="168"/>
      <c r="AX20" s="168"/>
      <c r="AY20" s="168"/>
      <c r="AZ20" s="168"/>
      <c r="BA20" s="168"/>
      <c r="BB20" s="168"/>
      <c r="BC20" s="168"/>
      <c r="BD20" s="168"/>
      <c r="BE20" s="168"/>
      <c r="BF20" s="168"/>
      <c r="BG20" s="168"/>
      <c r="BH20" s="168"/>
      <c r="BI20" s="168"/>
      <c r="BJ20" s="168"/>
      <c r="BK20" s="168"/>
      <c r="BL20" s="168"/>
      <c r="BM20" s="168"/>
      <c r="BN20" s="168"/>
      <c r="BO20" s="168"/>
      <c r="BP20" s="168"/>
      <c r="BQ20" s="168"/>
      <c r="BR20" s="168"/>
      <c r="BS20" s="168"/>
      <c r="BT20" s="168"/>
      <c r="BU20" s="168"/>
      <c r="BV20" s="168"/>
      <c r="BW20" s="168"/>
      <c r="BX20" s="168"/>
      <c r="BY20" s="168"/>
      <c r="BZ20" s="168"/>
      <c r="CA20" s="168"/>
      <c r="CB20" s="168"/>
      <c r="CC20" s="168"/>
      <c r="CD20" s="168"/>
      <c r="CE20" s="168"/>
      <c r="CF20" s="168"/>
      <c r="CG20" s="168"/>
      <c r="CH20" s="168"/>
      <c r="CI20" s="168"/>
      <c r="CJ20" s="168"/>
      <c r="CK20" s="168"/>
      <c r="CL20" s="168"/>
      <c r="CM20" s="168"/>
      <c r="CN20" s="168"/>
      <c r="CO20" s="168"/>
      <c r="CP20" s="168"/>
      <c r="CQ20" s="168"/>
      <c r="CR20" s="168"/>
      <c r="CS20" s="168"/>
      <c r="CT20" s="168"/>
      <c r="CU20" s="168"/>
      <c r="CV20" s="168"/>
      <c r="CW20" s="168"/>
      <c r="CX20" s="168"/>
      <c r="CY20" s="168"/>
      <c r="CZ20" s="168"/>
      <c r="DA20" s="168"/>
      <c r="DB20" s="168"/>
      <c r="DC20" s="168"/>
      <c r="DD20" s="168"/>
      <c r="DE20" s="168"/>
      <c r="DF20" s="168"/>
      <c r="DG20" s="168"/>
      <c r="DH20" s="168"/>
      <c r="DI20" s="168"/>
      <c r="DJ20" s="168"/>
      <c r="DK20" s="168"/>
      <c r="DL20" s="168"/>
      <c r="DM20" s="168"/>
      <c r="DN20" s="168"/>
      <c r="DO20" s="168"/>
      <c r="DP20" s="168"/>
      <c r="DQ20" s="168"/>
      <c r="DR20" s="168"/>
      <c r="DS20" s="168"/>
      <c r="DT20" s="168"/>
      <c r="DU20" s="168"/>
      <c r="DV20" s="168"/>
      <c r="DW20" s="168"/>
      <c r="DX20" s="168"/>
      <c r="DY20" s="168"/>
      <c r="DZ20" s="168"/>
      <c r="EA20" s="168"/>
      <c r="EB20" s="168"/>
      <c r="EC20" s="168"/>
      <c r="ED20" s="168"/>
      <c r="EE20" s="168"/>
      <c r="EF20" s="168"/>
      <c r="EG20" s="168"/>
      <c r="EH20" s="168"/>
      <c r="EI20" s="168"/>
      <c r="EJ20" s="168"/>
      <c r="EK20" s="168"/>
      <c r="EL20" s="168"/>
      <c r="EM20" s="168"/>
      <c r="EN20" s="168"/>
      <c r="EO20" s="168"/>
      <c r="EP20" s="168"/>
      <c r="EQ20" s="168"/>
      <c r="ER20" s="168"/>
      <c r="ES20" s="168"/>
      <c r="ET20" s="168"/>
      <c r="EU20" s="168"/>
      <c r="EV20" s="168"/>
      <c r="EW20" s="168"/>
      <c r="EX20" s="168"/>
      <c r="EY20" s="168"/>
      <c r="EZ20" s="168"/>
      <c r="FA20" s="168"/>
      <c r="FB20" s="168"/>
      <c r="FC20" s="168"/>
      <c r="FD20" s="168"/>
      <c r="FE20" s="168"/>
      <c r="FF20" s="168"/>
      <c r="FG20" s="168"/>
      <c r="FH20" s="168"/>
      <c r="FI20" s="168"/>
      <c r="FJ20" s="168"/>
      <c r="FK20" s="168"/>
      <c r="FL20" s="168"/>
      <c r="FM20" s="168"/>
      <c r="FN20" s="168"/>
      <c r="FO20" s="168"/>
      <c r="FP20" s="168"/>
      <c r="FQ20" s="168"/>
      <c r="FR20" s="168"/>
      <c r="FS20" s="168"/>
      <c r="FT20" s="168"/>
      <c r="FU20" s="168"/>
      <c r="FV20" s="168"/>
      <c r="FW20" s="168"/>
      <c r="FX20" s="168"/>
      <c r="FY20" s="168"/>
      <c r="FZ20" s="168"/>
      <c r="GA20" s="168"/>
      <c r="GB20" s="168"/>
      <c r="GC20" s="168"/>
      <c r="GD20" s="168"/>
      <c r="GE20" s="168"/>
      <c r="GF20" s="168"/>
      <c r="GG20" s="168"/>
      <c r="GH20" s="168"/>
      <c r="GI20" s="168"/>
      <c r="GJ20" s="168"/>
      <c r="GK20" s="168"/>
      <c r="GL20" s="168"/>
      <c r="GM20" s="168"/>
      <c r="GN20" s="168"/>
      <c r="GO20" s="168"/>
      <c r="GP20" s="168"/>
      <c r="GQ20" s="168"/>
      <c r="GR20" s="168"/>
      <c r="GS20" s="168"/>
      <c r="GT20" s="168"/>
      <c r="GU20" s="168"/>
    </row>
    <row r="21" spans="1:203" s="162" customFormat="1" ht="30" x14ac:dyDescent="0.25">
      <c r="A21" s="159">
        <f t="shared" si="0"/>
        <v>14</v>
      </c>
      <c r="B21" s="160">
        <v>0.58333333333333304</v>
      </c>
      <c r="C21" s="180"/>
      <c r="D21" s="168" t="s">
        <v>607</v>
      </c>
      <c r="E21" s="168" t="s">
        <v>655</v>
      </c>
      <c r="F21" s="168"/>
      <c r="G21" s="168"/>
      <c r="H21" s="168"/>
      <c r="I21" s="168"/>
      <c r="J21" s="168"/>
      <c r="K21" s="168"/>
      <c r="L21" s="168"/>
      <c r="M21" s="168"/>
      <c r="N21" s="168"/>
      <c r="O21" s="168"/>
      <c r="P21" s="168"/>
      <c r="Q21" s="168"/>
      <c r="R21" s="168"/>
      <c r="S21" s="168"/>
      <c r="T21" s="168"/>
      <c r="U21" s="168"/>
      <c r="V21" s="168"/>
      <c r="W21" s="168"/>
      <c r="X21" s="168"/>
      <c r="Y21" s="168"/>
      <c r="Z21" s="168"/>
      <c r="AA21" s="168"/>
      <c r="AB21" s="168"/>
      <c r="AC21" s="168"/>
      <c r="AD21" s="168"/>
      <c r="AE21" s="168"/>
      <c r="AF21" s="168"/>
      <c r="AG21" s="168"/>
      <c r="AH21" s="168"/>
      <c r="AI21" s="168"/>
      <c r="AJ21" s="168"/>
      <c r="AK21" s="168"/>
      <c r="AL21" s="168"/>
      <c r="AM21" s="168"/>
      <c r="AN21" s="168"/>
      <c r="AO21" s="168"/>
      <c r="AP21" s="168"/>
      <c r="AQ21" s="168"/>
      <c r="AR21" s="168"/>
      <c r="AS21" s="168"/>
      <c r="AT21" s="168"/>
      <c r="AU21" s="168"/>
      <c r="AV21" s="168"/>
      <c r="AW21" s="168"/>
      <c r="AX21" s="168"/>
      <c r="AY21" s="168"/>
      <c r="AZ21" s="168"/>
      <c r="BA21" s="168"/>
      <c r="BB21" s="168"/>
      <c r="BC21" s="168"/>
      <c r="BD21" s="168"/>
      <c r="BE21" s="168"/>
      <c r="BF21" s="168"/>
      <c r="BG21" s="168"/>
      <c r="BH21" s="168"/>
      <c r="BI21" s="168"/>
      <c r="BJ21" s="168"/>
      <c r="BK21" s="168"/>
      <c r="BL21" s="168"/>
      <c r="BM21" s="168"/>
      <c r="BN21" s="168"/>
      <c r="BO21" s="168"/>
      <c r="BP21" s="168"/>
      <c r="BQ21" s="168"/>
      <c r="BR21" s="168"/>
      <c r="BS21" s="168"/>
      <c r="BT21" s="168"/>
      <c r="BU21" s="168"/>
      <c r="BV21" s="168"/>
      <c r="BW21" s="168"/>
      <c r="BX21" s="168"/>
      <c r="BY21" s="168"/>
      <c r="BZ21" s="168"/>
      <c r="CA21" s="168"/>
      <c r="CB21" s="168"/>
      <c r="CC21" s="168"/>
      <c r="CD21" s="168"/>
      <c r="CE21" s="168"/>
      <c r="CF21" s="168"/>
      <c r="CG21" s="168"/>
      <c r="CH21" s="168"/>
      <c r="CI21" s="168"/>
      <c r="CJ21" s="168"/>
      <c r="CK21" s="168"/>
      <c r="CL21" s="168"/>
      <c r="CM21" s="168"/>
      <c r="CN21" s="168"/>
      <c r="CO21" s="168"/>
      <c r="CP21" s="168"/>
      <c r="CQ21" s="168"/>
      <c r="CR21" s="168"/>
      <c r="CS21" s="168"/>
      <c r="CT21" s="168"/>
      <c r="CU21" s="168"/>
      <c r="CV21" s="168"/>
      <c r="CW21" s="168"/>
      <c r="CX21" s="168"/>
      <c r="CY21" s="168"/>
      <c r="CZ21" s="168"/>
      <c r="DA21" s="168"/>
      <c r="DB21" s="168"/>
      <c r="DC21" s="168"/>
      <c r="DD21" s="168"/>
      <c r="DE21" s="168"/>
      <c r="DF21" s="168"/>
      <c r="DG21" s="168"/>
      <c r="DH21" s="168"/>
      <c r="DI21" s="168"/>
      <c r="DJ21" s="168"/>
      <c r="DK21" s="168"/>
      <c r="DL21" s="168"/>
      <c r="DM21" s="168"/>
      <c r="DN21" s="168"/>
      <c r="DO21" s="168"/>
      <c r="DP21" s="168"/>
      <c r="DQ21" s="168"/>
      <c r="DR21" s="168"/>
      <c r="DS21" s="168"/>
      <c r="DT21" s="168"/>
      <c r="DU21" s="168"/>
      <c r="DV21" s="168"/>
      <c r="DW21" s="168"/>
      <c r="DX21" s="168"/>
      <c r="DY21" s="168"/>
      <c r="DZ21" s="168"/>
      <c r="EA21" s="168"/>
      <c r="EB21" s="168"/>
      <c r="EC21" s="168"/>
      <c r="ED21" s="168"/>
      <c r="EE21" s="168"/>
      <c r="EF21" s="168"/>
      <c r="EG21" s="168"/>
      <c r="EH21" s="168"/>
      <c r="EI21" s="168"/>
      <c r="EJ21" s="168"/>
      <c r="EK21" s="168"/>
      <c r="EL21" s="168"/>
      <c r="EM21" s="168"/>
      <c r="EN21" s="168"/>
      <c r="EO21" s="168"/>
      <c r="EP21" s="168"/>
      <c r="EQ21" s="168"/>
      <c r="ER21" s="168"/>
      <c r="ES21" s="168"/>
      <c r="ET21" s="168"/>
      <c r="EU21" s="168"/>
      <c r="EV21" s="168"/>
      <c r="EW21" s="168"/>
      <c r="EX21" s="168"/>
      <c r="EY21" s="168"/>
      <c r="EZ21" s="168"/>
      <c r="FA21" s="168"/>
      <c r="FB21" s="168"/>
      <c r="FC21" s="168"/>
      <c r="FD21" s="168"/>
      <c r="FE21" s="168"/>
      <c r="FF21" s="168"/>
      <c r="FG21" s="168"/>
      <c r="FH21" s="168"/>
      <c r="FI21" s="168"/>
      <c r="FJ21" s="168"/>
      <c r="FK21" s="168"/>
      <c r="FL21" s="168"/>
      <c r="FM21" s="168"/>
      <c r="FN21" s="168"/>
      <c r="FO21" s="168"/>
      <c r="FP21" s="168"/>
      <c r="FQ21" s="168"/>
      <c r="FR21" s="168"/>
      <c r="FS21" s="168"/>
      <c r="FT21" s="168"/>
      <c r="FU21" s="168"/>
      <c r="FV21" s="168"/>
      <c r="FW21" s="168"/>
      <c r="FX21" s="168"/>
      <c r="FY21" s="168"/>
      <c r="FZ21" s="168"/>
      <c r="GA21" s="168"/>
      <c r="GB21" s="168"/>
      <c r="GC21" s="168"/>
      <c r="GD21" s="168"/>
      <c r="GE21" s="168"/>
      <c r="GF21" s="168"/>
      <c r="GG21" s="168"/>
      <c r="GH21" s="168"/>
      <c r="GI21" s="168"/>
      <c r="GJ21" s="168"/>
      <c r="GK21" s="168"/>
      <c r="GL21" s="168"/>
      <c r="GM21" s="168"/>
      <c r="GN21" s="168"/>
      <c r="GO21" s="168"/>
      <c r="GP21" s="168"/>
      <c r="GQ21" s="168"/>
      <c r="GR21" s="168"/>
      <c r="GS21" s="168"/>
      <c r="GT21" s="168"/>
      <c r="GU21" s="168"/>
    </row>
    <row r="22" spans="1:203" s="162" customFormat="1" ht="30" x14ac:dyDescent="0.25">
      <c r="A22" s="159">
        <f t="shared" si="0"/>
        <v>15</v>
      </c>
      <c r="B22" s="160">
        <v>0.625</v>
      </c>
      <c r="C22" s="180"/>
      <c r="D22" s="168" t="s">
        <v>610</v>
      </c>
      <c r="E22" s="168" t="s">
        <v>655</v>
      </c>
      <c r="F22" s="168"/>
      <c r="G22" s="168"/>
      <c r="H22" s="168"/>
      <c r="I22" s="168"/>
      <c r="J22" s="168"/>
      <c r="K22" s="168"/>
      <c r="L22" s="168"/>
      <c r="M22" s="168"/>
      <c r="N22" s="168"/>
      <c r="O22" s="168"/>
      <c r="P22" s="168"/>
      <c r="Q22" s="168"/>
      <c r="R22" s="168"/>
      <c r="S22" s="168"/>
      <c r="T22" s="168"/>
      <c r="U22" s="168"/>
      <c r="V22" s="168"/>
      <c r="W22" s="168"/>
      <c r="X22" s="168"/>
      <c r="Y22" s="168"/>
      <c r="Z22" s="168"/>
      <c r="AA22" s="168"/>
      <c r="AB22" s="168"/>
      <c r="AC22" s="168"/>
      <c r="AD22" s="168"/>
      <c r="AE22" s="168"/>
      <c r="AF22" s="168"/>
      <c r="AG22" s="168"/>
      <c r="AH22" s="168"/>
      <c r="AI22" s="168"/>
      <c r="AJ22" s="168"/>
      <c r="AK22" s="168"/>
      <c r="AL22" s="168"/>
      <c r="AM22" s="168"/>
      <c r="AN22" s="168"/>
      <c r="AO22" s="168"/>
      <c r="AP22" s="168"/>
      <c r="AQ22" s="168"/>
      <c r="AR22" s="168"/>
      <c r="AS22" s="168"/>
      <c r="AT22" s="168"/>
      <c r="AU22" s="168"/>
      <c r="AV22" s="168"/>
      <c r="AW22" s="168"/>
      <c r="AX22" s="168"/>
      <c r="AY22" s="168"/>
      <c r="AZ22" s="168"/>
      <c r="BA22" s="168"/>
      <c r="BB22" s="168"/>
      <c r="BC22" s="168"/>
      <c r="BD22" s="168"/>
      <c r="BE22" s="168"/>
      <c r="BF22" s="168"/>
      <c r="BG22" s="168"/>
      <c r="BH22" s="168"/>
      <c r="BI22" s="168"/>
      <c r="BJ22" s="168"/>
      <c r="BK22" s="168"/>
      <c r="BL22" s="168"/>
      <c r="BM22" s="168"/>
      <c r="BN22" s="168"/>
      <c r="BO22" s="168"/>
      <c r="BP22" s="168"/>
      <c r="BQ22" s="168"/>
      <c r="BR22" s="168"/>
      <c r="BS22" s="168"/>
      <c r="BT22" s="168"/>
      <c r="BU22" s="168"/>
      <c r="BV22" s="168"/>
      <c r="BW22" s="168"/>
      <c r="BX22" s="168"/>
      <c r="BY22" s="168"/>
      <c r="BZ22" s="168"/>
      <c r="CA22" s="168"/>
      <c r="CB22" s="168"/>
      <c r="CC22" s="168"/>
      <c r="CD22" s="168"/>
      <c r="CE22" s="168"/>
      <c r="CF22" s="168"/>
      <c r="CG22" s="168"/>
      <c r="CH22" s="168"/>
      <c r="CI22" s="168"/>
      <c r="CJ22" s="168"/>
      <c r="CK22" s="168"/>
      <c r="CL22" s="168"/>
      <c r="CM22" s="168"/>
      <c r="CN22" s="168"/>
      <c r="CO22" s="168"/>
      <c r="CP22" s="168"/>
      <c r="CQ22" s="168"/>
      <c r="CR22" s="168"/>
      <c r="CS22" s="168"/>
      <c r="CT22" s="168"/>
      <c r="CU22" s="168"/>
      <c r="CV22" s="168"/>
      <c r="CW22" s="168"/>
      <c r="CX22" s="168"/>
      <c r="CY22" s="168"/>
      <c r="CZ22" s="168"/>
      <c r="DA22" s="168"/>
      <c r="DB22" s="168"/>
      <c r="DC22" s="168"/>
      <c r="DD22" s="168"/>
      <c r="DE22" s="168"/>
      <c r="DF22" s="168"/>
      <c r="DG22" s="168"/>
      <c r="DH22" s="168"/>
      <c r="DI22" s="168"/>
      <c r="DJ22" s="168"/>
      <c r="DK22" s="168"/>
      <c r="DL22" s="168"/>
      <c r="DM22" s="168"/>
      <c r="DN22" s="168"/>
      <c r="DO22" s="168"/>
      <c r="DP22" s="168"/>
      <c r="DQ22" s="168"/>
      <c r="DR22" s="168"/>
      <c r="DS22" s="168"/>
      <c r="DT22" s="168"/>
      <c r="DU22" s="168"/>
      <c r="DV22" s="168"/>
      <c r="DW22" s="168"/>
      <c r="DX22" s="168"/>
      <c r="DY22" s="168"/>
      <c r="DZ22" s="168"/>
      <c r="EA22" s="168"/>
      <c r="EB22" s="168"/>
      <c r="EC22" s="168"/>
      <c r="ED22" s="168"/>
      <c r="EE22" s="168"/>
      <c r="EF22" s="168"/>
      <c r="EG22" s="168"/>
      <c r="EH22" s="168"/>
      <c r="EI22" s="168"/>
      <c r="EJ22" s="168"/>
      <c r="EK22" s="168"/>
      <c r="EL22" s="168"/>
      <c r="EM22" s="168"/>
      <c r="EN22" s="168"/>
      <c r="EO22" s="168"/>
      <c r="EP22" s="168"/>
      <c r="EQ22" s="168"/>
      <c r="ER22" s="168"/>
      <c r="ES22" s="168"/>
      <c r="ET22" s="168"/>
      <c r="EU22" s="168"/>
      <c r="EV22" s="168"/>
      <c r="EW22" s="168"/>
      <c r="EX22" s="168"/>
      <c r="EY22" s="168"/>
      <c r="EZ22" s="168"/>
      <c r="FA22" s="168"/>
      <c r="FB22" s="168"/>
      <c r="FC22" s="168"/>
      <c r="FD22" s="168"/>
      <c r="FE22" s="168"/>
      <c r="FF22" s="168"/>
      <c r="FG22" s="168"/>
      <c r="FH22" s="168"/>
      <c r="FI22" s="168"/>
      <c r="FJ22" s="168"/>
      <c r="FK22" s="168"/>
      <c r="FL22" s="168"/>
      <c r="FM22" s="168"/>
      <c r="FN22" s="168"/>
      <c r="FO22" s="168"/>
      <c r="FP22" s="168"/>
      <c r="FQ22" s="168"/>
      <c r="FR22" s="168"/>
      <c r="FS22" s="168"/>
      <c r="FT22" s="168"/>
      <c r="FU22" s="168"/>
      <c r="FV22" s="168"/>
      <c r="FW22" s="168"/>
      <c r="FX22" s="168"/>
      <c r="FY22" s="168"/>
      <c r="FZ22" s="168"/>
      <c r="GA22" s="168"/>
      <c r="GB22" s="168"/>
      <c r="GC22" s="168"/>
      <c r="GD22" s="168"/>
      <c r="GE22" s="168"/>
      <c r="GF22" s="168"/>
      <c r="GG22" s="168"/>
      <c r="GH22" s="168"/>
      <c r="GI22" s="168"/>
      <c r="GJ22" s="168"/>
      <c r="GK22" s="168"/>
      <c r="GL22" s="168"/>
      <c r="GM22" s="168"/>
      <c r="GN22" s="168"/>
      <c r="GO22" s="168"/>
      <c r="GP22" s="168"/>
      <c r="GQ22" s="168"/>
      <c r="GR22" s="168"/>
      <c r="GS22" s="168"/>
      <c r="GT22" s="168"/>
      <c r="GU22" s="168"/>
    </row>
    <row r="23" spans="1:203" s="162" customFormat="1" ht="30" x14ac:dyDescent="0.25">
      <c r="A23" s="159">
        <f t="shared" si="0"/>
        <v>16</v>
      </c>
      <c r="B23" s="160">
        <v>0.66666666666666696</v>
      </c>
      <c r="C23" s="168"/>
      <c r="D23" s="168" t="s">
        <v>610</v>
      </c>
      <c r="E23" s="168" t="s">
        <v>655</v>
      </c>
      <c r="F23" s="168" t="s">
        <v>607</v>
      </c>
      <c r="G23" s="168" t="s">
        <v>607</v>
      </c>
      <c r="H23" s="168" t="s">
        <v>664</v>
      </c>
      <c r="I23" s="168"/>
      <c r="J23" s="168"/>
      <c r="K23" s="168"/>
      <c r="L23" s="168"/>
      <c r="M23" s="168"/>
      <c r="N23" s="168"/>
      <c r="O23" s="168"/>
      <c r="P23" s="168"/>
      <c r="Q23" s="168"/>
      <c r="R23" s="168"/>
      <c r="S23" s="168"/>
      <c r="T23" s="168"/>
      <c r="U23" s="168"/>
      <c r="V23" s="168"/>
      <c r="W23" s="168"/>
      <c r="X23" s="168"/>
      <c r="Y23" s="168"/>
      <c r="Z23" s="168"/>
      <c r="AA23" s="168"/>
      <c r="AB23" s="168"/>
      <c r="AC23" s="168"/>
      <c r="AD23" s="168"/>
      <c r="AE23" s="168"/>
      <c r="AF23" s="168"/>
      <c r="AG23" s="168"/>
      <c r="AH23" s="168"/>
      <c r="AI23" s="168"/>
      <c r="AJ23" s="168"/>
      <c r="AK23" s="168"/>
      <c r="AL23" s="168"/>
      <c r="AM23" s="168"/>
      <c r="AN23" s="168"/>
      <c r="AO23" s="168"/>
      <c r="AP23" s="168"/>
      <c r="AQ23" s="168"/>
      <c r="AR23" s="168"/>
      <c r="AS23" s="168"/>
      <c r="AT23" s="168"/>
      <c r="AU23" s="168"/>
      <c r="AV23" s="168"/>
      <c r="AW23" s="168"/>
      <c r="AX23" s="168"/>
      <c r="AY23" s="168"/>
      <c r="AZ23" s="168"/>
      <c r="BA23" s="168"/>
      <c r="BB23" s="168"/>
      <c r="BC23" s="168"/>
      <c r="BD23" s="168"/>
      <c r="BE23" s="168"/>
      <c r="BF23" s="168"/>
      <c r="BG23" s="168"/>
      <c r="BH23" s="168"/>
      <c r="BI23" s="168"/>
      <c r="BJ23" s="168"/>
      <c r="BK23" s="168"/>
      <c r="BL23" s="168"/>
      <c r="BM23" s="168"/>
      <c r="BN23" s="168"/>
      <c r="BO23" s="168"/>
      <c r="BP23" s="168"/>
      <c r="BQ23" s="168"/>
      <c r="BR23" s="168"/>
      <c r="BS23" s="168"/>
      <c r="BT23" s="168"/>
      <c r="BU23" s="168"/>
      <c r="BV23" s="168"/>
      <c r="BW23" s="168"/>
      <c r="BX23" s="168"/>
      <c r="BY23" s="168"/>
      <c r="BZ23" s="168"/>
      <c r="CA23" s="168"/>
      <c r="CB23" s="168"/>
      <c r="CC23" s="168"/>
      <c r="CD23" s="168"/>
      <c r="CE23" s="168"/>
      <c r="CF23" s="168"/>
      <c r="CG23" s="168"/>
      <c r="CH23" s="168"/>
      <c r="CI23" s="168"/>
      <c r="CJ23" s="168"/>
      <c r="CK23" s="168"/>
      <c r="CL23" s="168"/>
      <c r="CM23" s="168"/>
      <c r="CN23" s="168"/>
      <c r="CO23" s="168"/>
      <c r="CP23" s="168"/>
      <c r="CQ23" s="168"/>
      <c r="CR23" s="168"/>
      <c r="CS23" s="168"/>
      <c r="CT23" s="168"/>
      <c r="CU23" s="168"/>
      <c r="CV23" s="168"/>
      <c r="CW23" s="168"/>
      <c r="CX23" s="168"/>
      <c r="CY23" s="168"/>
      <c r="CZ23" s="168"/>
      <c r="DA23" s="168"/>
      <c r="DB23" s="168"/>
      <c r="DC23" s="168"/>
      <c r="DD23" s="168"/>
      <c r="DE23" s="168"/>
      <c r="DF23" s="168"/>
      <c r="DG23" s="168"/>
      <c r="DH23" s="168"/>
      <c r="DI23" s="168"/>
      <c r="DJ23" s="168"/>
      <c r="DK23" s="168"/>
      <c r="DL23" s="168"/>
      <c r="DM23" s="168"/>
      <c r="DN23" s="168"/>
      <c r="DO23" s="168"/>
      <c r="DP23" s="168"/>
      <c r="DQ23" s="168"/>
      <c r="DR23" s="168"/>
      <c r="DS23" s="168"/>
      <c r="DT23" s="168"/>
      <c r="DU23" s="168"/>
      <c r="DV23" s="168"/>
      <c r="DW23" s="168"/>
      <c r="DX23" s="168"/>
      <c r="DY23" s="168"/>
      <c r="DZ23" s="168"/>
      <c r="EA23" s="168"/>
      <c r="EB23" s="168"/>
      <c r="EC23" s="168"/>
      <c r="ED23" s="168"/>
      <c r="EE23" s="168"/>
      <c r="EF23" s="168"/>
      <c r="EG23" s="168"/>
      <c r="EH23" s="168"/>
      <c r="EI23" s="168"/>
      <c r="EJ23" s="168"/>
      <c r="EK23" s="168"/>
      <c r="EL23" s="168"/>
      <c r="EM23" s="168"/>
      <c r="EN23" s="168"/>
      <c r="EO23" s="168"/>
      <c r="EP23" s="168"/>
      <c r="EQ23" s="168"/>
      <c r="ER23" s="168"/>
      <c r="ES23" s="168"/>
      <c r="ET23" s="168"/>
      <c r="EU23" s="168"/>
      <c r="EV23" s="168"/>
      <c r="EW23" s="168"/>
      <c r="EX23" s="168"/>
      <c r="EY23" s="168"/>
      <c r="EZ23" s="168"/>
      <c r="FA23" s="168"/>
      <c r="FB23" s="168"/>
      <c r="FC23" s="168"/>
      <c r="FD23" s="168"/>
      <c r="FE23" s="168"/>
      <c r="FF23" s="168"/>
      <c r="FG23" s="168"/>
      <c r="FH23" s="168"/>
      <c r="FI23" s="168"/>
      <c r="FJ23" s="168"/>
      <c r="FK23" s="168"/>
      <c r="FL23" s="168"/>
      <c r="FM23" s="168"/>
      <c r="FN23" s="168"/>
      <c r="FO23" s="168"/>
      <c r="FP23" s="168"/>
      <c r="FQ23" s="168"/>
      <c r="FR23" s="168"/>
      <c r="FS23" s="168"/>
      <c r="FT23" s="168"/>
      <c r="FU23" s="168"/>
      <c r="FV23" s="168"/>
      <c r="FW23" s="168"/>
      <c r="FX23" s="168"/>
      <c r="FY23" s="168"/>
      <c r="FZ23" s="168"/>
      <c r="GA23" s="168"/>
      <c r="GB23" s="168"/>
      <c r="GC23" s="168"/>
      <c r="GD23" s="168"/>
      <c r="GE23" s="168"/>
      <c r="GF23" s="168"/>
      <c r="GG23" s="168"/>
      <c r="GH23" s="168"/>
      <c r="GI23" s="168"/>
      <c r="GJ23" s="168"/>
      <c r="GK23" s="168"/>
      <c r="GL23" s="168"/>
      <c r="GM23" s="168"/>
      <c r="GN23" s="168"/>
      <c r="GO23" s="168"/>
      <c r="GP23" s="168"/>
      <c r="GQ23" s="168"/>
      <c r="GR23" s="168"/>
      <c r="GS23" s="168"/>
      <c r="GT23" s="168"/>
      <c r="GU23" s="168"/>
    </row>
    <row r="24" spans="1:203" s="162" customFormat="1" x14ac:dyDescent="0.25">
      <c r="A24" s="159">
        <f t="shared" si="0"/>
        <v>17</v>
      </c>
      <c r="B24" s="160">
        <v>0.70833333333333304</v>
      </c>
      <c r="C24" s="168" t="s">
        <v>627</v>
      </c>
      <c r="D24" s="168" t="s">
        <v>626</v>
      </c>
      <c r="E24" s="168" t="s">
        <v>607</v>
      </c>
      <c r="F24" s="168" t="s">
        <v>626</v>
      </c>
      <c r="G24" s="168" t="s">
        <v>607</v>
      </c>
      <c r="H24" s="168"/>
      <c r="I24" s="168"/>
      <c r="J24" s="168"/>
      <c r="K24" s="168"/>
      <c r="L24" s="168"/>
      <c r="M24" s="168"/>
      <c r="N24" s="168"/>
      <c r="O24" s="168"/>
      <c r="P24" s="168"/>
      <c r="Q24" s="168"/>
      <c r="R24" s="168"/>
      <c r="S24" s="168"/>
      <c r="T24" s="168"/>
      <c r="U24" s="168"/>
      <c r="V24" s="168"/>
      <c r="W24" s="168"/>
      <c r="X24" s="168"/>
      <c r="Y24" s="168"/>
      <c r="Z24" s="168"/>
      <c r="AA24" s="168"/>
      <c r="AB24" s="168"/>
      <c r="AC24" s="168"/>
      <c r="AD24" s="168"/>
      <c r="AE24" s="168"/>
      <c r="AF24" s="168"/>
      <c r="AG24" s="168"/>
      <c r="AH24" s="168"/>
      <c r="AI24" s="168"/>
      <c r="AJ24" s="168"/>
      <c r="AK24" s="168"/>
      <c r="AL24" s="168"/>
      <c r="AM24" s="168"/>
      <c r="AN24" s="168"/>
      <c r="AO24" s="168"/>
      <c r="AP24" s="168"/>
      <c r="AQ24" s="168"/>
      <c r="AR24" s="168"/>
      <c r="AS24" s="168"/>
      <c r="AT24" s="168"/>
      <c r="AU24" s="168"/>
      <c r="AV24" s="168"/>
      <c r="AW24" s="168"/>
      <c r="AX24" s="168"/>
      <c r="AY24" s="168"/>
      <c r="AZ24" s="168"/>
      <c r="BA24" s="168"/>
      <c r="BB24" s="168"/>
      <c r="BC24" s="168"/>
      <c r="BD24" s="168"/>
      <c r="BE24" s="168"/>
      <c r="BF24" s="168"/>
      <c r="BG24" s="168"/>
      <c r="BH24" s="168"/>
      <c r="BI24" s="168"/>
      <c r="BJ24" s="168"/>
      <c r="BK24" s="168"/>
      <c r="BL24" s="168"/>
      <c r="BM24" s="168"/>
      <c r="BN24" s="168"/>
      <c r="BO24" s="168"/>
      <c r="BP24" s="168"/>
      <c r="BQ24" s="168"/>
      <c r="BR24" s="168"/>
      <c r="BS24" s="168"/>
      <c r="BT24" s="168"/>
      <c r="BU24" s="168"/>
      <c r="BV24" s="168"/>
      <c r="BW24" s="168"/>
      <c r="BX24" s="168"/>
      <c r="BY24" s="168"/>
      <c r="BZ24" s="168"/>
      <c r="CA24" s="168"/>
      <c r="CB24" s="168"/>
      <c r="CC24" s="168"/>
      <c r="CD24" s="168"/>
      <c r="CE24" s="168"/>
      <c r="CF24" s="168"/>
      <c r="CG24" s="168"/>
      <c r="CH24" s="168"/>
      <c r="CI24" s="168"/>
      <c r="CJ24" s="168"/>
      <c r="CK24" s="168"/>
      <c r="CL24" s="168"/>
      <c r="CM24" s="168"/>
      <c r="CN24" s="168"/>
      <c r="CO24" s="168"/>
      <c r="CP24" s="168"/>
      <c r="CQ24" s="168"/>
      <c r="CR24" s="168"/>
      <c r="CS24" s="168"/>
      <c r="CT24" s="168"/>
      <c r="CU24" s="168"/>
      <c r="CV24" s="168"/>
      <c r="CW24" s="168"/>
      <c r="CX24" s="168"/>
      <c r="CY24" s="168"/>
      <c r="CZ24" s="168"/>
      <c r="DA24" s="168"/>
      <c r="DB24" s="168"/>
      <c r="DC24" s="168"/>
      <c r="DD24" s="168"/>
      <c r="DE24" s="168"/>
      <c r="DF24" s="168"/>
      <c r="DG24" s="168"/>
      <c r="DH24" s="168"/>
      <c r="DI24" s="168"/>
      <c r="DJ24" s="168"/>
      <c r="DK24" s="168"/>
      <c r="DL24" s="168"/>
      <c r="DM24" s="168"/>
      <c r="DN24" s="168"/>
      <c r="DO24" s="168"/>
      <c r="DP24" s="168"/>
      <c r="DQ24" s="168"/>
      <c r="DR24" s="168"/>
      <c r="DS24" s="168"/>
      <c r="DT24" s="168"/>
      <c r="DU24" s="168"/>
      <c r="DV24" s="168"/>
      <c r="DW24" s="168"/>
      <c r="DX24" s="168"/>
      <c r="DY24" s="168"/>
      <c r="DZ24" s="168"/>
      <c r="EA24" s="168"/>
      <c r="EB24" s="168"/>
      <c r="EC24" s="168"/>
      <c r="ED24" s="168"/>
      <c r="EE24" s="168"/>
      <c r="EF24" s="168"/>
      <c r="EG24" s="168"/>
      <c r="EH24" s="168"/>
      <c r="EI24" s="168"/>
      <c r="EJ24" s="168"/>
      <c r="EK24" s="168"/>
      <c r="EL24" s="168"/>
      <c r="EM24" s="168"/>
      <c r="EN24" s="168"/>
      <c r="EO24" s="168"/>
      <c r="EP24" s="168"/>
      <c r="EQ24" s="168"/>
      <c r="ER24" s="168"/>
      <c r="ES24" s="168"/>
      <c r="ET24" s="168"/>
      <c r="EU24" s="168"/>
      <c r="EV24" s="168"/>
      <c r="EW24" s="168"/>
      <c r="EX24" s="168"/>
      <c r="EY24" s="168"/>
      <c r="EZ24" s="168"/>
      <c r="FA24" s="168"/>
      <c r="FB24" s="168"/>
      <c r="FC24" s="168"/>
      <c r="FD24" s="168"/>
      <c r="FE24" s="168"/>
      <c r="FF24" s="168"/>
      <c r="FG24" s="168"/>
      <c r="FH24" s="168"/>
      <c r="FI24" s="168"/>
      <c r="FJ24" s="168"/>
      <c r="FK24" s="168"/>
      <c r="FL24" s="168"/>
      <c r="FM24" s="168"/>
      <c r="FN24" s="168"/>
      <c r="FO24" s="168"/>
      <c r="FP24" s="168"/>
      <c r="FQ24" s="168"/>
      <c r="FR24" s="168"/>
      <c r="FS24" s="168"/>
      <c r="FT24" s="168"/>
      <c r="FU24" s="168"/>
      <c r="FV24" s="168"/>
      <c r="FW24" s="168"/>
      <c r="FX24" s="168"/>
      <c r="FY24" s="168"/>
      <c r="FZ24" s="168"/>
      <c r="GA24" s="168"/>
      <c r="GB24" s="168"/>
      <c r="GC24" s="168"/>
      <c r="GD24" s="168"/>
      <c r="GE24" s="168"/>
      <c r="GF24" s="168"/>
      <c r="GG24" s="168"/>
      <c r="GH24" s="168"/>
      <c r="GI24" s="168"/>
      <c r="GJ24" s="168"/>
      <c r="GK24" s="168"/>
      <c r="GL24" s="168"/>
      <c r="GM24" s="168"/>
      <c r="GN24" s="168"/>
      <c r="GO24" s="168"/>
      <c r="GP24" s="168"/>
      <c r="GQ24" s="168"/>
      <c r="GR24" s="168"/>
      <c r="GS24" s="168"/>
      <c r="GT24" s="168"/>
      <c r="GU24" s="168"/>
    </row>
    <row r="25" spans="1:203" s="162" customFormat="1" ht="45" x14ac:dyDescent="0.25">
      <c r="A25" s="159">
        <f t="shared" si="0"/>
        <v>18</v>
      </c>
      <c r="B25" s="160">
        <v>0.75</v>
      </c>
      <c r="C25" s="168" t="s">
        <v>627</v>
      </c>
      <c r="D25" s="168" t="s">
        <v>626</v>
      </c>
      <c r="E25" s="168" t="s">
        <v>660</v>
      </c>
      <c r="F25" s="168" t="s">
        <v>660</v>
      </c>
      <c r="G25" s="168" t="s">
        <v>607</v>
      </c>
      <c r="H25" s="168"/>
      <c r="I25" s="168"/>
      <c r="J25" s="168"/>
      <c r="K25" s="168"/>
      <c r="L25" s="168"/>
      <c r="M25" s="168"/>
      <c r="N25" s="168"/>
      <c r="O25" s="168"/>
      <c r="P25" s="168"/>
      <c r="Q25" s="168"/>
      <c r="R25" s="168"/>
      <c r="S25" s="168"/>
      <c r="T25" s="168"/>
      <c r="U25" s="168"/>
      <c r="V25" s="168"/>
      <c r="W25" s="168"/>
      <c r="X25" s="168"/>
      <c r="Y25" s="168"/>
      <c r="Z25" s="168"/>
      <c r="AA25" s="168"/>
      <c r="AB25" s="168"/>
      <c r="AC25" s="168"/>
      <c r="AD25" s="168"/>
      <c r="AE25" s="168"/>
      <c r="AF25" s="168"/>
      <c r="AG25" s="168"/>
      <c r="AH25" s="168"/>
      <c r="AI25" s="168"/>
      <c r="AJ25" s="168"/>
      <c r="AK25" s="168"/>
      <c r="AL25" s="168"/>
      <c r="AM25" s="168"/>
      <c r="AN25" s="168"/>
      <c r="AO25" s="168"/>
      <c r="AP25" s="168"/>
      <c r="AQ25" s="168"/>
      <c r="AR25" s="168"/>
      <c r="AS25" s="168"/>
      <c r="AT25" s="168"/>
      <c r="AU25" s="168"/>
      <c r="AV25" s="168"/>
      <c r="AW25" s="168"/>
      <c r="AX25" s="168"/>
      <c r="AY25" s="168"/>
      <c r="AZ25" s="168"/>
      <c r="BA25" s="168"/>
      <c r="BB25" s="168"/>
      <c r="BC25" s="168"/>
      <c r="BD25" s="168"/>
      <c r="BE25" s="168"/>
      <c r="BF25" s="168"/>
      <c r="BG25" s="168"/>
      <c r="BH25" s="168"/>
      <c r="BI25" s="168"/>
      <c r="BJ25" s="168"/>
      <c r="BK25" s="168"/>
      <c r="BL25" s="168"/>
      <c r="BM25" s="168"/>
      <c r="BN25" s="168"/>
      <c r="BO25" s="168"/>
      <c r="BP25" s="168"/>
      <c r="BQ25" s="168"/>
      <c r="BR25" s="168"/>
      <c r="BS25" s="168"/>
      <c r="BT25" s="168"/>
      <c r="BU25" s="168"/>
      <c r="BV25" s="168"/>
      <c r="BW25" s="168"/>
      <c r="BX25" s="168"/>
      <c r="BY25" s="168"/>
      <c r="BZ25" s="168"/>
      <c r="CA25" s="168"/>
      <c r="CB25" s="168"/>
      <c r="CC25" s="168"/>
      <c r="CD25" s="168"/>
      <c r="CE25" s="168"/>
      <c r="CF25" s="168"/>
      <c r="CG25" s="168"/>
      <c r="CH25" s="168"/>
      <c r="CI25" s="168"/>
      <c r="CJ25" s="168"/>
      <c r="CK25" s="168"/>
      <c r="CL25" s="168"/>
      <c r="CM25" s="168"/>
      <c r="CN25" s="168"/>
      <c r="CO25" s="168"/>
      <c r="CP25" s="168"/>
      <c r="CQ25" s="168"/>
      <c r="CR25" s="168"/>
      <c r="CS25" s="168"/>
      <c r="CT25" s="168"/>
      <c r="CU25" s="168"/>
      <c r="CV25" s="168"/>
      <c r="CW25" s="168"/>
      <c r="CX25" s="168"/>
      <c r="CY25" s="168"/>
      <c r="CZ25" s="168"/>
      <c r="DA25" s="168"/>
      <c r="DB25" s="168"/>
      <c r="DC25" s="168"/>
      <c r="DD25" s="168"/>
      <c r="DE25" s="168"/>
      <c r="DF25" s="168"/>
      <c r="DG25" s="168"/>
      <c r="DH25" s="168"/>
      <c r="DI25" s="168"/>
      <c r="DJ25" s="168"/>
      <c r="DK25" s="168"/>
      <c r="DL25" s="168"/>
      <c r="DM25" s="168"/>
      <c r="DN25" s="168"/>
      <c r="DO25" s="168"/>
      <c r="DP25" s="168"/>
      <c r="DQ25" s="168"/>
      <c r="DR25" s="168"/>
      <c r="DS25" s="168"/>
      <c r="DT25" s="168"/>
      <c r="DU25" s="168"/>
      <c r="DV25" s="168"/>
      <c r="DW25" s="168"/>
      <c r="DX25" s="168"/>
      <c r="DY25" s="168"/>
      <c r="DZ25" s="168"/>
      <c r="EA25" s="168"/>
      <c r="EB25" s="168"/>
      <c r="EC25" s="168"/>
      <c r="ED25" s="168"/>
      <c r="EE25" s="168"/>
      <c r="EF25" s="168"/>
      <c r="EG25" s="168"/>
      <c r="EH25" s="168"/>
      <c r="EI25" s="168"/>
      <c r="EJ25" s="168"/>
      <c r="EK25" s="168"/>
      <c r="EL25" s="168"/>
      <c r="EM25" s="168"/>
      <c r="EN25" s="168"/>
      <c r="EO25" s="168"/>
      <c r="EP25" s="168"/>
      <c r="EQ25" s="168"/>
      <c r="ER25" s="168"/>
      <c r="ES25" s="168"/>
      <c r="ET25" s="168"/>
      <c r="EU25" s="168"/>
      <c r="EV25" s="168"/>
      <c r="EW25" s="168"/>
      <c r="EX25" s="168"/>
      <c r="EY25" s="168"/>
      <c r="EZ25" s="168"/>
      <c r="FA25" s="168"/>
      <c r="FB25" s="168"/>
      <c r="FC25" s="168"/>
      <c r="FD25" s="168"/>
      <c r="FE25" s="168"/>
      <c r="FF25" s="168"/>
      <c r="FG25" s="168"/>
      <c r="FH25" s="168"/>
      <c r="FI25" s="168"/>
      <c r="FJ25" s="168"/>
      <c r="FK25" s="168"/>
      <c r="FL25" s="168"/>
      <c r="FM25" s="168"/>
      <c r="FN25" s="168"/>
      <c r="FO25" s="168"/>
      <c r="FP25" s="168"/>
      <c r="FQ25" s="168"/>
      <c r="FR25" s="168"/>
      <c r="FS25" s="168"/>
      <c r="FT25" s="168"/>
      <c r="FU25" s="168"/>
      <c r="FV25" s="168"/>
      <c r="FW25" s="168"/>
      <c r="FX25" s="168"/>
      <c r="FY25" s="168"/>
      <c r="FZ25" s="168"/>
      <c r="GA25" s="168"/>
      <c r="GB25" s="168"/>
      <c r="GC25" s="168"/>
      <c r="GD25" s="168"/>
      <c r="GE25" s="168"/>
      <c r="GF25" s="168"/>
      <c r="GG25" s="168"/>
      <c r="GH25" s="168"/>
      <c r="GI25" s="168"/>
      <c r="GJ25" s="168"/>
      <c r="GK25" s="168"/>
      <c r="GL25" s="168"/>
      <c r="GM25" s="168"/>
      <c r="GN25" s="168"/>
      <c r="GO25" s="168"/>
      <c r="GP25" s="168"/>
      <c r="GQ25" s="168"/>
      <c r="GR25" s="168"/>
      <c r="GS25" s="168"/>
      <c r="GT25" s="168"/>
      <c r="GU25" s="168"/>
    </row>
    <row r="26" spans="1:203" s="162" customFormat="1" ht="60" x14ac:dyDescent="0.25">
      <c r="A26" s="159">
        <f t="shared" si="0"/>
        <v>19</v>
      </c>
      <c r="B26" s="160">
        <v>0.79166666666666696</v>
      </c>
      <c r="C26" s="168" t="s">
        <v>628</v>
      </c>
      <c r="D26" s="168" t="s">
        <v>607</v>
      </c>
      <c r="E26" s="168" t="s">
        <v>607</v>
      </c>
      <c r="F26" s="168" t="s">
        <v>661</v>
      </c>
      <c r="G26" s="168" t="s">
        <v>662</v>
      </c>
      <c r="H26" s="168"/>
      <c r="I26" s="168"/>
      <c r="J26" s="168"/>
      <c r="K26" s="168"/>
      <c r="L26" s="168"/>
      <c r="M26" s="168"/>
      <c r="N26" s="168"/>
      <c r="O26" s="168"/>
      <c r="P26" s="168"/>
      <c r="Q26" s="168"/>
      <c r="R26" s="168"/>
      <c r="S26" s="168"/>
      <c r="T26" s="168"/>
      <c r="U26" s="168"/>
      <c r="V26" s="168"/>
      <c r="W26" s="168"/>
      <c r="X26" s="168"/>
      <c r="Y26" s="168"/>
      <c r="Z26" s="168"/>
      <c r="AA26" s="168"/>
      <c r="AB26" s="168"/>
      <c r="AC26" s="168"/>
      <c r="AD26" s="168"/>
      <c r="AE26" s="168"/>
      <c r="AF26" s="168"/>
      <c r="AG26" s="168"/>
      <c r="AH26" s="168"/>
      <c r="AI26" s="168"/>
      <c r="AJ26" s="168"/>
      <c r="AK26" s="168"/>
      <c r="AL26" s="168"/>
      <c r="AM26" s="168"/>
      <c r="AN26" s="168"/>
      <c r="AO26" s="168"/>
      <c r="AP26" s="168"/>
      <c r="AQ26" s="168"/>
      <c r="AR26" s="168"/>
      <c r="AS26" s="168"/>
      <c r="AT26" s="168"/>
      <c r="AU26" s="168"/>
      <c r="AV26" s="168"/>
      <c r="AW26" s="168"/>
      <c r="AX26" s="168"/>
      <c r="AY26" s="168"/>
      <c r="AZ26" s="168"/>
      <c r="BA26" s="168"/>
      <c r="BB26" s="168"/>
      <c r="BC26" s="168"/>
      <c r="BD26" s="168"/>
      <c r="BE26" s="168"/>
      <c r="BF26" s="168"/>
      <c r="BG26" s="168"/>
      <c r="BH26" s="168"/>
      <c r="BI26" s="168"/>
      <c r="BJ26" s="168"/>
      <c r="BK26" s="168"/>
      <c r="BL26" s="168"/>
      <c r="BM26" s="168"/>
      <c r="BN26" s="168"/>
      <c r="BO26" s="168"/>
      <c r="BP26" s="168"/>
      <c r="BQ26" s="168"/>
      <c r="BR26" s="168"/>
      <c r="BS26" s="168"/>
      <c r="BT26" s="168"/>
      <c r="BU26" s="168"/>
      <c r="BV26" s="168"/>
      <c r="BW26" s="168"/>
      <c r="BX26" s="168"/>
      <c r="BY26" s="168"/>
      <c r="BZ26" s="168"/>
      <c r="CA26" s="168"/>
      <c r="CB26" s="168"/>
      <c r="CC26" s="168"/>
      <c r="CD26" s="168"/>
      <c r="CE26" s="168"/>
      <c r="CF26" s="168"/>
      <c r="CG26" s="168"/>
      <c r="CH26" s="168"/>
      <c r="CI26" s="168"/>
      <c r="CJ26" s="168"/>
      <c r="CK26" s="168"/>
      <c r="CL26" s="168"/>
      <c r="CM26" s="168"/>
      <c r="CN26" s="168"/>
      <c r="CO26" s="168"/>
      <c r="CP26" s="168"/>
      <c r="CQ26" s="168"/>
      <c r="CR26" s="168"/>
      <c r="CS26" s="168"/>
      <c r="CT26" s="168"/>
      <c r="CU26" s="168"/>
      <c r="CV26" s="168"/>
      <c r="CW26" s="168"/>
      <c r="CX26" s="168"/>
      <c r="CY26" s="168"/>
      <c r="CZ26" s="168"/>
      <c r="DA26" s="168"/>
      <c r="DB26" s="168"/>
      <c r="DC26" s="168"/>
      <c r="DD26" s="168"/>
      <c r="DE26" s="168"/>
      <c r="DF26" s="168"/>
      <c r="DG26" s="168"/>
      <c r="DH26" s="168"/>
      <c r="DI26" s="168"/>
      <c r="DJ26" s="168"/>
      <c r="DK26" s="168"/>
      <c r="DL26" s="168"/>
      <c r="DM26" s="168"/>
      <c r="DN26" s="168"/>
      <c r="DO26" s="168"/>
      <c r="DP26" s="168"/>
      <c r="DQ26" s="168"/>
      <c r="DR26" s="168"/>
      <c r="DS26" s="168"/>
      <c r="DT26" s="168"/>
      <c r="DU26" s="168"/>
      <c r="DV26" s="168"/>
      <c r="DW26" s="168"/>
      <c r="DX26" s="168"/>
      <c r="DY26" s="168"/>
      <c r="DZ26" s="168"/>
      <c r="EA26" s="168"/>
      <c r="EB26" s="168"/>
      <c r="EC26" s="168"/>
      <c r="ED26" s="168"/>
      <c r="EE26" s="168"/>
      <c r="EF26" s="168"/>
      <c r="EG26" s="168"/>
      <c r="EH26" s="168"/>
      <c r="EI26" s="168"/>
      <c r="EJ26" s="168"/>
      <c r="EK26" s="168"/>
      <c r="EL26" s="168"/>
      <c r="EM26" s="168"/>
      <c r="EN26" s="168"/>
      <c r="EO26" s="168"/>
      <c r="EP26" s="168"/>
      <c r="EQ26" s="168"/>
      <c r="ER26" s="168"/>
      <c r="ES26" s="168"/>
      <c r="ET26" s="168"/>
      <c r="EU26" s="168"/>
      <c r="EV26" s="168"/>
      <c r="EW26" s="168"/>
      <c r="EX26" s="168"/>
      <c r="EY26" s="168"/>
      <c r="EZ26" s="168"/>
      <c r="FA26" s="168"/>
      <c r="FB26" s="168"/>
      <c r="FC26" s="168"/>
      <c r="FD26" s="168"/>
      <c r="FE26" s="168"/>
      <c r="FF26" s="168"/>
      <c r="FG26" s="168"/>
      <c r="FH26" s="168"/>
      <c r="FI26" s="168"/>
      <c r="FJ26" s="168"/>
      <c r="FK26" s="168"/>
      <c r="FL26" s="168"/>
      <c r="FM26" s="168"/>
      <c r="FN26" s="168"/>
      <c r="FO26" s="168"/>
      <c r="FP26" s="168"/>
      <c r="FQ26" s="168"/>
      <c r="FR26" s="168"/>
      <c r="FS26" s="168"/>
      <c r="FT26" s="168"/>
      <c r="FU26" s="168"/>
      <c r="FV26" s="168"/>
      <c r="FW26" s="168"/>
      <c r="FX26" s="168"/>
      <c r="FY26" s="168"/>
      <c r="FZ26" s="168"/>
      <c r="GA26" s="168"/>
      <c r="GB26" s="168"/>
      <c r="GC26" s="168"/>
      <c r="GD26" s="168"/>
      <c r="GE26" s="168"/>
      <c r="GF26" s="168"/>
      <c r="GG26" s="168"/>
      <c r="GH26" s="168"/>
      <c r="GI26" s="168"/>
      <c r="GJ26" s="168"/>
      <c r="GK26" s="168"/>
      <c r="GL26" s="168"/>
      <c r="GM26" s="168"/>
      <c r="GN26" s="168"/>
      <c r="GO26" s="168"/>
      <c r="GP26" s="168"/>
      <c r="GQ26" s="168"/>
      <c r="GR26" s="168"/>
      <c r="GS26" s="168"/>
      <c r="GT26" s="168"/>
      <c r="GU26" s="168"/>
    </row>
    <row r="27" spans="1:203" s="162" customFormat="1" ht="45" x14ac:dyDescent="0.25">
      <c r="A27" s="159">
        <f t="shared" si="0"/>
        <v>20</v>
      </c>
      <c r="B27" s="160">
        <v>0.83333333333333304</v>
      </c>
      <c r="C27" s="168" t="s">
        <v>611</v>
      </c>
      <c r="D27" s="168" t="s">
        <v>607</v>
      </c>
      <c r="E27" s="168" t="s">
        <v>655</v>
      </c>
      <c r="F27" s="168" t="s">
        <v>663</v>
      </c>
      <c r="G27" s="168" t="s">
        <v>666</v>
      </c>
      <c r="H27" s="168"/>
      <c r="I27" s="168"/>
      <c r="J27" s="168"/>
      <c r="K27" s="168"/>
      <c r="L27" s="168"/>
      <c r="M27" s="168"/>
      <c r="N27" s="168"/>
      <c r="O27" s="168"/>
      <c r="P27" s="168"/>
      <c r="Q27" s="168"/>
      <c r="R27" s="168"/>
      <c r="S27" s="168"/>
      <c r="T27" s="168"/>
      <c r="U27" s="168"/>
      <c r="V27" s="168"/>
      <c r="W27" s="168"/>
      <c r="X27" s="168"/>
      <c r="Y27" s="168"/>
      <c r="Z27" s="168"/>
      <c r="AA27" s="168"/>
      <c r="AB27" s="168"/>
      <c r="AC27" s="168"/>
      <c r="AD27" s="168"/>
      <c r="AE27" s="168"/>
      <c r="AF27" s="168"/>
      <c r="AG27" s="168"/>
      <c r="AH27" s="168"/>
      <c r="AI27" s="168"/>
      <c r="AJ27" s="168"/>
      <c r="AK27" s="168"/>
      <c r="AL27" s="168"/>
      <c r="AM27" s="168"/>
      <c r="AN27" s="168"/>
      <c r="AO27" s="168"/>
      <c r="AP27" s="168"/>
      <c r="AQ27" s="168"/>
      <c r="AR27" s="168"/>
      <c r="AS27" s="168"/>
      <c r="AT27" s="168"/>
      <c r="AU27" s="168"/>
      <c r="AV27" s="168"/>
      <c r="AW27" s="168"/>
      <c r="AX27" s="168"/>
      <c r="AY27" s="168"/>
      <c r="AZ27" s="168"/>
      <c r="BA27" s="168"/>
      <c r="BB27" s="168"/>
      <c r="BC27" s="168"/>
      <c r="BD27" s="168"/>
      <c r="BE27" s="168"/>
      <c r="BF27" s="168"/>
      <c r="BG27" s="168"/>
      <c r="BH27" s="168"/>
      <c r="BI27" s="168"/>
      <c r="BJ27" s="168"/>
      <c r="BK27" s="168"/>
      <c r="BL27" s="168"/>
      <c r="BM27" s="168"/>
      <c r="BN27" s="168"/>
      <c r="BO27" s="168"/>
      <c r="BP27" s="168"/>
      <c r="BQ27" s="168"/>
      <c r="BR27" s="168"/>
      <c r="BS27" s="168"/>
      <c r="BT27" s="168"/>
      <c r="BU27" s="168"/>
      <c r="BV27" s="168"/>
      <c r="BW27" s="168"/>
      <c r="BX27" s="168"/>
      <c r="BY27" s="168"/>
      <c r="BZ27" s="168"/>
      <c r="CA27" s="168"/>
      <c r="CB27" s="168"/>
      <c r="CC27" s="168"/>
      <c r="CD27" s="168"/>
      <c r="CE27" s="168"/>
      <c r="CF27" s="168"/>
      <c r="CG27" s="168"/>
      <c r="CH27" s="168"/>
      <c r="CI27" s="168"/>
      <c r="CJ27" s="168"/>
      <c r="CK27" s="168"/>
      <c r="CL27" s="168"/>
      <c r="CM27" s="168"/>
      <c r="CN27" s="168"/>
      <c r="CO27" s="168"/>
      <c r="CP27" s="168"/>
      <c r="CQ27" s="168"/>
      <c r="CR27" s="168"/>
      <c r="CS27" s="168"/>
      <c r="CT27" s="168"/>
      <c r="CU27" s="168"/>
      <c r="CV27" s="168"/>
      <c r="CW27" s="168"/>
      <c r="CX27" s="168"/>
      <c r="CY27" s="168"/>
      <c r="CZ27" s="168"/>
      <c r="DA27" s="168"/>
      <c r="DB27" s="168"/>
      <c r="DC27" s="168"/>
      <c r="DD27" s="168"/>
      <c r="DE27" s="168"/>
      <c r="DF27" s="168"/>
      <c r="DG27" s="168"/>
      <c r="DH27" s="168"/>
      <c r="DI27" s="168"/>
      <c r="DJ27" s="168"/>
      <c r="DK27" s="168"/>
      <c r="DL27" s="168"/>
      <c r="DM27" s="168"/>
      <c r="DN27" s="168"/>
      <c r="DO27" s="168"/>
      <c r="DP27" s="168"/>
      <c r="DQ27" s="168"/>
      <c r="DR27" s="168"/>
      <c r="DS27" s="168"/>
      <c r="DT27" s="168"/>
      <c r="DU27" s="168"/>
      <c r="DV27" s="168"/>
      <c r="DW27" s="168"/>
      <c r="DX27" s="168"/>
      <c r="DY27" s="168"/>
      <c r="DZ27" s="168"/>
      <c r="EA27" s="168"/>
      <c r="EB27" s="168"/>
      <c r="EC27" s="168"/>
      <c r="ED27" s="168"/>
      <c r="EE27" s="168"/>
      <c r="EF27" s="168"/>
      <c r="EG27" s="168"/>
      <c r="EH27" s="168"/>
      <c r="EI27" s="168"/>
      <c r="EJ27" s="168"/>
      <c r="EK27" s="168"/>
      <c r="EL27" s="168"/>
      <c r="EM27" s="168"/>
      <c r="EN27" s="168"/>
      <c r="EO27" s="168"/>
      <c r="EP27" s="168"/>
      <c r="EQ27" s="168"/>
      <c r="ER27" s="168"/>
      <c r="ES27" s="168"/>
      <c r="ET27" s="168"/>
      <c r="EU27" s="168"/>
      <c r="EV27" s="168"/>
      <c r="EW27" s="168"/>
      <c r="EX27" s="168"/>
      <c r="EY27" s="168"/>
      <c r="EZ27" s="168"/>
      <c r="FA27" s="168"/>
      <c r="FB27" s="168"/>
      <c r="FC27" s="168"/>
      <c r="FD27" s="168"/>
      <c r="FE27" s="168"/>
      <c r="FF27" s="168"/>
      <c r="FG27" s="168"/>
      <c r="FH27" s="168"/>
      <c r="FI27" s="168"/>
      <c r="FJ27" s="168"/>
      <c r="FK27" s="168"/>
      <c r="FL27" s="168"/>
      <c r="FM27" s="168"/>
      <c r="FN27" s="168"/>
      <c r="FO27" s="168"/>
      <c r="FP27" s="168"/>
      <c r="FQ27" s="168"/>
      <c r="FR27" s="168"/>
      <c r="FS27" s="168"/>
      <c r="FT27" s="168"/>
      <c r="FU27" s="168"/>
      <c r="FV27" s="168"/>
      <c r="FW27" s="168"/>
      <c r="FX27" s="168"/>
      <c r="FY27" s="168"/>
      <c r="FZ27" s="168"/>
      <c r="GA27" s="168"/>
      <c r="GB27" s="168"/>
      <c r="GC27" s="168"/>
      <c r="GD27" s="168"/>
      <c r="GE27" s="168"/>
      <c r="GF27" s="168"/>
      <c r="GG27" s="168"/>
      <c r="GH27" s="168"/>
      <c r="GI27" s="168"/>
      <c r="GJ27" s="168"/>
      <c r="GK27" s="168"/>
      <c r="GL27" s="168"/>
      <c r="GM27" s="168"/>
      <c r="GN27" s="168"/>
      <c r="GO27" s="168"/>
      <c r="GP27" s="168"/>
      <c r="GQ27" s="168"/>
      <c r="GR27" s="168"/>
      <c r="GS27" s="168"/>
      <c r="GT27" s="168"/>
      <c r="GU27" s="168"/>
    </row>
    <row r="28" spans="1:203" s="163" customFormat="1" ht="45" x14ac:dyDescent="0.25">
      <c r="A28" s="159">
        <f t="shared" si="0"/>
        <v>21</v>
      </c>
      <c r="B28" s="160">
        <v>0.875</v>
      </c>
      <c r="C28" s="168" t="s">
        <v>613</v>
      </c>
      <c r="D28" s="168" t="s">
        <v>607</v>
      </c>
      <c r="E28" s="168" t="s">
        <v>655</v>
      </c>
      <c r="F28" s="168"/>
      <c r="G28" s="168" t="s">
        <v>660</v>
      </c>
      <c r="H28" s="168"/>
      <c r="I28" s="168"/>
      <c r="J28" s="168"/>
      <c r="K28" s="168"/>
      <c r="L28" s="168"/>
      <c r="M28" s="168"/>
      <c r="N28" s="168"/>
      <c r="O28" s="168"/>
      <c r="P28" s="168"/>
      <c r="Q28" s="168"/>
      <c r="R28" s="168"/>
      <c r="S28" s="168"/>
      <c r="T28" s="168"/>
      <c r="U28" s="168"/>
      <c r="V28" s="168"/>
      <c r="W28" s="168"/>
      <c r="X28" s="168"/>
      <c r="Y28" s="168"/>
      <c r="Z28" s="168"/>
      <c r="AA28" s="168"/>
      <c r="AB28" s="168"/>
      <c r="AC28" s="168"/>
      <c r="AD28" s="168"/>
      <c r="AE28" s="168"/>
      <c r="AF28" s="168"/>
      <c r="AG28" s="168"/>
      <c r="AH28" s="168"/>
      <c r="AI28" s="168"/>
      <c r="AJ28" s="168"/>
      <c r="AK28" s="168"/>
      <c r="AL28" s="168"/>
      <c r="AM28" s="168"/>
      <c r="AN28" s="168"/>
      <c r="AO28" s="168"/>
      <c r="AP28" s="168"/>
      <c r="AQ28" s="168"/>
      <c r="AR28" s="168"/>
      <c r="AS28" s="168"/>
      <c r="AT28" s="168"/>
      <c r="AU28" s="168"/>
      <c r="AV28" s="168"/>
      <c r="AW28" s="168"/>
      <c r="AX28" s="168"/>
      <c r="AY28" s="168"/>
      <c r="AZ28" s="168"/>
      <c r="BA28" s="168"/>
      <c r="BB28" s="168"/>
      <c r="BC28" s="168"/>
      <c r="BD28" s="168"/>
      <c r="BE28" s="168"/>
      <c r="BF28" s="168"/>
      <c r="BG28" s="168"/>
      <c r="BH28" s="168"/>
      <c r="BI28" s="168"/>
      <c r="BJ28" s="168"/>
      <c r="BK28" s="168"/>
      <c r="BL28" s="168"/>
      <c r="BM28" s="168"/>
      <c r="BN28" s="168"/>
      <c r="BO28" s="168"/>
      <c r="BP28" s="168"/>
      <c r="BQ28" s="168"/>
      <c r="BR28" s="168"/>
      <c r="BS28" s="168"/>
      <c r="BT28" s="168"/>
      <c r="BU28" s="168"/>
      <c r="BV28" s="168"/>
      <c r="BW28" s="168"/>
      <c r="BX28" s="168"/>
      <c r="BY28" s="168"/>
      <c r="BZ28" s="168"/>
      <c r="CA28" s="168"/>
      <c r="CB28" s="168"/>
      <c r="CC28" s="168"/>
      <c r="CD28" s="168"/>
      <c r="CE28" s="168"/>
      <c r="CF28" s="168"/>
      <c r="CG28" s="168"/>
      <c r="CH28" s="168"/>
      <c r="CI28" s="168"/>
      <c r="CJ28" s="168"/>
      <c r="CK28" s="168"/>
      <c r="CL28" s="168"/>
      <c r="CM28" s="168"/>
      <c r="CN28" s="168"/>
      <c r="CO28" s="168"/>
      <c r="CP28" s="168"/>
      <c r="CQ28" s="168"/>
      <c r="CR28" s="168"/>
      <c r="CS28" s="168"/>
      <c r="CT28" s="168"/>
      <c r="CU28" s="168"/>
      <c r="CV28" s="168"/>
      <c r="CW28" s="168"/>
      <c r="CX28" s="168"/>
      <c r="CY28" s="168"/>
      <c r="CZ28" s="168"/>
      <c r="DA28" s="168"/>
      <c r="DB28" s="168"/>
      <c r="DC28" s="168"/>
      <c r="DD28" s="168"/>
      <c r="DE28" s="168"/>
      <c r="DF28" s="168"/>
      <c r="DG28" s="168"/>
      <c r="DH28" s="168"/>
      <c r="DI28" s="168"/>
      <c r="DJ28" s="168"/>
      <c r="DK28" s="168"/>
      <c r="DL28" s="168"/>
      <c r="DM28" s="168"/>
      <c r="DN28" s="168"/>
      <c r="DO28" s="168"/>
      <c r="DP28" s="168"/>
      <c r="DQ28" s="168"/>
      <c r="DR28" s="168"/>
      <c r="DS28" s="168"/>
      <c r="DT28" s="168"/>
      <c r="DU28" s="168"/>
      <c r="DV28" s="168"/>
      <c r="DW28" s="168"/>
      <c r="DX28" s="168"/>
      <c r="DY28" s="168"/>
      <c r="DZ28" s="168"/>
      <c r="EA28" s="168"/>
      <c r="EB28" s="168"/>
      <c r="EC28" s="168"/>
      <c r="ED28" s="168"/>
      <c r="EE28" s="168"/>
      <c r="EF28" s="168"/>
      <c r="EG28" s="168"/>
      <c r="EH28" s="168"/>
      <c r="EI28" s="168"/>
      <c r="EJ28" s="168"/>
      <c r="EK28" s="168"/>
      <c r="EL28" s="168"/>
      <c r="EM28" s="168"/>
      <c r="EN28" s="168"/>
      <c r="EO28" s="168"/>
      <c r="EP28" s="168"/>
      <c r="EQ28" s="168"/>
      <c r="ER28" s="168"/>
      <c r="ES28" s="168"/>
      <c r="ET28" s="168"/>
      <c r="EU28" s="168"/>
      <c r="EV28" s="168"/>
      <c r="EW28" s="168"/>
      <c r="EX28" s="168"/>
      <c r="EY28" s="168"/>
      <c r="EZ28" s="168"/>
      <c r="FA28" s="168"/>
      <c r="FB28" s="168"/>
      <c r="FC28" s="168"/>
      <c r="FD28" s="168"/>
      <c r="FE28" s="168"/>
      <c r="FF28" s="168"/>
      <c r="FG28" s="168"/>
      <c r="FH28" s="168"/>
      <c r="FI28" s="168"/>
      <c r="FJ28" s="168"/>
      <c r="FK28" s="168"/>
      <c r="FL28" s="168"/>
      <c r="FM28" s="168"/>
      <c r="FN28" s="168"/>
      <c r="FO28" s="168"/>
      <c r="FP28" s="168"/>
      <c r="FQ28" s="168"/>
      <c r="FR28" s="168"/>
      <c r="FS28" s="168"/>
      <c r="FT28" s="168"/>
      <c r="FU28" s="168"/>
      <c r="FV28" s="168"/>
      <c r="FW28" s="168"/>
      <c r="FX28" s="168"/>
      <c r="FY28" s="168"/>
      <c r="FZ28" s="168"/>
      <c r="GA28" s="168"/>
      <c r="GB28" s="168"/>
      <c r="GC28" s="168"/>
      <c r="GD28" s="168"/>
      <c r="GE28" s="168"/>
      <c r="GF28" s="168"/>
      <c r="GG28" s="168"/>
      <c r="GH28" s="168"/>
      <c r="GI28" s="168"/>
      <c r="GJ28" s="168"/>
      <c r="GK28" s="168"/>
      <c r="GL28" s="168"/>
      <c r="GM28" s="168"/>
      <c r="GN28" s="168"/>
      <c r="GO28" s="168"/>
      <c r="GP28" s="168"/>
      <c r="GQ28" s="168"/>
      <c r="GR28" s="168"/>
      <c r="GS28" s="168"/>
      <c r="GT28" s="168"/>
      <c r="GU28" s="168"/>
    </row>
    <row r="29" spans="1:203" s="162" customFormat="1" ht="30" x14ac:dyDescent="0.25">
      <c r="A29" s="159">
        <f t="shared" si="0"/>
        <v>22</v>
      </c>
      <c r="B29" s="160">
        <v>0.91666666666666696</v>
      </c>
      <c r="C29" s="168" t="s">
        <v>649</v>
      </c>
      <c r="D29" s="168" t="s">
        <v>607</v>
      </c>
      <c r="E29" s="168"/>
      <c r="F29" s="168" t="s">
        <v>664</v>
      </c>
      <c r="G29" s="168"/>
      <c r="H29" s="168"/>
      <c r="I29" s="168"/>
      <c r="J29" s="168"/>
      <c r="K29" s="168"/>
      <c r="L29" s="168"/>
      <c r="M29" s="168"/>
      <c r="N29" s="168"/>
      <c r="O29" s="168"/>
      <c r="P29" s="168"/>
      <c r="Q29" s="168"/>
      <c r="R29" s="168"/>
      <c r="S29" s="168"/>
      <c r="T29" s="168"/>
      <c r="U29" s="168"/>
      <c r="V29" s="168"/>
      <c r="W29" s="168"/>
      <c r="X29" s="168"/>
      <c r="Y29" s="168"/>
      <c r="Z29" s="168"/>
      <c r="AA29" s="168"/>
      <c r="AB29" s="168"/>
      <c r="AC29" s="168"/>
      <c r="AD29" s="168"/>
      <c r="AE29" s="168"/>
      <c r="AF29" s="168"/>
      <c r="AG29" s="168"/>
      <c r="AH29" s="168"/>
      <c r="AI29" s="168"/>
      <c r="AJ29" s="168"/>
      <c r="AK29" s="168"/>
      <c r="AL29" s="168"/>
      <c r="AM29" s="168"/>
      <c r="AN29" s="168"/>
      <c r="AO29" s="168"/>
      <c r="AP29" s="168"/>
      <c r="AQ29" s="168"/>
      <c r="AR29" s="168"/>
      <c r="AS29" s="168"/>
      <c r="AT29" s="168"/>
      <c r="AU29" s="168"/>
      <c r="AV29" s="168"/>
      <c r="AW29" s="168"/>
      <c r="AX29" s="168"/>
      <c r="AY29" s="168"/>
      <c r="AZ29" s="168"/>
      <c r="BA29" s="168"/>
      <c r="BB29" s="168"/>
      <c r="BC29" s="168"/>
      <c r="BD29" s="168"/>
      <c r="BE29" s="168"/>
      <c r="BF29" s="168"/>
      <c r="BG29" s="168"/>
      <c r="BH29" s="168"/>
      <c r="BI29" s="168"/>
      <c r="BJ29" s="168"/>
      <c r="BK29" s="168"/>
      <c r="BL29" s="168"/>
      <c r="BM29" s="168"/>
      <c r="BN29" s="168"/>
      <c r="BO29" s="168"/>
      <c r="BP29" s="168"/>
      <c r="BQ29" s="168"/>
      <c r="BR29" s="168"/>
      <c r="BS29" s="168"/>
      <c r="BT29" s="168"/>
      <c r="BU29" s="168"/>
      <c r="BV29" s="168"/>
      <c r="BW29" s="168"/>
      <c r="BX29" s="168"/>
      <c r="BY29" s="168"/>
      <c r="BZ29" s="168"/>
      <c r="CA29" s="168"/>
      <c r="CB29" s="168"/>
      <c r="CC29" s="168"/>
      <c r="CD29" s="168"/>
      <c r="CE29" s="168"/>
      <c r="CF29" s="168"/>
      <c r="CG29" s="168"/>
      <c r="CH29" s="168"/>
      <c r="CI29" s="168"/>
      <c r="CJ29" s="168"/>
      <c r="CK29" s="168"/>
      <c r="CL29" s="168"/>
      <c r="CM29" s="168"/>
      <c r="CN29" s="168"/>
      <c r="CO29" s="168"/>
      <c r="CP29" s="168"/>
      <c r="CQ29" s="168"/>
      <c r="CR29" s="168"/>
      <c r="CS29" s="168"/>
      <c r="CT29" s="168"/>
      <c r="CU29" s="168"/>
      <c r="CV29" s="168"/>
      <c r="CW29" s="168"/>
      <c r="CX29" s="168"/>
      <c r="CY29" s="161"/>
      <c r="CZ29" s="161"/>
      <c r="DA29" s="161"/>
      <c r="DB29" s="161"/>
      <c r="DC29" s="161"/>
      <c r="DD29" s="161"/>
      <c r="DE29" s="161"/>
      <c r="DF29" s="161"/>
      <c r="DG29" s="161"/>
      <c r="DH29" s="161"/>
      <c r="DI29" s="161"/>
      <c r="DJ29" s="161"/>
      <c r="DK29" s="161"/>
      <c r="DL29" s="161"/>
      <c r="DM29" s="161"/>
      <c r="DN29" s="161"/>
      <c r="DO29" s="161"/>
      <c r="DP29" s="161"/>
      <c r="DQ29" s="161"/>
      <c r="DR29" s="161"/>
      <c r="DS29" s="161"/>
      <c r="DT29" s="161"/>
      <c r="DU29" s="161"/>
      <c r="DV29" s="161"/>
      <c r="DW29" s="161"/>
      <c r="DX29" s="161"/>
      <c r="DY29" s="161"/>
      <c r="DZ29" s="161"/>
      <c r="EA29" s="161"/>
      <c r="EB29" s="161"/>
      <c r="EC29" s="161"/>
      <c r="ED29" s="161"/>
      <c r="EE29" s="161"/>
      <c r="EF29" s="161"/>
      <c r="EG29" s="161"/>
      <c r="EH29" s="161"/>
      <c r="EI29" s="161"/>
      <c r="EJ29" s="161"/>
      <c r="EK29" s="161"/>
      <c r="EL29" s="161"/>
      <c r="EM29" s="161"/>
      <c r="EN29" s="161"/>
      <c r="EO29" s="161"/>
      <c r="EP29" s="161"/>
      <c r="EQ29" s="161"/>
      <c r="ER29" s="161"/>
      <c r="ES29" s="161"/>
      <c r="ET29" s="161"/>
      <c r="EU29" s="161"/>
      <c r="EV29" s="161"/>
      <c r="EW29" s="161"/>
      <c r="EX29" s="161"/>
      <c r="EY29" s="161"/>
      <c r="EZ29" s="161"/>
      <c r="FA29" s="161"/>
      <c r="FB29" s="161"/>
      <c r="FC29" s="161"/>
      <c r="FD29" s="161"/>
      <c r="FE29" s="161"/>
      <c r="FF29" s="161"/>
      <c r="FG29" s="161"/>
      <c r="FH29" s="161"/>
      <c r="FI29" s="161"/>
      <c r="FJ29" s="161"/>
      <c r="FK29" s="161"/>
      <c r="FL29" s="161"/>
      <c r="FM29" s="161"/>
      <c r="FN29" s="161"/>
      <c r="FO29" s="161"/>
      <c r="FP29" s="161"/>
      <c r="FQ29" s="161"/>
      <c r="FR29" s="161"/>
      <c r="FS29" s="161"/>
      <c r="FT29" s="161"/>
      <c r="FU29" s="161"/>
      <c r="FV29" s="161"/>
      <c r="FW29" s="161"/>
      <c r="FX29" s="161"/>
      <c r="FY29" s="161"/>
      <c r="FZ29" s="161"/>
      <c r="GA29" s="161"/>
      <c r="GB29" s="161"/>
      <c r="GC29" s="161"/>
      <c r="GD29" s="161"/>
      <c r="GE29" s="161"/>
      <c r="GF29" s="161"/>
      <c r="GG29" s="161"/>
      <c r="GH29" s="161"/>
      <c r="GI29" s="161"/>
      <c r="GJ29" s="161"/>
      <c r="GK29" s="161"/>
      <c r="GL29" s="161"/>
      <c r="GM29" s="161"/>
      <c r="GN29" s="161"/>
      <c r="GO29" s="161"/>
      <c r="GP29" s="161"/>
      <c r="GQ29" s="161"/>
      <c r="GR29" s="161"/>
      <c r="GS29" s="161"/>
      <c r="GT29" s="161"/>
      <c r="GU29" s="161"/>
    </row>
    <row r="30" spans="1:203" s="162" customFormat="1" ht="20.100000000000001" customHeight="1" x14ac:dyDescent="0.25">
      <c r="A30" s="159">
        <f t="shared" si="0"/>
        <v>23</v>
      </c>
      <c r="B30" s="160">
        <v>0.95833333333333304</v>
      </c>
      <c r="C30" s="168" t="s">
        <v>650</v>
      </c>
      <c r="D30" s="168"/>
      <c r="E30" s="168"/>
      <c r="F30" s="168"/>
      <c r="G30" s="168"/>
      <c r="H30" s="168"/>
      <c r="I30" s="168"/>
      <c r="J30" s="168"/>
      <c r="K30" s="168"/>
      <c r="L30" s="168"/>
      <c r="M30" s="168"/>
      <c r="N30" s="168"/>
      <c r="O30" s="168"/>
      <c r="P30" s="168"/>
      <c r="Q30" s="168"/>
      <c r="R30" s="168"/>
      <c r="S30" s="168"/>
      <c r="T30" s="168"/>
      <c r="U30" s="168"/>
      <c r="V30" s="168"/>
      <c r="W30" s="168"/>
      <c r="X30" s="168"/>
      <c r="Y30" s="168"/>
      <c r="Z30" s="168"/>
      <c r="AA30" s="168"/>
      <c r="AB30" s="168"/>
      <c r="AC30" s="168"/>
      <c r="AD30" s="168"/>
      <c r="AE30" s="168"/>
      <c r="AF30" s="168"/>
      <c r="AG30" s="168"/>
      <c r="AH30" s="168"/>
      <c r="AI30" s="168"/>
      <c r="AJ30" s="168"/>
      <c r="AK30" s="168"/>
      <c r="AL30" s="168"/>
      <c r="AM30" s="168"/>
      <c r="AN30" s="168"/>
      <c r="AO30" s="168"/>
      <c r="AP30" s="168"/>
      <c r="AQ30" s="168"/>
      <c r="AR30" s="168"/>
      <c r="AS30" s="168"/>
      <c r="AT30" s="168"/>
      <c r="AU30" s="168"/>
      <c r="AV30" s="168"/>
      <c r="AW30" s="168"/>
      <c r="AX30" s="168"/>
      <c r="AY30" s="168"/>
      <c r="AZ30" s="168"/>
      <c r="BA30" s="168"/>
      <c r="BB30" s="168"/>
      <c r="BC30" s="168"/>
      <c r="BD30" s="168"/>
      <c r="BE30" s="168"/>
      <c r="BF30" s="168"/>
      <c r="BG30" s="168"/>
      <c r="BH30" s="168"/>
      <c r="BI30" s="168"/>
      <c r="BJ30" s="168"/>
      <c r="BK30" s="168"/>
      <c r="BL30" s="168"/>
      <c r="BM30" s="168"/>
      <c r="BN30" s="168"/>
      <c r="BO30" s="168"/>
      <c r="BP30" s="168"/>
      <c r="BQ30" s="168"/>
      <c r="BR30" s="168"/>
      <c r="BS30" s="168"/>
      <c r="BT30" s="168"/>
      <c r="BU30" s="168"/>
      <c r="BV30" s="168"/>
      <c r="BW30" s="168"/>
      <c r="BX30" s="168"/>
      <c r="BY30" s="168"/>
      <c r="BZ30" s="168"/>
      <c r="CA30" s="168"/>
      <c r="CB30" s="168"/>
      <c r="CC30" s="168"/>
      <c r="CD30" s="168"/>
      <c r="CE30" s="168"/>
      <c r="CF30" s="168"/>
      <c r="CG30" s="168"/>
      <c r="CH30" s="168"/>
      <c r="CI30" s="168"/>
      <c r="CJ30" s="168"/>
      <c r="CK30" s="168"/>
      <c r="CL30" s="168"/>
      <c r="CM30" s="168"/>
      <c r="CN30" s="168"/>
      <c r="CO30" s="168"/>
      <c r="CP30" s="168"/>
      <c r="CQ30" s="168"/>
      <c r="CR30" s="168"/>
      <c r="CS30" s="168"/>
      <c r="CT30" s="168"/>
      <c r="CU30" s="168"/>
      <c r="CV30" s="168"/>
      <c r="CW30" s="168"/>
      <c r="CX30" s="168"/>
      <c r="CY30" s="161"/>
      <c r="CZ30" s="161"/>
      <c r="DA30" s="161"/>
      <c r="DB30" s="161"/>
      <c r="DC30" s="161"/>
      <c r="DD30" s="161"/>
      <c r="DE30" s="161"/>
      <c r="DF30" s="161"/>
      <c r="DG30" s="161"/>
      <c r="DH30" s="161"/>
      <c r="DI30" s="161"/>
      <c r="DJ30" s="161"/>
      <c r="DK30" s="161"/>
      <c r="DL30" s="161"/>
      <c r="DM30" s="161"/>
      <c r="DN30" s="161"/>
      <c r="DO30" s="161"/>
      <c r="DP30" s="161"/>
      <c r="DQ30" s="161"/>
      <c r="DR30" s="161"/>
      <c r="DS30" s="161"/>
      <c r="DT30" s="161"/>
      <c r="DU30" s="161"/>
      <c r="DV30" s="161"/>
      <c r="DW30" s="161"/>
      <c r="DX30" s="161"/>
      <c r="DY30" s="161"/>
      <c r="DZ30" s="161"/>
      <c r="EA30" s="161"/>
      <c r="EB30" s="161"/>
      <c r="EC30" s="161"/>
      <c r="ED30" s="161"/>
      <c r="EE30" s="161"/>
      <c r="EF30" s="161"/>
      <c r="EG30" s="161"/>
      <c r="EH30" s="161"/>
      <c r="EI30" s="161"/>
      <c r="EJ30" s="161"/>
      <c r="EK30" s="161"/>
      <c r="EL30" s="161"/>
      <c r="EM30" s="161"/>
      <c r="EN30" s="161"/>
      <c r="EO30" s="161"/>
      <c r="EP30" s="161"/>
      <c r="EQ30" s="161"/>
      <c r="ER30" s="161"/>
      <c r="ES30" s="161"/>
      <c r="ET30" s="161"/>
      <c r="EU30" s="161"/>
      <c r="EV30" s="161"/>
      <c r="EW30" s="161"/>
      <c r="EX30" s="161"/>
      <c r="EY30" s="161"/>
      <c r="EZ30" s="161"/>
      <c r="FA30" s="161"/>
      <c r="FB30" s="161"/>
      <c r="FC30" s="161"/>
      <c r="FD30" s="161"/>
      <c r="FE30" s="161"/>
      <c r="FF30" s="161"/>
      <c r="FG30" s="161"/>
      <c r="FH30" s="161"/>
      <c r="FI30" s="161"/>
      <c r="FJ30" s="161"/>
      <c r="FK30" s="161"/>
      <c r="FL30" s="161"/>
      <c r="FM30" s="161"/>
      <c r="FN30" s="161"/>
      <c r="FO30" s="161"/>
      <c r="FP30" s="161"/>
      <c r="FQ30" s="161"/>
      <c r="FR30" s="161"/>
      <c r="FS30" s="161"/>
      <c r="FT30" s="161"/>
      <c r="FU30" s="161"/>
      <c r="FV30" s="161"/>
      <c r="FW30" s="161"/>
      <c r="FX30" s="161"/>
      <c r="FY30" s="161"/>
      <c r="FZ30" s="161"/>
      <c r="GA30" s="161"/>
      <c r="GB30" s="161"/>
      <c r="GC30" s="161"/>
      <c r="GD30" s="161"/>
      <c r="GE30" s="161"/>
      <c r="GF30" s="161"/>
      <c r="GG30" s="161"/>
      <c r="GH30" s="161"/>
      <c r="GI30" s="161"/>
      <c r="GJ30" s="161"/>
      <c r="GK30" s="161"/>
      <c r="GL30" s="161"/>
      <c r="GM30" s="161"/>
      <c r="GN30" s="161"/>
      <c r="GO30" s="161"/>
      <c r="GP30" s="161"/>
      <c r="GQ30" s="161"/>
      <c r="GR30" s="161"/>
      <c r="GS30" s="161"/>
      <c r="GT30" s="161"/>
      <c r="GU30" s="161"/>
    </row>
    <row r="31" spans="1:203" s="75" customFormat="1" ht="37.5" customHeight="1" x14ac:dyDescent="0.25">
      <c r="B31" s="144" t="s">
        <v>340</v>
      </c>
      <c r="C31" s="181">
        <f t="shared" ref="C31:AH31" si="1">SUM(C7:C30)</f>
        <v>0</v>
      </c>
      <c r="D31" s="181">
        <f t="shared" si="1"/>
        <v>0</v>
      </c>
      <c r="E31" s="181">
        <f t="shared" si="1"/>
        <v>0</v>
      </c>
      <c r="F31" s="181">
        <f t="shared" si="1"/>
        <v>0</v>
      </c>
      <c r="G31" s="181">
        <f t="shared" si="1"/>
        <v>0</v>
      </c>
      <c r="H31" s="181">
        <f t="shared" si="1"/>
        <v>0</v>
      </c>
      <c r="I31" s="181">
        <f t="shared" si="1"/>
        <v>0</v>
      </c>
      <c r="J31" s="181">
        <f t="shared" si="1"/>
        <v>0</v>
      </c>
      <c r="K31" s="181">
        <f t="shared" si="1"/>
        <v>0</v>
      </c>
      <c r="L31" s="181">
        <f t="shared" si="1"/>
        <v>0</v>
      </c>
      <c r="M31" s="181">
        <f t="shared" si="1"/>
        <v>0</v>
      </c>
      <c r="N31" s="181">
        <f t="shared" si="1"/>
        <v>0</v>
      </c>
      <c r="O31" s="181">
        <f t="shared" si="1"/>
        <v>0</v>
      </c>
      <c r="P31" s="181">
        <f t="shared" si="1"/>
        <v>0</v>
      </c>
      <c r="Q31" s="181">
        <f t="shared" si="1"/>
        <v>0</v>
      </c>
      <c r="R31" s="181">
        <f t="shared" si="1"/>
        <v>0</v>
      </c>
      <c r="S31" s="181">
        <f t="shared" si="1"/>
        <v>0</v>
      </c>
      <c r="T31" s="181">
        <f t="shared" si="1"/>
        <v>0</v>
      </c>
      <c r="U31" s="181">
        <f t="shared" si="1"/>
        <v>0</v>
      </c>
      <c r="V31" s="181">
        <f t="shared" si="1"/>
        <v>0</v>
      </c>
      <c r="W31" s="181">
        <f t="shared" si="1"/>
        <v>0</v>
      </c>
      <c r="X31" s="181">
        <f t="shared" si="1"/>
        <v>0</v>
      </c>
      <c r="Y31" s="181">
        <f t="shared" si="1"/>
        <v>0</v>
      </c>
      <c r="Z31" s="181">
        <f t="shared" si="1"/>
        <v>0</v>
      </c>
      <c r="AA31" s="181">
        <f t="shared" si="1"/>
        <v>0</v>
      </c>
      <c r="AB31" s="181">
        <f t="shared" si="1"/>
        <v>0</v>
      </c>
      <c r="AC31" s="181">
        <f t="shared" si="1"/>
        <v>0</v>
      </c>
      <c r="AD31" s="181">
        <f t="shared" si="1"/>
        <v>0</v>
      </c>
      <c r="AE31" s="181">
        <f t="shared" si="1"/>
        <v>0</v>
      </c>
      <c r="AF31" s="181">
        <f t="shared" si="1"/>
        <v>0</v>
      </c>
      <c r="AG31" s="181">
        <f t="shared" si="1"/>
        <v>0</v>
      </c>
      <c r="AH31" s="181">
        <f t="shared" si="1"/>
        <v>0</v>
      </c>
      <c r="AI31" s="181">
        <f t="shared" ref="AI31:BN31" si="2">SUM(AI7:AI30)</f>
        <v>0</v>
      </c>
      <c r="AJ31" s="181">
        <f t="shared" si="2"/>
        <v>0</v>
      </c>
      <c r="AK31" s="181">
        <f t="shared" si="2"/>
        <v>0</v>
      </c>
      <c r="AL31" s="181">
        <f t="shared" si="2"/>
        <v>0</v>
      </c>
      <c r="AM31" s="181">
        <f t="shared" si="2"/>
        <v>0</v>
      </c>
      <c r="AN31" s="181">
        <f t="shared" si="2"/>
        <v>0</v>
      </c>
      <c r="AO31" s="181">
        <f t="shared" si="2"/>
        <v>0</v>
      </c>
      <c r="AP31" s="181">
        <f t="shared" si="2"/>
        <v>0</v>
      </c>
      <c r="AQ31" s="181">
        <f t="shared" si="2"/>
        <v>0</v>
      </c>
      <c r="AR31" s="181">
        <f t="shared" si="2"/>
        <v>0</v>
      </c>
      <c r="AS31" s="181">
        <f t="shared" si="2"/>
        <v>0</v>
      </c>
      <c r="AT31" s="181">
        <f t="shared" si="2"/>
        <v>0</v>
      </c>
      <c r="AU31" s="181">
        <f t="shared" si="2"/>
        <v>0</v>
      </c>
      <c r="AV31" s="181">
        <f t="shared" si="2"/>
        <v>0</v>
      </c>
      <c r="AW31" s="181">
        <f t="shared" si="2"/>
        <v>0</v>
      </c>
      <c r="AX31" s="181">
        <f t="shared" si="2"/>
        <v>0</v>
      </c>
      <c r="AY31" s="181">
        <f t="shared" si="2"/>
        <v>0</v>
      </c>
      <c r="AZ31" s="181">
        <f t="shared" si="2"/>
        <v>0</v>
      </c>
      <c r="BA31" s="181">
        <f t="shared" si="2"/>
        <v>0</v>
      </c>
      <c r="BB31" s="181">
        <f t="shared" si="2"/>
        <v>0</v>
      </c>
      <c r="BC31" s="181">
        <f t="shared" si="2"/>
        <v>0</v>
      </c>
      <c r="BD31" s="181">
        <f t="shared" si="2"/>
        <v>0</v>
      </c>
      <c r="BE31" s="181">
        <f t="shared" si="2"/>
        <v>0</v>
      </c>
      <c r="BF31" s="181">
        <f t="shared" si="2"/>
        <v>0</v>
      </c>
      <c r="BG31" s="181">
        <f t="shared" si="2"/>
        <v>0</v>
      </c>
      <c r="BH31" s="181">
        <f t="shared" si="2"/>
        <v>0</v>
      </c>
      <c r="BI31" s="181">
        <f t="shared" si="2"/>
        <v>0</v>
      </c>
      <c r="BJ31" s="181">
        <f t="shared" si="2"/>
        <v>0</v>
      </c>
      <c r="BK31" s="181">
        <f t="shared" si="2"/>
        <v>0</v>
      </c>
      <c r="BL31" s="181">
        <f t="shared" si="2"/>
        <v>0</v>
      </c>
      <c r="BM31" s="181">
        <f t="shared" si="2"/>
        <v>0</v>
      </c>
      <c r="BN31" s="181">
        <f t="shared" si="2"/>
        <v>0</v>
      </c>
      <c r="BO31" s="181">
        <f t="shared" ref="BO31:CT31" si="3">SUM(BO7:BO30)</f>
        <v>0</v>
      </c>
      <c r="BP31" s="181">
        <f t="shared" si="3"/>
        <v>0</v>
      </c>
      <c r="BQ31" s="181">
        <f t="shared" si="3"/>
        <v>0</v>
      </c>
      <c r="BR31" s="181">
        <f t="shared" si="3"/>
        <v>0</v>
      </c>
      <c r="BS31" s="181">
        <f t="shared" si="3"/>
        <v>0</v>
      </c>
      <c r="BT31" s="181">
        <f t="shared" si="3"/>
        <v>0</v>
      </c>
      <c r="BU31" s="181">
        <f t="shared" si="3"/>
        <v>0</v>
      </c>
      <c r="BV31" s="181">
        <f t="shared" si="3"/>
        <v>0</v>
      </c>
      <c r="BW31" s="181">
        <f t="shared" si="3"/>
        <v>0</v>
      </c>
      <c r="BX31" s="181">
        <f t="shared" si="3"/>
        <v>0</v>
      </c>
      <c r="BY31" s="181">
        <f t="shared" si="3"/>
        <v>0</v>
      </c>
      <c r="BZ31" s="181">
        <f t="shared" si="3"/>
        <v>0</v>
      </c>
      <c r="CA31" s="181">
        <f t="shared" si="3"/>
        <v>0</v>
      </c>
      <c r="CB31" s="181">
        <f t="shared" si="3"/>
        <v>0</v>
      </c>
      <c r="CC31" s="181">
        <f t="shared" si="3"/>
        <v>0</v>
      </c>
      <c r="CD31" s="181">
        <f t="shared" si="3"/>
        <v>0</v>
      </c>
      <c r="CE31" s="181">
        <f t="shared" si="3"/>
        <v>0</v>
      </c>
      <c r="CF31" s="181">
        <f t="shared" si="3"/>
        <v>0</v>
      </c>
      <c r="CG31" s="181">
        <f t="shared" si="3"/>
        <v>0</v>
      </c>
      <c r="CH31" s="181">
        <f t="shared" si="3"/>
        <v>0</v>
      </c>
      <c r="CI31" s="181">
        <f t="shared" si="3"/>
        <v>0</v>
      </c>
      <c r="CJ31" s="181">
        <f t="shared" si="3"/>
        <v>0</v>
      </c>
      <c r="CK31" s="181">
        <f t="shared" si="3"/>
        <v>0</v>
      </c>
      <c r="CL31" s="181">
        <f t="shared" si="3"/>
        <v>0</v>
      </c>
      <c r="CM31" s="181">
        <f t="shared" si="3"/>
        <v>0</v>
      </c>
      <c r="CN31" s="181">
        <f t="shared" si="3"/>
        <v>0</v>
      </c>
      <c r="CO31" s="181">
        <f t="shared" si="3"/>
        <v>0</v>
      </c>
      <c r="CP31" s="181">
        <f t="shared" si="3"/>
        <v>0</v>
      </c>
      <c r="CQ31" s="181">
        <f t="shared" si="3"/>
        <v>0</v>
      </c>
      <c r="CR31" s="181">
        <f t="shared" si="3"/>
        <v>0</v>
      </c>
      <c r="CS31" s="181">
        <f t="shared" si="3"/>
        <v>0</v>
      </c>
      <c r="CT31" s="181">
        <f t="shared" si="3"/>
        <v>0</v>
      </c>
      <c r="CU31" s="181">
        <f t="shared" ref="CU31:CX31" si="4">SUM(CU7:CU30)</f>
        <v>0</v>
      </c>
      <c r="CV31" s="181">
        <f t="shared" si="4"/>
        <v>0</v>
      </c>
      <c r="CW31" s="181">
        <f t="shared" si="4"/>
        <v>0</v>
      </c>
      <c r="CX31" s="181">
        <f t="shared" si="4"/>
        <v>0</v>
      </c>
      <c r="CY31" s="181"/>
      <c r="CZ31" s="181"/>
      <c r="DA31" s="181"/>
      <c r="DB31" s="181"/>
      <c r="DC31" s="181"/>
      <c r="DD31" s="181"/>
      <c r="DE31" s="181"/>
      <c r="DF31" s="181"/>
      <c r="DG31" s="181"/>
      <c r="DH31" s="181"/>
      <c r="DI31" s="181"/>
      <c r="DJ31" s="181"/>
      <c r="DK31" s="181"/>
      <c r="DL31" s="181"/>
      <c r="DM31" s="181"/>
      <c r="DN31" s="181"/>
      <c r="DO31" s="181"/>
      <c r="DP31" s="181"/>
      <c r="DQ31" s="181"/>
      <c r="DR31" s="181"/>
      <c r="DS31" s="181"/>
      <c r="DT31" s="181"/>
      <c r="DU31" s="181"/>
      <c r="DV31" s="181"/>
      <c r="DW31" s="181"/>
      <c r="DX31" s="181"/>
      <c r="DY31" s="181"/>
      <c r="DZ31" s="181"/>
      <c r="EA31" s="181"/>
      <c r="EB31" s="181"/>
      <c r="EC31" s="181"/>
      <c r="ED31" s="181"/>
      <c r="EE31" s="181"/>
      <c r="EF31" s="181"/>
      <c r="EG31" s="181"/>
      <c r="EH31" s="181"/>
      <c r="EI31" s="181"/>
      <c r="EJ31" s="181"/>
      <c r="EK31" s="181"/>
      <c r="EL31" s="181"/>
      <c r="EM31" s="181"/>
      <c r="EN31" s="181"/>
      <c r="EO31" s="181"/>
      <c r="EP31" s="181"/>
      <c r="EQ31" s="181"/>
      <c r="ER31" s="181"/>
      <c r="ES31" s="181"/>
      <c r="ET31" s="181"/>
      <c r="EU31" s="181"/>
      <c r="EV31" s="181"/>
      <c r="EW31" s="181"/>
      <c r="EX31" s="181"/>
      <c r="EY31" s="181"/>
      <c r="EZ31" s="181"/>
      <c r="FA31" s="181"/>
      <c r="FB31" s="181"/>
      <c r="FC31" s="181"/>
      <c r="FD31" s="181"/>
      <c r="FE31" s="181"/>
      <c r="FF31" s="181"/>
      <c r="FG31" s="181"/>
      <c r="FH31" s="181"/>
      <c r="FI31" s="181"/>
      <c r="FJ31" s="181"/>
      <c r="FK31" s="181"/>
      <c r="FL31" s="181"/>
      <c r="FM31" s="181"/>
      <c r="FN31" s="181"/>
      <c r="FO31" s="181"/>
      <c r="FP31" s="181"/>
      <c r="FQ31" s="181"/>
      <c r="FR31" s="181"/>
      <c r="FS31" s="181"/>
      <c r="FT31" s="181"/>
      <c r="FU31" s="181"/>
      <c r="FV31" s="181"/>
      <c r="FW31" s="181"/>
      <c r="FX31" s="181"/>
      <c r="FY31" s="181"/>
      <c r="FZ31" s="181"/>
      <c r="GA31" s="181"/>
      <c r="GB31" s="181"/>
      <c r="GC31" s="181"/>
      <c r="GD31" s="181"/>
      <c r="GE31" s="181"/>
      <c r="GF31" s="181"/>
      <c r="GG31" s="181"/>
      <c r="GH31" s="181"/>
      <c r="GI31" s="181"/>
      <c r="GJ31" s="181"/>
      <c r="GK31" s="181"/>
      <c r="GL31" s="181"/>
      <c r="GM31" s="181"/>
      <c r="GN31" s="181"/>
      <c r="GO31" s="181"/>
      <c r="GP31" s="181"/>
      <c r="GQ31" s="181"/>
      <c r="GR31" s="181"/>
      <c r="GS31" s="181"/>
      <c r="GT31" s="181"/>
      <c r="GU31" s="181"/>
    </row>
    <row r="32" spans="1:203" s="74" customFormat="1" x14ac:dyDescent="0.25">
      <c r="A32" s="75"/>
    </row>
    <row r="34" spans="4:6" ht="150" x14ac:dyDescent="0.25">
      <c r="D34" s="73" t="s">
        <v>656</v>
      </c>
      <c r="E34" s="73" t="s">
        <v>657</v>
      </c>
      <c r="F34" s="73" t="s">
        <v>658</v>
      </c>
    </row>
    <row r="38" spans="4:6" ht="53.1" customHeight="1" x14ac:dyDescent="0.25"/>
    <row r="39" spans="4:6" ht="50.1" customHeight="1" x14ac:dyDescent="0.25"/>
    <row r="40" spans="4:6" ht="57" customHeight="1" x14ac:dyDescent="0.25"/>
    <row r="41" spans="4:6" ht="60.95" customHeight="1" x14ac:dyDescent="0.25"/>
  </sheetData>
  <conditionalFormatting sqref="C25:CX26 C28:CX30 C25:C30 C24:D28 E23:E28 F26:F27 G23:G28 C7:GK24">
    <cfRule type="expression" dxfId="607" priority="2228">
      <formula xml:space="preserve"> INDIRECT(CHAR(COLUMN()+96) &amp; 4) = TODAY() * NOT(ISBLANK(INDIRECT(CHAR(COLUMN()+96) &amp; ROW())))</formula>
    </cfRule>
    <cfRule type="expression" dxfId="606" priority="2231">
      <formula xml:space="preserve"> INDIRECT(CHAR(COLUMN()+96) &amp; 4) = TODAY() * ISBLANK(INDIRECT(CHAR(COLUMN()+96) &amp; ROW()))</formula>
    </cfRule>
  </conditionalFormatting>
  <conditionalFormatting sqref="A4:XFD6">
    <cfRule type="timePeriod" dxfId="605" priority="2234" timePeriod="today">
      <formula>FLOOR(A4,1)=TODAY()</formula>
    </cfRule>
    <cfRule type="timePeriod" dxfId="604" priority="2235" timePeriod="tomorrow">
      <formula>FLOOR(A4,1)=TODAY()+1</formula>
    </cfRule>
    <cfRule type="timePeriod" dxfId="603" priority="2236" timePeriod="yesterday">
      <formula>FLOOR(A4,1)=TODAY()-1</formula>
    </cfRule>
  </conditionalFormatting>
  <conditionalFormatting sqref="A7:GU30">
    <cfRule type="expression" dxfId="602" priority="2207">
      <formula>INDIRECT("A"&amp;3) = INDIRECT("A"&amp;ROW())</formula>
    </cfRule>
  </conditionalFormatting>
  <conditionalFormatting sqref="A2:A3 A1:XFD1 B2:XFD2">
    <cfRule type="expression" dxfId="601" priority="2208">
      <formula xml:space="preserve"> INDIRECT(CHAR(COLUMN()+96) &amp; 4) = TODAY() * ISBLANK(INDIRECT(CHAR(COLUMN()+96) &amp; ROW()))</formula>
    </cfRule>
  </conditionalFormatting>
  <conditionalFormatting sqref="A31:XFD31 C7:GT30">
    <cfRule type="colorScale" priority="2219">
      <colorScale>
        <cfvo type="num" val="0"/>
        <cfvo type="num" val="0.5"/>
        <cfvo type="num" val="1"/>
        <color rgb="FFF8696B"/>
        <color rgb="FFFFEB84"/>
        <color rgb="FF63BE7B"/>
      </colorScale>
    </cfRule>
  </conditionalFormatting>
  <pageMargins left="0.7" right="0.7" top="0.75" bottom="0.75" header="0.3" footer="0.3"/>
  <pageSetup paperSize="9" orientation="portrait" horizontalDpi="4294967293"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0000"/>
  </sheetPr>
  <dimension ref="A1:J429"/>
  <sheetViews>
    <sheetView topLeftCell="B181" zoomScaleNormal="100" workbookViewId="0">
      <selection activeCell="D184" sqref="D184"/>
    </sheetView>
  </sheetViews>
  <sheetFormatPr defaultColWidth="9.140625" defaultRowHeight="15" x14ac:dyDescent="0.25"/>
  <cols>
    <col min="1" max="1" width="9.140625" style="42"/>
    <col min="2" max="2" width="28.85546875" style="51" customWidth="1"/>
    <col min="3" max="3" width="81.140625" style="59" customWidth="1"/>
    <col min="4" max="4" width="77.5703125" style="59" customWidth="1"/>
    <col min="5" max="5" width="84.28515625" style="59" customWidth="1"/>
    <col min="6" max="6" width="18.85546875" style="64" customWidth="1"/>
    <col min="7" max="9" width="9.140625" style="1"/>
    <col min="10" max="10" width="255.5703125" style="1" customWidth="1"/>
    <col min="11" max="16384" width="9.140625" style="1"/>
  </cols>
  <sheetData>
    <row r="1" spans="1:10" s="42" customFormat="1" x14ac:dyDescent="0.25">
      <c r="B1" s="46"/>
      <c r="C1" s="53"/>
      <c r="D1" s="53"/>
      <c r="E1" s="53"/>
      <c r="F1" s="60"/>
    </row>
    <row r="2" spans="1:10" s="42" customFormat="1" x14ac:dyDescent="0.25">
      <c r="A2" s="41"/>
      <c r="B2" s="46"/>
      <c r="C2" s="53"/>
      <c r="D2" s="53"/>
      <c r="E2" s="53"/>
      <c r="F2" s="60"/>
    </row>
    <row r="3" spans="1:10" s="5" customFormat="1" ht="16.5" customHeight="1" x14ac:dyDescent="0.25">
      <c r="A3" s="10"/>
      <c r="B3" s="47"/>
      <c r="C3" s="54" t="s">
        <v>6</v>
      </c>
      <c r="D3" s="54"/>
      <c r="E3" s="54"/>
      <c r="F3" s="61"/>
    </row>
    <row r="4" spans="1:10" s="6" customFormat="1" ht="46.7" customHeight="1" x14ac:dyDescent="0.25">
      <c r="A4" s="10"/>
      <c r="B4" s="48"/>
      <c r="C4" s="55" t="s">
        <v>7</v>
      </c>
      <c r="D4" s="56" t="s">
        <v>8</v>
      </c>
      <c r="E4" s="55"/>
      <c r="F4" s="62"/>
      <c r="H4" s="28"/>
    </row>
    <row r="5" spans="1:10" s="40" customFormat="1" x14ac:dyDescent="0.25">
      <c r="A5" s="10"/>
      <c r="B5" s="49"/>
      <c r="C5" s="55"/>
      <c r="D5" s="55"/>
      <c r="E5" s="55"/>
      <c r="F5" s="62"/>
      <c r="G5" s="6"/>
      <c r="H5" s="6"/>
      <c r="I5" s="6"/>
      <c r="J5" s="6"/>
    </row>
    <row r="6" spans="1:10" x14ac:dyDescent="0.25">
      <c r="B6" s="52" t="s">
        <v>15</v>
      </c>
      <c r="C6" s="57" t="e">
        <f>SUM(#REF!)</f>
        <v>#REF!</v>
      </c>
      <c r="D6" s="58" t="s">
        <v>14</v>
      </c>
      <c r="E6" s="57">
        <f>SUM(F9:F533)</f>
        <v>341</v>
      </c>
      <c r="F6" s="63"/>
      <c r="G6" s="38"/>
      <c r="H6" s="38"/>
      <c r="I6" s="38"/>
      <c r="J6" s="44"/>
    </row>
    <row r="7" spans="1:10" x14ac:dyDescent="0.25">
      <c r="B7" s="50"/>
      <c r="C7" s="57"/>
      <c r="D7" s="57"/>
      <c r="E7" s="57"/>
      <c r="F7" s="63"/>
      <c r="G7" s="38"/>
      <c r="H7" s="38"/>
      <c r="I7" s="38"/>
      <c r="J7" s="44"/>
    </row>
    <row r="8" spans="1:10" ht="27.95" customHeight="1" x14ac:dyDescent="0.25">
      <c r="B8" s="78" t="s">
        <v>13</v>
      </c>
      <c r="C8" s="86" t="s">
        <v>9</v>
      </c>
      <c r="D8" s="86" t="s">
        <v>11</v>
      </c>
      <c r="E8" s="86" t="s">
        <v>8</v>
      </c>
      <c r="F8" s="87" t="s">
        <v>10</v>
      </c>
      <c r="G8" s="88"/>
      <c r="H8" s="88"/>
      <c r="I8" s="88"/>
      <c r="J8" s="45"/>
    </row>
    <row r="9" spans="1:10" ht="208.7" customHeight="1" x14ac:dyDescent="0.25">
      <c r="A9" s="42">
        <v>1</v>
      </c>
      <c r="B9" s="79">
        <v>43128</v>
      </c>
      <c r="C9" s="89" t="s">
        <v>16</v>
      </c>
      <c r="D9" s="85" t="s">
        <v>17</v>
      </c>
      <c r="E9" s="85" t="s">
        <v>18</v>
      </c>
      <c r="F9" s="90">
        <v>12.8</v>
      </c>
      <c r="G9" s="91"/>
      <c r="H9" s="91"/>
      <c r="I9" s="91"/>
      <c r="J9" s="92"/>
    </row>
    <row r="10" spans="1:10" ht="206.25" customHeight="1" x14ac:dyDescent="0.25">
      <c r="A10" s="42">
        <v>2</v>
      </c>
      <c r="B10" s="79">
        <v>43129</v>
      </c>
      <c r="C10" s="89" t="s">
        <v>19</v>
      </c>
      <c r="D10" s="85" t="s">
        <v>22</v>
      </c>
      <c r="E10" s="85" t="s">
        <v>20</v>
      </c>
      <c r="F10" s="90">
        <v>7.6</v>
      </c>
      <c r="G10" s="91"/>
      <c r="H10" s="91"/>
      <c r="I10" s="91"/>
      <c r="J10" s="92"/>
    </row>
    <row r="11" spans="1:10" ht="156.19999999999999" customHeight="1" x14ac:dyDescent="0.25">
      <c r="A11" s="42">
        <v>3</v>
      </c>
      <c r="B11" s="79">
        <v>43130</v>
      </c>
      <c r="C11" s="89" t="s">
        <v>23</v>
      </c>
      <c r="D11" s="85" t="s">
        <v>26</v>
      </c>
      <c r="E11" s="85"/>
      <c r="F11" s="90">
        <v>8</v>
      </c>
      <c r="G11" s="91"/>
      <c r="H11" s="91"/>
      <c r="I11" s="91"/>
      <c r="J11" s="92"/>
    </row>
    <row r="12" spans="1:10" ht="48" x14ac:dyDescent="0.25">
      <c r="A12" s="42">
        <v>4</v>
      </c>
      <c r="B12" s="79">
        <v>43131</v>
      </c>
      <c r="C12" s="89"/>
      <c r="D12" s="85" t="s">
        <v>24</v>
      </c>
      <c r="E12" s="85" t="s">
        <v>25</v>
      </c>
      <c r="F12" s="90">
        <v>14.5</v>
      </c>
      <c r="G12" s="91"/>
      <c r="H12" s="91"/>
      <c r="I12" s="91"/>
      <c r="J12" s="92"/>
    </row>
    <row r="13" spans="1:10" ht="323.25" customHeight="1" x14ac:dyDescent="0.25">
      <c r="A13" s="42">
        <v>5</v>
      </c>
      <c r="B13" s="79">
        <v>43132</v>
      </c>
      <c r="C13" s="89" t="s">
        <v>27</v>
      </c>
      <c r="D13" s="85" t="s">
        <v>29</v>
      </c>
      <c r="E13" s="85" t="s">
        <v>28</v>
      </c>
      <c r="F13" s="90">
        <v>15</v>
      </c>
      <c r="G13" s="91"/>
      <c r="H13" s="91"/>
      <c r="I13" s="91"/>
      <c r="J13" s="92"/>
    </row>
    <row r="14" spans="1:10" ht="36" x14ac:dyDescent="0.25">
      <c r="A14" s="42">
        <v>6</v>
      </c>
      <c r="B14" s="79">
        <v>43133</v>
      </c>
      <c r="C14" s="89" t="s">
        <v>30</v>
      </c>
      <c r="D14" s="85" t="s">
        <v>31</v>
      </c>
      <c r="E14" s="85"/>
      <c r="F14" s="90">
        <v>14.6</v>
      </c>
      <c r="G14" s="91"/>
      <c r="H14" s="91"/>
      <c r="I14" s="91"/>
      <c r="J14" s="92"/>
    </row>
    <row r="15" spans="1:10" ht="72" x14ac:dyDescent="0.25">
      <c r="A15" s="42">
        <v>7</v>
      </c>
      <c r="B15" s="79">
        <v>43134</v>
      </c>
      <c r="C15" s="93" t="s">
        <v>33</v>
      </c>
      <c r="D15" s="85" t="s">
        <v>32</v>
      </c>
      <c r="E15" s="85" t="s">
        <v>35</v>
      </c>
      <c r="F15" s="90">
        <v>11</v>
      </c>
      <c r="G15" s="91"/>
      <c r="H15" s="91"/>
      <c r="I15" s="91"/>
      <c r="J15" s="92"/>
    </row>
    <row r="16" spans="1:10" ht="60" x14ac:dyDescent="0.25">
      <c r="A16" s="42">
        <v>8</v>
      </c>
      <c r="B16" s="79">
        <v>43135</v>
      </c>
      <c r="C16" s="89" t="s">
        <v>34</v>
      </c>
      <c r="D16" s="85" t="s">
        <v>36</v>
      </c>
      <c r="E16" s="85" t="s">
        <v>37</v>
      </c>
      <c r="F16" s="90">
        <v>18.25</v>
      </c>
      <c r="G16" s="91"/>
      <c r="H16" s="91"/>
      <c r="I16" s="91"/>
      <c r="J16" s="92"/>
    </row>
    <row r="17" spans="1:10" ht="36" x14ac:dyDescent="0.25">
      <c r="A17" s="42">
        <v>9</v>
      </c>
      <c r="B17" s="79">
        <v>43136</v>
      </c>
      <c r="C17" s="89" t="s">
        <v>39</v>
      </c>
      <c r="D17" s="85" t="s">
        <v>38</v>
      </c>
      <c r="E17" s="85" t="s">
        <v>41</v>
      </c>
      <c r="F17" s="90">
        <v>18.25</v>
      </c>
      <c r="G17" s="91"/>
      <c r="H17" s="91"/>
      <c r="I17" s="91"/>
      <c r="J17" s="92"/>
    </row>
    <row r="18" spans="1:10" ht="36" x14ac:dyDescent="0.25">
      <c r="A18" s="42">
        <v>10</v>
      </c>
      <c r="B18" s="79">
        <v>43137</v>
      </c>
      <c r="C18" s="89" t="s">
        <v>42</v>
      </c>
      <c r="D18" s="85" t="s">
        <v>43</v>
      </c>
      <c r="E18" s="85" t="s">
        <v>44</v>
      </c>
      <c r="F18" s="90">
        <v>16</v>
      </c>
      <c r="G18" s="91"/>
      <c r="H18" s="91"/>
      <c r="I18" s="91"/>
      <c r="J18" s="92"/>
    </row>
    <row r="19" spans="1:10" ht="48" x14ac:dyDescent="0.25">
      <c r="A19" s="42">
        <v>11</v>
      </c>
      <c r="B19" s="79">
        <v>43138</v>
      </c>
      <c r="C19" s="89" t="s">
        <v>45</v>
      </c>
      <c r="D19" s="85" t="s">
        <v>46</v>
      </c>
      <c r="E19" s="85"/>
      <c r="F19" s="90">
        <v>15</v>
      </c>
      <c r="G19" s="91"/>
      <c r="H19" s="91"/>
      <c r="I19" s="91"/>
      <c r="J19" s="92"/>
    </row>
    <row r="20" spans="1:10" ht="93.75" customHeight="1" x14ac:dyDescent="0.25">
      <c r="A20" s="42">
        <v>12</v>
      </c>
      <c r="B20" s="79">
        <v>43139</v>
      </c>
      <c r="C20" s="89" t="s">
        <v>47</v>
      </c>
      <c r="D20" s="85" t="s">
        <v>48</v>
      </c>
      <c r="E20" s="85"/>
      <c r="F20" s="90">
        <v>16</v>
      </c>
      <c r="G20" s="91"/>
      <c r="H20" s="91"/>
      <c r="I20" s="91"/>
      <c r="J20" s="92"/>
    </row>
    <row r="21" spans="1:10" x14ac:dyDescent="0.25">
      <c r="A21" s="42">
        <v>13</v>
      </c>
      <c r="B21" s="79">
        <v>43140</v>
      </c>
      <c r="C21" s="89"/>
      <c r="D21" s="85" t="s">
        <v>50</v>
      </c>
      <c r="E21" s="85"/>
      <c r="F21" s="90">
        <v>16</v>
      </c>
      <c r="G21" s="91"/>
      <c r="H21" s="91"/>
      <c r="I21" s="91"/>
      <c r="J21" s="92"/>
    </row>
    <row r="22" spans="1:10" ht="69" customHeight="1" x14ac:dyDescent="0.25">
      <c r="A22" s="42">
        <v>14</v>
      </c>
      <c r="B22" s="79">
        <v>43141</v>
      </c>
      <c r="C22" s="89"/>
      <c r="D22" s="85" t="s">
        <v>49</v>
      </c>
      <c r="E22" s="85"/>
      <c r="F22" s="90">
        <v>19</v>
      </c>
      <c r="G22" s="91"/>
      <c r="H22" s="91"/>
      <c r="I22" s="91"/>
      <c r="J22" s="92"/>
    </row>
    <row r="23" spans="1:10" ht="101.45" customHeight="1" x14ac:dyDescent="0.25">
      <c r="A23" s="42">
        <v>15</v>
      </c>
      <c r="B23" s="79">
        <v>43142</v>
      </c>
      <c r="C23" s="89"/>
      <c r="D23" s="85" t="s">
        <v>51</v>
      </c>
      <c r="E23" s="85"/>
      <c r="F23" s="90">
        <v>11</v>
      </c>
      <c r="G23" s="91"/>
      <c r="H23" s="91"/>
      <c r="I23" s="91"/>
      <c r="J23" s="92"/>
    </row>
    <row r="24" spans="1:10" ht="152.25" customHeight="1" x14ac:dyDescent="0.25">
      <c r="A24" s="42">
        <v>16</v>
      </c>
      <c r="B24" s="79">
        <v>43148</v>
      </c>
      <c r="C24" s="89"/>
      <c r="D24" s="85" t="s">
        <v>56</v>
      </c>
      <c r="E24" s="85" t="s">
        <v>58</v>
      </c>
      <c r="F24" s="90">
        <v>16</v>
      </c>
      <c r="G24" s="91"/>
      <c r="H24" s="91"/>
      <c r="I24" s="91"/>
      <c r="J24" s="92"/>
    </row>
    <row r="25" spans="1:10" ht="138.19999999999999" customHeight="1" x14ac:dyDescent="0.25">
      <c r="A25" s="42">
        <v>17</v>
      </c>
      <c r="B25" s="79">
        <v>43149</v>
      </c>
      <c r="C25" s="89" t="s">
        <v>57</v>
      </c>
      <c r="D25" s="85" t="s">
        <v>60</v>
      </c>
      <c r="E25" s="94" t="s">
        <v>59</v>
      </c>
      <c r="F25" s="90">
        <v>16</v>
      </c>
      <c r="G25" s="91"/>
      <c r="H25" s="91"/>
      <c r="I25" s="91"/>
      <c r="J25" s="92"/>
    </row>
    <row r="26" spans="1:10" ht="168" x14ac:dyDescent="0.25">
      <c r="A26" s="42">
        <v>18</v>
      </c>
      <c r="B26" s="79">
        <v>43150</v>
      </c>
      <c r="C26" s="89" t="s">
        <v>63</v>
      </c>
      <c r="D26" s="85" t="s">
        <v>61</v>
      </c>
      <c r="E26" s="85" t="s">
        <v>62</v>
      </c>
      <c r="F26" s="90">
        <v>16</v>
      </c>
      <c r="G26" s="91"/>
      <c r="H26" s="91"/>
      <c r="I26" s="91"/>
      <c r="J26" s="92"/>
    </row>
    <row r="27" spans="1:10" ht="108" customHeight="1" x14ac:dyDescent="0.25">
      <c r="A27" s="42">
        <v>19</v>
      </c>
      <c r="B27" s="79">
        <v>43151</v>
      </c>
      <c r="C27" s="89" t="s">
        <v>64</v>
      </c>
      <c r="D27" s="85" t="s">
        <v>66</v>
      </c>
      <c r="E27" s="85" t="s">
        <v>65</v>
      </c>
      <c r="F27" s="90">
        <v>16</v>
      </c>
      <c r="G27" s="91"/>
      <c r="H27" s="91"/>
      <c r="I27" s="91"/>
      <c r="J27" s="92"/>
    </row>
    <row r="28" spans="1:10" ht="248.1" customHeight="1" x14ac:dyDescent="0.25">
      <c r="A28" s="42">
        <v>20</v>
      </c>
      <c r="B28" s="79">
        <v>43152</v>
      </c>
      <c r="C28" s="89" t="s">
        <v>68</v>
      </c>
      <c r="D28" s="85" t="s">
        <v>69</v>
      </c>
      <c r="E28" s="85" t="s">
        <v>67</v>
      </c>
      <c r="F28" s="90">
        <v>16</v>
      </c>
      <c r="G28" s="91"/>
      <c r="H28" s="91"/>
      <c r="I28" s="91"/>
      <c r="J28" s="92"/>
    </row>
    <row r="29" spans="1:10" ht="74.099999999999994" customHeight="1" x14ac:dyDescent="0.25">
      <c r="A29" s="42">
        <v>21</v>
      </c>
      <c r="B29" s="79">
        <v>43153</v>
      </c>
      <c r="C29" s="89"/>
      <c r="D29" s="85" t="s">
        <v>70</v>
      </c>
      <c r="E29" s="85"/>
      <c r="F29" s="90">
        <v>16</v>
      </c>
      <c r="G29" s="91"/>
      <c r="H29" s="91"/>
      <c r="I29" s="91"/>
      <c r="J29" s="92"/>
    </row>
    <row r="30" spans="1:10" ht="131.25" customHeight="1" x14ac:dyDescent="0.25">
      <c r="A30" s="42">
        <v>22</v>
      </c>
      <c r="B30" s="79">
        <v>43154</v>
      </c>
      <c r="C30" s="89"/>
      <c r="D30" s="85" t="s">
        <v>71</v>
      </c>
      <c r="E30" s="85"/>
      <c r="F30" s="90">
        <v>16</v>
      </c>
      <c r="G30" s="91"/>
      <c r="H30" s="91"/>
      <c r="I30" s="91"/>
      <c r="J30" s="92"/>
    </row>
    <row r="31" spans="1:10" ht="245.45" customHeight="1" x14ac:dyDescent="0.25">
      <c r="A31" s="42">
        <v>23</v>
      </c>
      <c r="B31" s="79">
        <v>43155</v>
      </c>
      <c r="C31" s="89" t="s">
        <v>274</v>
      </c>
      <c r="D31" s="85" t="s">
        <v>276</v>
      </c>
      <c r="E31" s="85" t="s">
        <v>275</v>
      </c>
      <c r="F31" s="90">
        <v>16</v>
      </c>
      <c r="G31" s="91"/>
      <c r="H31" s="91"/>
      <c r="I31" s="91"/>
      <c r="J31" s="92"/>
    </row>
    <row r="32" spans="1:10" ht="162.75" customHeight="1" x14ac:dyDescent="0.25">
      <c r="A32" s="42">
        <v>24</v>
      </c>
      <c r="B32" s="79">
        <v>43156</v>
      </c>
      <c r="C32" s="89" t="s">
        <v>277</v>
      </c>
      <c r="D32" s="85" t="s">
        <v>279</v>
      </c>
      <c r="E32" s="85" t="s">
        <v>278</v>
      </c>
      <c r="F32" s="90"/>
      <c r="G32" s="91"/>
      <c r="H32" s="91"/>
      <c r="I32" s="91"/>
      <c r="J32" s="92"/>
    </row>
    <row r="33" spans="1:10" ht="108" x14ac:dyDescent="0.25">
      <c r="A33" s="42">
        <v>25</v>
      </c>
      <c r="B33" s="79">
        <v>43157</v>
      </c>
      <c r="C33" s="89"/>
      <c r="D33" s="85" t="s">
        <v>288</v>
      </c>
      <c r="E33" s="85"/>
      <c r="F33" s="90"/>
      <c r="G33" s="91"/>
      <c r="H33" s="91"/>
      <c r="I33" s="91"/>
      <c r="J33" s="92"/>
    </row>
    <row r="34" spans="1:10" ht="161.25" customHeight="1" x14ac:dyDescent="0.25">
      <c r="A34" s="42">
        <v>26</v>
      </c>
      <c r="B34" s="79">
        <v>43158</v>
      </c>
      <c r="C34" s="89"/>
      <c r="D34" s="85" t="s">
        <v>292</v>
      </c>
      <c r="E34" s="85" t="s">
        <v>293</v>
      </c>
      <c r="F34" s="90"/>
      <c r="G34" s="91"/>
      <c r="H34" s="91"/>
      <c r="I34" s="91"/>
      <c r="J34" s="92"/>
    </row>
    <row r="35" spans="1:10" ht="129" customHeight="1" x14ac:dyDescent="0.25">
      <c r="A35" s="42">
        <v>27</v>
      </c>
      <c r="B35" s="79">
        <v>43159</v>
      </c>
      <c r="C35" s="89"/>
      <c r="D35" s="85" t="s">
        <v>294</v>
      </c>
      <c r="E35" s="85" t="s">
        <v>295</v>
      </c>
      <c r="F35" s="90"/>
      <c r="G35" s="91"/>
      <c r="H35" s="91"/>
      <c r="I35" s="91"/>
      <c r="J35" s="92"/>
    </row>
    <row r="36" spans="1:10" ht="171.2" customHeight="1" x14ac:dyDescent="0.25">
      <c r="A36" s="42">
        <v>28</v>
      </c>
      <c r="B36" s="79">
        <v>43160</v>
      </c>
      <c r="C36" s="89"/>
      <c r="D36" s="85" t="s">
        <v>297</v>
      </c>
      <c r="E36" s="85" t="s">
        <v>296</v>
      </c>
      <c r="F36" s="90"/>
      <c r="G36" s="91"/>
      <c r="H36" s="91"/>
      <c r="I36" s="91"/>
      <c r="J36" s="92"/>
    </row>
    <row r="37" spans="1:10" ht="36" x14ac:dyDescent="0.25">
      <c r="A37" s="42">
        <v>29</v>
      </c>
      <c r="B37" s="79">
        <v>43161</v>
      </c>
      <c r="C37" s="89"/>
      <c r="D37" s="85" t="s">
        <v>298</v>
      </c>
      <c r="E37" s="85"/>
      <c r="F37" s="90"/>
      <c r="G37" s="91"/>
      <c r="H37" s="91"/>
      <c r="I37" s="91"/>
      <c r="J37" s="92"/>
    </row>
    <row r="38" spans="1:10" ht="114" customHeight="1" x14ac:dyDescent="0.25">
      <c r="A38" s="42">
        <v>30</v>
      </c>
      <c r="B38" s="79">
        <v>43162</v>
      </c>
      <c r="C38" s="89" t="s">
        <v>301</v>
      </c>
      <c r="D38" s="85" t="s">
        <v>299</v>
      </c>
      <c r="E38" s="94" t="s">
        <v>300</v>
      </c>
      <c r="F38" s="90"/>
      <c r="G38" s="91"/>
      <c r="H38" s="91"/>
      <c r="I38" s="91"/>
      <c r="J38" s="92"/>
    </row>
    <row r="39" spans="1:10" ht="189.95" customHeight="1" x14ac:dyDescent="0.25">
      <c r="A39" s="42">
        <v>31</v>
      </c>
      <c r="B39" s="79">
        <v>43163</v>
      </c>
      <c r="C39" s="89"/>
      <c r="D39" s="85" t="s">
        <v>302</v>
      </c>
      <c r="E39" s="94" t="s">
        <v>303</v>
      </c>
      <c r="F39" s="90"/>
      <c r="G39" s="91"/>
      <c r="H39" s="91"/>
      <c r="I39" s="91"/>
      <c r="J39" s="92"/>
    </row>
    <row r="40" spans="1:10" ht="209.45" customHeight="1" x14ac:dyDescent="0.25">
      <c r="A40" s="42">
        <v>32</v>
      </c>
      <c r="B40" s="79">
        <v>43164</v>
      </c>
      <c r="C40" s="89"/>
      <c r="D40" s="85" t="s">
        <v>304</v>
      </c>
      <c r="E40" s="94" t="s">
        <v>303</v>
      </c>
      <c r="F40" s="90"/>
      <c r="G40" s="91"/>
      <c r="H40" s="91"/>
      <c r="I40" s="91"/>
      <c r="J40" s="92"/>
    </row>
    <row r="41" spans="1:10" ht="123.75" customHeight="1" x14ac:dyDescent="0.25">
      <c r="A41" s="42">
        <v>33</v>
      </c>
      <c r="B41" s="79">
        <v>43165</v>
      </c>
      <c r="C41" s="89"/>
      <c r="D41" s="85" t="s">
        <v>326</v>
      </c>
      <c r="E41" s="94" t="s">
        <v>303</v>
      </c>
      <c r="F41" s="90"/>
      <c r="G41" s="91"/>
      <c r="H41" s="91"/>
      <c r="I41" s="91"/>
      <c r="J41" s="92"/>
    </row>
    <row r="42" spans="1:10" ht="60" customHeight="1" x14ac:dyDescent="0.25">
      <c r="A42" s="42">
        <v>34</v>
      </c>
      <c r="B42" s="79">
        <v>43166</v>
      </c>
      <c r="C42" s="89"/>
      <c r="D42" s="85" t="s">
        <v>327</v>
      </c>
      <c r="E42" s="94" t="s">
        <v>303</v>
      </c>
      <c r="F42" s="90"/>
      <c r="G42" s="91"/>
      <c r="H42" s="91"/>
      <c r="I42" s="91"/>
      <c r="J42" s="92"/>
    </row>
    <row r="43" spans="1:10" x14ac:dyDescent="0.25">
      <c r="A43" s="42">
        <v>35</v>
      </c>
      <c r="B43" s="79">
        <v>43167</v>
      </c>
      <c r="C43" s="89"/>
      <c r="D43" s="85" t="s">
        <v>332</v>
      </c>
      <c r="E43" s="94" t="s">
        <v>303</v>
      </c>
      <c r="F43" s="90"/>
      <c r="G43" s="91"/>
      <c r="H43" s="91"/>
      <c r="I43" s="91"/>
      <c r="J43" s="92"/>
    </row>
    <row r="44" spans="1:10" ht="85.5" customHeight="1" x14ac:dyDescent="0.25">
      <c r="A44" s="42">
        <v>36</v>
      </c>
      <c r="B44" s="79">
        <v>43168</v>
      </c>
      <c r="C44" s="89"/>
      <c r="D44" s="85" t="s">
        <v>333</v>
      </c>
      <c r="E44" s="94" t="s">
        <v>303</v>
      </c>
      <c r="F44" s="90"/>
      <c r="G44" s="91"/>
      <c r="H44" s="91"/>
      <c r="I44" s="91"/>
      <c r="J44" s="92"/>
    </row>
    <row r="45" spans="1:10" ht="120" x14ac:dyDescent="0.25">
      <c r="A45" s="42">
        <v>37</v>
      </c>
      <c r="B45" s="79">
        <v>43169</v>
      </c>
      <c r="C45" s="89"/>
      <c r="D45" s="85" t="s">
        <v>335</v>
      </c>
      <c r="E45" s="94" t="s">
        <v>303</v>
      </c>
      <c r="F45" s="90"/>
      <c r="G45" s="91"/>
      <c r="H45" s="91"/>
      <c r="I45" s="91"/>
      <c r="J45" s="92"/>
    </row>
    <row r="46" spans="1:10" ht="85.5" customHeight="1" x14ac:dyDescent="0.25">
      <c r="A46" s="42">
        <v>38</v>
      </c>
      <c r="B46" s="79">
        <v>43170</v>
      </c>
      <c r="C46" s="89"/>
      <c r="D46" s="85" t="s">
        <v>336</v>
      </c>
      <c r="E46" s="94" t="s">
        <v>337</v>
      </c>
      <c r="F46" s="90"/>
      <c r="G46" s="91"/>
      <c r="H46" s="91"/>
      <c r="I46" s="91"/>
      <c r="J46" s="92"/>
    </row>
    <row r="47" spans="1:10" ht="102.2" customHeight="1" x14ac:dyDescent="0.25">
      <c r="A47" s="42">
        <v>39</v>
      </c>
      <c r="B47" s="79">
        <v>43171</v>
      </c>
      <c r="C47" s="89"/>
      <c r="D47" s="85" t="s">
        <v>338</v>
      </c>
      <c r="E47" s="85"/>
      <c r="F47" s="90"/>
      <c r="G47" s="91"/>
      <c r="H47" s="91"/>
      <c r="I47" s="91"/>
      <c r="J47" s="92"/>
    </row>
    <row r="48" spans="1:10" ht="183" customHeight="1" x14ac:dyDescent="0.25">
      <c r="A48" s="42">
        <v>40</v>
      </c>
      <c r="B48" s="79">
        <v>43172</v>
      </c>
      <c r="C48" s="89"/>
      <c r="D48" s="85" t="s">
        <v>341</v>
      </c>
      <c r="E48" s="85" t="s">
        <v>339</v>
      </c>
      <c r="F48" s="90"/>
      <c r="G48" s="91"/>
      <c r="H48" s="91"/>
      <c r="I48" s="91"/>
      <c r="J48" s="92"/>
    </row>
    <row r="49" spans="1:10" ht="69" customHeight="1" x14ac:dyDescent="0.25">
      <c r="A49" s="42">
        <v>41</v>
      </c>
      <c r="B49" s="79">
        <v>43173</v>
      </c>
      <c r="C49" s="89"/>
      <c r="D49" s="85" t="s">
        <v>342</v>
      </c>
      <c r="E49" s="85"/>
      <c r="F49" s="90"/>
      <c r="G49" s="91"/>
      <c r="H49" s="91"/>
      <c r="I49" s="91"/>
      <c r="J49" s="92"/>
    </row>
    <row r="50" spans="1:10" s="150" customFormat="1" ht="174.75" customHeight="1" x14ac:dyDescent="0.25">
      <c r="A50" s="42">
        <v>42</v>
      </c>
      <c r="B50" s="151">
        <v>43174</v>
      </c>
      <c r="C50" s="152"/>
      <c r="D50" s="153" t="s">
        <v>343</v>
      </c>
      <c r="E50" s="157" t="s">
        <v>415</v>
      </c>
      <c r="F50" s="154"/>
      <c r="G50" s="155"/>
      <c r="H50" s="155"/>
      <c r="I50" s="155"/>
      <c r="J50" s="156"/>
    </row>
    <row r="51" spans="1:10" ht="108" customHeight="1" x14ac:dyDescent="0.25">
      <c r="A51" s="42">
        <v>43</v>
      </c>
      <c r="B51" s="79">
        <v>43175</v>
      </c>
      <c r="C51" s="89"/>
      <c r="D51" s="85" t="s">
        <v>344</v>
      </c>
      <c r="E51" s="85"/>
      <c r="F51" s="90"/>
      <c r="G51" s="91"/>
      <c r="H51" s="91"/>
      <c r="I51" s="91"/>
      <c r="J51" s="92"/>
    </row>
    <row r="52" spans="1:10" ht="120.2" customHeight="1" x14ac:dyDescent="0.25">
      <c r="A52" s="42">
        <v>44</v>
      </c>
      <c r="B52" s="79">
        <v>43176</v>
      </c>
      <c r="C52" s="89"/>
      <c r="D52" s="85" t="s">
        <v>345</v>
      </c>
      <c r="E52" s="85"/>
      <c r="F52" s="90"/>
      <c r="G52" s="91"/>
      <c r="H52" s="91"/>
      <c r="I52" s="91"/>
      <c r="J52" s="92"/>
    </row>
    <row r="53" spans="1:10" ht="139.5" customHeight="1" x14ac:dyDescent="0.25">
      <c r="A53" s="42">
        <v>45</v>
      </c>
      <c r="B53" s="79">
        <v>43177</v>
      </c>
      <c r="C53" s="89"/>
      <c r="D53" s="85" t="s">
        <v>346</v>
      </c>
      <c r="E53" s="85"/>
      <c r="F53" s="90"/>
      <c r="G53" s="91"/>
      <c r="H53" s="91"/>
      <c r="I53" s="91"/>
      <c r="J53" s="92"/>
    </row>
    <row r="54" spans="1:10" ht="24" x14ac:dyDescent="0.25">
      <c r="A54" s="42">
        <v>46</v>
      </c>
      <c r="B54" s="79">
        <v>43178</v>
      </c>
      <c r="C54" s="89"/>
      <c r="D54" s="85" t="s">
        <v>347</v>
      </c>
      <c r="E54" s="85"/>
      <c r="F54" s="90"/>
      <c r="G54" s="91"/>
      <c r="H54" s="91"/>
      <c r="I54" s="91"/>
      <c r="J54" s="92"/>
    </row>
    <row r="55" spans="1:10" ht="132" x14ac:dyDescent="0.25">
      <c r="A55" s="42">
        <v>47</v>
      </c>
      <c r="B55" s="79">
        <v>43179</v>
      </c>
      <c r="C55" s="89"/>
      <c r="D55" s="85" t="s">
        <v>348</v>
      </c>
      <c r="E55" s="85" t="s">
        <v>349</v>
      </c>
      <c r="F55" s="90"/>
      <c r="G55" s="91"/>
      <c r="H55" s="91"/>
      <c r="I55" s="91"/>
      <c r="J55" s="92"/>
    </row>
    <row r="56" spans="1:10" ht="227.45" customHeight="1" x14ac:dyDescent="0.25">
      <c r="A56" s="42">
        <v>48</v>
      </c>
      <c r="B56" s="79">
        <v>43180</v>
      </c>
      <c r="C56" s="89"/>
      <c r="D56" s="85" t="s">
        <v>350</v>
      </c>
      <c r="E56" s="85" t="s">
        <v>351</v>
      </c>
      <c r="F56" s="90"/>
      <c r="G56" s="91"/>
      <c r="H56" s="91"/>
      <c r="I56" s="91"/>
      <c r="J56" s="92"/>
    </row>
    <row r="57" spans="1:10" ht="151.5" customHeight="1" x14ac:dyDescent="0.25">
      <c r="A57" s="42">
        <v>49</v>
      </c>
      <c r="B57" s="79">
        <v>43181</v>
      </c>
      <c r="C57" s="89"/>
      <c r="D57" s="85" t="s">
        <v>352</v>
      </c>
      <c r="E57" s="85" t="s">
        <v>353</v>
      </c>
      <c r="F57" s="90"/>
      <c r="G57" s="91"/>
      <c r="H57" s="91"/>
      <c r="I57" s="91"/>
      <c r="J57" s="92"/>
    </row>
    <row r="58" spans="1:10" ht="409.5" customHeight="1" x14ac:dyDescent="0.25">
      <c r="A58" s="42">
        <v>50</v>
      </c>
      <c r="B58" s="79">
        <v>43182</v>
      </c>
      <c r="C58" s="89"/>
      <c r="D58" s="85" t="s">
        <v>354</v>
      </c>
      <c r="E58" s="85" t="s">
        <v>355</v>
      </c>
      <c r="F58" s="90"/>
      <c r="G58" s="91"/>
      <c r="H58" s="91"/>
      <c r="I58" s="91"/>
      <c r="J58" s="92"/>
    </row>
    <row r="59" spans="1:10" ht="146.25" customHeight="1" x14ac:dyDescent="0.25">
      <c r="A59" s="42">
        <v>51</v>
      </c>
      <c r="B59" s="79">
        <v>43183</v>
      </c>
      <c r="C59" s="89"/>
      <c r="D59" s="85" t="s">
        <v>356</v>
      </c>
      <c r="E59" s="85" t="s">
        <v>357</v>
      </c>
      <c r="F59" s="90"/>
      <c r="G59" s="91"/>
      <c r="H59" s="91"/>
      <c r="I59" s="91"/>
      <c r="J59" s="92"/>
    </row>
    <row r="60" spans="1:10" ht="147.75" customHeight="1" x14ac:dyDescent="0.25">
      <c r="A60" s="42">
        <v>52</v>
      </c>
      <c r="B60" s="79">
        <v>43184</v>
      </c>
      <c r="C60" s="89"/>
      <c r="D60" s="85" t="s">
        <v>366</v>
      </c>
      <c r="E60" s="85" t="s">
        <v>358</v>
      </c>
      <c r="F60" s="90"/>
      <c r="G60" s="91"/>
      <c r="H60" s="91"/>
      <c r="I60" s="91"/>
      <c r="J60" s="92"/>
    </row>
    <row r="61" spans="1:10" ht="63.2" customHeight="1" x14ac:dyDescent="0.25">
      <c r="A61" s="42">
        <v>53</v>
      </c>
      <c r="B61" s="79">
        <v>43185</v>
      </c>
      <c r="C61" s="89"/>
      <c r="D61" s="85" t="s">
        <v>359</v>
      </c>
      <c r="E61" s="85"/>
      <c r="F61" s="90"/>
      <c r="G61" s="91"/>
      <c r="H61" s="91"/>
      <c r="I61" s="91"/>
      <c r="J61" s="92"/>
    </row>
    <row r="62" spans="1:10" x14ac:dyDescent="0.25">
      <c r="A62" s="42">
        <v>54</v>
      </c>
      <c r="B62" s="79">
        <v>43186</v>
      </c>
      <c r="C62" s="146"/>
      <c r="D62" s="147"/>
      <c r="E62" s="147"/>
      <c r="F62" s="148"/>
      <c r="G62" s="91"/>
      <c r="H62" s="91"/>
      <c r="I62" s="91"/>
      <c r="J62" s="92"/>
    </row>
    <row r="63" spans="1:10" x14ac:dyDescent="0.25">
      <c r="A63" s="42">
        <v>55</v>
      </c>
      <c r="B63" s="79">
        <v>43187</v>
      </c>
      <c r="C63" s="146"/>
      <c r="D63" s="147" t="s">
        <v>368</v>
      </c>
      <c r="E63" s="147"/>
      <c r="F63" s="148"/>
      <c r="G63" s="91"/>
      <c r="H63" s="91"/>
      <c r="I63" s="91"/>
      <c r="J63" s="92"/>
    </row>
    <row r="64" spans="1:10" x14ac:dyDescent="0.25">
      <c r="A64" s="42">
        <v>56</v>
      </c>
      <c r="B64" s="79">
        <v>43188</v>
      </c>
      <c r="C64" s="146"/>
      <c r="D64" s="147"/>
      <c r="E64" s="147"/>
      <c r="F64" s="148"/>
      <c r="G64" s="91"/>
      <c r="H64" s="91"/>
      <c r="I64" s="91"/>
      <c r="J64" s="92"/>
    </row>
    <row r="65" spans="1:10" ht="204" customHeight="1" x14ac:dyDescent="0.25">
      <c r="A65" s="42">
        <v>57</v>
      </c>
      <c r="B65" s="79">
        <v>43189</v>
      </c>
      <c r="C65" s="89"/>
      <c r="D65" s="85" t="s">
        <v>360</v>
      </c>
      <c r="E65" s="85"/>
      <c r="F65" s="90"/>
      <c r="G65" s="91"/>
      <c r="H65" s="91"/>
      <c r="I65" s="91"/>
      <c r="J65" s="92"/>
    </row>
    <row r="66" spans="1:10" ht="181.5" customHeight="1" x14ac:dyDescent="0.25">
      <c r="A66" s="42">
        <v>58</v>
      </c>
      <c r="B66" s="79">
        <v>43190</v>
      </c>
      <c r="C66" s="89" t="s">
        <v>363</v>
      </c>
      <c r="D66" s="85" t="s">
        <v>361</v>
      </c>
      <c r="E66" s="85" t="s">
        <v>362</v>
      </c>
      <c r="F66" s="90"/>
      <c r="G66" s="91"/>
      <c r="H66" s="91"/>
      <c r="I66" s="91"/>
      <c r="J66" s="92"/>
    </row>
    <row r="67" spans="1:10" ht="299.45" customHeight="1" x14ac:dyDescent="0.25">
      <c r="A67" s="42">
        <v>59</v>
      </c>
      <c r="B67" s="79">
        <v>43191</v>
      </c>
      <c r="C67" s="89" t="s">
        <v>364</v>
      </c>
      <c r="D67" s="85" t="s">
        <v>365</v>
      </c>
      <c r="E67" s="85" t="s">
        <v>367</v>
      </c>
      <c r="F67" s="90"/>
      <c r="G67" s="91"/>
      <c r="H67" s="91"/>
      <c r="I67" s="91"/>
      <c r="J67" s="92"/>
    </row>
    <row r="68" spans="1:10" ht="24" x14ac:dyDescent="0.25">
      <c r="A68" s="42">
        <v>60</v>
      </c>
      <c r="B68" s="79">
        <v>43192</v>
      </c>
      <c r="C68" s="89"/>
      <c r="D68" s="85" t="s">
        <v>369</v>
      </c>
      <c r="E68" s="85"/>
      <c r="F68" s="90"/>
      <c r="G68" s="91"/>
      <c r="H68" s="91"/>
      <c r="I68" s="91"/>
      <c r="J68" s="92"/>
    </row>
    <row r="69" spans="1:10" ht="201.75" customHeight="1" x14ac:dyDescent="0.25">
      <c r="A69" s="42">
        <v>61</v>
      </c>
      <c r="B69" s="79">
        <v>43193</v>
      </c>
      <c r="C69" s="89" t="s">
        <v>372</v>
      </c>
      <c r="D69" s="85" t="s">
        <v>370</v>
      </c>
      <c r="E69" s="85" t="s">
        <v>371</v>
      </c>
      <c r="F69" s="90"/>
      <c r="G69" s="91"/>
      <c r="H69" s="91"/>
      <c r="I69" s="91"/>
      <c r="J69" s="92"/>
    </row>
    <row r="70" spans="1:10" ht="96" x14ac:dyDescent="0.25">
      <c r="A70" s="42">
        <v>62</v>
      </c>
      <c r="B70" s="79">
        <v>43194</v>
      </c>
      <c r="C70" s="89"/>
      <c r="D70" s="85"/>
      <c r="E70" s="85" t="s">
        <v>373</v>
      </c>
      <c r="F70" s="90"/>
      <c r="G70" s="91"/>
      <c r="H70" s="91"/>
      <c r="I70" s="91"/>
      <c r="J70" s="92"/>
    </row>
    <row r="71" spans="1:10" ht="48" x14ac:dyDescent="0.25">
      <c r="A71" s="42">
        <v>63</v>
      </c>
      <c r="B71" s="79">
        <v>43195</v>
      </c>
      <c r="C71" s="89"/>
      <c r="D71" s="85" t="s">
        <v>374</v>
      </c>
      <c r="E71" s="85"/>
      <c r="F71" s="90"/>
      <c r="G71" s="91"/>
      <c r="H71" s="91"/>
      <c r="I71" s="91"/>
      <c r="J71" s="92"/>
    </row>
    <row r="72" spans="1:10" ht="24" x14ac:dyDescent="0.25">
      <c r="A72" s="42">
        <v>64</v>
      </c>
      <c r="B72" s="79">
        <v>43196</v>
      </c>
      <c r="C72" s="89"/>
      <c r="D72" s="85" t="s">
        <v>375</v>
      </c>
      <c r="E72" s="85"/>
      <c r="F72" s="90"/>
      <c r="G72" s="91"/>
      <c r="H72" s="91"/>
      <c r="I72" s="91"/>
      <c r="J72" s="92"/>
    </row>
    <row r="73" spans="1:10" ht="36" x14ac:dyDescent="0.25">
      <c r="A73" s="42">
        <v>65</v>
      </c>
      <c r="B73" s="79">
        <v>43197</v>
      </c>
      <c r="C73" s="89"/>
      <c r="D73" s="85" t="s">
        <v>376</v>
      </c>
      <c r="E73" s="85"/>
      <c r="F73" s="90"/>
      <c r="G73" s="91"/>
      <c r="H73" s="91"/>
      <c r="I73" s="91"/>
      <c r="J73" s="92"/>
    </row>
    <row r="74" spans="1:10" ht="96" x14ac:dyDescent="0.25">
      <c r="A74" s="42">
        <v>66</v>
      </c>
      <c r="B74" s="79">
        <v>43198</v>
      </c>
      <c r="C74" s="89"/>
      <c r="D74" s="85" t="s">
        <v>377</v>
      </c>
      <c r="E74" s="85"/>
      <c r="F74" s="90"/>
      <c r="G74" s="91"/>
      <c r="H74" s="91"/>
      <c r="I74" s="91"/>
      <c r="J74" s="92"/>
    </row>
    <row r="75" spans="1:10" ht="408" x14ac:dyDescent="0.25">
      <c r="A75" s="42">
        <v>67</v>
      </c>
      <c r="B75" s="79">
        <v>43199</v>
      </c>
      <c r="C75" s="89" t="s">
        <v>378</v>
      </c>
      <c r="D75" s="85" t="s">
        <v>379</v>
      </c>
      <c r="E75" s="85" t="s">
        <v>380</v>
      </c>
      <c r="F75" s="90"/>
      <c r="G75" s="91"/>
      <c r="H75" s="91"/>
      <c r="I75" s="91"/>
      <c r="J75" s="92"/>
    </row>
    <row r="76" spans="1:10" ht="48" x14ac:dyDescent="0.25">
      <c r="A76" s="42">
        <v>68</v>
      </c>
      <c r="B76" s="79">
        <v>43200</v>
      </c>
      <c r="C76" s="89"/>
      <c r="D76" s="85" t="s">
        <v>381</v>
      </c>
      <c r="E76" s="85"/>
      <c r="F76" s="90"/>
      <c r="G76" s="91"/>
      <c r="H76" s="91"/>
      <c r="I76" s="91"/>
      <c r="J76" s="92"/>
    </row>
    <row r="77" spans="1:10" ht="132" x14ac:dyDescent="0.25">
      <c r="A77" s="42">
        <v>69</v>
      </c>
      <c r="B77" s="79">
        <v>43201</v>
      </c>
      <c r="C77" s="89"/>
      <c r="D77" s="85" t="s">
        <v>382</v>
      </c>
      <c r="E77" s="85" t="s">
        <v>383</v>
      </c>
      <c r="F77" s="90"/>
      <c r="G77" s="91"/>
      <c r="H77" s="91"/>
      <c r="I77" s="91"/>
      <c r="J77" s="92"/>
    </row>
    <row r="78" spans="1:10" ht="72" x14ac:dyDescent="0.25">
      <c r="A78" s="42">
        <v>70</v>
      </c>
      <c r="B78" s="79">
        <v>43202</v>
      </c>
      <c r="C78" s="89"/>
      <c r="D78" s="85" t="s">
        <v>384</v>
      </c>
      <c r="E78" s="85" t="s">
        <v>385</v>
      </c>
      <c r="F78" s="90"/>
      <c r="G78" s="91"/>
      <c r="H78" s="91"/>
      <c r="I78" s="91"/>
      <c r="J78" s="92"/>
    </row>
    <row r="79" spans="1:10" x14ac:dyDescent="0.25">
      <c r="A79" s="42">
        <v>71</v>
      </c>
      <c r="B79" s="79">
        <v>43203</v>
      </c>
      <c r="C79" s="89"/>
      <c r="D79" s="85"/>
      <c r="E79" s="85" t="s">
        <v>386</v>
      </c>
      <c r="F79" s="90"/>
      <c r="G79" s="91"/>
      <c r="H79" s="91"/>
      <c r="I79" s="91"/>
      <c r="J79" s="92"/>
    </row>
    <row r="80" spans="1:10" x14ac:dyDescent="0.25">
      <c r="A80" s="42">
        <v>72</v>
      </c>
      <c r="B80" s="79">
        <v>43204</v>
      </c>
      <c r="C80" s="89"/>
      <c r="D80" s="85"/>
      <c r="E80" s="85"/>
      <c r="F80" s="90"/>
      <c r="G80" s="91"/>
      <c r="H80" s="91"/>
      <c r="I80" s="91"/>
      <c r="J80" s="92"/>
    </row>
    <row r="81" spans="1:10" ht="96" x14ac:dyDescent="0.25">
      <c r="A81" s="42">
        <v>73</v>
      </c>
      <c r="B81" s="79">
        <v>43205</v>
      </c>
      <c r="C81" s="89"/>
      <c r="D81" s="85"/>
      <c r="E81" s="85" t="s">
        <v>387</v>
      </c>
      <c r="F81" s="90"/>
      <c r="G81" s="91"/>
      <c r="H81" s="91"/>
      <c r="I81" s="91"/>
      <c r="J81" s="92"/>
    </row>
    <row r="82" spans="1:10" ht="24" x14ac:dyDescent="0.25">
      <c r="A82" s="42">
        <v>74</v>
      </c>
      <c r="B82" s="79">
        <v>43206</v>
      </c>
      <c r="C82" s="89"/>
      <c r="D82" s="85"/>
      <c r="E82" s="85" t="s">
        <v>388</v>
      </c>
      <c r="F82" s="90"/>
      <c r="G82" s="91"/>
      <c r="H82" s="91"/>
      <c r="I82" s="91"/>
      <c r="J82" s="92"/>
    </row>
    <row r="83" spans="1:10" ht="162.6" customHeight="1" x14ac:dyDescent="0.25">
      <c r="A83" s="42">
        <v>75</v>
      </c>
      <c r="B83" s="79">
        <v>43207</v>
      </c>
      <c r="C83" s="89" t="s">
        <v>393</v>
      </c>
      <c r="D83" s="85" t="s">
        <v>391</v>
      </c>
      <c r="E83" s="85"/>
      <c r="F83" s="90"/>
      <c r="G83" s="91"/>
      <c r="H83" s="91"/>
      <c r="I83" s="91"/>
      <c r="J83" s="92"/>
    </row>
    <row r="84" spans="1:10" x14ac:dyDescent="0.25">
      <c r="A84" s="42">
        <v>76</v>
      </c>
      <c r="B84" s="79">
        <v>43208</v>
      </c>
      <c r="C84" s="89"/>
      <c r="D84" s="85" t="s">
        <v>398</v>
      </c>
      <c r="E84" s="85"/>
      <c r="F84" s="90"/>
      <c r="G84" s="91"/>
      <c r="H84" s="91"/>
      <c r="I84" s="91"/>
      <c r="J84" s="92"/>
    </row>
    <row r="85" spans="1:10" ht="96" x14ac:dyDescent="0.25">
      <c r="A85" s="42">
        <v>77</v>
      </c>
      <c r="B85" s="79">
        <v>43209</v>
      </c>
      <c r="C85" s="89" t="s">
        <v>400</v>
      </c>
      <c r="D85" s="85" t="s">
        <v>402</v>
      </c>
      <c r="E85" s="85" t="s">
        <v>401</v>
      </c>
      <c r="F85" s="90"/>
      <c r="G85" s="91"/>
      <c r="H85" s="91"/>
      <c r="I85" s="91"/>
      <c r="J85" s="92"/>
    </row>
    <row r="86" spans="1:10" ht="144" x14ac:dyDescent="0.25">
      <c r="A86" s="42">
        <v>78</v>
      </c>
      <c r="B86" s="79">
        <v>43210</v>
      </c>
      <c r="C86" s="89" t="s">
        <v>405</v>
      </c>
      <c r="D86" s="85" t="s">
        <v>403</v>
      </c>
      <c r="E86" s="85" t="s">
        <v>404</v>
      </c>
      <c r="F86" s="90"/>
      <c r="G86" s="91"/>
      <c r="H86" s="91"/>
      <c r="I86" s="91"/>
      <c r="J86" s="92"/>
    </row>
    <row r="87" spans="1:10" x14ac:dyDescent="0.25">
      <c r="A87" s="42">
        <v>79</v>
      </c>
      <c r="B87" s="79">
        <v>43211</v>
      </c>
      <c r="C87" s="89"/>
      <c r="D87" s="85"/>
      <c r="E87" s="85"/>
      <c r="F87" s="90"/>
      <c r="G87" s="91"/>
      <c r="H87" s="91"/>
      <c r="I87" s="91"/>
      <c r="J87" s="92"/>
    </row>
    <row r="88" spans="1:10" x14ac:dyDescent="0.25">
      <c r="A88" s="42">
        <v>80</v>
      </c>
      <c r="B88" s="79">
        <v>43212</v>
      </c>
      <c r="C88" s="89"/>
      <c r="D88" s="85"/>
      <c r="E88" s="85"/>
      <c r="F88" s="90"/>
      <c r="G88" s="91"/>
      <c r="H88" s="91"/>
      <c r="I88" s="91"/>
      <c r="J88" s="92"/>
    </row>
    <row r="89" spans="1:10" ht="60" x14ac:dyDescent="0.25">
      <c r="A89" s="42">
        <v>81</v>
      </c>
      <c r="B89" s="79">
        <v>43213</v>
      </c>
      <c r="C89" s="89"/>
      <c r="D89" s="85"/>
      <c r="E89" s="149" t="s">
        <v>406</v>
      </c>
      <c r="F89" s="90"/>
      <c r="G89" s="91"/>
      <c r="H89" s="91"/>
      <c r="I89" s="91"/>
      <c r="J89" s="92"/>
    </row>
    <row r="90" spans="1:10" ht="409.5" x14ac:dyDescent="0.25">
      <c r="A90" s="42">
        <v>82</v>
      </c>
      <c r="B90" s="79">
        <v>43214</v>
      </c>
      <c r="C90" s="89" t="s">
        <v>408</v>
      </c>
      <c r="D90" s="85" t="s">
        <v>407</v>
      </c>
      <c r="E90" s="85" t="s">
        <v>409</v>
      </c>
      <c r="F90" s="90"/>
      <c r="G90" s="91"/>
      <c r="H90" s="91"/>
      <c r="I90" s="91"/>
      <c r="J90" s="92"/>
    </row>
    <row r="91" spans="1:10" ht="36" x14ac:dyDescent="0.25">
      <c r="A91" s="42">
        <v>83</v>
      </c>
      <c r="B91" s="79">
        <v>43215</v>
      </c>
      <c r="C91" s="89"/>
      <c r="D91" s="85"/>
      <c r="E91" s="85" t="s">
        <v>410</v>
      </c>
      <c r="F91" s="90"/>
      <c r="G91" s="91"/>
      <c r="H91" s="91"/>
      <c r="I91" s="91"/>
      <c r="J91" s="92"/>
    </row>
    <row r="92" spans="1:10" ht="74.25" customHeight="1" x14ac:dyDescent="0.25">
      <c r="A92" s="42">
        <v>84</v>
      </c>
      <c r="B92" s="79">
        <v>43216</v>
      </c>
      <c r="C92" s="89" t="s">
        <v>413</v>
      </c>
      <c r="D92" s="85" t="s">
        <v>412</v>
      </c>
      <c r="E92" s="85" t="s">
        <v>411</v>
      </c>
      <c r="F92" s="90"/>
      <c r="G92" s="91"/>
      <c r="H92" s="91"/>
      <c r="I92" s="91"/>
      <c r="J92" s="92"/>
    </row>
    <row r="93" spans="1:10" x14ac:dyDescent="0.25">
      <c r="A93" s="42">
        <v>85</v>
      </c>
      <c r="B93" s="79">
        <v>43217</v>
      </c>
      <c r="C93" s="89"/>
      <c r="D93" s="85"/>
      <c r="E93" s="85"/>
      <c r="F93" s="90"/>
      <c r="G93" s="91"/>
      <c r="H93" s="91"/>
      <c r="I93" s="91"/>
      <c r="J93" s="92"/>
    </row>
    <row r="94" spans="1:10" ht="132" x14ac:dyDescent="0.25">
      <c r="A94" s="42">
        <v>86</v>
      </c>
      <c r="B94" s="79">
        <v>43218</v>
      </c>
      <c r="C94" s="89"/>
      <c r="D94" s="85" t="s">
        <v>414</v>
      </c>
      <c r="E94" s="85"/>
      <c r="F94" s="90"/>
      <c r="G94" s="91"/>
      <c r="H94" s="91"/>
      <c r="I94" s="91"/>
      <c r="J94" s="92"/>
    </row>
    <row r="95" spans="1:10" ht="144" x14ac:dyDescent="0.25">
      <c r="A95" s="42">
        <v>87</v>
      </c>
      <c r="B95" s="79">
        <v>43219</v>
      </c>
      <c r="C95" s="89"/>
      <c r="D95" s="85" t="s">
        <v>416</v>
      </c>
      <c r="E95" s="85" t="s">
        <v>417</v>
      </c>
      <c r="F95" s="90"/>
      <c r="G95" s="91"/>
      <c r="H95" s="91"/>
      <c r="I95" s="91"/>
      <c r="J95" s="92"/>
    </row>
    <row r="96" spans="1:10" ht="60" x14ac:dyDescent="0.25">
      <c r="A96" s="42">
        <v>88</v>
      </c>
      <c r="B96" s="79">
        <v>43220</v>
      </c>
      <c r="C96" s="89"/>
      <c r="D96" s="85" t="s">
        <v>418</v>
      </c>
      <c r="E96" s="85"/>
      <c r="F96" s="90"/>
      <c r="G96" s="91"/>
      <c r="H96" s="91"/>
      <c r="I96" s="91"/>
      <c r="J96" s="92"/>
    </row>
    <row r="97" spans="1:10" ht="48" x14ac:dyDescent="0.25">
      <c r="A97" s="42">
        <v>89</v>
      </c>
      <c r="B97" s="79">
        <v>43221</v>
      </c>
      <c r="C97" s="89"/>
      <c r="D97" s="85" t="s">
        <v>419</v>
      </c>
      <c r="E97" s="158" t="s">
        <v>420</v>
      </c>
      <c r="F97" s="90"/>
      <c r="G97" s="91"/>
      <c r="H97" s="91"/>
      <c r="I97" s="91"/>
      <c r="J97" s="92"/>
    </row>
    <row r="98" spans="1:10" ht="36" x14ac:dyDescent="0.25">
      <c r="A98" s="42">
        <v>90</v>
      </c>
      <c r="B98" s="79">
        <v>43222</v>
      </c>
      <c r="C98" s="89"/>
      <c r="D98" s="85" t="s">
        <v>421</v>
      </c>
      <c r="E98" s="85" t="s">
        <v>422</v>
      </c>
      <c r="F98" s="90"/>
      <c r="G98" s="91"/>
      <c r="H98" s="91"/>
      <c r="I98" s="91"/>
      <c r="J98" s="92"/>
    </row>
    <row r="99" spans="1:10" x14ac:dyDescent="0.25">
      <c r="A99" s="42">
        <v>91</v>
      </c>
      <c r="B99" s="79">
        <v>43223</v>
      </c>
      <c r="C99" s="89"/>
      <c r="D99" s="85" t="s">
        <v>423</v>
      </c>
      <c r="E99" s="85"/>
      <c r="F99" s="90"/>
      <c r="G99" s="91"/>
      <c r="H99" s="91"/>
      <c r="I99" s="91"/>
      <c r="J99" s="92"/>
    </row>
    <row r="100" spans="1:10" ht="36" x14ac:dyDescent="0.25">
      <c r="A100" s="42">
        <v>92</v>
      </c>
      <c r="B100" s="79">
        <v>43224</v>
      </c>
      <c r="C100" s="89"/>
      <c r="D100" s="85" t="s">
        <v>424</v>
      </c>
      <c r="E100" s="85"/>
      <c r="F100" s="90"/>
      <c r="G100" s="91"/>
      <c r="H100" s="91"/>
      <c r="I100" s="91"/>
      <c r="J100" s="92"/>
    </row>
    <row r="101" spans="1:10" ht="36" x14ac:dyDescent="0.25">
      <c r="A101" s="42">
        <v>93</v>
      </c>
      <c r="B101" s="79">
        <v>43225</v>
      </c>
      <c r="C101" s="89"/>
      <c r="D101" s="85" t="s">
        <v>425</v>
      </c>
      <c r="E101" s="85"/>
      <c r="F101" s="90"/>
      <c r="G101" s="91"/>
      <c r="H101" s="91"/>
      <c r="I101" s="91"/>
      <c r="J101" s="92"/>
    </row>
    <row r="102" spans="1:10" ht="240" x14ac:dyDescent="0.25">
      <c r="A102" s="42">
        <v>94</v>
      </c>
      <c r="B102" s="79">
        <v>43226</v>
      </c>
      <c r="C102" s="89" t="s">
        <v>428</v>
      </c>
      <c r="D102" s="85" t="s">
        <v>426</v>
      </c>
      <c r="E102" s="85" t="s">
        <v>427</v>
      </c>
      <c r="F102" s="90"/>
      <c r="G102" s="91"/>
      <c r="H102" s="91"/>
      <c r="I102" s="91"/>
      <c r="J102" s="92"/>
    </row>
    <row r="103" spans="1:10" x14ac:dyDescent="0.25">
      <c r="A103" s="42">
        <v>95</v>
      </c>
      <c r="B103" s="79">
        <v>43227</v>
      </c>
      <c r="C103" s="89"/>
      <c r="D103" s="85"/>
      <c r="E103" s="85"/>
      <c r="F103" s="90"/>
      <c r="G103" s="91"/>
      <c r="H103" s="91"/>
      <c r="I103" s="91"/>
      <c r="J103" s="92"/>
    </row>
    <row r="104" spans="1:10" x14ac:dyDescent="0.25">
      <c r="A104" s="42">
        <v>96</v>
      </c>
      <c r="B104" s="79">
        <v>43228</v>
      </c>
      <c r="C104" s="89"/>
      <c r="D104" s="85"/>
      <c r="E104" s="85"/>
      <c r="F104" s="90"/>
      <c r="G104" s="91"/>
      <c r="H104" s="91"/>
      <c r="I104" s="91"/>
      <c r="J104" s="92"/>
    </row>
    <row r="105" spans="1:10" x14ac:dyDescent="0.25">
      <c r="A105" s="42">
        <v>97</v>
      </c>
      <c r="B105" s="79">
        <v>43229</v>
      </c>
      <c r="C105" s="89"/>
      <c r="D105" s="85"/>
      <c r="E105" s="85"/>
      <c r="F105" s="90"/>
      <c r="G105" s="91"/>
      <c r="H105" s="91"/>
      <c r="I105" s="91"/>
      <c r="J105" s="92"/>
    </row>
    <row r="106" spans="1:10" ht="36" x14ac:dyDescent="0.25">
      <c r="A106" s="42">
        <v>98</v>
      </c>
      <c r="B106" s="79">
        <v>43230</v>
      </c>
      <c r="C106" s="89"/>
      <c r="D106" s="85" t="s">
        <v>430</v>
      </c>
      <c r="E106" s="85"/>
      <c r="F106" s="90"/>
      <c r="G106" s="91"/>
      <c r="H106" s="91"/>
      <c r="I106" s="91"/>
      <c r="J106" s="92"/>
    </row>
    <row r="107" spans="1:10" x14ac:dyDescent="0.25">
      <c r="A107" s="42">
        <v>99</v>
      </c>
      <c r="B107" s="79">
        <v>43231</v>
      </c>
      <c r="C107" s="89"/>
      <c r="D107" s="85"/>
      <c r="E107" s="85"/>
      <c r="F107" s="90"/>
      <c r="G107" s="91"/>
      <c r="H107" s="91"/>
      <c r="I107" s="91"/>
      <c r="J107" s="92"/>
    </row>
    <row r="108" spans="1:10" ht="108" x14ac:dyDescent="0.25">
      <c r="A108" s="42">
        <v>100</v>
      </c>
      <c r="B108" s="79">
        <v>43232</v>
      </c>
      <c r="C108" s="89"/>
      <c r="D108" s="85" t="s">
        <v>431</v>
      </c>
      <c r="E108" s="85" t="s">
        <v>432</v>
      </c>
      <c r="F108" s="90"/>
      <c r="G108" s="91"/>
      <c r="H108" s="91"/>
      <c r="I108" s="91"/>
      <c r="J108" s="92"/>
    </row>
    <row r="109" spans="1:10" ht="240" x14ac:dyDescent="0.25">
      <c r="A109" s="42">
        <v>101</v>
      </c>
      <c r="B109" s="79">
        <v>43233</v>
      </c>
      <c r="C109" s="89" t="s">
        <v>434</v>
      </c>
      <c r="D109" s="85" t="s">
        <v>433</v>
      </c>
      <c r="E109" s="85" t="s">
        <v>435</v>
      </c>
      <c r="F109" s="90"/>
      <c r="G109" s="91"/>
      <c r="H109" s="91"/>
      <c r="I109" s="91"/>
      <c r="J109" s="92"/>
    </row>
    <row r="110" spans="1:10" ht="36" x14ac:dyDescent="0.25">
      <c r="A110" s="42">
        <v>102</v>
      </c>
      <c r="B110" s="79">
        <v>43234</v>
      </c>
      <c r="C110" s="89"/>
      <c r="D110" s="85" t="s">
        <v>436</v>
      </c>
      <c r="E110" s="85"/>
      <c r="F110" s="90"/>
      <c r="G110" s="91"/>
      <c r="H110" s="91"/>
      <c r="I110" s="91"/>
      <c r="J110" s="92"/>
    </row>
    <row r="111" spans="1:10" x14ac:dyDescent="0.25">
      <c r="A111" s="42">
        <v>103</v>
      </c>
      <c r="B111" s="79">
        <v>43235</v>
      </c>
      <c r="C111" s="89"/>
      <c r="D111" s="85"/>
      <c r="E111" s="85"/>
      <c r="F111" s="90"/>
      <c r="G111" s="91"/>
      <c r="H111" s="91"/>
      <c r="I111" s="91"/>
      <c r="J111" s="92"/>
    </row>
    <row r="112" spans="1:10" ht="72" x14ac:dyDescent="0.25">
      <c r="A112" s="42">
        <v>104</v>
      </c>
      <c r="B112" s="79">
        <v>43236</v>
      </c>
      <c r="C112" s="89" t="s">
        <v>438</v>
      </c>
      <c r="D112" s="85" t="s">
        <v>437</v>
      </c>
      <c r="E112" s="85"/>
      <c r="F112" s="90"/>
      <c r="G112" s="91"/>
      <c r="H112" s="91"/>
      <c r="I112" s="91"/>
      <c r="J112" s="92"/>
    </row>
    <row r="113" spans="1:10" ht="72" x14ac:dyDescent="0.25">
      <c r="A113" s="42">
        <v>105</v>
      </c>
      <c r="B113" s="79">
        <v>43237</v>
      </c>
      <c r="C113" s="89"/>
      <c r="D113" s="85" t="s">
        <v>439</v>
      </c>
      <c r="E113" s="85" t="s">
        <v>440</v>
      </c>
      <c r="F113" s="90"/>
      <c r="G113" s="91"/>
      <c r="H113" s="91"/>
      <c r="I113" s="91"/>
      <c r="J113" s="92"/>
    </row>
    <row r="114" spans="1:10" ht="144" x14ac:dyDescent="0.25">
      <c r="A114" s="42">
        <v>106</v>
      </c>
      <c r="B114" s="79">
        <v>43238</v>
      </c>
      <c r="C114" s="89" t="s">
        <v>442</v>
      </c>
      <c r="D114" s="85" t="s">
        <v>441</v>
      </c>
      <c r="E114" s="85" t="s">
        <v>443</v>
      </c>
      <c r="F114" s="90" t="s">
        <v>444</v>
      </c>
      <c r="G114" s="91"/>
      <c r="H114" s="91"/>
      <c r="I114" s="91"/>
      <c r="J114" s="92"/>
    </row>
    <row r="115" spans="1:10" ht="132" x14ac:dyDescent="0.25">
      <c r="A115" s="42">
        <v>107</v>
      </c>
      <c r="B115" s="79">
        <v>43239</v>
      </c>
      <c r="C115" s="89"/>
      <c r="D115" s="85" t="s">
        <v>445</v>
      </c>
      <c r="E115" s="85" t="s">
        <v>446</v>
      </c>
      <c r="F115" s="90"/>
      <c r="G115" s="91"/>
      <c r="H115" s="91"/>
      <c r="I115" s="91"/>
      <c r="J115" s="92"/>
    </row>
    <row r="116" spans="1:10" ht="409.5" customHeight="1" x14ac:dyDescent="0.25">
      <c r="A116" s="42">
        <v>108</v>
      </c>
      <c r="B116" s="79">
        <v>43240</v>
      </c>
      <c r="C116" s="89" t="s">
        <v>449</v>
      </c>
      <c r="D116" s="85" t="s">
        <v>448</v>
      </c>
      <c r="E116" s="85" t="s">
        <v>447</v>
      </c>
      <c r="F116" s="90"/>
      <c r="G116" s="91"/>
      <c r="H116" s="91"/>
      <c r="I116" s="91"/>
      <c r="J116" s="92"/>
    </row>
    <row r="117" spans="1:10" x14ac:dyDescent="0.25">
      <c r="A117" s="42">
        <v>109</v>
      </c>
      <c r="B117" s="79">
        <v>43241</v>
      </c>
      <c r="C117" s="89"/>
      <c r="D117" s="85" t="s">
        <v>450</v>
      </c>
      <c r="E117" s="85"/>
      <c r="F117" s="90"/>
      <c r="G117" s="91"/>
      <c r="H117" s="91"/>
      <c r="I117" s="91"/>
      <c r="J117" s="92"/>
    </row>
    <row r="118" spans="1:10" ht="60" x14ac:dyDescent="0.25">
      <c r="A118" s="42">
        <v>110</v>
      </c>
      <c r="B118" s="79">
        <v>43242</v>
      </c>
      <c r="C118" s="89"/>
      <c r="D118" s="85" t="s">
        <v>451</v>
      </c>
      <c r="E118" s="85"/>
      <c r="F118" s="90"/>
      <c r="G118" s="91"/>
      <c r="H118" s="91"/>
      <c r="I118" s="91"/>
      <c r="J118" s="92"/>
    </row>
    <row r="119" spans="1:10" ht="24" x14ac:dyDescent="0.25">
      <c r="A119" s="42">
        <v>111</v>
      </c>
      <c r="B119" s="79">
        <v>43243</v>
      </c>
      <c r="C119" s="89"/>
      <c r="D119" s="85" t="s">
        <v>452</v>
      </c>
      <c r="E119" s="85" t="s">
        <v>453</v>
      </c>
      <c r="F119" s="90"/>
      <c r="G119" s="91"/>
      <c r="H119" s="91"/>
      <c r="I119" s="91"/>
      <c r="J119" s="92"/>
    </row>
    <row r="120" spans="1:10" ht="36" x14ac:dyDescent="0.25">
      <c r="A120" s="42">
        <v>112</v>
      </c>
      <c r="B120" s="79">
        <v>43244</v>
      </c>
      <c r="C120" s="89"/>
      <c r="D120" s="85"/>
      <c r="E120" s="85" t="s">
        <v>454</v>
      </c>
      <c r="F120" s="90"/>
      <c r="G120" s="91"/>
      <c r="H120" s="91"/>
      <c r="I120" s="91"/>
      <c r="J120" s="92"/>
    </row>
    <row r="121" spans="1:10" x14ac:dyDescent="0.25">
      <c r="A121" s="42">
        <v>113</v>
      </c>
      <c r="B121" s="79">
        <v>43245</v>
      </c>
      <c r="C121" s="89"/>
      <c r="D121" s="85"/>
      <c r="E121" s="85"/>
      <c r="F121" s="90"/>
      <c r="G121" s="91"/>
      <c r="H121" s="91"/>
      <c r="I121" s="91"/>
      <c r="J121" s="92"/>
    </row>
    <row r="122" spans="1:10" ht="120" x14ac:dyDescent="0.25">
      <c r="A122" s="42">
        <v>114</v>
      </c>
      <c r="B122" s="79">
        <v>43246</v>
      </c>
      <c r="C122" s="89" t="s">
        <v>457</v>
      </c>
      <c r="D122" s="85" t="s">
        <v>456</v>
      </c>
      <c r="E122" s="85" t="s">
        <v>455</v>
      </c>
      <c r="F122" s="90"/>
      <c r="G122" s="91"/>
      <c r="H122" s="91"/>
      <c r="I122" s="91"/>
      <c r="J122" s="92"/>
    </row>
    <row r="123" spans="1:10" ht="24" x14ac:dyDescent="0.25">
      <c r="A123" s="42">
        <v>115</v>
      </c>
      <c r="B123" s="79">
        <v>43247</v>
      </c>
      <c r="C123" s="89" t="s">
        <v>458</v>
      </c>
      <c r="D123" s="85" t="s">
        <v>459</v>
      </c>
      <c r="E123" s="85"/>
      <c r="F123" s="90"/>
      <c r="G123" s="91"/>
      <c r="H123" s="91"/>
      <c r="I123" s="91"/>
      <c r="J123" s="92"/>
    </row>
    <row r="124" spans="1:10" x14ac:dyDescent="0.25">
      <c r="A124" s="42">
        <v>116</v>
      </c>
      <c r="B124" s="79">
        <v>43248</v>
      </c>
      <c r="C124" s="89"/>
      <c r="D124" s="85"/>
      <c r="E124" s="85"/>
      <c r="F124" s="90"/>
      <c r="G124" s="91"/>
      <c r="H124" s="91"/>
      <c r="I124" s="91"/>
      <c r="J124" s="92"/>
    </row>
    <row r="125" spans="1:10" ht="48" x14ac:dyDescent="0.25">
      <c r="A125" s="42">
        <v>117</v>
      </c>
      <c r="B125" s="79">
        <v>43249</v>
      </c>
      <c r="C125" s="89"/>
      <c r="D125" s="85" t="s">
        <v>460</v>
      </c>
      <c r="E125" s="85" t="s">
        <v>461</v>
      </c>
      <c r="F125" s="90"/>
      <c r="G125" s="91"/>
      <c r="H125" s="91"/>
      <c r="I125" s="91"/>
      <c r="J125" s="92"/>
    </row>
    <row r="126" spans="1:10" x14ac:dyDescent="0.25">
      <c r="A126" s="42">
        <v>118</v>
      </c>
      <c r="B126" s="79">
        <v>43250</v>
      </c>
      <c r="C126" s="89"/>
      <c r="D126" s="85"/>
      <c r="E126" s="85"/>
      <c r="F126" s="90"/>
      <c r="G126" s="91"/>
      <c r="H126" s="91"/>
      <c r="I126" s="91"/>
      <c r="J126" s="92"/>
    </row>
    <row r="127" spans="1:10" ht="36" x14ac:dyDescent="0.25">
      <c r="A127" s="42">
        <v>119</v>
      </c>
      <c r="B127" s="79">
        <v>43251</v>
      </c>
      <c r="C127" s="89" t="s">
        <v>462</v>
      </c>
      <c r="D127" s="85" t="s">
        <v>463</v>
      </c>
      <c r="E127" s="85"/>
      <c r="F127" s="90"/>
      <c r="G127" s="91"/>
      <c r="H127" s="91"/>
      <c r="I127" s="91"/>
      <c r="J127" s="92"/>
    </row>
    <row r="128" spans="1:10" x14ac:dyDescent="0.25">
      <c r="A128" s="42">
        <v>120</v>
      </c>
      <c r="B128" s="79">
        <v>43252</v>
      </c>
      <c r="C128" s="89"/>
      <c r="D128" s="85"/>
      <c r="E128" s="85"/>
      <c r="F128" s="90"/>
      <c r="G128" s="91"/>
      <c r="H128" s="91"/>
      <c r="I128" s="91"/>
      <c r="J128" s="92"/>
    </row>
    <row r="129" spans="1:10" ht="84" x14ac:dyDescent="0.25">
      <c r="A129" s="42">
        <v>121</v>
      </c>
      <c r="B129" s="79">
        <v>43253</v>
      </c>
      <c r="C129" s="89" t="s">
        <v>465</v>
      </c>
      <c r="D129" s="85" t="s">
        <v>464</v>
      </c>
      <c r="E129" s="85" t="s">
        <v>466</v>
      </c>
      <c r="F129" s="90"/>
      <c r="G129" s="91"/>
      <c r="H129" s="91"/>
      <c r="I129" s="91"/>
      <c r="J129" s="92"/>
    </row>
    <row r="130" spans="1:10" ht="72" x14ac:dyDescent="0.25">
      <c r="A130" s="42">
        <v>122</v>
      </c>
      <c r="B130" s="79">
        <v>43254</v>
      </c>
      <c r="C130" s="89" t="s">
        <v>468</v>
      </c>
      <c r="D130" s="85" t="s">
        <v>467</v>
      </c>
      <c r="E130" s="85" t="s">
        <v>469</v>
      </c>
      <c r="F130" s="90"/>
      <c r="G130" s="91"/>
      <c r="H130" s="91"/>
      <c r="I130" s="91"/>
      <c r="J130" s="92"/>
    </row>
    <row r="131" spans="1:10" ht="36" x14ac:dyDescent="0.25">
      <c r="A131" s="42">
        <v>123</v>
      </c>
      <c r="B131" s="79">
        <v>43255</v>
      </c>
      <c r="C131" s="89"/>
      <c r="D131" s="85" t="s">
        <v>470</v>
      </c>
      <c r="E131" s="85"/>
      <c r="F131" s="90"/>
      <c r="G131" s="91"/>
      <c r="H131" s="91"/>
      <c r="I131" s="91"/>
      <c r="J131" s="92"/>
    </row>
    <row r="132" spans="1:10" ht="36" x14ac:dyDescent="0.25">
      <c r="A132" s="42">
        <v>124</v>
      </c>
      <c r="B132" s="79">
        <v>43256</v>
      </c>
      <c r="C132" s="89" t="s">
        <v>471</v>
      </c>
      <c r="D132" s="85" t="s">
        <v>472</v>
      </c>
      <c r="E132" s="85" t="s">
        <v>473</v>
      </c>
      <c r="F132" s="90"/>
      <c r="G132" s="91"/>
      <c r="H132" s="91"/>
      <c r="I132" s="91"/>
      <c r="J132" s="92"/>
    </row>
    <row r="133" spans="1:10" ht="24" x14ac:dyDescent="0.25">
      <c r="A133" s="42">
        <v>125</v>
      </c>
      <c r="B133" s="79">
        <v>43257</v>
      </c>
      <c r="C133" s="89"/>
      <c r="D133" s="85" t="s">
        <v>475</v>
      </c>
      <c r="E133" s="85" t="s">
        <v>474</v>
      </c>
      <c r="F133" s="90"/>
      <c r="G133" s="91"/>
      <c r="H133" s="91"/>
      <c r="I133" s="91"/>
      <c r="J133" s="92"/>
    </row>
    <row r="134" spans="1:10" x14ac:dyDescent="0.25">
      <c r="A134" s="42">
        <v>126</v>
      </c>
      <c r="B134" s="79">
        <v>43258</v>
      </c>
      <c r="C134" s="89"/>
      <c r="D134" s="85"/>
      <c r="E134" s="85"/>
      <c r="F134" s="90"/>
      <c r="G134" s="91"/>
      <c r="H134" s="91"/>
      <c r="I134" s="91"/>
      <c r="J134" s="92"/>
    </row>
    <row r="135" spans="1:10" ht="120" x14ac:dyDescent="0.25">
      <c r="A135" s="42">
        <v>127</v>
      </c>
      <c r="B135" s="79">
        <v>43259</v>
      </c>
      <c r="C135" s="89"/>
      <c r="D135" s="85" t="s">
        <v>476</v>
      </c>
      <c r="E135" s="85"/>
      <c r="F135" s="90"/>
      <c r="G135" s="91"/>
      <c r="H135" s="91"/>
      <c r="I135" s="91"/>
      <c r="J135" s="92"/>
    </row>
    <row r="136" spans="1:10" x14ac:dyDescent="0.25">
      <c r="A136" s="42">
        <v>128</v>
      </c>
      <c r="B136" s="79">
        <v>43260</v>
      </c>
      <c r="C136" s="89"/>
      <c r="D136" s="85"/>
      <c r="E136" s="85"/>
      <c r="F136" s="90"/>
      <c r="G136" s="91"/>
      <c r="H136" s="91"/>
      <c r="I136" s="91"/>
      <c r="J136" s="92"/>
    </row>
    <row r="137" spans="1:10" ht="276" x14ac:dyDescent="0.25">
      <c r="A137" s="42">
        <v>129</v>
      </c>
      <c r="B137" s="79">
        <v>43261</v>
      </c>
      <c r="C137" s="89" t="s">
        <v>478</v>
      </c>
      <c r="D137" s="94" t="s">
        <v>477</v>
      </c>
      <c r="E137" s="85" t="s">
        <v>479</v>
      </c>
      <c r="F137" s="90"/>
      <c r="G137" s="91"/>
      <c r="H137" s="91"/>
      <c r="I137" s="91"/>
      <c r="J137" s="92"/>
    </row>
    <row r="138" spans="1:10" ht="120" x14ac:dyDescent="0.25">
      <c r="A138" s="42">
        <v>130</v>
      </c>
      <c r="B138" s="79">
        <v>43262</v>
      </c>
      <c r="C138" s="89" t="s">
        <v>481</v>
      </c>
      <c r="D138" s="85" t="s">
        <v>480</v>
      </c>
      <c r="E138" s="94" t="s">
        <v>482</v>
      </c>
      <c r="F138" s="90"/>
      <c r="G138" s="91"/>
      <c r="H138" s="91"/>
      <c r="I138" s="91"/>
      <c r="J138" s="92"/>
    </row>
    <row r="139" spans="1:10" ht="48" x14ac:dyDescent="0.25">
      <c r="A139" s="42">
        <v>131</v>
      </c>
      <c r="B139" s="79">
        <v>43263</v>
      </c>
      <c r="C139" s="89"/>
      <c r="D139" s="85" t="s">
        <v>483</v>
      </c>
      <c r="E139" s="85"/>
      <c r="F139" s="90"/>
      <c r="G139" s="91"/>
      <c r="H139" s="91"/>
      <c r="I139" s="91"/>
      <c r="J139" s="92"/>
    </row>
    <row r="140" spans="1:10" x14ac:dyDescent="0.25">
      <c r="A140" s="42">
        <v>132</v>
      </c>
      <c r="B140" s="79">
        <v>43264</v>
      </c>
      <c r="C140" s="89"/>
      <c r="D140" s="85" t="s">
        <v>485</v>
      </c>
      <c r="E140" s="85"/>
      <c r="F140" s="90"/>
      <c r="G140" s="91"/>
      <c r="H140" s="91"/>
      <c r="I140" s="91"/>
      <c r="J140" s="92"/>
    </row>
    <row r="141" spans="1:10" x14ac:dyDescent="0.25">
      <c r="A141" s="42">
        <v>133</v>
      </c>
      <c r="B141" s="79">
        <v>43265</v>
      </c>
      <c r="C141" s="89"/>
      <c r="D141" s="85" t="s">
        <v>486</v>
      </c>
      <c r="E141" s="85"/>
      <c r="F141" s="90"/>
      <c r="G141" s="91"/>
      <c r="H141" s="91"/>
      <c r="I141" s="91"/>
      <c r="J141" s="92"/>
    </row>
    <row r="142" spans="1:10" ht="132" x14ac:dyDescent="0.25">
      <c r="A142" s="42">
        <v>134</v>
      </c>
      <c r="B142" s="79">
        <v>43266</v>
      </c>
      <c r="C142" s="89" t="s">
        <v>484</v>
      </c>
      <c r="D142" s="85" t="s">
        <v>487</v>
      </c>
      <c r="E142" s="85"/>
      <c r="F142" s="90"/>
      <c r="G142" s="91"/>
      <c r="H142" s="91"/>
      <c r="I142" s="91"/>
      <c r="J142" s="92"/>
    </row>
    <row r="143" spans="1:10" ht="156" x14ac:dyDescent="0.25">
      <c r="A143" s="42">
        <v>135</v>
      </c>
      <c r="B143" s="79">
        <v>43267</v>
      </c>
      <c r="C143" s="89" t="s">
        <v>491</v>
      </c>
      <c r="D143" s="94" t="s">
        <v>490</v>
      </c>
      <c r="E143" s="149" t="s">
        <v>489</v>
      </c>
      <c r="F143" s="90"/>
      <c r="G143" s="91"/>
      <c r="H143" s="91"/>
      <c r="I143" s="91"/>
      <c r="J143" s="92"/>
    </row>
    <row r="144" spans="1:10" x14ac:dyDescent="0.25">
      <c r="A144" s="42">
        <v>136</v>
      </c>
      <c r="B144" s="79">
        <v>43268</v>
      </c>
      <c r="C144" s="89"/>
      <c r="D144" s="94"/>
      <c r="E144" s="85"/>
      <c r="F144" s="90"/>
      <c r="G144" s="91"/>
      <c r="H144" s="91"/>
      <c r="I144" s="91"/>
      <c r="J144" s="92"/>
    </row>
    <row r="145" spans="1:10" ht="96" x14ac:dyDescent="0.25">
      <c r="A145" s="42">
        <v>137</v>
      </c>
      <c r="B145" s="79">
        <v>43269</v>
      </c>
      <c r="C145" s="89" t="s">
        <v>494</v>
      </c>
      <c r="D145" s="85" t="s">
        <v>492</v>
      </c>
      <c r="E145" s="85" t="s">
        <v>493</v>
      </c>
      <c r="F145" s="90"/>
      <c r="G145" s="91"/>
      <c r="H145" s="91"/>
      <c r="I145" s="91"/>
      <c r="J145" s="92"/>
    </row>
    <row r="146" spans="1:10" ht="120" x14ac:dyDescent="0.25">
      <c r="A146" s="42">
        <v>138</v>
      </c>
      <c r="B146" s="79">
        <v>43270</v>
      </c>
      <c r="C146" s="89" t="s">
        <v>497</v>
      </c>
      <c r="D146" s="85" t="s">
        <v>496</v>
      </c>
      <c r="E146" s="94" t="s">
        <v>495</v>
      </c>
      <c r="F146" s="90"/>
      <c r="G146" s="91"/>
      <c r="H146" s="91"/>
      <c r="I146" s="91"/>
      <c r="J146" s="92"/>
    </row>
    <row r="147" spans="1:10" x14ac:dyDescent="0.25">
      <c r="A147" s="42">
        <v>139</v>
      </c>
      <c r="B147" s="79">
        <v>43271</v>
      </c>
      <c r="C147" s="89" t="s">
        <v>501</v>
      </c>
      <c r="D147" s="85"/>
      <c r="E147" s="85"/>
      <c r="F147" s="90"/>
      <c r="G147" s="91"/>
      <c r="H147" s="91"/>
      <c r="I147" s="91"/>
      <c r="J147" s="92"/>
    </row>
    <row r="148" spans="1:10" ht="24" x14ac:dyDescent="0.25">
      <c r="A148" s="42">
        <v>140</v>
      </c>
      <c r="B148" s="79">
        <v>43272</v>
      </c>
      <c r="C148" s="89" t="s">
        <v>501</v>
      </c>
      <c r="D148" s="85" t="s">
        <v>502</v>
      </c>
      <c r="E148" s="85" t="s">
        <v>503</v>
      </c>
      <c r="F148" s="90"/>
      <c r="G148" s="91"/>
      <c r="H148" s="91"/>
      <c r="I148" s="91"/>
      <c r="J148" s="92"/>
    </row>
    <row r="149" spans="1:10" x14ac:dyDescent="0.25">
      <c r="A149" s="42">
        <v>141</v>
      </c>
      <c r="B149" s="79">
        <v>43273</v>
      </c>
      <c r="C149" s="89" t="s">
        <v>504</v>
      </c>
      <c r="D149" s="85"/>
      <c r="E149" s="85"/>
      <c r="F149" s="90"/>
      <c r="G149" s="91"/>
      <c r="H149" s="91"/>
      <c r="I149" s="91"/>
      <c r="J149" s="92"/>
    </row>
    <row r="150" spans="1:10" ht="108" x14ac:dyDescent="0.25">
      <c r="A150" s="42">
        <v>142</v>
      </c>
      <c r="B150" s="79">
        <v>43274</v>
      </c>
      <c r="C150" s="89" t="s">
        <v>504</v>
      </c>
      <c r="D150" s="85" t="s">
        <v>505</v>
      </c>
      <c r="E150" s="85" t="s">
        <v>506</v>
      </c>
      <c r="F150" s="90"/>
      <c r="G150" s="91"/>
      <c r="H150" s="91"/>
      <c r="I150" s="91"/>
      <c r="J150" s="92"/>
    </row>
    <row r="151" spans="1:10" ht="60" x14ac:dyDescent="0.25">
      <c r="A151" s="42">
        <v>143</v>
      </c>
      <c r="B151" s="79">
        <v>43275</v>
      </c>
      <c r="C151" s="89" t="s">
        <v>507</v>
      </c>
      <c r="D151" s="85" t="s">
        <v>508</v>
      </c>
      <c r="E151" s="85"/>
      <c r="F151" s="90"/>
      <c r="G151" s="91"/>
      <c r="H151" s="91"/>
      <c r="I151" s="91"/>
      <c r="J151" s="92"/>
    </row>
    <row r="152" spans="1:10" ht="24" x14ac:dyDescent="0.25">
      <c r="A152" s="42">
        <v>144</v>
      </c>
      <c r="B152" s="79">
        <v>43276</v>
      </c>
      <c r="C152" s="93" t="s">
        <v>509</v>
      </c>
      <c r="D152" s="85"/>
      <c r="E152" s="85"/>
      <c r="F152" s="90"/>
      <c r="G152" s="91"/>
      <c r="H152" s="91"/>
      <c r="I152" s="91"/>
      <c r="J152" s="92"/>
    </row>
    <row r="153" spans="1:10" ht="60" x14ac:dyDescent="0.25">
      <c r="A153" s="42">
        <v>145</v>
      </c>
      <c r="B153" s="79">
        <v>43277</v>
      </c>
      <c r="C153" s="89" t="s">
        <v>510</v>
      </c>
      <c r="D153" s="85" t="s">
        <v>511</v>
      </c>
      <c r="E153" s="85"/>
      <c r="F153" s="90"/>
      <c r="G153" s="91"/>
      <c r="H153" s="91"/>
      <c r="I153" s="91"/>
      <c r="J153" s="92"/>
    </row>
    <row r="154" spans="1:10" x14ac:dyDescent="0.25">
      <c r="A154" s="42">
        <v>146</v>
      </c>
      <c r="B154" s="79">
        <v>43278</v>
      </c>
      <c r="C154" s="89"/>
      <c r="D154" s="85"/>
      <c r="E154" s="85"/>
      <c r="F154" s="90"/>
      <c r="G154" s="91"/>
      <c r="H154" s="91"/>
      <c r="I154" s="91"/>
      <c r="J154" s="92"/>
    </row>
    <row r="155" spans="1:10" ht="132" x14ac:dyDescent="0.25">
      <c r="A155" s="42">
        <v>147</v>
      </c>
      <c r="B155" s="79">
        <v>43279</v>
      </c>
      <c r="C155" s="89" t="s">
        <v>514</v>
      </c>
      <c r="D155" s="85" t="s">
        <v>512</v>
      </c>
      <c r="E155" s="85" t="s">
        <v>513</v>
      </c>
      <c r="F155" s="90"/>
      <c r="G155" s="91"/>
      <c r="H155" s="91"/>
      <c r="I155" s="91"/>
      <c r="J155" s="92"/>
    </row>
    <row r="156" spans="1:10" ht="84" x14ac:dyDescent="0.25">
      <c r="A156" s="42">
        <v>148</v>
      </c>
      <c r="B156" s="79">
        <v>43280</v>
      </c>
      <c r="C156" s="89" t="s">
        <v>515</v>
      </c>
      <c r="D156" s="85" t="s">
        <v>516</v>
      </c>
      <c r="E156" s="85" t="s">
        <v>517</v>
      </c>
      <c r="F156" s="90"/>
      <c r="G156" s="91"/>
      <c r="H156" s="91"/>
      <c r="I156" s="91"/>
      <c r="J156" s="92"/>
    </row>
    <row r="157" spans="1:10" x14ac:dyDescent="0.25">
      <c r="A157" s="42">
        <v>149</v>
      </c>
      <c r="B157" s="79">
        <v>43281</v>
      </c>
      <c r="C157" s="85" t="s">
        <v>518</v>
      </c>
      <c r="D157" s="85" t="s">
        <v>519</v>
      </c>
      <c r="E157" s="85" t="s">
        <v>520</v>
      </c>
      <c r="F157" s="90"/>
      <c r="G157" s="91"/>
      <c r="H157" s="91"/>
      <c r="I157" s="91"/>
      <c r="J157" s="92"/>
    </row>
    <row r="158" spans="1:10" ht="192" x14ac:dyDescent="0.25">
      <c r="A158" s="42">
        <v>150</v>
      </c>
      <c r="B158" s="79">
        <v>43282</v>
      </c>
      <c r="C158" s="89" t="s">
        <v>522</v>
      </c>
      <c r="D158" s="85" t="s">
        <v>523</v>
      </c>
      <c r="E158" s="85" t="s">
        <v>521</v>
      </c>
      <c r="F158" s="90"/>
      <c r="G158" s="91"/>
      <c r="H158" s="91"/>
      <c r="I158" s="91"/>
      <c r="J158" s="92"/>
    </row>
    <row r="159" spans="1:10" ht="64.5" customHeight="1" x14ac:dyDescent="0.25">
      <c r="A159" s="42">
        <v>151</v>
      </c>
      <c r="B159" s="79">
        <v>43283</v>
      </c>
      <c r="C159" s="89" t="s">
        <v>525</v>
      </c>
      <c r="D159" s="85" t="s">
        <v>524</v>
      </c>
      <c r="E159" s="85"/>
      <c r="F159" s="90"/>
      <c r="G159" s="91"/>
      <c r="H159" s="91"/>
      <c r="I159" s="91"/>
      <c r="J159" s="92"/>
    </row>
    <row r="160" spans="1:10" ht="144" x14ac:dyDescent="0.25">
      <c r="A160" s="42">
        <v>152</v>
      </c>
      <c r="B160" s="79">
        <v>43284</v>
      </c>
      <c r="C160" s="89" t="s">
        <v>528</v>
      </c>
      <c r="D160" s="85" t="s">
        <v>526</v>
      </c>
      <c r="E160" s="85" t="s">
        <v>527</v>
      </c>
      <c r="F160" s="90"/>
      <c r="G160" s="91"/>
      <c r="H160" s="91"/>
      <c r="I160" s="91"/>
      <c r="J160" s="92"/>
    </row>
    <row r="161" spans="1:10" ht="96" x14ac:dyDescent="0.25">
      <c r="A161" s="42">
        <v>153</v>
      </c>
      <c r="B161" s="79">
        <v>43285</v>
      </c>
      <c r="C161" s="89" t="s">
        <v>530</v>
      </c>
      <c r="D161" s="85" t="s">
        <v>531</v>
      </c>
      <c r="E161" s="85" t="s">
        <v>529</v>
      </c>
      <c r="F161" s="90"/>
      <c r="G161" s="91"/>
      <c r="H161" s="91"/>
      <c r="I161" s="91"/>
      <c r="J161" s="92"/>
    </row>
    <row r="162" spans="1:10" ht="72" customHeight="1" x14ac:dyDescent="0.25">
      <c r="A162" s="42">
        <v>154</v>
      </c>
      <c r="B162" s="79">
        <v>43286</v>
      </c>
      <c r="C162" s="89" t="s">
        <v>532</v>
      </c>
      <c r="D162" s="85" t="s">
        <v>533</v>
      </c>
      <c r="E162" s="85"/>
      <c r="F162" s="90"/>
      <c r="G162" s="91"/>
      <c r="H162" s="91"/>
      <c r="I162" s="91"/>
      <c r="J162" s="92"/>
    </row>
    <row r="163" spans="1:10" ht="48" x14ac:dyDescent="0.25">
      <c r="A163" s="42">
        <v>155</v>
      </c>
      <c r="B163" s="79">
        <v>43287</v>
      </c>
      <c r="C163" s="89" t="s">
        <v>534</v>
      </c>
      <c r="D163" s="85" t="s">
        <v>536</v>
      </c>
      <c r="E163" s="85" t="s">
        <v>535</v>
      </c>
      <c r="F163" s="90"/>
      <c r="G163" s="91"/>
      <c r="H163" s="91"/>
      <c r="I163" s="91"/>
      <c r="J163" s="92"/>
    </row>
    <row r="164" spans="1:10" ht="276" x14ac:dyDescent="0.25">
      <c r="A164" s="42">
        <v>156</v>
      </c>
      <c r="B164" s="79">
        <v>43288</v>
      </c>
      <c r="C164" s="89" t="s">
        <v>539</v>
      </c>
      <c r="D164" s="85" t="s">
        <v>538</v>
      </c>
      <c r="E164" s="85" t="s">
        <v>537</v>
      </c>
      <c r="F164" s="90"/>
      <c r="G164" s="91"/>
      <c r="H164" s="91"/>
      <c r="I164" s="91"/>
      <c r="J164" s="92"/>
    </row>
    <row r="165" spans="1:10" ht="119.25" customHeight="1" x14ac:dyDescent="0.25">
      <c r="A165" s="42">
        <v>157</v>
      </c>
      <c r="B165" s="79">
        <v>43289</v>
      </c>
      <c r="C165" s="89" t="s">
        <v>540</v>
      </c>
      <c r="D165" s="85" t="s">
        <v>541</v>
      </c>
      <c r="E165" s="85" t="s">
        <v>542</v>
      </c>
      <c r="F165" s="90"/>
      <c r="G165" s="91"/>
      <c r="H165" s="91"/>
      <c r="I165" s="91"/>
      <c r="J165" s="92"/>
    </row>
    <row r="166" spans="1:10" ht="96" x14ac:dyDescent="0.25">
      <c r="A166" s="42">
        <v>158</v>
      </c>
      <c r="B166" s="79">
        <v>43290</v>
      </c>
      <c r="C166" s="89" t="s">
        <v>543</v>
      </c>
      <c r="D166" s="85" t="s">
        <v>545</v>
      </c>
      <c r="E166" s="85" t="s">
        <v>544</v>
      </c>
      <c r="F166" s="90"/>
      <c r="G166" s="91"/>
      <c r="H166" s="91"/>
      <c r="I166" s="91"/>
      <c r="J166" s="92"/>
    </row>
    <row r="167" spans="1:10" ht="169.5" customHeight="1" x14ac:dyDescent="0.25">
      <c r="B167" s="79">
        <v>43290</v>
      </c>
      <c r="C167" s="89" t="s">
        <v>546</v>
      </c>
      <c r="D167" s="85" t="s">
        <v>548</v>
      </c>
      <c r="E167" s="85" t="s">
        <v>547</v>
      </c>
      <c r="F167" s="90"/>
      <c r="G167" s="91"/>
      <c r="H167" s="91"/>
      <c r="I167" s="91"/>
      <c r="J167" s="92"/>
    </row>
    <row r="168" spans="1:10" ht="156" x14ac:dyDescent="0.25">
      <c r="A168" s="42">
        <v>159</v>
      </c>
      <c r="B168" s="79">
        <v>43291</v>
      </c>
      <c r="C168" s="89" t="s">
        <v>549</v>
      </c>
      <c r="D168" s="85" t="s">
        <v>550</v>
      </c>
      <c r="E168" s="85" t="s">
        <v>551</v>
      </c>
      <c r="F168" s="90"/>
      <c r="G168" s="91"/>
      <c r="H168" s="91"/>
      <c r="I168" s="91"/>
      <c r="J168" s="92"/>
    </row>
    <row r="169" spans="1:10" ht="129.75" customHeight="1" x14ac:dyDescent="0.25">
      <c r="B169" s="79">
        <v>43291</v>
      </c>
      <c r="C169" s="89" t="s">
        <v>554</v>
      </c>
      <c r="D169" s="85" t="s">
        <v>552</v>
      </c>
      <c r="E169" s="85" t="s">
        <v>553</v>
      </c>
      <c r="F169" s="90"/>
      <c r="G169" s="91"/>
      <c r="H169" s="91"/>
      <c r="I169" s="91"/>
      <c r="J169" s="92"/>
    </row>
    <row r="170" spans="1:10" ht="168" x14ac:dyDescent="0.25">
      <c r="A170" s="42">
        <v>160</v>
      </c>
      <c r="B170" s="79">
        <v>43292</v>
      </c>
      <c r="C170" s="89" t="s">
        <v>555</v>
      </c>
      <c r="D170" s="85" t="s">
        <v>556</v>
      </c>
      <c r="E170" s="85" t="s">
        <v>557</v>
      </c>
      <c r="F170" s="90"/>
      <c r="G170" s="91"/>
      <c r="H170" s="91"/>
      <c r="I170" s="91"/>
      <c r="J170" s="92"/>
    </row>
    <row r="171" spans="1:10" ht="276" x14ac:dyDescent="0.25">
      <c r="A171" s="42">
        <v>161</v>
      </c>
      <c r="B171" s="79">
        <v>43293</v>
      </c>
      <c r="C171" s="89" t="s">
        <v>580</v>
      </c>
      <c r="D171" s="85" t="s">
        <v>578</v>
      </c>
      <c r="E171" s="85" t="s">
        <v>579</v>
      </c>
      <c r="F171" s="90"/>
      <c r="G171" s="91"/>
      <c r="H171" s="91"/>
      <c r="I171" s="91"/>
      <c r="J171" s="92"/>
    </row>
    <row r="172" spans="1:10" ht="72" x14ac:dyDescent="0.25">
      <c r="A172" s="42">
        <v>162</v>
      </c>
      <c r="B172" s="79">
        <v>43294</v>
      </c>
      <c r="C172" s="89" t="s">
        <v>581</v>
      </c>
      <c r="D172" s="85" t="s">
        <v>582</v>
      </c>
      <c r="E172" s="85" t="s">
        <v>583</v>
      </c>
      <c r="F172" s="90"/>
      <c r="G172" s="91"/>
      <c r="H172" s="91"/>
      <c r="I172" s="91"/>
      <c r="J172" s="92"/>
    </row>
    <row r="173" spans="1:10" ht="48" x14ac:dyDescent="0.25">
      <c r="A173" s="42">
        <v>163</v>
      </c>
      <c r="B173" s="79">
        <v>43295</v>
      </c>
      <c r="C173" s="89" t="s">
        <v>584</v>
      </c>
      <c r="D173" s="85" t="s">
        <v>585</v>
      </c>
      <c r="E173" s="85"/>
      <c r="F173" s="90"/>
      <c r="G173" s="91"/>
      <c r="H173" s="91"/>
      <c r="I173" s="91"/>
      <c r="J173" s="92"/>
    </row>
    <row r="174" spans="1:10" ht="60" x14ac:dyDescent="0.25">
      <c r="A174" s="42">
        <v>164</v>
      </c>
      <c r="B174" s="79">
        <v>43296</v>
      </c>
      <c r="C174" s="89"/>
      <c r="D174" s="85" t="s">
        <v>596</v>
      </c>
      <c r="E174" s="85" t="s">
        <v>597</v>
      </c>
      <c r="F174" s="90"/>
      <c r="G174" s="91"/>
      <c r="H174" s="91"/>
      <c r="I174" s="91"/>
      <c r="J174" s="92"/>
    </row>
    <row r="175" spans="1:10" x14ac:dyDescent="0.25">
      <c r="A175" s="42">
        <v>165</v>
      </c>
      <c r="B175" s="79">
        <v>43297</v>
      </c>
      <c r="C175" s="89"/>
      <c r="D175" s="85" t="s">
        <v>596</v>
      </c>
      <c r="E175" s="85"/>
      <c r="F175" s="90"/>
      <c r="G175" s="91"/>
      <c r="H175" s="91"/>
      <c r="I175" s="91"/>
      <c r="J175" s="92"/>
    </row>
    <row r="176" spans="1:10" ht="156" x14ac:dyDescent="0.25">
      <c r="A176" s="42">
        <v>166</v>
      </c>
      <c r="B176" s="79">
        <v>43298</v>
      </c>
      <c r="C176" s="206" t="s">
        <v>606</v>
      </c>
      <c r="D176" s="85" t="s">
        <v>596</v>
      </c>
      <c r="E176" s="207" t="s">
        <v>608</v>
      </c>
      <c r="F176" s="208"/>
      <c r="G176" s="91"/>
      <c r="H176" s="91"/>
      <c r="I176" s="91"/>
      <c r="J176" s="92"/>
    </row>
    <row r="177" spans="1:10" ht="36" x14ac:dyDescent="0.25">
      <c r="A177" s="42">
        <v>167</v>
      </c>
      <c r="B177" s="79">
        <v>43299</v>
      </c>
      <c r="C177" s="89" t="s">
        <v>609</v>
      </c>
      <c r="D177" s="85"/>
      <c r="E177" s="85"/>
      <c r="F177" s="90"/>
      <c r="G177" s="91"/>
      <c r="H177" s="91"/>
      <c r="I177" s="91"/>
      <c r="J177" s="92"/>
    </row>
    <row r="178" spans="1:10" x14ac:dyDescent="0.25">
      <c r="A178" s="42">
        <v>168</v>
      </c>
      <c r="B178" s="79">
        <v>43300</v>
      </c>
      <c r="C178" s="89" t="s">
        <v>612</v>
      </c>
      <c r="D178" s="85"/>
      <c r="E178" s="85"/>
      <c r="F178" s="90"/>
      <c r="G178" s="91"/>
      <c r="H178" s="91"/>
      <c r="I178" s="91"/>
      <c r="J178" s="92"/>
    </row>
    <row r="179" spans="1:10" x14ac:dyDescent="0.25">
      <c r="A179" s="42">
        <v>169</v>
      </c>
      <c r="B179" s="79">
        <v>43301</v>
      </c>
      <c r="C179" s="89"/>
      <c r="D179" s="85"/>
      <c r="E179" s="85"/>
      <c r="F179" s="90"/>
      <c r="G179" s="91"/>
      <c r="H179" s="91"/>
      <c r="I179" s="91"/>
      <c r="J179" s="92"/>
    </row>
    <row r="180" spans="1:10" ht="60" x14ac:dyDescent="0.25">
      <c r="A180" s="42">
        <v>170</v>
      </c>
      <c r="B180" s="79">
        <v>43302</v>
      </c>
      <c r="C180" s="89" t="s">
        <v>614</v>
      </c>
      <c r="D180" s="85" t="s">
        <v>615</v>
      </c>
      <c r="E180" s="85"/>
      <c r="F180" s="90"/>
      <c r="G180" s="91"/>
      <c r="H180" s="91"/>
      <c r="I180" s="91"/>
      <c r="J180" s="92"/>
    </row>
    <row r="181" spans="1:10" ht="204" x14ac:dyDescent="0.25">
      <c r="A181" s="42">
        <v>171</v>
      </c>
      <c r="B181" s="79">
        <v>43303</v>
      </c>
      <c r="C181" s="89" t="s">
        <v>652</v>
      </c>
      <c r="D181" s="85" t="s">
        <v>654</v>
      </c>
      <c r="E181" s="85" t="s">
        <v>653</v>
      </c>
      <c r="F181" s="90"/>
      <c r="G181" s="91"/>
      <c r="H181" s="91"/>
      <c r="I181" s="91"/>
      <c r="J181" s="92"/>
    </row>
    <row r="182" spans="1:10" x14ac:dyDescent="0.25">
      <c r="A182" s="42">
        <v>172</v>
      </c>
      <c r="B182" s="79">
        <v>43304</v>
      </c>
      <c r="C182" s="89"/>
      <c r="D182" s="85"/>
      <c r="E182" s="85"/>
      <c r="F182" s="90"/>
      <c r="G182" s="91"/>
      <c r="H182" s="91"/>
      <c r="I182" s="91"/>
      <c r="J182" s="92"/>
    </row>
    <row r="183" spans="1:10" ht="96" x14ac:dyDescent="0.25">
      <c r="A183" s="42">
        <v>173</v>
      </c>
      <c r="B183" s="79">
        <v>43305</v>
      </c>
      <c r="C183" s="89"/>
      <c r="D183" s="85" t="s">
        <v>665</v>
      </c>
      <c r="E183" s="85"/>
      <c r="F183" s="90"/>
      <c r="G183" s="91"/>
      <c r="H183" s="91"/>
      <c r="I183" s="91"/>
      <c r="J183" s="92"/>
    </row>
    <row r="184" spans="1:10" x14ac:dyDescent="0.25">
      <c r="A184" s="42">
        <v>174</v>
      </c>
      <c r="B184" s="79">
        <v>43306</v>
      </c>
      <c r="C184" s="89"/>
      <c r="D184" s="85"/>
      <c r="E184" s="85"/>
      <c r="F184" s="90"/>
      <c r="G184" s="91"/>
      <c r="H184" s="91"/>
      <c r="I184" s="91"/>
      <c r="J184" s="92"/>
    </row>
    <row r="185" spans="1:10" x14ac:dyDescent="0.25">
      <c r="A185" s="42">
        <v>175</v>
      </c>
      <c r="B185" s="79">
        <v>43307</v>
      </c>
      <c r="C185" s="89"/>
      <c r="D185" s="85"/>
      <c r="E185" s="85"/>
      <c r="F185" s="90"/>
      <c r="G185" s="91"/>
      <c r="H185" s="91"/>
      <c r="I185" s="91"/>
      <c r="J185" s="92"/>
    </row>
    <row r="186" spans="1:10" x14ac:dyDescent="0.25">
      <c r="A186" s="42">
        <v>176</v>
      </c>
      <c r="B186" s="79">
        <v>43308</v>
      </c>
      <c r="C186" s="89"/>
      <c r="D186" s="85"/>
      <c r="E186" s="85"/>
      <c r="F186" s="90"/>
      <c r="G186" s="91"/>
      <c r="H186" s="91"/>
      <c r="I186" s="91"/>
      <c r="J186" s="92"/>
    </row>
    <row r="187" spans="1:10" x14ac:dyDescent="0.25">
      <c r="A187" s="42">
        <v>177</v>
      </c>
      <c r="B187" s="79">
        <v>43309</v>
      </c>
      <c r="C187" s="89"/>
      <c r="D187" s="85"/>
      <c r="E187" s="85"/>
      <c r="F187" s="90"/>
      <c r="G187" s="91"/>
      <c r="H187" s="91"/>
      <c r="I187" s="91"/>
      <c r="J187" s="92"/>
    </row>
    <row r="188" spans="1:10" x14ac:dyDescent="0.25">
      <c r="A188" s="42">
        <v>178</v>
      </c>
      <c r="B188" s="79">
        <v>43310</v>
      </c>
      <c r="C188" s="89"/>
      <c r="D188" s="85"/>
      <c r="E188" s="85"/>
      <c r="F188" s="90"/>
      <c r="G188" s="91"/>
      <c r="H188" s="91"/>
      <c r="I188" s="91"/>
      <c r="J188" s="92"/>
    </row>
    <row r="189" spans="1:10" x14ac:dyDescent="0.25">
      <c r="A189" s="42">
        <v>179</v>
      </c>
      <c r="B189" s="79">
        <v>43311</v>
      </c>
      <c r="C189" s="89"/>
      <c r="D189" s="85"/>
      <c r="E189" s="85"/>
      <c r="F189" s="90"/>
      <c r="G189" s="91"/>
      <c r="H189" s="91"/>
      <c r="I189" s="91"/>
      <c r="J189" s="92"/>
    </row>
    <row r="190" spans="1:10" x14ac:dyDescent="0.25">
      <c r="A190" s="42">
        <v>180</v>
      </c>
      <c r="B190" s="79">
        <v>43312</v>
      </c>
      <c r="C190" s="89"/>
      <c r="D190" s="85"/>
      <c r="E190" s="85"/>
      <c r="F190" s="90"/>
      <c r="G190" s="91"/>
      <c r="H190" s="91"/>
      <c r="I190" s="91"/>
      <c r="J190" s="92"/>
    </row>
    <row r="191" spans="1:10" x14ac:dyDescent="0.25">
      <c r="A191" s="42">
        <v>181</v>
      </c>
      <c r="B191" s="79">
        <v>43313</v>
      </c>
      <c r="C191" s="89"/>
      <c r="D191" s="85"/>
      <c r="E191" s="85"/>
      <c r="F191" s="90"/>
      <c r="G191" s="91"/>
      <c r="H191" s="91"/>
      <c r="I191" s="91"/>
      <c r="J191" s="92"/>
    </row>
    <row r="192" spans="1:10" x14ac:dyDescent="0.25">
      <c r="A192" s="42">
        <v>182</v>
      </c>
      <c r="B192" s="79">
        <v>43314</v>
      </c>
      <c r="C192" s="89"/>
      <c r="D192" s="85"/>
      <c r="E192" s="85"/>
      <c r="F192" s="90"/>
      <c r="G192" s="91"/>
      <c r="H192" s="91"/>
      <c r="I192" s="91"/>
      <c r="J192" s="92"/>
    </row>
    <row r="193" spans="1:10" x14ac:dyDescent="0.25">
      <c r="A193" s="42">
        <v>183</v>
      </c>
      <c r="B193" s="79">
        <v>43315</v>
      </c>
      <c r="C193" s="89"/>
      <c r="D193" s="85"/>
      <c r="E193" s="85"/>
      <c r="F193" s="90"/>
      <c r="G193" s="91"/>
      <c r="H193" s="91"/>
      <c r="I193" s="91"/>
      <c r="J193" s="92"/>
    </row>
    <row r="194" spans="1:10" x14ac:dyDescent="0.25">
      <c r="A194" s="42">
        <v>184</v>
      </c>
      <c r="B194" s="79">
        <v>43316</v>
      </c>
      <c r="C194" s="89"/>
      <c r="D194" s="85"/>
      <c r="E194" s="85"/>
      <c r="F194" s="90"/>
      <c r="G194" s="91"/>
      <c r="H194" s="91"/>
      <c r="I194" s="91"/>
      <c r="J194" s="92"/>
    </row>
    <row r="195" spans="1:10" x14ac:dyDescent="0.25">
      <c r="A195" s="42">
        <v>185</v>
      </c>
      <c r="B195" s="79">
        <v>43317</v>
      </c>
      <c r="C195" s="89"/>
      <c r="D195" s="85"/>
      <c r="E195" s="85"/>
      <c r="F195" s="90"/>
      <c r="G195" s="91"/>
      <c r="H195" s="91"/>
      <c r="I195" s="91"/>
      <c r="J195" s="92"/>
    </row>
    <row r="196" spans="1:10" x14ac:dyDescent="0.25">
      <c r="A196" s="42">
        <v>186</v>
      </c>
      <c r="B196" s="79">
        <v>43318</v>
      </c>
      <c r="C196" s="89"/>
      <c r="D196" s="85"/>
      <c r="E196" s="85"/>
      <c r="F196" s="90"/>
      <c r="G196" s="91"/>
      <c r="H196" s="91"/>
      <c r="I196" s="91"/>
      <c r="J196" s="92"/>
    </row>
    <row r="197" spans="1:10" x14ac:dyDescent="0.25">
      <c r="A197" s="42">
        <v>187</v>
      </c>
      <c r="B197" s="79">
        <v>43319</v>
      </c>
      <c r="C197" s="89"/>
      <c r="D197" s="85"/>
      <c r="E197" s="85"/>
      <c r="F197" s="90"/>
      <c r="G197" s="91"/>
      <c r="H197" s="91"/>
      <c r="I197" s="91"/>
      <c r="J197" s="92"/>
    </row>
    <row r="198" spans="1:10" x14ac:dyDescent="0.25">
      <c r="A198" s="42">
        <v>188</v>
      </c>
      <c r="B198" s="79">
        <v>43320</v>
      </c>
      <c r="C198" s="89"/>
      <c r="D198" s="85"/>
      <c r="E198" s="85"/>
      <c r="F198" s="90"/>
      <c r="G198" s="91"/>
      <c r="H198" s="91"/>
      <c r="I198" s="91"/>
      <c r="J198" s="92"/>
    </row>
    <row r="199" spans="1:10" x14ac:dyDescent="0.25">
      <c r="A199" s="42">
        <v>189</v>
      </c>
      <c r="B199" s="79">
        <v>43321</v>
      </c>
      <c r="C199" s="89"/>
      <c r="D199" s="85"/>
      <c r="E199" s="85"/>
      <c r="F199" s="90"/>
      <c r="G199" s="91"/>
      <c r="H199" s="91"/>
      <c r="I199" s="91"/>
      <c r="J199" s="92"/>
    </row>
    <row r="200" spans="1:10" x14ac:dyDescent="0.25">
      <c r="A200" s="42">
        <v>190</v>
      </c>
      <c r="B200" s="79">
        <v>43322</v>
      </c>
      <c r="C200" s="89"/>
      <c r="D200" s="85"/>
      <c r="E200" s="85"/>
      <c r="F200" s="90"/>
      <c r="G200" s="91"/>
      <c r="H200" s="91"/>
      <c r="I200" s="91"/>
      <c r="J200" s="92"/>
    </row>
    <row r="201" spans="1:10" x14ac:dyDescent="0.25">
      <c r="A201" s="42">
        <v>191</v>
      </c>
      <c r="B201" s="79">
        <v>43323</v>
      </c>
      <c r="C201" s="89"/>
      <c r="D201" s="85"/>
      <c r="E201" s="85"/>
      <c r="F201" s="90"/>
      <c r="G201" s="91"/>
      <c r="H201" s="91"/>
      <c r="I201" s="91"/>
      <c r="J201" s="92"/>
    </row>
    <row r="202" spans="1:10" x14ac:dyDescent="0.25">
      <c r="A202" s="42">
        <v>192</v>
      </c>
      <c r="B202" s="79">
        <v>43324</v>
      </c>
      <c r="C202" s="89"/>
      <c r="D202" s="85"/>
      <c r="E202" s="85"/>
      <c r="F202" s="90"/>
      <c r="G202" s="91"/>
      <c r="H202" s="91"/>
      <c r="I202" s="91"/>
      <c r="J202" s="92"/>
    </row>
    <row r="203" spans="1:10" x14ac:dyDescent="0.25">
      <c r="A203" s="42">
        <v>193</v>
      </c>
      <c r="B203" s="79">
        <v>43325</v>
      </c>
      <c r="C203" s="89"/>
      <c r="D203" s="85"/>
      <c r="E203" s="85"/>
      <c r="F203" s="90"/>
      <c r="G203" s="91"/>
      <c r="H203" s="91"/>
      <c r="I203" s="91"/>
      <c r="J203" s="92"/>
    </row>
    <row r="204" spans="1:10" x14ac:dyDescent="0.25">
      <c r="A204" s="42">
        <v>194</v>
      </c>
      <c r="B204" s="79">
        <v>43326</v>
      </c>
      <c r="C204" s="89"/>
      <c r="D204" s="85"/>
      <c r="E204" s="85"/>
      <c r="F204" s="90"/>
      <c r="G204" s="91"/>
      <c r="H204" s="91"/>
      <c r="I204" s="91"/>
      <c r="J204" s="92"/>
    </row>
    <row r="205" spans="1:10" x14ac:dyDescent="0.25">
      <c r="A205" s="42">
        <v>195</v>
      </c>
      <c r="B205" s="79">
        <v>43327</v>
      </c>
      <c r="C205" s="89"/>
      <c r="D205" s="85"/>
      <c r="E205" s="85"/>
      <c r="F205" s="90"/>
      <c r="G205" s="91"/>
      <c r="H205" s="91"/>
      <c r="I205" s="91"/>
      <c r="J205" s="92"/>
    </row>
    <row r="206" spans="1:10" x14ac:dyDescent="0.25">
      <c r="A206" s="42">
        <v>196</v>
      </c>
      <c r="B206" s="79">
        <v>43328</v>
      </c>
      <c r="C206" s="89"/>
      <c r="D206" s="85"/>
      <c r="E206" s="85"/>
      <c r="F206" s="90"/>
      <c r="G206" s="91"/>
      <c r="H206" s="91"/>
      <c r="I206" s="91"/>
      <c r="J206" s="92"/>
    </row>
    <row r="207" spans="1:10" x14ac:dyDescent="0.25">
      <c r="A207" s="42">
        <v>197</v>
      </c>
      <c r="B207" s="79">
        <v>43329</v>
      </c>
      <c r="C207" s="89"/>
      <c r="D207" s="85"/>
      <c r="E207" s="85"/>
      <c r="F207" s="90"/>
      <c r="G207" s="91"/>
      <c r="H207" s="91"/>
      <c r="I207" s="91"/>
      <c r="J207" s="92"/>
    </row>
    <row r="208" spans="1:10" x14ac:dyDescent="0.25">
      <c r="A208" s="42">
        <v>198</v>
      </c>
      <c r="B208" s="79">
        <v>43330</v>
      </c>
      <c r="C208" s="89"/>
      <c r="D208" s="85"/>
      <c r="E208" s="85"/>
      <c r="F208" s="90"/>
      <c r="G208" s="91"/>
      <c r="H208" s="91"/>
      <c r="I208" s="91"/>
      <c r="J208" s="92"/>
    </row>
    <row r="209" spans="1:10" x14ac:dyDescent="0.25">
      <c r="A209" s="42">
        <v>199</v>
      </c>
      <c r="B209" s="79">
        <v>43331</v>
      </c>
      <c r="C209" s="89"/>
      <c r="D209" s="85"/>
      <c r="E209" s="85"/>
      <c r="F209" s="90"/>
      <c r="G209" s="91"/>
      <c r="H209" s="91"/>
      <c r="I209" s="91"/>
      <c r="J209" s="92"/>
    </row>
    <row r="210" spans="1:10" x14ac:dyDescent="0.25">
      <c r="A210" s="42">
        <v>200</v>
      </c>
      <c r="B210" s="79">
        <v>43332</v>
      </c>
      <c r="C210" s="89"/>
      <c r="D210" s="85"/>
      <c r="E210" s="85"/>
      <c r="F210" s="90"/>
      <c r="G210" s="91"/>
      <c r="H210" s="91"/>
      <c r="I210" s="91"/>
      <c r="J210" s="92"/>
    </row>
    <row r="211" spans="1:10" x14ac:dyDescent="0.25">
      <c r="A211" s="42">
        <v>201</v>
      </c>
      <c r="B211" s="79">
        <v>43333</v>
      </c>
      <c r="C211" s="89"/>
      <c r="D211" s="85"/>
      <c r="E211" s="85"/>
      <c r="F211" s="90"/>
      <c r="G211" s="91"/>
      <c r="H211" s="91"/>
      <c r="I211" s="91"/>
      <c r="J211" s="92"/>
    </row>
    <row r="212" spans="1:10" x14ac:dyDescent="0.25">
      <c r="A212" s="42">
        <v>202</v>
      </c>
      <c r="B212" s="79">
        <v>43334</v>
      </c>
      <c r="C212" s="89"/>
      <c r="D212" s="85"/>
      <c r="E212" s="85"/>
      <c r="F212" s="90"/>
      <c r="G212" s="91"/>
      <c r="H212" s="91"/>
      <c r="I212" s="91"/>
      <c r="J212" s="92"/>
    </row>
    <row r="213" spans="1:10" x14ac:dyDescent="0.25">
      <c r="A213" s="42">
        <v>203</v>
      </c>
      <c r="B213" s="79">
        <v>43335</v>
      </c>
      <c r="C213" s="89"/>
      <c r="D213" s="85"/>
      <c r="E213" s="85"/>
      <c r="F213" s="90"/>
      <c r="G213" s="91"/>
      <c r="H213" s="91"/>
      <c r="I213" s="91"/>
      <c r="J213" s="92"/>
    </row>
    <row r="214" spans="1:10" x14ac:dyDescent="0.25">
      <c r="A214" s="42">
        <v>204</v>
      </c>
      <c r="B214" s="79">
        <v>43336</v>
      </c>
      <c r="C214" s="89"/>
      <c r="D214" s="85"/>
      <c r="E214" s="85"/>
      <c r="F214" s="90"/>
      <c r="G214" s="91"/>
      <c r="H214" s="91"/>
      <c r="I214" s="91"/>
      <c r="J214" s="92"/>
    </row>
    <row r="215" spans="1:10" x14ac:dyDescent="0.25">
      <c r="A215" s="42">
        <v>205</v>
      </c>
      <c r="B215" s="79">
        <v>43337</v>
      </c>
      <c r="C215" s="89"/>
      <c r="D215" s="85"/>
      <c r="E215" s="85"/>
      <c r="F215" s="90"/>
      <c r="G215" s="91"/>
      <c r="H215" s="91"/>
      <c r="I215" s="91"/>
      <c r="J215" s="92"/>
    </row>
    <row r="216" spans="1:10" x14ac:dyDescent="0.25">
      <c r="A216" s="42">
        <v>206</v>
      </c>
      <c r="B216" s="79">
        <v>43338</v>
      </c>
      <c r="C216" s="89"/>
      <c r="D216" s="85"/>
      <c r="E216" s="85"/>
      <c r="F216" s="90"/>
      <c r="G216" s="91"/>
      <c r="H216" s="91"/>
      <c r="I216" s="91"/>
      <c r="J216" s="92"/>
    </row>
    <row r="217" spans="1:10" x14ac:dyDescent="0.25">
      <c r="A217" s="42">
        <v>207</v>
      </c>
      <c r="B217" s="79">
        <v>43339</v>
      </c>
      <c r="C217" s="89"/>
      <c r="D217" s="85"/>
      <c r="E217" s="85"/>
      <c r="F217" s="90"/>
      <c r="G217" s="91"/>
      <c r="H217" s="91"/>
      <c r="I217" s="91"/>
      <c r="J217" s="92"/>
    </row>
    <row r="218" spans="1:10" x14ac:dyDescent="0.25">
      <c r="A218" s="42">
        <v>208</v>
      </c>
      <c r="B218" s="79">
        <v>43340</v>
      </c>
      <c r="C218" s="89"/>
      <c r="D218" s="85"/>
      <c r="E218" s="85"/>
      <c r="F218" s="90"/>
      <c r="G218" s="91"/>
      <c r="H218" s="91"/>
      <c r="I218" s="91"/>
      <c r="J218" s="92"/>
    </row>
    <row r="219" spans="1:10" x14ac:dyDescent="0.25">
      <c r="A219" s="42">
        <v>209</v>
      </c>
      <c r="B219" s="79">
        <v>43341</v>
      </c>
      <c r="C219" s="89"/>
      <c r="D219" s="85"/>
      <c r="E219" s="85"/>
      <c r="F219" s="90"/>
      <c r="G219" s="91"/>
      <c r="H219" s="91"/>
      <c r="I219" s="91"/>
      <c r="J219" s="92"/>
    </row>
    <row r="220" spans="1:10" x14ac:dyDescent="0.25">
      <c r="A220" s="42">
        <v>210</v>
      </c>
      <c r="B220" s="79">
        <v>43342</v>
      </c>
      <c r="C220" s="89"/>
      <c r="D220" s="85"/>
      <c r="E220" s="85"/>
      <c r="F220" s="90"/>
      <c r="G220" s="91"/>
      <c r="H220" s="91"/>
      <c r="I220" s="91"/>
      <c r="J220" s="92"/>
    </row>
    <row r="221" spans="1:10" x14ac:dyDescent="0.25">
      <c r="A221" s="42">
        <v>211</v>
      </c>
      <c r="B221" s="79">
        <v>43343</v>
      </c>
      <c r="C221" s="89"/>
      <c r="D221" s="85"/>
      <c r="E221" s="85"/>
      <c r="F221" s="90"/>
      <c r="G221" s="91"/>
      <c r="H221" s="91"/>
      <c r="I221" s="91"/>
      <c r="J221" s="92"/>
    </row>
    <row r="222" spans="1:10" x14ac:dyDescent="0.25">
      <c r="A222" s="42">
        <v>212</v>
      </c>
      <c r="B222" s="79">
        <v>43344</v>
      </c>
      <c r="C222" s="89"/>
      <c r="D222" s="85"/>
      <c r="E222" s="85"/>
      <c r="F222" s="90"/>
      <c r="G222" s="91"/>
      <c r="H222" s="91"/>
      <c r="I222" s="91"/>
      <c r="J222" s="92"/>
    </row>
    <row r="223" spans="1:10" x14ac:dyDescent="0.25">
      <c r="A223" s="42">
        <v>213</v>
      </c>
      <c r="B223" s="79">
        <v>43345</v>
      </c>
      <c r="C223" s="89"/>
      <c r="D223" s="85"/>
      <c r="E223" s="85"/>
      <c r="F223" s="90"/>
      <c r="G223" s="91"/>
      <c r="H223" s="91"/>
      <c r="I223" s="91"/>
      <c r="J223" s="92"/>
    </row>
    <row r="224" spans="1:10" x14ac:dyDescent="0.25">
      <c r="A224" s="42">
        <v>214</v>
      </c>
      <c r="B224" s="79">
        <v>43346</v>
      </c>
      <c r="C224" s="89"/>
      <c r="D224" s="85"/>
      <c r="E224" s="85"/>
      <c r="F224" s="90"/>
      <c r="G224" s="91"/>
      <c r="H224" s="91"/>
      <c r="I224" s="91"/>
      <c r="J224" s="92"/>
    </row>
    <row r="225" spans="1:10" x14ac:dyDescent="0.25">
      <c r="A225" s="42">
        <v>215</v>
      </c>
      <c r="B225" s="79">
        <v>43347</v>
      </c>
      <c r="C225" s="89"/>
      <c r="D225" s="85"/>
      <c r="E225" s="85"/>
      <c r="F225" s="90"/>
      <c r="G225" s="91"/>
      <c r="H225" s="91"/>
      <c r="I225" s="91"/>
      <c r="J225" s="92"/>
    </row>
    <row r="226" spans="1:10" x14ac:dyDescent="0.25">
      <c r="A226" s="42">
        <v>216</v>
      </c>
      <c r="B226" s="79">
        <v>43348</v>
      </c>
      <c r="C226" s="89"/>
      <c r="D226" s="85"/>
      <c r="E226" s="85"/>
      <c r="F226" s="90"/>
      <c r="G226" s="91"/>
      <c r="H226" s="91"/>
      <c r="I226" s="91"/>
      <c r="J226" s="92"/>
    </row>
    <row r="227" spans="1:10" x14ac:dyDescent="0.25">
      <c r="A227" s="42">
        <v>217</v>
      </c>
      <c r="B227" s="79">
        <v>43349</v>
      </c>
      <c r="C227" s="89"/>
      <c r="D227" s="85"/>
      <c r="E227" s="85"/>
      <c r="F227" s="90"/>
      <c r="G227" s="91"/>
      <c r="H227" s="91"/>
      <c r="I227" s="91"/>
      <c r="J227" s="92"/>
    </row>
    <row r="228" spans="1:10" x14ac:dyDescent="0.25">
      <c r="A228" s="42">
        <v>218</v>
      </c>
      <c r="B228" s="79">
        <v>43350</v>
      </c>
      <c r="C228" s="89"/>
      <c r="D228" s="85"/>
      <c r="E228" s="85"/>
      <c r="F228" s="90"/>
      <c r="G228" s="91"/>
      <c r="H228" s="91"/>
      <c r="I228" s="91"/>
      <c r="J228" s="92"/>
    </row>
    <row r="229" spans="1:10" x14ac:dyDescent="0.25">
      <c r="A229" s="42">
        <v>219</v>
      </c>
      <c r="B229" s="79">
        <v>43351</v>
      </c>
      <c r="C229" s="89"/>
      <c r="D229" s="85"/>
      <c r="E229" s="85"/>
      <c r="F229" s="90"/>
      <c r="G229" s="91"/>
      <c r="H229" s="91"/>
      <c r="I229" s="91"/>
      <c r="J229" s="92"/>
    </row>
    <row r="230" spans="1:10" x14ac:dyDescent="0.25">
      <c r="A230" s="42">
        <v>220</v>
      </c>
      <c r="B230" s="79">
        <v>43352</v>
      </c>
      <c r="C230" s="89"/>
      <c r="D230" s="85"/>
      <c r="E230" s="85"/>
      <c r="F230" s="90"/>
      <c r="G230" s="91"/>
      <c r="H230" s="91"/>
      <c r="I230" s="91"/>
      <c r="J230" s="92"/>
    </row>
    <row r="231" spans="1:10" x14ac:dyDescent="0.25">
      <c r="A231" s="42">
        <v>221</v>
      </c>
      <c r="B231" s="79">
        <v>43353</v>
      </c>
      <c r="C231" s="89"/>
      <c r="D231" s="85"/>
      <c r="E231" s="85"/>
      <c r="F231" s="90"/>
      <c r="G231" s="91"/>
      <c r="H231" s="91"/>
      <c r="I231" s="91"/>
      <c r="J231" s="92"/>
    </row>
    <row r="232" spans="1:10" x14ac:dyDescent="0.25">
      <c r="A232" s="42">
        <v>222</v>
      </c>
      <c r="B232" s="79">
        <v>43354</v>
      </c>
      <c r="C232" s="89"/>
      <c r="D232" s="85"/>
      <c r="E232" s="85"/>
      <c r="F232" s="90"/>
      <c r="G232" s="91"/>
      <c r="H232" s="91"/>
      <c r="I232" s="91"/>
      <c r="J232" s="92"/>
    </row>
    <row r="233" spans="1:10" x14ac:dyDescent="0.25">
      <c r="A233" s="42">
        <v>223</v>
      </c>
      <c r="B233" s="79">
        <v>43355</v>
      </c>
      <c r="C233" s="89"/>
      <c r="D233" s="85"/>
      <c r="E233" s="85"/>
      <c r="F233" s="90"/>
      <c r="G233" s="91"/>
      <c r="H233" s="91"/>
      <c r="I233" s="91"/>
      <c r="J233" s="92"/>
    </row>
    <row r="234" spans="1:10" x14ac:dyDescent="0.25">
      <c r="A234" s="42">
        <v>224</v>
      </c>
      <c r="B234" s="79">
        <v>43356</v>
      </c>
      <c r="C234" s="89"/>
      <c r="D234" s="85"/>
      <c r="E234" s="85"/>
      <c r="F234" s="90"/>
      <c r="G234" s="91"/>
      <c r="H234" s="91"/>
      <c r="I234" s="91"/>
      <c r="J234" s="92"/>
    </row>
    <row r="235" spans="1:10" x14ac:dyDescent="0.25">
      <c r="A235" s="42">
        <v>225</v>
      </c>
      <c r="B235" s="79">
        <v>43357</v>
      </c>
      <c r="C235" s="89"/>
      <c r="D235" s="85"/>
      <c r="E235" s="85"/>
      <c r="F235" s="90"/>
      <c r="G235" s="91"/>
      <c r="H235" s="91"/>
      <c r="I235" s="91"/>
      <c r="J235" s="92"/>
    </row>
    <row r="236" spans="1:10" x14ac:dyDescent="0.25">
      <c r="A236" s="42">
        <v>226</v>
      </c>
      <c r="B236" s="79">
        <v>43358</v>
      </c>
      <c r="C236" s="89"/>
      <c r="D236" s="85"/>
      <c r="E236" s="85"/>
      <c r="F236" s="90"/>
      <c r="G236" s="91"/>
      <c r="H236" s="91"/>
      <c r="I236" s="91"/>
      <c r="J236" s="92"/>
    </row>
    <row r="237" spans="1:10" x14ac:dyDescent="0.25">
      <c r="A237" s="42">
        <v>227</v>
      </c>
      <c r="B237" s="79">
        <v>43359</v>
      </c>
      <c r="C237" s="89"/>
      <c r="D237" s="85"/>
      <c r="E237" s="85"/>
      <c r="F237" s="90"/>
      <c r="G237" s="91"/>
      <c r="H237" s="91"/>
      <c r="I237" s="91"/>
      <c r="J237" s="92"/>
    </row>
    <row r="238" spans="1:10" x14ac:dyDescent="0.25">
      <c r="A238" s="42">
        <v>228</v>
      </c>
      <c r="B238" s="79">
        <v>43360</v>
      </c>
      <c r="C238" s="89"/>
      <c r="D238" s="85"/>
      <c r="E238" s="85"/>
      <c r="F238" s="90"/>
      <c r="G238" s="91"/>
      <c r="H238" s="91"/>
      <c r="I238" s="91"/>
      <c r="J238" s="92"/>
    </row>
    <row r="239" spans="1:10" x14ac:dyDescent="0.25">
      <c r="A239" s="42">
        <v>229</v>
      </c>
      <c r="B239" s="79">
        <v>43361</v>
      </c>
      <c r="C239" s="89"/>
      <c r="D239" s="85"/>
      <c r="E239" s="85"/>
      <c r="F239" s="90"/>
      <c r="G239" s="91"/>
      <c r="H239" s="91"/>
      <c r="I239" s="91"/>
      <c r="J239" s="92"/>
    </row>
    <row r="240" spans="1:10" x14ac:dyDescent="0.25">
      <c r="A240" s="42">
        <v>230</v>
      </c>
      <c r="B240" s="79">
        <v>43362</v>
      </c>
      <c r="C240" s="89"/>
      <c r="D240" s="85"/>
      <c r="E240" s="85"/>
      <c r="F240" s="90"/>
      <c r="G240" s="91"/>
      <c r="H240" s="91"/>
      <c r="I240" s="91"/>
      <c r="J240" s="92"/>
    </row>
    <row r="241" spans="1:10" x14ac:dyDescent="0.25">
      <c r="A241" s="42">
        <v>231</v>
      </c>
      <c r="B241" s="79">
        <v>43363</v>
      </c>
      <c r="C241" s="89"/>
      <c r="D241" s="85"/>
      <c r="E241" s="85"/>
      <c r="F241" s="90"/>
      <c r="G241" s="91"/>
      <c r="H241" s="91"/>
      <c r="I241" s="91"/>
      <c r="J241" s="92"/>
    </row>
    <row r="242" spans="1:10" x14ac:dyDescent="0.25">
      <c r="A242" s="42">
        <v>232</v>
      </c>
      <c r="B242" s="79">
        <v>43364</v>
      </c>
      <c r="C242" s="89"/>
      <c r="D242" s="85"/>
      <c r="E242" s="85"/>
      <c r="F242" s="90"/>
      <c r="G242" s="91"/>
      <c r="H242" s="91"/>
      <c r="I242" s="91"/>
      <c r="J242" s="92"/>
    </row>
    <row r="243" spans="1:10" x14ac:dyDescent="0.25">
      <c r="A243" s="42">
        <v>233</v>
      </c>
      <c r="B243" s="79">
        <v>43365</v>
      </c>
      <c r="C243" s="89"/>
      <c r="D243" s="85"/>
      <c r="E243" s="85"/>
      <c r="F243" s="90"/>
      <c r="G243" s="91"/>
      <c r="H243" s="91"/>
      <c r="I243" s="91"/>
      <c r="J243" s="92"/>
    </row>
    <row r="244" spans="1:10" x14ac:dyDescent="0.25">
      <c r="A244" s="42">
        <v>234</v>
      </c>
      <c r="B244" s="79">
        <v>43366</v>
      </c>
      <c r="C244" s="89"/>
      <c r="D244" s="85"/>
      <c r="E244" s="85"/>
      <c r="F244" s="90"/>
      <c r="G244" s="91"/>
      <c r="H244" s="91"/>
      <c r="I244" s="91"/>
      <c r="J244" s="92"/>
    </row>
    <row r="245" spans="1:10" x14ac:dyDescent="0.25">
      <c r="A245" s="42">
        <v>235</v>
      </c>
      <c r="B245" s="79">
        <v>43367</v>
      </c>
      <c r="C245" s="89"/>
      <c r="D245" s="85"/>
      <c r="E245" s="85"/>
      <c r="F245" s="90"/>
      <c r="G245" s="91"/>
      <c r="H245" s="91"/>
      <c r="I245" s="91"/>
      <c r="J245" s="92"/>
    </row>
    <row r="246" spans="1:10" x14ac:dyDescent="0.25">
      <c r="A246" s="42">
        <v>236</v>
      </c>
      <c r="B246" s="79">
        <v>43368</v>
      </c>
      <c r="C246" s="89"/>
      <c r="D246" s="85"/>
      <c r="E246" s="85"/>
      <c r="F246" s="90"/>
      <c r="G246" s="91"/>
      <c r="H246" s="91"/>
      <c r="I246" s="91"/>
      <c r="J246" s="92"/>
    </row>
    <row r="247" spans="1:10" x14ac:dyDescent="0.25">
      <c r="A247" s="42">
        <v>237</v>
      </c>
      <c r="B247" s="79">
        <v>43369</v>
      </c>
      <c r="C247" s="89"/>
      <c r="D247" s="85"/>
      <c r="E247" s="85"/>
      <c r="F247" s="90"/>
      <c r="G247" s="91"/>
      <c r="H247" s="91"/>
      <c r="I247" s="91"/>
      <c r="J247" s="92"/>
    </row>
    <row r="248" spans="1:10" x14ac:dyDescent="0.25">
      <c r="A248" s="42">
        <v>238</v>
      </c>
      <c r="B248" s="79">
        <v>43370</v>
      </c>
      <c r="C248" s="89"/>
      <c r="D248" s="85"/>
      <c r="E248" s="85"/>
      <c r="F248" s="90"/>
      <c r="G248" s="91"/>
      <c r="H248" s="91"/>
      <c r="I248" s="91"/>
      <c r="J248" s="92"/>
    </row>
    <row r="249" spans="1:10" x14ac:dyDescent="0.25">
      <c r="A249" s="42">
        <v>239</v>
      </c>
      <c r="B249" s="79">
        <v>43371</v>
      </c>
      <c r="C249" s="89"/>
      <c r="D249" s="85"/>
      <c r="E249" s="85"/>
      <c r="F249" s="90"/>
      <c r="G249" s="91"/>
      <c r="H249" s="91"/>
      <c r="I249" s="91"/>
      <c r="J249" s="92"/>
    </row>
    <row r="250" spans="1:10" x14ac:dyDescent="0.25">
      <c r="A250" s="42">
        <v>240</v>
      </c>
      <c r="B250" s="79">
        <v>43372</v>
      </c>
      <c r="C250" s="89"/>
      <c r="D250" s="85"/>
      <c r="E250" s="85"/>
      <c r="F250" s="90"/>
      <c r="G250" s="91"/>
      <c r="H250" s="91"/>
      <c r="I250" s="91"/>
      <c r="J250" s="92"/>
    </row>
    <row r="251" spans="1:10" x14ac:dyDescent="0.25">
      <c r="A251" s="42">
        <v>241</v>
      </c>
      <c r="B251" s="79">
        <v>43373</v>
      </c>
      <c r="C251" s="89"/>
      <c r="D251" s="85"/>
      <c r="E251" s="85"/>
      <c r="F251" s="90"/>
      <c r="G251" s="91"/>
      <c r="H251" s="91"/>
      <c r="I251" s="91"/>
      <c r="J251" s="92"/>
    </row>
    <row r="252" spans="1:10" x14ac:dyDescent="0.25">
      <c r="A252" s="42">
        <v>242</v>
      </c>
      <c r="B252" s="79">
        <v>43374</v>
      </c>
      <c r="C252" s="89"/>
      <c r="D252" s="85"/>
      <c r="E252" s="85"/>
      <c r="F252" s="90"/>
      <c r="G252" s="91"/>
      <c r="H252" s="91"/>
      <c r="I252" s="91"/>
      <c r="J252" s="92"/>
    </row>
    <row r="253" spans="1:10" x14ac:dyDescent="0.25">
      <c r="A253" s="42">
        <v>243</v>
      </c>
      <c r="B253" s="79">
        <v>43375</v>
      </c>
      <c r="C253" s="89"/>
      <c r="D253" s="85"/>
      <c r="E253" s="85"/>
      <c r="F253" s="90"/>
      <c r="G253" s="91"/>
      <c r="H253" s="91"/>
      <c r="I253" s="91"/>
      <c r="J253" s="92"/>
    </row>
    <row r="254" spans="1:10" x14ac:dyDescent="0.25">
      <c r="A254" s="42">
        <v>244</v>
      </c>
      <c r="B254" s="79">
        <v>43376</v>
      </c>
      <c r="C254" s="89"/>
      <c r="D254" s="85"/>
      <c r="E254" s="85"/>
      <c r="F254" s="90"/>
      <c r="G254" s="91"/>
      <c r="H254" s="91"/>
      <c r="I254" s="91"/>
      <c r="J254" s="92"/>
    </row>
    <row r="255" spans="1:10" x14ac:dyDescent="0.25">
      <c r="A255" s="42">
        <v>245</v>
      </c>
      <c r="B255" s="79">
        <v>43377</v>
      </c>
      <c r="C255" s="89"/>
      <c r="D255" s="85"/>
      <c r="E255" s="85"/>
      <c r="F255" s="90"/>
      <c r="G255" s="91"/>
      <c r="H255" s="91"/>
      <c r="I255" s="91"/>
      <c r="J255" s="92"/>
    </row>
    <row r="256" spans="1:10" x14ac:dyDescent="0.25">
      <c r="A256" s="42">
        <v>246</v>
      </c>
      <c r="B256" s="79">
        <v>43378</v>
      </c>
      <c r="C256" s="89"/>
      <c r="D256" s="85"/>
      <c r="E256" s="85"/>
      <c r="F256" s="90"/>
      <c r="G256" s="91"/>
      <c r="H256" s="91"/>
      <c r="I256" s="91"/>
      <c r="J256" s="92"/>
    </row>
    <row r="257" spans="1:10" x14ac:dyDescent="0.25">
      <c r="A257" s="42">
        <v>247</v>
      </c>
      <c r="B257" s="79">
        <v>43379</v>
      </c>
      <c r="C257" s="89"/>
      <c r="D257" s="85"/>
      <c r="E257" s="85"/>
      <c r="F257" s="90"/>
      <c r="G257" s="91"/>
      <c r="H257" s="91"/>
      <c r="I257" s="91"/>
      <c r="J257" s="92"/>
    </row>
    <row r="258" spans="1:10" x14ac:dyDescent="0.25">
      <c r="A258" s="42">
        <v>248</v>
      </c>
      <c r="B258" s="79">
        <v>43380</v>
      </c>
      <c r="C258" s="89"/>
      <c r="D258" s="85"/>
      <c r="E258" s="85"/>
      <c r="F258" s="90"/>
      <c r="G258" s="91"/>
      <c r="H258" s="91"/>
      <c r="I258" s="91"/>
      <c r="J258" s="92"/>
    </row>
    <row r="259" spans="1:10" x14ac:dyDescent="0.25">
      <c r="A259" s="42">
        <v>249</v>
      </c>
      <c r="B259" s="79">
        <v>43381</v>
      </c>
      <c r="C259" s="89"/>
      <c r="D259" s="85"/>
      <c r="E259" s="85"/>
      <c r="F259" s="90"/>
      <c r="G259" s="91"/>
      <c r="H259" s="91"/>
      <c r="I259" s="91"/>
      <c r="J259" s="92"/>
    </row>
    <row r="260" spans="1:10" x14ac:dyDescent="0.25">
      <c r="A260" s="42">
        <v>250</v>
      </c>
      <c r="B260" s="79">
        <v>43382</v>
      </c>
      <c r="C260" s="89"/>
      <c r="D260" s="85"/>
      <c r="E260" s="85"/>
      <c r="F260" s="90"/>
      <c r="G260" s="91"/>
      <c r="H260" s="91"/>
      <c r="I260" s="91"/>
      <c r="J260" s="92"/>
    </row>
    <row r="261" spans="1:10" x14ac:dyDescent="0.25">
      <c r="A261" s="42">
        <v>251</v>
      </c>
      <c r="B261" s="79">
        <v>43383</v>
      </c>
      <c r="C261" s="89"/>
      <c r="D261" s="85"/>
      <c r="E261" s="85"/>
      <c r="F261" s="90"/>
      <c r="G261" s="91"/>
      <c r="H261" s="91"/>
      <c r="I261" s="91"/>
      <c r="J261" s="92"/>
    </row>
    <row r="262" spans="1:10" x14ac:dyDescent="0.25">
      <c r="A262" s="42">
        <v>252</v>
      </c>
      <c r="B262" s="79">
        <v>43384</v>
      </c>
      <c r="C262" s="89"/>
      <c r="D262" s="85"/>
      <c r="E262" s="85"/>
      <c r="F262" s="90"/>
      <c r="G262" s="91"/>
      <c r="H262" s="91"/>
      <c r="I262" s="91"/>
      <c r="J262" s="92"/>
    </row>
    <row r="263" spans="1:10" x14ac:dyDescent="0.25">
      <c r="A263" s="42">
        <v>253</v>
      </c>
      <c r="B263" s="79">
        <v>43385</v>
      </c>
      <c r="C263" s="89"/>
      <c r="D263" s="85"/>
      <c r="E263" s="85"/>
      <c r="F263" s="90"/>
      <c r="G263" s="91"/>
      <c r="H263" s="91"/>
      <c r="I263" s="91"/>
      <c r="J263" s="92"/>
    </row>
    <row r="264" spans="1:10" x14ac:dyDescent="0.25">
      <c r="A264" s="42">
        <v>254</v>
      </c>
      <c r="B264" s="79">
        <v>43386</v>
      </c>
      <c r="C264" s="89"/>
      <c r="D264" s="85"/>
      <c r="E264" s="85"/>
      <c r="F264" s="90"/>
      <c r="G264" s="91"/>
      <c r="H264" s="91"/>
      <c r="I264" s="91"/>
      <c r="J264" s="92"/>
    </row>
    <row r="265" spans="1:10" x14ac:dyDescent="0.25">
      <c r="A265" s="42">
        <v>255</v>
      </c>
      <c r="B265" s="79">
        <v>43387</v>
      </c>
      <c r="C265" s="89"/>
      <c r="D265" s="85"/>
      <c r="E265" s="85"/>
      <c r="F265" s="90"/>
      <c r="G265" s="91"/>
      <c r="H265" s="91"/>
      <c r="I265" s="91"/>
      <c r="J265" s="92"/>
    </row>
    <row r="266" spans="1:10" x14ac:dyDescent="0.25">
      <c r="A266" s="42">
        <v>256</v>
      </c>
      <c r="B266" s="79">
        <v>43388</v>
      </c>
      <c r="C266" s="89"/>
      <c r="D266" s="85"/>
      <c r="E266" s="85"/>
      <c r="F266" s="90"/>
      <c r="G266" s="91"/>
      <c r="H266" s="91"/>
      <c r="I266" s="91"/>
      <c r="J266" s="92"/>
    </row>
    <row r="267" spans="1:10" x14ac:dyDescent="0.25">
      <c r="A267" s="42">
        <v>257</v>
      </c>
      <c r="B267" s="79">
        <v>43389</v>
      </c>
      <c r="C267" s="89"/>
      <c r="D267" s="85"/>
      <c r="E267" s="85"/>
      <c r="F267" s="90"/>
      <c r="G267" s="91"/>
      <c r="H267" s="91"/>
      <c r="I267" s="91"/>
      <c r="J267" s="92"/>
    </row>
    <row r="268" spans="1:10" x14ac:dyDescent="0.25">
      <c r="A268" s="42">
        <v>258</v>
      </c>
      <c r="B268" s="79">
        <v>43390</v>
      </c>
      <c r="C268" s="89"/>
      <c r="D268" s="85"/>
      <c r="E268" s="85"/>
      <c r="F268" s="90"/>
      <c r="G268" s="91"/>
      <c r="H268" s="91"/>
      <c r="I268" s="91"/>
      <c r="J268" s="92"/>
    </row>
    <row r="269" spans="1:10" x14ac:dyDescent="0.25">
      <c r="A269" s="42">
        <v>259</v>
      </c>
      <c r="B269" s="79">
        <v>43391</v>
      </c>
      <c r="C269" s="89"/>
      <c r="D269" s="85"/>
      <c r="E269" s="85"/>
      <c r="F269" s="90"/>
      <c r="G269" s="91"/>
      <c r="H269" s="91"/>
      <c r="I269" s="91"/>
      <c r="J269" s="92"/>
    </row>
    <row r="270" spans="1:10" x14ac:dyDescent="0.25">
      <c r="A270" s="42">
        <v>260</v>
      </c>
      <c r="B270" s="79">
        <v>43392</v>
      </c>
      <c r="C270" s="89"/>
      <c r="D270" s="85"/>
      <c r="E270" s="85"/>
      <c r="F270" s="90"/>
      <c r="G270" s="91"/>
      <c r="H270" s="91"/>
      <c r="I270" s="91"/>
      <c r="J270" s="92"/>
    </row>
    <row r="271" spans="1:10" x14ac:dyDescent="0.25">
      <c r="A271" s="42">
        <v>261</v>
      </c>
      <c r="B271" s="79">
        <v>43393</v>
      </c>
      <c r="C271" s="89"/>
      <c r="D271" s="85"/>
      <c r="E271" s="85"/>
      <c r="F271" s="90"/>
      <c r="G271" s="91"/>
      <c r="H271" s="91"/>
      <c r="I271" s="91"/>
      <c r="J271" s="92"/>
    </row>
    <row r="272" spans="1:10" x14ac:dyDescent="0.25">
      <c r="A272" s="42">
        <v>262</v>
      </c>
      <c r="B272" s="79">
        <v>43394</v>
      </c>
      <c r="C272" s="89"/>
      <c r="D272" s="85"/>
      <c r="E272" s="85"/>
      <c r="F272" s="90"/>
      <c r="G272" s="91"/>
      <c r="H272" s="91"/>
      <c r="I272" s="91"/>
      <c r="J272" s="92"/>
    </row>
    <row r="273" spans="1:10" x14ac:dyDescent="0.25">
      <c r="A273" s="42">
        <v>263</v>
      </c>
      <c r="B273" s="79">
        <v>43395</v>
      </c>
      <c r="C273" s="89"/>
      <c r="D273" s="85"/>
      <c r="E273" s="85"/>
      <c r="F273" s="90"/>
      <c r="G273" s="91"/>
      <c r="H273" s="91"/>
      <c r="I273" s="91"/>
      <c r="J273" s="92"/>
    </row>
    <row r="274" spans="1:10" x14ac:dyDescent="0.25">
      <c r="A274" s="42">
        <v>264</v>
      </c>
      <c r="B274" s="79">
        <v>43396</v>
      </c>
      <c r="C274" s="89"/>
      <c r="D274" s="85"/>
      <c r="E274" s="85"/>
      <c r="F274" s="90"/>
      <c r="G274" s="91"/>
      <c r="H274" s="91"/>
      <c r="I274" s="91"/>
      <c r="J274" s="92"/>
    </row>
    <row r="275" spans="1:10" x14ac:dyDescent="0.25">
      <c r="A275" s="42">
        <v>265</v>
      </c>
      <c r="B275" s="79">
        <v>43397</v>
      </c>
      <c r="C275" s="89"/>
      <c r="D275" s="85"/>
      <c r="E275" s="85"/>
      <c r="F275" s="90"/>
      <c r="G275" s="91"/>
      <c r="H275" s="91"/>
      <c r="I275" s="91"/>
      <c r="J275" s="92"/>
    </row>
    <row r="276" spans="1:10" x14ac:dyDescent="0.25">
      <c r="A276" s="42">
        <v>266</v>
      </c>
      <c r="B276" s="79">
        <v>43398</v>
      </c>
      <c r="C276" s="89"/>
      <c r="D276" s="85"/>
      <c r="E276" s="85"/>
      <c r="F276" s="90"/>
      <c r="G276" s="91"/>
      <c r="H276" s="91"/>
      <c r="I276" s="91"/>
      <c r="J276" s="92"/>
    </row>
    <row r="277" spans="1:10" x14ac:dyDescent="0.25">
      <c r="A277" s="42">
        <v>267</v>
      </c>
      <c r="B277" s="79">
        <v>43399</v>
      </c>
      <c r="C277" s="89"/>
      <c r="D277" s="85"/>
      <c r="E277" s="85"/>
      <c r="F277" s="90"/>
      <c r="G277" s="91"/>
      <c r="H277" s="91"/>
      <c r="I277" s="91"/>
      <c r="J277" s="92"/>
    </row>
    <row r="278" spans="1:10" x14ac:dyDescent="0.25">
      <c r="A278" s="42">
        <v>268</v>
      </c>
      <c r="B278" s="79">
        <v>43400</v>
      </c>
      <c r="C278" s="89"/>
      <c r="D278" s="85"/>
      <c r="E278" s="85"/>
      <c r="F278" s="90"/>
      <c r="G278" s="91"/>
      <c r="H278" s="91"/>
      <c r="I278" s="91"/>
      <c r="J278" s="92"/>
    </row>
    <row r="279" spans="1:10" x14ac:dyDescent="0.25">
      <c r="A279" s="42">
        <v>269</v>
      </c>
      <c r="B279" s="79">
        <v>43401</v>
      </c>
      <c r="C279" s="89"/>
      <c r="D279" s="85"/>
      <c r="E279" s="85"/>
      <c r="F279" s="90"/>
      <c r="G279" s="91"/>
      <c r="H279" s="91"/>
      <c r="I279" s="91"/>
      <c r="J279" s="92"/>
    </row>
    <row r="280" spans="1:10" x14ac:dyDescent="0.25">
      <c r="A280" s="42">
        <v>270</v>
      </c>
      <c r="B280" s="79">
        <v>43402</v>
      </c>
      <c r="C280" s="89"/>
      <c r="D280" s="85"/>
      <c r="E280" s="85"/>
      <c r="F280" s="90"/>
      <c r="G280" s="91"/>
      <c r="H280" s="91"/>
      <c r="I280" s="91"/>
      <c r="J280" s="92"/>
    </row>
    <row r="281" spans="1:10" x14ac:dyDescent="0.25">
      <c r="A281" s="42">
        <v>271</v>
      </c>
      <c r="B281" s="79">
        <v>43403</v>
      </c>
      <c r="C281" s="89"/>
      <c r="D281" s="85"/>
      <c r="E281" s="85"/>
      <c r="F281" s="90"/>
      <c r="G281" s="91"/>
      <c r="H281" s="91"/>
      <c r="I281" s="91"/>
      <c r="J281" s="92"/>
    </row>
    <row r="282" spans="1:10" x14ac:dyDescent="0.25">
      <c r="A282" s="42">
        <v>272</v>
      </c>
      <c r="B282" s="79">
        <v>43404</v>
      </c>
      <c r="C282" s="89"/>
      <c r="D282" s="85"/>
      <c r="E282" s="85"/>
      <c r="F282" s="90"/>
      <c r="G282" s="91"/>
      <c r="H282" s="91"/>
      <c r="I282" s="91"/>
      <c r="J282" s="92"/>
    </row>
    <row r="283" spans="1:10" x14ac:dyDescent="0.25">
      <c r="A283" s="42">
        <v>273</v>
      </c>
      <c r="B283" s="79">
        <v>43405</v>
      </c>
      <c r="C283" s="89"/>
      <c r="D283" s="85"/>
      <c r="E283" s="85"/>
      <c r="F283" s="90"/>
      <c r="G283" s="91"/>
      <c r="H283" s="91"/>
      <c r="I283" s="91"/>
      <c r="J283" s="92"/>
    </row>
    <row r="284" spans="1:10" x14ac:dyDescent="0.25">
      <c r="A284" s="42">
        <v>274</v>
      </c>
      <c r="B284" s="79">
        <v>43406</v>
      </c>
      <c r="C284" s="89"/>
      <c r="D284" s="85"/>
      <c r="E284" s="85"/>
      <c r="F284" s="90"/>
      <c r="G284" s="91"/>
      <c r="H284" s="91"/>
      <c r="I284" s="91"/>
      <c r="J284" s="92"/>
    </row>
    <row r="285" spans="1:10" x14ac:dyDescent="0.25">
      <c r="A285" s="42">
        <v>275</v>
      </c>
      <c r="B285" s="79">
        <v>43407</v>
      </c>
      <c r="C285" s="89"/>
      <c r="D285" s="85"/>
      <c r="E285" s="85"/>
      <c r="F285" s="90"/>
      <c r="G285" s="91"/>
      <c r="H285" s="91"/>
      <c r="I285" s="91"/>
      <c r="J285" s="92"/>
    </row>
    <row r="286" spans="1:10" x14ac:dyDescent="0.25">
      <c r="A286" s="42">
        <v>276</v>
      </c>
      <c r="B286" s="79">
        <v>43408</v>
      </c>
      <c r="C286" s="89"/>
      <c r="D286" s="85"/>
      <c r="E286" s="85"/>
      <c r="F286" s="90"/>
      <c r="G286" s="91"/>
      <c r="H286" s="91"/>
      <c r="I286" s="91"/>
      <c r="J286" s="92"/>
    </row>
    <row r="287" spans="1:10" x14ac:dyDescent="0.25">
      <c r="A287" s="42">
        <v>277</v>
      </c>
      <c r="B287" s="79">
        <v>43409</v>
      </c>
      <c r="C287" s="89"/>
      <c r="D287" s="85"/>
      <c r="E287" s="85"/>
      <c r="F287" s="90"/>
      <c r="G287" s="91"/>
      <c r="H287" s="91"/>
      <c r="I287" s="91"/>
      <c r="J287" s="92"/>
    </row>
    <row r="288" spans="1:10" x14ac:dyDescent="0.25">
      <c r="A288" s="42">
        <v>278</v>
      </c>
      <c r="B288" s="79">
        <v>43410</v>
      </c>
      <c r="C288" s="89"/>
      <c r="D288" s="85"/>
      <c r="E288" s="85"/>
      <c r="F288" s="90"/>
      <c r="G288" s="91"/>
      <c r="H288" s="91"/>
      <c r="I288" s="91"/>
      <c r="J288" s="92"/>
    </row>
    <row r="289" spans="1:10" x14ac:dyDescent="0.25">
      <c r="A289" s="42">
        <v>279</v>
      </c>
      <c r="B289" s="79">
        <v>43411</v>
      </c>
      <c r="C289" s="89"/>
      <c r="D289" s="85"/>
      <c r="E289" s="85"/>
      <c r="F289" s="90"/>
      <c r="G289" s="91"/>
      <c r="H289" s="91"/>
      <c r="I289" s="91"/>
      <c r="J289" s="92"/>
    </row>
    <row r="290" spans="1:10" x14ac:dyDescent="0.25">
      <c r="A290" s="42">
        <v>280</v>
      </c>
      <c r="B290" s="79">
        <v>43412</v>
      </c>
      <c r="C290" s="89"/>
      <c r="D290" s="85"/>
      <c r="E290" s="85"/>
      <c r="F290" s="90"/>
      <c r="G290" s="91"/>
      <c r="H290" s="91"/>
      <c r="I290" s="91"/>
      <c r="J290" s="92"/>
    </row>
    <row r="291" spans="1:10" x14ac:dyDescent="0.25">
      <c r="A291" s="42">
        <v>281</v>
      </c>
      <c r="B291" s="79">
        <v>43413</v>
      </c>
      <c r="C291" s="89"/>
      <c r="D291" s="85"/>
      <c r="E291" s="85"/>
      <c r="F291" s="90"/>
      <c r="G291" s="91"/>
      <c r="H291" s="91"/>
      <c r="I291" s="91"/>
      <c r="J291" s="92"/>
    </row>
    <row r="292" spans="1:10" x14ac:dyDescent="0.25">
      <c r="A292" s="42">
        <v>282</v>
      </c>
      <c r="B292" s="79">
        <v>43414</v>
      </c>
      <c r="C292" s="89"/>
      <c r="D292" s="85"/>
      <c r="E292" s="85"/>
      <c r="F292" s="90"/>
      <c r="G292" s="91"/>
      <c r="H292" s="91"/>
      <c r="I292" s="91"/>
      <c r="J292" s="92"/>
    </row>
    <row r="293" spans="1:10" x14ac:dyDescent="0.25">
      <c r="A293" s="42">
        <v>283</v>
      </c>
      <c r="B293" s="79">
        <v>43415</v>
      </c>
      <c r="C293" s="89"/>
      <c r="D293" s="85"/>
      <c r="E293" s="85"/>
      <c r="F293" s="90"/>
      <c r="G293" s="91"/>
      <c r="H293" s="91"/>
      <c r="I293" s="91"/>
      <c r="J293" s="92"/>
    </row>
    <row r="294" spans="1:10" x14ac:dyDescent="0.25">
      <c r="A294" s="42">
        <v>284</v>
      </c>
      <c r="B294" s="79">
        <v>43416</v>
      </c>
      <c r="C294" s="89"/>
      <c r="D294" s="85"/>
      <c r="E294" s="85"/>
      <c r="F294" s="90"/>
      <c r="G294" s="91"/>
      <c r="H294" s="91"/>
      <c r="I294" s="91"/>
      <c r="J294" s="92"/>
    </row>
    <row r="295" spans="1:10" x14ac:dyDescent="0.25">
      <c r="A295" s="42">
        <v>285</v>
      </c>
      <c r="B295" s="79">
        <v>43417</v>
      </c>
      <c r="C295" s="89"/>
      <c r="D295" s="85"/>
      <c r="E295" s="85"/>
      <c r="F295" s="90"/>
      <c r="G295" s="91"/>
      <c r="H295" s="91"/>
      <c r="I295" s="91"/>
      <c r="J295" s="92"/>
    </row>
    <row r="296" spans="1:10" x14ac:dyDescent="0.25">
      <c r="A296" s="42">
        <v>286</v>
      </c>
      <c r="B296" s="79">
        <v>43418</v>
      </c>
      <c r="C296" s="89"/>
      <c r="D296" s="85"/>
      <c r="E296" s="85"/>
      <c r="F296" s="90"/>
      <c r="G296" s="91"/>
      <c r="H296" s="91"/>
      <c r="I296" s="91"/>
      <c r="J296" s="92"/>
    </row>
    <row r="297" spans="1:10" x14ac:dyDescent="0.25">
      <c r="A297" s="42">
        <v>287</v>
      </c>
      <c r="B297" s="79">
        <v>43419</v>
      </c>
      <c r="C297" s="89"/>
      <c r="D297" s="85"/>
      <c r="E297" s="85"/>
      <c r="F297" s="90"/>
      <c r="G297" s="91"/>
      <c r="H297" s="91"/>
      <c r="I297" s="91"/>
      <c r="J297" s="92"/>
    </row>
    <row r="298" spans="1:10" x14ac:dyDescent="0.25">
      <c r="A298" s="42">
        <v>288</v>
      </c>
      <c r="B298" s="79">
        <v>43420</v>
      </c>
      <c r="C298" s="89"/>
      <c r="D298" s="85"/>
      <c r="E298" s="85"/>
      <c r="F298" s="90"/>
      <c r="G298" s="91"/>
      <c r="H298" s="91"/>
      <c r="I298" s="91"/>
      <c r="J298" s="92"/>
    </row>
    <row r="299" spans="1:10" x14ac:dyDescent="0.25">
      <c r="A299" s="42">
        <v>289</v>
      </c>
      <c r="B299" s="79">
        <v>43421</v>
      </c>
      <c r="C299" s="89"/>
      <c r="D299" s="85"/>
      <c r="E299" s="85"/>
      <c r="F299" s="90"/>
      <c r="G299" s="91"/>
      <c r="H299" s="91"/>
      <c r="I299" s="91"/>
      <c r="J299" s="92"/>
    </row>
    <row r="300" spans="1:10" x14ac:dyDescent="0.25">
      <c r="A300" s="42">
        <v>290</v>
      </c>
      <c r="B300" s="79">
        <v>43422</v>
      </c>
      <c r="C300" s="89"/>
      <c r="D300" s="85"/>
      <c r="E300" s="85"/>
      <c r="F300" s="90"/>
      <c r="G300" s="91"/>
      <c r="H300" s="91"/>
      <c r="I300" s="91"/>
      <c r="J300" s="92"/>
    </row>
    <row r="301" spans="1:10" x14ac:dyDescent="0.25">
      <c r="A301" s="42">
        <v>291</v>
      </c>
      <c r="B301" s="79">
        <v>43423</v>
      </c>
      <c r="C301" s="89"/>
      <c r="D301" s="85"/>
      <c r="E301" s="85"/>
      <c r="F301" s="90"/>
      <c r="G301" s="91"/>
      <c r="H301" s="91"/>
      <c r="I301" s="91"/>
      <c r="J301" s="92"/>
    </row>
    <row r="302" spans="1:10" x14ac:dyDescent="0.25">
      <c r="A302" s="42">
        <v>292</v>
      </c>
      <c r="B302" s="79">
        <v>43424</v>
      </c>
      <c r="C302" s="89"/>
      <c r="D302" s="85"/>
      <c r="E302" s="85"/>
      <c r="F302" s="90"/>
      <c r="G302" s="91"/>
      <c r="H302" s="91"/>
      <c r="I302" s="91"/>
      <c r="J302" s="92"/>
    </row>
    <row r="303" spans="1:10" x14ac:dyDescent="0.25">
      <c r="A303" s="42">
        <v>293</v>
      </c>
      <c r="B303" s="79">
        <v>43425</v>
      </c>
      <c r="C303" s="89"/>
      <c r="D303" s="85"/>
      <c r="E303" s="85"/>
      <c r="F303" s="90"/>
      <c r="G303" s="91"/>
      <c r="H303" s="91"/>
      <c r="I303" s="91"/>
      <c r="J303" s="92"/>
    </row>
    <row r="304" spans="1:10" x14ac:dyDescent="0.25">
      <c r="A304" s="42">
        <v>294</v>
      </c>
      <c r="B304" s="79">
        <v>43426</v>
      </c>
      <c r="C304" s="89"/>
      <c r="D304" s="85"/>
      <c r="E304" s="85"/>
      <c r="F304" s="90"/>
      <c r="G304" s="91"/>
      <c r="H304" s="91"/>
      <c r="I304" s="91"/>
      <c r="J304" s="92"/>
    </row>
    <row r="305" spans="1:10" x14ac:dyDescent="0.25">
      <c r="A305" s="42">
        <v>295</v>
      </c>
      <c r="B305" s="79">
        <v>43427</v>
      </c>
      <c r="C305" s="89"/>
      <c r="D305" s="85"/>
      <c r="E305" s="85"/>
      <c r="F305" s="90"/>
      <c r="G305" s="91"/>
      <c r="H305" s="91"/>
      <c r="I305" s="91"/>
      <c r="J305" s="92"/>
    </row>
    <row r="306" spans="1:10" x14ac:dyDescent="0.25">
      <c r="A306" s="42">
        <v>296</v>
      </c>
      <c r="B306" s="79">
        <v>43428</v>
      </c>
      <c r="C306" s="89"/>
      <c r="D306" s="85"/>
      <c r="E306" s="85"/>
      <c r="F306" s="90"/>
      <c r="G306" s="91"/>
      <c r="H306" s="91"/>
      <c r="I306" s="91"/>
      <c r="J306" s="92"/>
    </row>
    <row r="307" spans="1:10" x14ac:dyDescent="0.25">
      <c r="A307" s="42">
        <v>297</v>
      </c>
      <c r="B307" s="79">
        <v>43429</v>
      </c>
      <c r="C307" s="89"/>
      <c r="D307" s="85"/>
      <c r="E307" s="85"/>
      <c r="F307" s="90"/>
      <c r="G307" s="91"/>
      <c r="H307" s="91"/>
      <c r="I307" s="91"/>
      <c r="J307" s="92"/>
    </row>
    <row r="308" spans="1:10" x14ac:dyDescent="0.25">
      <c r="A308" s="42">
        <v>298</v>
      </c>
      <c r="B308" s="79">
        <v>43430</v>
      </c>
      <c r="C308" s="89"/>
      <c r="D308" s="85"/>
      <c r="E308" s="85"/>
      <c r="F308" s="90"/>
      <c r="G308" s="91"/>
      <c r="H308" s="91"/>
      <c r="I308" s="91"/>
      <c r="J308" s="92"/>
    </row>
    <row r="309" spans="1:10" x14ac:dyDescent="0.25">
      <c r="A309" s="42">
        <v>299</v>
      </c>
      <c r="B309" s="79">
        <v>43431</v>
      </c>
      <c r="C309" s="89"/>
      <c r="D309" s="85"/>
      <c r="E309" s="85"/>
      <c r="F309" s="90"/>
      <c r="G309" s="91"/>
      <c r="H309" s="91"/>
      <c r="I309" s="91"/>
      <c r="J309" s="92"/>
    </row>
    <row r="310" spans="1:10" x14ac:dyDescent="0.25">
      <c r="A310" s="42">
        <v>300</v>
      </c>
      <c r="B310" s="79">
        <v>43432</v>
      </c>
      <c r="C310" s="89"/>
      <c r="D310" s="85"/>
      <c r="E310" s="85"/>
      <c r="F310" s="90"/>
      <c r="G310" s="91"/>
      <c r="H310" s="91"/>
      <c r="I310" s="91"/>
      <c r="J310" s="92"/>
    </row>
    <row r="311" spans="1:10" x14ac:dyDescent="0.25">
      <c r="A311" s="42">
        <v>301</v>
      </c>
      <c r="B311" s="79">
        <v>43433</v>
      </c>
      <c r="C311" s="89"/>
      <c r="D311" s="85"/>
      <c r="E311" s="85"/>
      <c r="F311" s="90"/>
      <c r="G311" s="91"/>
      <c r="H311" s="91"/>
      <c r="I311" s="91"/>
      <c r="J311" s="92"/>
    </row>
    <row r="312" spans="1:10" x14ac:dyDescent="0.25">
      <c r="A312" s="42">
        <v>302</v>
      </c>
      <c r="B312" s="79">
        <v>43434</v>
      </c>
      <c r="C312" s="89"/>
      <c r="D312" s="85"/>
      <c r="E312" s="85"/>
      <c r="F312" s="90"/>
      <c r="G312" s="91"/>
      <c r="H312" s="91"/>
      <c r="I312" s="91"/>
      <c r="J312" s="92"/>
    </row>
    <row r="313" spans="1:10" x14ac:dyDescent="0.25">
      <c r="A313" s="42">
        <v>303</v>
      </c>
      <c r="B313" s="79">
        <v>43435</v>
      </c>
      <c r="C313" s="89"/>
      <c r="D313" s="85"/>
      <c r="E313" s="85"/>
      <c r="F313" s="90"/>
      <c r="G313" s="91"/>
      <c r="H313" s="91"/>
      <c r="I313" s="91"/>
      <c r="J313" s="92"/>
    </row>
    <row r="314" spans="1:10" x14ac:dyDescent="0.25">
      <c r="A314" s="42">
        <v>304</v>
      </c>
      <c r="B314" s="79">
        <v>43436</v>
      </c>
      <c r="C314" s="89"/>
      <c r="D314" s="85"/>
      <c r="E314" s="85"/>
      <c r="F314" s="90"/>
      <c r="G314" s="91"/>
      <c r="H314" s="91"/>
      <c r="I314" s="91"/>
      <c r="J314" s="92"/>
    </row>
    <row r="315" spans="1:10" x14ac:dyDescent="0.25">
      <c r="A315" s="42">
        <v>305</v>
      </c>
      <c r="B315" s="79">
        <v>43437</v>
      </c>
      <c r="C315" s="89"/>
      <c r="D315" s="85"/>
      <c r="E315" s="85"/>
      <c r="F315" s="90"/>
      <c r="G315" s="91"/>
      <c r="H315" s="91"/>
      <c r="I315" s="91"/>
      <c r="J315" s="92"/>
    </row>
    <row r="316" spans="1:10" x14ac:dyDescent="0.25">
      <c r="A316" s="42">
        <v>306</v>
      </c>
      <c r="B316" s="79">
        <v>43438</v>
      </c>
      <c r="C316" s="89"/>
      <c r="D316" s="85"/>
      <c r="E316" s="85"/>
      <c r="F316" s="90"/>
      <c r="G316" s="91"/>
      <c r="H316" s="91"/>
      <c r="I316" s="91"/>
      <c r="J316" s="92"/>
    </row>
    <row r="317" spans="1:10" x14ac:dyDescent="0.25">
      <c r="A317" s="42">
        <v>307</v>
      </c>
      <c r="B317" s="79">
        <v>43439</v>
      </c>
      <c r="C317" s="89"/>
      <c r="D317" s="85"/>
      <c r="E317" s="85"/>
      <c r="F317" s="90"/>
      <c r="G317" s="91"/>
      <c r="H317" s="91"/>
      <c r="I317" s="91"/>
      <c r="J317" s="92"/>
    </row>
    <row r="318" spans="1:10" x14ac:dyDescent="0.25">
      <c r="A318" s="42">
        <v>308</v>
      </c>
      <c r="B318" s="79">
        <v>43440</v>
      </c>
      <c r="C318" s="89"/>
      <c r="D318" s="85"/>
      <c r="E318" s="85"/>
      <c r="F318" s="90"/>
      <c r="G318" s="91"/>
      <c r="H318" s="91"/>
      <c r="I318" s="91"/>
      <c r="J318" s="92"/>
    </row>
    <row r="319" spans="1:10" x14ac:dyDescent="0.25">
      <c r="A319" s="42">
        <v>309</v>
      </c>
      <c r="B319" s="79">
        <v>43441</v>
      </c>
      <c r="C319" s="89"/>
      <c r="D319" s="85"/>
      <c r="E319" s="85"/>
      <c r="F319" s="90"/>
      <c r="G319" s="91"/>
      <c r="H319" s="91"/>
      <c r="I319" s="91"/>
      <c r="J319" s="92"/>
    </row>
    <row r="320" spans="1:10" x14ac:dyDescent="0.25">
      <c r="A320" s="42">
        <v>310</v>
      </c>
      <c r="B320" s="79">
        <v>43442</v>
      </c>
      <c r="C320" s="89"/>
      <c r="D320" s="85"/>
      <c r="E320" s="85"/>
      <c r="F320" s="90"/>
      <c r="G320" s="91"/>
      <c r="H320" s="91"/>
      <c r="I320" s="91"/>
      <c r="J320" s="92"/>
    </row>
    <row r="321" spans="1:10" x14ac:dyDescent="0.25">
      <c r="A321" s="42">
        <v>311</v>
      </c>
      <c r="B321" s="79">
        <v>43443</v>
      </c>
      <c r="C321" s="89"/>
      <c r="D321" s="85"/>
      <c r="E321" s="85"/>
      <c r="F321" s="90"/>
      <c r="G321" s="91"/>
      <c r="H321" s="91"/>
      <c r="I321" s="91"/>
      <c r="J321" s="92"/>
    </row>
    <row r="322" spans="1:10" x14ac:dyDescent="0.25">
      <c r="A322" s="42">
        <v>312</v>
      </c>
      <c r="B322" s="79">
        <v>43444</v>
      </c>
      <c r="C322" s="89"/>
      <c r="D322" s="85"/>
      <c r="E322" s="85"/>
      <c r="F322" s="90"/>
      <c r="G322" s="91"/>
      <c r="H322" s="91"/>
      <c r="I322" s="91"/>
      <c r="J322" s="92"/>
    </row>
    <row r="323" spans="1:10" x14ac:dyDescent="0.25">
      <c r="A323" s="42">
        <v>313</v>
      </c>
      <c r="B323" s="79">
        <v>43445</v>
      </c>
      <c r="C323" s="89"/>
      <c r="D323" s="85"/>
      <c r="E323" s="85"/>
      <c r="F323" s="90"/>
      <c r="G323" s="91"/>
      <c r="H323" s="91"/>
      <c r="I323" s="91"/>
      <c r="J323" s="92"/>
    </row>
    <row r="324" spans="1:10" x14ac:dyDescent="0.25">
      <c r="A324" s="42">
        <v>314</v>
      </c>
      <c r="B324" s="79">
        <v>43446</v>
      </c>
      <c r="C324" s="89"/>
      <c r="D324" s="85"/>
      <c r="E324" s="85"/>
      <c r="F324" s="90"/>
      <c r="G324" s="91"/>
      <c r="H324" s="91"/>
      <c r="I324" s="91"/>
      <c r="J324" s="92"/>
    </row>
    <row r="325" spans="1:10" x14ac:dyDescent="0.25">
      <c r="A325" s="42">
        <v>315</v>
      </c>
      <c r="B325" s="79">
        <v>43447</v>
      </c>
      <c r="C325" s="89"/>
      <c r="D325" s="85"/>
      <c r="E325" s="85"/>
      <c r="F325" s="90"/>
      <c r="G325" s="91"/>
      <c r="H325" s="91"/>
      <c r="I325" s="91"/>
      <c r="J325" s="92"/>
    </row>
    <row r="326" spans="1:10" x14ac:dyDescent="0.25">
      <c r="A326" s="42">
        <v>316</v>
      </c>
      <c r="B326" s="79">
        <v>43448</v>
      </c>
      <c r="C326" s="89"/>
      <c r="D326" s="85"/>
      <c r="E326" s="85"/>
      <c r="F326" s="90"/>
      <c r="G326" s="91"/>
      <c r="H326" s="91"/>
      <c r="I326" s="91"/>
      <c r="J326" s="92"/>
    </row>
    <row r="327" spans="1:10" x14ac:dyDescent="0.25">
      <c r="A327" s="42">
        <v>317</v>
      </c>
      <c r="B327" s="79">
        <v>43449</v>
      </c>
      <c r="C327" s="89"/>
      <c r="D327" s="85"/>
      <c r="E327" s="85"/>
      <c r="F327" s="90"/>
      <c r="G327" s="91"/>
      <c r="H327" s="91"/>
      <c r="I327" s="91"/>
      <c r="J327" s="92"/>
    </row>
    <row r="328" spans="1:10" x14ac:dyDescent="0.25">
      <c r="A328" s="42">
        <v>318</v>
      </c>
      <c r="B328" s="79">
        <v>43450</v>
      </c>
      <c r="C328" s="89"/>
      <c r="D328" s="85"/>
      <c r="E328" s="85"/>
      <c r="F328" s="90"/>
      <c r="G328" s="91"/>
      <c r="H328" s="91"/>
      <c r="I328" s="91"/>
      <c r="J328" s="92"/>
    </row>
    <row r="329" spans="1:10" x14ac:dyDescent="0.25">
      <c r="A329" s="42">
        <v>319</v>
      </c>
      <c r="B329" s="79">
        <v>43451</v>
      </c>
      <c r="C329" s="89"/>
      <c r="D329" s="85"/>
      <c r="E329" s="85"/>
      <c r="F329" s="90"/>
      <c r="G329" s="91"/>
      <c r="H329" s="91"/>
      <c r="I329" s="91"/>
      <c r="J329" s="92"/>
    </row>
    <row r="330" spans="1:10" x14ac:dyDescent="0.25">
      <c r="A330" s="42">
        <v>320</v>
      </c>
      <c r="B330" s="79">
        <v>43452</v>
      </c>
      <c r="C330" s="89"/>
      <c r="D330" s="85"/>
      <c r="E330" s="85"/>
      <c r="F330" s="90"/>
      <c r="G330" s="91"/>
      <c r="H330" s="91"/>
      <c r="I330" s="91"/>
      <c r="J330" s="92"/>
    </row>
    <row r="331" spans="1:10" x14ac:dyDescent="0.25">
      <c r="A331" s="42">
        <v>321</v>
      </c>
      <c r="B331" s="79">
        <v>43453</v>
      </c>
      <c r="C331" s="89"/>
      <c r="D331" s="85"/>
      <c r="E331" s="85"/>
      <c r="F331" s="90"/>
      <c r="G331" s="91"/>
      <c r="H331" s="91"/>
      <c r="I331" s="91"/>
      <c r="J331" s="92"/>
    </row>
    <row r="332" spans="1:10" x14ac:dyDescent="0.25">
      <c r="A332" s="42">
        <v>322</v>
      </c>
      <c r="B332" s="79">
        <v>43454</v>
      </c>
      <c r="C332" s="89"/>
      <c r="D332" s="85"/>
      <c r="E332" s="85"/>
      <c r="F332" s="90"/>
      <c r="G332" s="91"/>
      <c r="H332" s="91"/>
      <c r="I332" s="91"/>
      <c r="J332" s="92"/>
    </row>
    <row r="333" spans="1:10" x14ac:dyDescent="0.25">
      <c r="A333" s="42">
        <v>323</v>
      </c>
      <c r="B333" s="79">
        <v>43455</v>
      </c>
      <c r="C333" s="89"/>
      <c r="D333" s="85"/>
      <c r="E333" s="85"/>
      <c r="F333" s="90"/>
      <c r="G333" s="91"/>
      <c r="H333" s="91"/>
      <c r="I333" s="91"/>
      <c r="J333" s="92"/>
    </row>
    <row r="334" spans="1:10" x14ac:dyDescent="0.25">
      <c r="A334" s="42">
        <v>324</v>
      </c>
      <c r="B334" s="79">
        <v>43456</v>
      </c>
      <c r="C334" s="89"/>
      <c r="D334" s="85"/>
      <c r="E334" s="85"/>
      <c r="F334" s="90"/>
      <c r="G334" s="91"/>
      <c r="H334" s="91"/>
      <c r="I334" s="91"/>
      <c r="J334" s="92"/>
    </row>
    <row r="335" spans="1:10" x14ac:dyDescent="0.25">
      <c r="A335" s="42">
        <v>325</v>
      </c>
      <c r="B335" s="79">
        <v>43457</v>
      </c>
      <c r="C335" s="89"/>
      <c r="D335" s="85"/>
      <c r="E335" s="85"/>
      <c r="F335" s="90"/>
      <c r="G335" s="91"/>
      <c r="H335" s="91"/>
      <c r="I335" s="91"/>
      <c r="J335" s="92"/>
    </row>
    <row r="336" spans="1:10" x14ac:dyDescent="0.25">
      <c r="A336" s="42">
        <v>326</v>
      </c>
      <c r="B336" s="79">
        <v>43458</v>
      </c>
      <c r="C336" s="89"/>
      <c r="D336" s="85"/>
      <c r="E336" s="85"/>
      <c r="F336" s="90"/>
      <c r="G336" s="91"/>
      <c r="H336" s="91"/>
      <c r="I336" s="91"/>
      <c r="J336" s="92"/>
    </row>
    <row r="337" spans="1:10" x14ac:dyDescent="0.25">
      <c r="A337" s="42">
        <v>327</v>
      </c>
      <c r="B337" s="79">
        <v>43459</v>
      </c>
      <c r="C337" s="89"/>
      <c r="D337" s="85"/>
      <c r="E337" s="85"/>
      <c r="F337" s="90"/>
      <c r="G337" s="91"/>
      <c r="H337" s="91"/>
      <c r="I337" s="91"/>
      <c r="J337" s="92"/>
    </row>
    <row r="338" spans="1:10" x14ac:dyDescent="0.25">
      <c r="A338" s="42">
        <v>328</v>
      </c>
      <c r="B338" s="79">
        <v>43460</v>
      </c>
      <c r="C338" s="89"/>
      <c r="D338" s="85"/>
      <c r="E338" s="85"/>
      <c r="F338" s="90"/>
      <c r="G338" s="91"/>
      <c r="H338" s="91"/>
      <c r="I338" s="91"/>
      <c r="J338" s="92"/>
    </row>
    <row r="339" spans="1:10" x14ac:dyDescent="0.25">
      <c r="A339" s="42">
        <v>329</v>
      </c>
      <c r="B339" s="79">
        <v>43461</v>
      </c>
      <c r="C339" s="89"/>
      <c r="D339" s="85"/>
      <c r="E339" s="85"/>
      <c r="F339" s="90"/>
      <c r="G339" s="91"/>
      <c r="H339" s="91"/>
      <c r="I339" s="91"/>
      <c r="J339" s="92"/>
    </row>
    <row r="340" spans="1:10" x14ac:dyDescent="0.25">
      <c r="A340" s="42">
        <v>330</v>
      </c>
      <c r="B340" s="79">
        <v>43462</v>
      </c>
      <c r="C340" s="89"/>
      <c r="D340" s="85"/>
      <c r="E340" s="85"/>
      <c r="F340" s="90"/>
      <c r="G340" s="91"/>
      <c r="H340" s="91"/>
      <c r="I340" s="91"/>
      <c r="J340" s="92"/>
    </row>
    <row r="341" spans="1:10" x14ac:dyDescent="0.25">
      <c r="A341" s="42">
        <v>331</v>
      </c>
      <c r="B341" s="79">
        <v>43463</v>
      </c>
      <c r="C341" s="89"/>
      <c r="D341" s="85"/>
      <c r="E341" s="85"/>
      <c r="F341" s="90"/>
      <c r="G341" s="91"/>
      <c r="H341" s="91"/>
      <c r="I341" s="91"/>
      <c r="J341" s="92"/>
    </row>
    <row r="342" spans="1:10" x14ac:dyDescent="0.25">
      <c r="A342" s="42">
        <v>332</v>
      </c>
      <c r="B342" s="79">
        <v>43464</v>
      </c>
      <c r="C342" s="89"/>
      <c r="D342" s="85"/>
      <c r="E342" s="85"/>
      <c r="F342" s="90"/>
      <c r="G342" s="91"/>
      <c r="H342" s="91"/>
      <c r="I342" s="91"/>
      <c r="J342" s="92"/>
    </row>
    <row r="343" spans="1:10" x14ac:dyDescent="0.25">
      <c r="A343" s="42">
        <v>333</v>
      </c>
      <c r="B343" s="79">
        <v>43465</v>
      </c>
      <c r="C343" s="89"/>
      <c r="D343" s="85"/>
      <c r="E343" s="85"/>
      <c r="F343" s="90"/>
      <c r="G343" s="91"/>
      <c r="H343" s="91"/>
      <c r="I343" s="91"/>
      <c r="J343" s="92"/>
    </row>
    <row r="344" spans="1:10" x14ac:dyDescent="0.25">
      <c r="A344" s="42">
        <v>334</v>
      </c>
      <c r="B344" s="79">
        <v>43466</v>
      </c>
      <c r="C344" s="89"/>
      <c r="D344" s="85"/>
      <c r="E344" s="85"/>
      <c r="F344" s="90"/>
      <c r="G344" s="91"/>
      <c r="H344" s="91"/>
      <c r="I344" s="91"/>
      <c r="J344" s="92"/>
    </row>
    <row r="345" spans="1:10" x14ac:dyDescent="0.25">
      <c r="A345" s="42">
        <v>335</v>
      </c>
      <c r="B345" s="79">
        <v>43467</v>
      </c>
      <c r="C345" s="89"/>
      <c r="D345" s="85"/>
      <c r="E345" s="85"/>
      <c r="F345" s="90"/>
      <c r="G345" s="91"/>
      <c r="H345" s="91"/>
      <c r="I345" s="91"/>
      <c r="J345" s="92"/>
    </row>
    <row r="346" spans="1:10" x14ac:dyDescent="0.25">
      <c r="A346" s="42">
        <v>336</v>
      </c>
      <c r="B346" s="79">
        <v>43468</v>
      </c>
      <c r="C346" s="89"/>
      <c r="D346" s="85"/>
      <c r="E346" s="85"/>
      <c r="F346" s="90"/>
      <c r="G346" s="91"/>
      <c r="H346" s="91"/>
      <c r="I346" s="91"/>
      <c r="J346" s="92"/>
    </row>
    <row r="347" spans="1:10" x14ac:dyDescent="0.25">
      <c r="A347" s="42">
        <v>337</v>
      </c>
      <c r="B347" s="79">
        <v>43469</v>
      </c>
      <c r="C347" s="89"/>
      <c r="D347" s="85"/>
      <c r="E347" s="85"/>
      <c r="F347" s="90"/>
      <c r="G347" s="91"/>
      <c r="H347" s="91"/>
      <c r="I347" s="91"/>
      <c r="J347" s="92"/>
    </row>
    <row r="348" spans="1:10" x14ac:dyDescent="0.25">
      <c r="A348" s="42">
        <v>338</v>
      </c>
      <c r="B348" s="79">
        <v>43470</v>
      </c>
      <c r="C348" s="89"/>
      <c r="D348" s="85"/>
      <c r="E348" s="85"/>
      <c r="F348" s="90"/>
      <c r="G348" s="91"/>
      <c r="H348" s="91"/>
      <c r="I348" s="91"/>
      <c r="J348" s="92"/>
    </row>
    <row r="349" spans="1:10" x14ac:dyDescent="0.25">
      <c r="A349" s="42">
        <v>339</v>
      </c>
      <c r="B349" s="79">
        <v>43471</v>
      </c>
      <c r="C349" s="89"/>
      <c r="D349" s="85"/>
      <c r="E349" s="85"/>
      <c r="F349" s="90"/>
      <c r="G349" s="91"/>
      <c r="H349" s="91"/>
      <c r="I349" s="91"/>
      <c r="J349" s="92"/>
    </row>
    <row r="350" spans="1:10" x14ac:dyDescent="0.25">
      <c r="A350" s="42">
        <v>340</v>
      </c>
      <c r="B350" s="79">
        <v>43472</v>
      </c>
      <c r="C350" s="89"/>
      <c r="D350" s="85"/>
      <c r="E350" s="85"/>
      <c r="F350" s="90"/>
      <c r="G350" s="91"/>
      <c r="H350" s="91"/>
      <c r="I350" s="91"/>
      <c r="J350" s="92"/>
    </row>
    <row r="351" spans="1:10" x14ac:dyDescent="0.25">
      <c r="A351" s="42">
        <v>341</v>
      </c>
      <c r="B351" s="79">
        <v>43473</v>
      </c>
      <c r="C351" s="89"/>
      <c r="D351" s="85"/>
      <c r="E351" s="85"/>
      <c r="F351" s="90"/>
      <c r="G351" s="91"/>
      <c r="H351" s="91"/>
      <c r="I351" s="91"/>
      <c r="J351" s="92"/>
    </row>
    <row r="352" spans="1:10" x14ac:dyDescent="0.25">
      <c r="A352" s="42">
        <v>342</v>
      </c>
      <c r="B352" s="79">
        <v>43474</v>
      </c>
      <c r="C352" s="89"/>
      <c r="D352" s="85"/>
      <c r="E352" s="85"/>
      <c r="F352" s="90"/>
      <c r="G352" s="91"/>
      <c r="H352" s="91"/>
      <c r="I352" s="91"/>
      <c r="J352" s="92"/>
    </row>
    <row r="353" spans="1:10" x14ac:dyDescent="0.25">
      <c r="A353" s="42">
        <v>343</v>
      </c>
      <c r="B353" s="79">
        <v>43475</v>
      </c>
      <c r="C353" s="89"/>
      <c r="D353" s="85"/>
      <c r="E353" s="85"/>
      <c r="F353" s="90"/>
      <c r="G353" s="91"/>
      <c r="H353" s="91"/>
      <c r="I353" s="91"/>
      <c r="J353" s="92"/>
    </row>
    <row r="354" spans="1:10" x14ac:dyDescent="0.25">
      <c r="A354" s="42">
        <v>344</v>
      </c>
      <c r="B354" s="79">
        <v>43476</v>
      </c>
      <c r="C354" s="89"/>
      <c r="D354" s="85"/>
      <c r="E354" s="85"/>
      <c r="F354" s="90"/>
      <c r="G354" s="91"/>
      <c r="H354" s="91"/>
      <c r="I354" s="91"/>
      <c r="J354" s="92"/>
    </row>
    <row r="355" spans="1:10" x14ac:dyDescent="0.25">
      <c r="A355" s="42">
        <v>345</v>
      </c>
      <c r="B355" s="79">
        <v>43477</v>
      </c>
      <c r="C355" s="89"/>
      <c r="D355" s="85"/>
      <c r="E355" s="85"/>
      <c r="F355" s="90"/>
      <c r="G355" s="91"/>
      <c r="H355" s="91"/>
      <c r="I355" s="91"/>
      <c r="J355" s="92"/>
    </row>
    <row r="356" spans="1:10" x14ac:dyDescent="0.25">
      <c r="A356" s="42">
        <v>346</v>
      </c>
      <c r="B356" s="79">
        <v>43478</v>
      </c>
      <c r="C356" s="89"/>
      <c r="D356" s="85"/>
      <c r="E356" s="85"/>
      <c r="F356" s="90"/>
      <c r="G356" s="91"/>
      <c r="H356" s="91"/>
      <c r="I356" s="91"/>
      <c r="J356" s="92"/>
    </row>
    <row r="357" spans="1:10" x14ac:dyDescent="0.25">
      <c r="A357" s="42">
        <v>347</v>
      </c>
      <c r="B357" s="79">
        <v>43479</v>
      </c>
      <c r="C357" s="89"/>
      <c r="D357" s="85"/>
      <c r="E357" s="85"/>
      <c r="F357" s="90"/>
      <c r="G357" s="91"/>
      <c r="H357" s="91"/>
      <c r="I357" s="91"/>
      <c r="J357" s="92"/>
    </row>
    <row r="358" spans="1:10" x14ac:dyDescent="0.25">
      <c r="A358" s="42">
        <v>348</v>
      </c>
      <c r="B358" s="79">
        <v>43480</v>
      </c>
      <c r="C358" s="89"/>
      <c r="D358" s="85"/>
      <c r="E358" s="85"/>
      <c r="F358" s="90"/>
      <c r="G358" s="91"/>
      <c r="H358" s="91"/>
      <c r="I358" s="91"/>
      <c r="J358" s="92"/>
    </row>
    <row r="359" spans="1:10" x14ac:dyDescent="0.25">
      <c r="A359" s="42">
        <v>349</v>
      </c>
      <c r="B359" s="79">
        <v>43481</v>
      </c>
      <c r="C359" s="89"/>
      <c r="D359" s="85"/>
      <c r="E359" s="85"/>
      <c r="F359" s="90"/>
      <c r="G359" s="91"/>
      <c r="H359" s="91"/>
      <c r="I359" s="91"/>
      <c r="J359" s="92"/>
    </row>
    <row r="360" spans="1:10" x14ac:dyDescent="0.25">
      <c r="A360" s="42">
        <v>350</v>
      </c>
      <c r="B360" s="79">
        <v>43482</v>
      </c>
      <c r="C360" s="89"/>
      <c r="D360" s="85"/>
      <c r="E360" s="85"/>
      <c r="F360" s="90"/>
      <c r="G360" s="91"/>
      <c r="H360" s="91"/>
      <c r="I360" s="91"/>
      <c r="J360" s="92"/>
    </row>
    <row r="361" spans="1:10" x14ac:dyDescent="0.25">
      <c r="A361" s="42">
        <v>351</v>
      </c>
      <c r="B361" s="79">
        <v>43483</v>
      </c>
      <c r="C361" s="89"/>
      <c r="D361" s="85"/>
      <c r="E361" s="85"/>
      <c r="F361" s="90"/>
      <c r="G361" s="91"/>
      <c r="H361" s="91"/>
      <c r="I361" s="91"/>
      <c r="J361" s="92"/>
    </row>
    <row r="362" spans="1:10" x14ac:dyDescent="0.25">
      <c r="A362" s="42">
        <v>352</v>
      </c>
      <c r="B362" s="79">
        <v>43484</v>
      </c>
      <c r="C362" s="89"/>
      <c r="D362" s="85"/>
      <c r="E362" s="85"/>
      <c r="F362" s="90"/>
      <c r="G362" s="91"/>
      <c r="H362" s="91"/>
      <c r="I362" s="91"/>
      <c r="J362" s="92"/>
    </row>
    <row r="363" spans="1:10" x14ac:dyDescent="0.25">
      <c r="A363" s="42">
        <v>353</v>
      </c>
      <c r="B363" s="79">
        <v>43485</v>
      </c>
      <c r="C363" s="89"/>
      <c r="D363" s="85"/>
      <c r="E363" s="85"/>
      <c r="F363" s="90"/>
      <c r="G363" s="91"/>
      <c r="H363" s="91"/>
      <c r="I363" s="91"/>
      <c r="J363" s="92"/>
    </row>
    <row r="364" spans="1:10" x14ac:dyDescent="0.25">
      <c r="A364" s="42">
        <v>354</v>
      </c>
      <c r="B364" s="79">
        <v>43486</v>
      </c>
      <c r="C364" s="89"/>
      <c r="D364" s="85"/>
      <c r="E364" s="85"/>
      <c r="F364" s="90"/>
      <c r="G364" s="91"/>
      <c r="H364" s="91"/>
      <c r="I364" s="91"/>
      <c r="J364" s="92"/>
    </row>
    <row r="365" spans="1:10" x14ac:dyDescent="0.25">
      <c r="A365" s="42">
        <v>355</v>
      </c>
      <c r="B365" s="79">
        <v>43487</v>
      </c>
      <c r="C365" s="89"/>
      <c r="D365" s="85"/>
      <c r="E365" s="85"/>
      <c r="F365" s="90"/>
      <c r="G365" s="91"/>
      <c r="H365" s="91"/>
      <c r="I365" s="91"/>
      <c r="J365" s="92"/>
    </row>
    <row r="366" spans="1:10" x14ac:dyDescent="0.25">
      <c r="A366" s="42">
        <v>356</v>
      </c>
      <c r="B366" s="79">
        <v>43488</v>
      </c>
      <c r="C366" s="89"/>
      <c r="D366" s="85"/>
      <c r="E366" s="85"/>
      <c r="F366" s="90"/>
      <c r="G366" s="91"/>
      <c r="H366" s="91"/>
      <c r="I366" s="91"/>
      <c r="J366" s="92"/>
    </row>
    <row r="367" spans="1:10" x14ac:dyDescent="0.25">
      <c r="A367" s="42">
        <v>357</v>
      </c>
      <c r="B367" s="79">
        <v>43489</v>
      </c>
      <c r="C367" s="89"/>
      <c r="D367" s="85"/>
      <c r="E367" s="85"/>
      <c r="F367" s="90"/>
      <c r="G367" s="91"/>
      <c r="H367" s="91"/>
      <c r="I367" s="91"/>
      <c r="J367" s="92"/>
    </row>
    <row r="368" spans="1:10" x14ac:dyDescent="0.25">
      <c r="A368" s="42">
        <v>358</v>
      </c>
      <c r="B368" s="79">
        <v>43490</v>
      </c>
      <c r="C368" s="89"/>
      <c r="D368" s="85"/>
      <c r="E368" s="85"/>
      <c r="F368" s="90"/>
      <c r="G368" s="91"/>
      <c r="H368" s="91"/>
      <c r="I368" s="91"/>
      <c r="J368" s="92"/>
    </row>
    <row r="369" spans="1:10" x14ac:dyDescent="0.25">
      <c r="A369" s="42">
        <v>359</v>
      </c>
      <c r="B369" s="79">
        <v>43491</v>
      </c>
      <c r="C369" s="89"/>
      <c r="D369" s="85"/>
      <c r="E369" s="85"/>
      <c r="F369" s="90"/>
      <c r="G369" s="91"/>
      <c r="H369" s="91"/>
      <c r="I369" s="91"/>
      <c r="J369" s="92"/>
    </row>
    <row r="370" spans="1:10" x14ac:dyDescent="0.25">
      <c r="A370" s="42">
        <v>360</v>
      </c>
      <c r="B370" s="79">
        <v>43492</v>
      </c>
      <c r="C370" s="89"/>
      <c r="D370" s="85"/>
      <c r="E370" s="85"/>
      <c r="F370" s="90"/>
      <c r="G370" s="91"/>
      <c r="H370" s="91"/>
      <c r="I370" s="91"/>
      <c r="J370" s="92"/>
    </row>
    <row r="371" spans="1:10" x14ac:dyDescent="0.25">
      <c r="A371" s="42">
        <v>361</v>
      </c>
      <c r="B371" s="79">
        <v>43493</v>
      </c>
      <c r="C371" s="89"/>
      <c r="D371" s="85"/>
      <c r="E371" s="85"/>
      <c r="F371" s="90"/>
      <c r="G371" s="91"/>
      <c r="H371" s="91"/>
      <c r="I371" s="91"/>
      <c r="J371" s="92"/>
    </row>
    <row r="372" spans="1:10" x14ac:dyDescent="0.25">
      <c r="A372" s="42">
        <v>362</v>
      </c>
      <c r="B372" s="79">
        <v>43494</v>
      </c>
      <c r="C372" s="89"/>
      <c r="D372" s="85"/>
      <c r="E372" s="85"/>
      <c r="F372" s="90"/>
      <c r="G372" s="91"/>
      <c r="H372" s="91"/>
      <c r="I372" s="91"/>
      <c r="J372" s="92"/>
    </row>
    <row r="373" spans="1:10" x14ac:dyDescent="0.25">
      <c r="A373" s="42">
        <v>363</v>
      </c>
      <c r="B373" s="79">
        <v>43495</v>
      </c>
      <c r="C373" s="89"/>
      <c r="D373" s="85"/>
      <c r="E373" s="85"/>
      <c r="F373" s="90"/>
      <c r="G373" s="91"/>
      <c r="H373" s="91"/>
      <c r="I373" s="91"/>
      <c r="J373" s="92"/>
    </row>
    <row r="374" spans="1:10" x14ac:dyDescent="0.25">
      <c r="A374" s="42">
        <v>364</v>
      </c>
      <c r="B374" s="79">
        <v>43496</v>
      </c>
      <c r="C374" s="89"/>
      <c r="D374" s="85"/>
      <c r="E374" s="85"/>
      <c r="F374" s="90"/>
      <c r="G374" s="91"/>
      <c r="H374" s="91"/>
      <c r="I374" s="91"/>
      <c r="J374" s="92"/>
    </row>
    <row r="375" spans="1:10" x14ac:dyDescent="0.25">
      <c r="A375" s="42">
        <v>365</v>
      </c>
      <c r="B375" s="79">
        <v>43497</v>
      </c>
      <c r="C375" s="89"/>
      <c r="D375" s="85"/>
      <c r="E375" s="85"/>
      <c r="F375" s="90"/>
      <c r="G375" s="91"/>
      <c r="H375" s="91"/>
      <c r="I375" s="91"/>
      <c r="J375" s="92"/>
    </row>
    <row r="376" spans="1:10" x14ac:dyDescent="0.25">
      <c r="A376" s="42">
        <v>366</v>
      </c>
      <c r="B376" s="79">
        <v>43498</v>
      </c>
      <c r="C376" s="89"/>
      <c r="D376" s="85"/>
      <c r="E376" s="85"/>
      <c r="F376" s="90"/>
      <c r="G376" s="91"/>
      <c r="H376" s="91"/>
      <c r="I376" s="91"/>
      <c r="J376" s="92"/>
    </row>
    <row r="377" spans="1:10" x14ac:dyDescent="0.25">
      <c r="A377" s="42">
        <v>367</v>
      </c>
      <c r="B377" s="79">
        <v>43499</v>
      </c>
      <c r="C377" s="89"/>
      <c r="D377" s="85"/>
      <c r="E377" s="85"/>
      <c r="F377" s="90"/>
      <c r="G377" s="91"/>
      <c r="H377" s="91"/>
      <c r="I377" s="91"/>
      <c r="J377" s="92"/>
    </row>
    <row r="378" spans="1:10" x14ac:dyDescent="0.25">
      <c r="A378" s="42">
        <v>368</v>
      </c>
      <c r="B378" s="79">
        <v>43500</v>
      </c>
      <c r="C378" s="89"/>
      <c r="D378" s="85"/>
      <c r="E378" s="85"/>
      <c r="F378" s="90"/>
      <c r="G378" s="91"/>
      <c r="H378" s="91"/>
      <c r="I378" s="91"/>
      <c r="J378" s="92"/>
    </row>
    <row r="379" spans="1:10" x14ac:dyDescent="0.25">
      <c r="A379" s="42">
        <v>369</v>
      </c>
      <c r="B379" s="79">
        <v>43501</v>
      </c>
      <c r="C379" s="89"/>
      <c r="D379" s="85"/>
      <c r="E379" s="85"/>
      <c r="F379" s="90"/>
      <c r="G379" s="91"/>
      <c r="H379" s="91"/>
      <c r="I379" s="91"/>
      <c r="J379" s="92"/>
    </row>
    <row r="380" spans="1:10" x14ac:dyDescent="0.25">
      <c r="A380" s="42">
        <v>370</v>
      </c>
      <c r="B380" s="79">
        <v>43502</v>
      </c>
      <c r="C380" s="89"/>
      <c r="D380" s="85"/>
      <c r="E380" s="85"/>
      <c r="F380" s="90"/>
      <c r="G380" s="91"/>
      <c r="H380" s="91"/>
      <c r="I380" s="91"/>
      <c r="J380" s="92"/>
    </row>
    <row r="381" spans="1:10" x14ac:dyDescent="0.25">
      <c r="A381" s="42">
        <v>371</v>
      </c>
      <c r="B381" s="79">
        <v>43503</v>
      </c>
      <c r="C381" s="89"/>
      <c r="D381" s="85"/>
      <c r="E381" s="85"/>
      <c r="F381" s="90"/>
      <c r="G381" s="91"/>
      <c r="H381" s="91"/>
      <c r="I381" s="91"/>
      <c r="J381" s="92"/>
    </row>
    <row r="382" spans="1:10" x14ac:dyDescent="0.25">
      <c r="A382" s="42">
        <v>372</v>
      </c>
      <c r="B382" s="79">
        <v>43504</v>
      </c>
      <c r="C382" s="89"/>
      <c r="D382" s="85"/>
      <c r="E382" s="85"/>
      <c r="F382" s="90"/>
      <c r="G382" s="91"/>
      <c r="H382" s="91"/>
      <c r="I382" s="91"/>
      <c r="J382" s="92"/>
    </row>
    <row r="383" spans="1:10" x14ac:dyDescent="0.25">
      <c r="A383" s="42">
        <v>373</v>
      </c>
      <c r="B383" s="79">
        <v>43505</v>
      </c>
      <c r="C383" s="89"/>
      <c r="D383" s="85"/>
      <c r="E383" s="85"/>
      <c r="F383" s="90"/>
      <c r="G383" s="91"/>
      <c r="H383" s="91"/>
      <c r="I383" s="91"/>
      <c r="J383" s="92"/>
    </row>
    <row r="384" spans="1:10" x14ac:dyDescent="0.25">
      <c r="A384" s="42">
        <v>374</v>
      </c>
      <c r="B384" s="79">
        <v>43506</v>
      </c>
      <c r="C384" s="89"/>
      <c r="D384" s="85"/>
      <c r="E384" s="85"/>
      <c r="F384" s="90"/>
      <c r="G384" s="91"/>
      <c r="H384" s="91"/>
      <c r="I384" s="91"/>
      <c r="J384" s="92"/>
    </row>
    <row r="385" spans="1:10" x14ac:dyDescent="0.25">
      <c r="A385" s="42">
        <v>375</v>
      </c>
      <c r="B385" s="79">
        <v>43507</v>
      </c>
      <c r="C385" s="89"/>
      <c r="D385" s="85"/>
      <c r="E385" s="85"/>
      <c r="F385" s="90"/>
      <c r="G385" s="91"/>
      <c r="H385" s="91"/>
      <c r="I385" s="91"/>
      <c r="J385" s="92"/>
    </row>
    <row r="386" spans="1:10" x14ac:dyDescent="0.25">
      <c r="A386" s="42">
        <v>376</v>
      </c>
      <c r="B386" s="79">
        <v>43508</v>
      </c>
      <c r="C386" s="89"/>
      <c r="D386" s="85"/>
      <c r="E386" s="85"/>
      <c r="F386" s="90"/>
      <c r="G386" s="91"/>
      <c r="H386" s="91"/>
      <c r="I386" s="91"/>
      <c r="J386" s="92"/>
    </row>
    <row r="387" spans="1:10" x14ac:dyDescent="0.25">
      <c r="A387" s="42">
        <v>377</v>
      </c>
      <c r="B387" s="79">
        <v>43509</v>
      </c>
      <c r="C387" s="89"/>
      <c r="D387" s="85"/>
      <c r="E387" s="85"/>
      <c r="F387" s="90"/>
      <c r="G387" s="91"/>
      <c r="H387" s="91"/>
      <c r="I387" s="91"/>
      <c r="J387" s="92"/>
    </row>
    <row r="388" spans="1:10" x14ac:dyDescent="0.25">
      <c r="A388" s="42">
        <v>378</v>
      </c>
      <c r="B388" s="79">
        <v>43510</v>
      </c>
      <c r="C388" s="89"/>
      <c r="D388" s="85"/>
      <c r="E388" s="85"/>
      <c r="F388" s="90"/>
      <c r="G388" s="91"/>
      <c r="H388" s="91"/>
      <c r="I388" s="91"/>
      <c r="J388" s="92"/>
    </row>
    <row r="389" spans="1:10" x14ac:dyDescent="0.25">
      <c r="A389" s="42">
        <v>379</v>
      </c>
      <c r="B389" s="79">
        <v>43511</v>
      </c>
      <c r="C389" s="89"/>
      <c r="D389" s="85"/>
      <c r="E389" s="85"/>
      <c r="F389" s="90"/>
      <c r="G389" s="91"/>
      <c r="H389" s="91"/>
      <c r="I389" s="91"/>
      <c r="J389" s="92"/>
    </row>
    <row r="390" spans="1:10" x14ac:dyDescent="0.25">
      <c r="A390" s="42">
        <v>380</v>
      </c>
      <c r="B390" s="79">
        <v>43512</v>
      </c>
      <c r="C390" s="89"/>
      <c r="D390" s="85"/>
      <c r="E390" s="85"/>
      <c r="F390" s="90"/>
      <c r="G390" s="91"/>
      <c r="H390" s="91"/>
      <c r="I390" s="91"/>
      <c r="J390" s="92"/>
    </row>
    <row r="391" spans="1:10" x14ac:dyDescent="0.25">
      <c r="A391" s="42">
        <v>381</v>
      </c>
      <c r="B391" s="79">
        <v>43513</v>
      </c>
      <c r="C391" s="89"/>
      <c r="D391" s="85"/>
      <c r="E391" s="85"/>
      <c r="F391" s="90"/>
      <c r="G391" s="91"/>
      <c r="H391" s="91"/>
      <c r="I391" s="91"/>
      <c r="J391" s="92"/>
    </row>
    <row r="392" spans="1:10" x14ac:dyDescent="0.25">
      <c r="A392" s="42">
        <v>382</v>
      </c>
      <c r="B392" s="79">
        <v>43514</v>
      </c>
      <c r="C392" s="89"/>
      <c r="D392" s="85"/>
      <c r="E392" s="85"/>
      <c r="F392" s="90"/>
      <c r="G392" s="91"/>
      <c r="H392" s="91"/>
      <c r="I392" s="91"/>
      <c r="J392" s="92"/>
    </row>
    <row r="393" spans="1:10" x14ac:dyDescent="0.25">
      <c r="A393" s="42">
        <v>383</v>
      </c>
      <c r="B393" s="79">
        <v>43515</v>
      </c>
      <c r="C393" s="89"/>
      <c r="D393" s="85"/>
      <c r="E393" s="85"/>
      <c r="F393" s="90"/>
      <c r="G393" s="91"/>
      <c r="H393" s="91"/>
      <c r="I393" s="91"/>
      <c r="J393" s="92"/>
    </row>
    <row r="394" spans="1:10" x14ac:dyDescent="0.25">
      <c r="A394" s="42">
        <v>384</v>
      </c>
      <c r="B394" s="79">
        <v>43516</v>
      </c>
      <c r="C394" s="89"/>
      <c r="D394" s="85"/>
      <c r="E394" s="85"/>
      <c r="F394" s="90"/>
      <c r="G394" s="91"/>
      <c r="H394" s="91"/>
      <c r="I394" s="91"/>
      <c r="J394" s="92"/>
    </row>
    <row r="395" spans="1:10" x14ac:dyDescent="0.25">
      <c r="B395" s="79">
        <v>43517</v>
      </c>
      <c r="C395" s="89"/>
      <c r="D395" s="85"/>
      <c r="E395" s="85"/>
      <c r="F395" s="90"/>
      <c r="G395" s="91"/>
      <c r="H395" s="91"/>
      <c r="I395" s="91"/>
      <c r="J395" s="92"/>
    </row>
    <row r="396" spans="1:10" x14ac:dyDescent="0.25">
      <c r="B396" s="79">
        <v>43518</v>
      </c>
      <c r="C396" s="89"/>
      <c r="D396" s="85"/>
      <c r="E396" s="85"/>
      <c r="F396" s="90"/>
      <c r="G396" s="91"/>
      <c r="H396" s="91"/>
      <c r="I396" s="91"/>
      <c r="J396" s="92"/>
    </row>
    <row r="397" spans="1:10" x14ac:dyDescent="0.25">
      <c r="B397" s="79">
        <v>43519</v>
      </c>
      <c r="C397" s="89"/>
      <c r="D397" s="85"/>
      <c r="E397" s="85"/>
      <c r="F397" s="90"/>
      <c r="G397" s="91"/>
      <c r="H397" s="91"/>
      <c r="I397" s="91"/>
      <c r="J397" s="92"/>
    </row>
    <row r="398" spans="1:10" x14ac:dyDescent="0.25">
      <c r="B398" s="79">
        <v>43520</v>
      </c>
      <c r="C398" s="89"/>
      <c r="D398" s="85"/>
      <c r="E398" s="85"/>
      <c r="F398" s="90"/>
      <c r="G398" s="91"/>
      <c r="H398" s="91"/>
      <c r="I398" s="91"/>
      <c r="J398" s="92"/>
    </row>
    <row r="399" spans="1:10" x14ac:dyDescent="0.25">
      <c r="B399" s="79">
        <v>43521</v>
      </c>
      <c r="C399" s="89"/>
      <c r="D399" s="85"/>
      <c r="E399" s="85"/>
      <c r="F399" s="90"/>
      <c r="G399" s="91"/>
      <c r="H399" s="91"/>
      <c r="I399" s="91"/>
      <c r="J399" s="92"/>
    </row>
    <row r="400" spans="1:10" x14ac:dyDescent="0.25">
      <c r="B400" s="79">
        <v>43522</v>
      </c>
      <c r="C400" s="89"/>
      <c r="D400" s="85"/>
      <c r="E400" s="85"/>
      <c r="F400" s="90"/>
      <c r="G400" s="91"/>
      <c r="H400" s="91"/>
      <c r="I400" s="91"/>
      <c r="J400" s="92"/>
    </row>
    <row r="401" spans="2:10" x14ac:dyDescent="0.25">
      <c r="B401" s="79">
        <v>43523</v>
      </c>
      <c r="C401" s="89"/>
      <c r="D401" s="85"/>
      <c r="E401" s="85"/>
      <c r="F401" s="90"/>
      <c r="G401" s="91"/>
      <c r="H401" s="91"/>
      <c r="I401" s="91"/>
      <c r="J401" s="92"/>
    </row>
    <row r="402" spans="2:10" x14ac:dyDescent="0.25">
      <c r="B402" s="79">
        <v>43524</v>
      </c>
      <c r="C402" s="89"/>
      <c r="D402" s="85"/>
      <c r="E402" s="85"/>
      <c r="F402" s="90"/>
      <c r="G402" s="91"/>
      <c r="H402" s="91"/>
      <c r="I402" s="91"/>
      <c r="J402" s="92"/>
    </row>
    <row r="403" spans="2:10" x14ac:dyDescent="0.25">
      <c r="B403" s="79">
        <v>43525</v>
      </c>
      <c r="C403" s="89"/>
      <c r="D403" s="85"/>
      <c r="E403" s="85"/>
      <c r="F403" s="90"/>
      <c r="G403" s="91"/>
      <c r="H403" s="91"/>
      <c r="I403" s="91"/>
      <c r="J403" s="92"/>
    </row>
    <row r="404" spans="2:10" x14ac:dyDescent="0.25">
      <c r="B404" s="79">
        <v>43526</v>
      </c>
      <c r="C404" s="89"/>
      <c r="D404" s="85"/>
      <c r="E404" s="85"/>
      <c r="F404" s="90"/>
      <c r="G404" s="91"/>
      <c r="H404" s="91"/>
      <c r="I404" s="91"/>
      <c r="J404" s="92"/>
    </row>
    <row r="405" spans="2:10" x14ac:dyDescent="0.25">
      <c r="B405" s="79">
        <v>43527</v>
      </c>
      <c r="C405" s="89"/>
      <c r="D405" s="85"/>
      <c r="E405" s="85"/>
      <c r="F405" s="90"/>
      <c r="G405" s="91"/>
      <c r="H405" s="91"/>
      <c r="I405" s="91"/>
      <c r="J405" s="92"/>
    </row>
    <row r="406" spans="2:10" x14ac:dyDescent="0.25">
      <c r="B406" s="79">
        <v>43528</v>
      </c>
      <c r="C406" s="89"/>
      <c r="D406" s="85"/>
      <c r="E406" s="85"/>
      <c r="F406" s="90"/>
      <c r="G406" s="91"/>
      <c r="H406" s="91"/>
      <c r="I406" s="91"/>
      <c r="J406" s="92"/>
    </row>
    <row r="407" spans="2:10" x14ac:dyDescent="0.25">
      <c r="B407" s="79">
        <v>43529</v>
      </c>
      <c r="C407" s="89"/>
      <c r="D407" s="85"/>
      <c r="E407" s="85"/>
      <c r="F407" s="90"/>
      <c r="G407" s="91"/>
      <c r="H407" s="91"/>
      <c r="I407" s="91"/>
      <c r="J407" s="92"/>
    </row>
    <row r="408" spans="2:10" x14ac:dyDescent="0.25">
      <c r="B408" s="79">
        <v>43530</v>
      </c>
      <c r="C408" s="89"/>
      <c r="D408" s="85"/>
      <c r="E408" s="85"/>
      <c r="F408" s="90"/>
      <c r="G408" s="91"/>
      <c r="H408" s="91"/>
      <c r="I408" s="91"/>
      <c r="J408" s="92"/>
    </row>
    <row r="409" spans="2:10" x14ac:dyDescent="0.25">
      <c r="B409" s="79">
        <v>43531</v>
      </c>
      <c r="C409" s="89"/>
      <c r="D409" s="85"/>
      <c r="E409" s="85"/>
      <c r="F409" s="90"/>
      <c r="G409" s="91"/>
      <c r="H409" s="91"/>
      <c r="I409" s="91"/>
      <c r="J409" s="92"/>
    </row>
    <row r="410" spans="2:10" x14ac:dyDescent="0.25">
      <c r="B410" s="79">
        <v>43532</v>
      </c>
      <c r="C410" s="89"/>
      <c r="D410" s="85"/>
      <c r="E410" s="85"/>
      <c r="F410" s="90"/>
      <c r="G410" s="91"/>
      <c r="H410" s="91"/>
      <c r="I410" s="91"/>
      <c r="J410" s="92"/>
    </row>
    <row r="411" spans="2:10" x14ac:dyDescent="0.25">
      <c r="B411" s="79">
        <v>43533</v>
      </c>
      <c r="C411" s="89"/>
      <c r="D411" s="85"/>
      <c r="E411" s="85"/>
      <c r="F411" s="90"/>
      <c r="G411" s="91"/>
      <c r="H411" s="91"/>
      <c r="I411" s="91"/>
      <c r="J411" s="92"/>
    </row>
    <row r="412" spans="2:10" x14ac:dyDescent="0.25">
      <c r="B412" s="79">
        <v>43534</v>
      </c>
      <c r="C412" s="89"/>
      <c r="D412" s="85"/>
      <c r="E412" s="85"/>
      <c r="F412" s="90"/>
      <c r="G412" s="91"/>
      <c r="H412" s="91"/>
      <c r="I412" s="91"/>
      <c r="J412" s="92"/>
    </row>
    <row r="413" spans="2:10" x14ac:dyDescent="0.25">
      <c r="B413" s="79">
        <v>43535</v>
      </c>
      <c r="C413" s="89"/>
      <c r="D413" s="85"/>
      <c r="E413" s="85"/>
      <c r="F413" s="90"/>
      <c r="G413" s="91"/>
      <c r="H413" s="91"/>
      <c r="I413" s="91"/>
      <c r="J413" s="92"/>
    </row>
    <row r="414" spans="2:10" x14ac:dyDescent="0.25">
      <c r="B414" s="79">
        <v>43536</v>
      </c>
      <c r="C414" s="89"/>
      <c r="D414" s="85"/>
      <c r="E414" s="85"/>
      <c r="F414" s="90"/>
      <c r="G414" s="91"/>
      <c r="H414" s="91"/>
      <c r="I414" s="91"/>
      <c r="J414" s="92"/>
    </row>
    <row r="415" spans="2:10" x14ac:dyDescent="0.25">
      <c r="B415" s="79">
        <v>43537</v>
      </c>
      <c r="C415" s="89"/>
      <c r="D415" s="85"/>
      <c r="E415" s="85"/>
      <c r="F415" s="90"/>
      <c r="G415" s="91"/>
      <c r="H415" s="91"/>
      <c r="I415" s="91"/>
      <c r="J415" s="92"/>
    </row>
    <row r="416" spans="2:10" x14ac:dyDescent="0.25">
      <c r="B416" s="79">
        <v>43538</v>
      </c>
      <c r="C416" s="89"/>
      <c r="D416" s="85"/>
      <c r="E416" s="85"/>
      <c r="F416" s="90"/>
      <c r="G416" s="91"/>
      <c r="H416" s="91"/>
      <c r="I416" s="91"/>
      <c r="J416" s="92"/>
    </row>
    <row r="417" spans="2:10" x14ac:dyDescent="0.25">
      <c r="B417" s="79">
        <v>43539</v>
      </c>
      <c r="C417" s="89"/>
      <c r="D417" s="85"/>
      <c r="E417" s="85"/>
      <c r="F417" s="90"/>
      <c r="G417" s="91"/>
      <c r="H417" s="91"/>
      <c r="I417" s="91"/>
      <c r="J417" s="92"/>
    </row>
    <row r="418" spans="2:10" x14ac:dyDescent="0.25">
      <c r="B418" s="79">
        <v>43540</v>
      </c>
      <c r="C418" s="89"/>
      <c r="D418" s="85"/>
      <c r="E418" s="85"/>
      <c r="F418" s="90"/>
      <c r="G418" s="91"/>
      <c r="H418" s="91"/>
      <c r="I418" s="91"/>
      <c r="J418" s="92"/>
    </row>
    <row r="419" spans="2:10" x14ac:dyDescent="0.25">
      <c r="B419" s="79">
        <v>43541</v>
      </c>
      <c r="C419" s="89"/>
      <c r="D419" s="85"/>
      <c r="E419" s="85"/>
      <c r="F419" s="90"/>
      <c r="G419" s="91"/>
      <c r="H419" s="91"/>
      <c r="I419" s="91"/>
      <c r="J419" s="92"/>
    </row>
    <row r="420" spans="2:10" x14ac:dyDescent="0.25">
      <c r="B420" s="79">
        <v>43542</v>
      </c>
      <c r="C420" s="89"/>
      <c r="D420" s="85"/>
      <c r="E420" s="85"/>
      <c r="F420" s="90"/>
      <c r="G420" s="91"/>
      <c r="H420" s="91"/>
      <c r="I420" s="91"/>
      <c r="J420" s="92"/>
    </row>
    <row r="421" spans="2:10" x14ac:dyDescent="0.25">
      <c r="B421" s="79">
        <v>43543</v>
      </c>
      <c r="C421" s="89"/>
      <c r="D421" s="85"/>
      <c r="E421" s="85"/>
      <c r="F421" s="90"/>
      <c r="G421" s="91"/>
      <c r="H421" s="91"/>
      <c r="I421" s="91"/>
      <c r="J421" s="92"/>
    </row>
    <row r="422" spans="2:10" x14ac:dyDescent="0.25">
      <c r="B422" s="79">
        <v>43544</v>
      </c>
      <c r="C422" s="89"/>
      <c r="D422" s="85"/>
      <c r="E422" s="85"/>
      <c r="F422" s="90"/>
      <c r="G422" s="91"/>
      <c r="H422" s="91"/>
      <c r="I422" s="91"/>
      <c r="J422" s="92"/>
    </row>
    <row r="423" spans="2:10" x14ac:dyDescent="0.25">
      <c r="B423" s="79">
        <v>43545</v>
      </c>
      <c r="C423" s="89"/>
      <c r="D423" s="85"/>
      <c r="E423" s="85"/>
      <c r="F423" s="90"/>
      <c r="G423" s="91"/>
      <c r="H423" s="91"/>
      <c r="I423" s="91"/>
      <c r="J423" s="92"/>
    </row>
    <row r="424" spans="2:10" x14ac:dyDescent="0.25">
      <c r="B424" s="79">
        <v>43546</v>
      </c>
      <c r="C424" s="89"/>
      <c r="D424" s="85"/>
      <c r="E424" s="85"/>
      <c r="F424" s="90"/>
      <c r="G424" s="91"/>
      <c r="H424" s="91"/>
      <c r="I424" s="91"/>
      <c r="J424" s="92"/>
    </row>
    <row r="425" spans="2:10" x14ac:dyDescent="0.25">
      <c r="B425" s="79">
        <v>43547</v>
      </c>
      <c r="C425" s="89"/>
      <c r="D425" s="85"/>
      <c r="E425" s="85"/>
      <c r="F425" s="90"/>
      <c r="G425" s="91"/>
      <c r="H425" s="91"/>
      <c r="I425" s="91"/>
      <c r="J425" s="92"/>
    </row>
    <row r="426" spans="2:10" x14ac:dyDescent="0.25">
      <c r="B426" s="79">
        <v>43548</v>
      </c>
      <c r="C426" s="89"/>
      <c r="D426" s="85"/>
      <c r="E426" s="85"/>
      <c r="F426" s="90"/>
      <c r="G426" s="91"/>
      <c r="H426" s="91"/>
      <c r="I426" s="91"/>
      <c r="J426" s="92"/>
    </row>
    <row r="427" spans="2:10" x14ac:dyDescent="0.25">
      <c r="B427" s="79">
        <v>43549</v>
      </c>
      <c r="C427" s="89"/>
      <c r="D427" s="85"/>
      <c r="E427" s="85"/>
      <c r="F427" s="90"/>
      <c r="G427" s="91"/>
      <c r="H427" s="91"/>
      <c r="I427" s="91"/>
      <c r="J427" s="92"/>
    </row>
    <row r="428" spans="2:10" x14ac:dyDescent="0.25">
      <c r="B428" s="79">
        <v>43550</v>
      </c>
      <c r="C428" s="89"/>
      <c r="D428" s="85"/>
      <c r="E428" s="85"/>
      <c r="F428" s="90"/>
      <c r="G428" s="91"/>
      <c r="H428" s="91"/>
      <c r="I428" s="91"/>
      <c r="J428" s="92"/>
    </row>
    <row r="429" spans="2:10" x14ac:dyDescent="0.25">
      <c r="B429" s="79">
        <v>43551</v>
      </c>
      <c r="C429" s="89"/>
      <c r="D429" s="85"/>
      <c r="E429" s="85"/>
      <c r="F429" s="90"/>
      <c r="G429" s="91"/>
      <c r="H429" s="91"/>
      <c r="I429" s="91"/>
      <c r="J429" s="92"/>
    </row>
  </sheetData>
  <conditionalFormatting sqref="E3:F5">
    <cfRule type="colorScale" priority="8">
      <colorScale>
        <cfvo type="num" val="0"/>
        <cfvo type="num" val="0.5"/>
        <cfvo type="num" val="1"/>
        <color rgb="FFF8696B"/>
        <color rgb="FFFFEB84"/>
        <color rgb="FF63BE7B"/>
      </colorScale>
    </cfRule>
  </conditionalFormatting>
  <conditionalFormatting sqref="D3:D5">
    <cfRule type="cellIs" priority="7" operator="lessThan">
      <formula>TODAY()</formula>
    </cfRule>
  </conditionalFormatting>
  <conditionalFormatting sqref="C9:F429">
    <cfRule type="expression" dxfId="396" priority="6">
      <formula>INDIRECT("B"&amp;ROW())=TODAY()</formula>
    </cfRule>
  </conditionalFormatting>
  <conditionalFormatting sqref="B9:B429">
    <cfRule type="timePeriod" dxfId="395" priority="5" timePeriod="today">
      <formula>FLOOR(B9,1)=TODAY()</formula>
    </cfRule>
  </conditionalFormatting>
  <hyperlinks>
    <hyperlink ref="E89" r:id="rId1"/>
    <hyperlink ref="E97" r:id="rId2"/>
    <hyperlink ref="E143" r:id="rId3"/>
  </hyperlinks>
  <pageMargins left="0.7" right="0.7" top="0.75" bottom="0.75" header="0.3" footer="0.3"/>
  <pageSetup paperSize="9" orientation="portrait" horizontalDpi="4294967293" verticalDpi="0"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7"/>
  </sheetPr>
  <dimension ref="A1:L25"/>
  <sheetViews>
    <sheetView topLeftCell="A23" zoomScale="91" workbookViewId="0">
      <selection activeCell="C18" sqref="C18:D18"/>
    </sheetView>
  </sheetViews>
  <sheetFormatPr defaultColWidth="8.85546875" defaultRowHeight="15" x14ac:dyDescent="0.25"/>
  <cols>
    <col min="1" max="1" width="21.140625" style="65" customWidth="1"/>
    <col min="2" max="2" width="8.85546875" style="131"/>
    <col min="3" max="3" width="40.42578125" style="131" customWidth="1"/>
    <col min="4" max="4" width="61.140625" style="131" customWidth="1"/>
    <col min="5" max="5" width="18.42578125" style="131" customWidth="1"/>
    <col min="6" max="6" width="24.42578125" style="131" customWidth="1"/>
    <col min="7" max="7" width="27.28515625" style="131" customWidth="1"/>
    <col min="8" max="8" width="42.28515625" style="131" customWidth="1"/>
    <col min="9" max="9" width="36.28515625" style="131" customWidth="1"/>
    <col min="10" max="16384" width="8.85546875" style="131"/>
  </cols>
  <sheetData>
    <row r="1" spans="1:12" s="67" customFormat="1" ht="33.75" customHeight="1" x14ac:dyDescent="0.25">
      <c r="A1" s="68">
        <f ca="1">TODAY()</f>
        <v>43306</v>
      </c>
      <c r="B1" s="68"/>
    </row>
    <row r="2" spans="1:12" s="96" customFormat="1" ht="33.75" customHeight="1" x14ac:dyDescent="0.25">
      <c r="A2" s="95">
        <f ca="1">NOW()</f>
        <v>43306.455487500003</v>
      </c>
      <c r="B2" s="95"/>
      <c r="E2" s="97" t="s">
        <v>281</v>
      </c>
      <c r="F2" s="97"/>
      <c r="G2" s="97"/>
      <c r="J2" s="97"/>
      <c r="K2" s="97"/>
      <c r="L2" s="97"/>
    </row>
    <row r="3" spans="1:12" x14ac:dyDescent="0.25">
      <c r="A3" s="116"/>
    </row>
    <row r="4" spans="1:12" x14ac:dyDescent="0.25">
      <c r="A4" s="107"/>
    </row>
    <row r="5" spans="1:12" x14ac:dyDescent="0.25">
      <c r="C5" s="132"/>
      <c r="D5" s="132"/>
      <c r="E5" s="132"/>
      <c r="F5" s="132"/>
      <c r="G5" s="132"/>
      <c r="H5" s="132"/>
      <c r="I5" s="132"/>
      <c r="J5" s="132"/>
    </row>
    <row r="6" spans="1:12" x14ac:dyDescent="0.25">
      <c r="C6" s="132"/>
      <c r="D6" s="132"/>
      <c r="E6" s="132"/>
      <c r="F6" s="132"/>
      <c r="G6" s="132"/>
      <c r="H6" s="132"/>
      <c r="I6" s="132"/>
      <c r="J6" s="132"/>
    </row>
    <row r="7" spans="1:12" x14ac:dyDescent="0.25">
      <c r="C7" s="133" t="s">
        <v>305</v>
      </c>
      <c r="D7" s="133"/>
      <c r="E7" s="133"/>
      <c r="F7" s="133"/>
      <c r="G7" s="133"/>
      <c r="H7" s="133"/>
      <c r="I7" s="133" t="s">
        <v>52</v>
      </c>
      <c r="J7" s="132"/>
    </row>
    <row r="8" spans="1:12" x14ac:dyDescent="0.25">
      <c r="C8" s="132"/>
      <c r="D8" s="134" t="s">
        <v>306</v>
      </c>
      <c r="E8" s="134"/>
      <c r="F8" s="134"/>
      <c r="G8" s="134"/>
      <c r="H8" s="134" t="s">
        <v>307</v>
      </c>
      <c r="I8" s="132"/>
      <c r="J8" s="132"/>
    </row>
    <row r="9" spans="1:12" x14ac:dyDescent="0.25">
      <c r="C9" s="132"/>
      <c r="D9" s="132"/>
      <c r="E9" s="133" t="s">
        <v>308</v>
      </c>
      <c r="F9" s="133"/>
      <c r="G9" s="133" t="s">
        <v>309</v>
      </c>
      <c r="H9" s="132"/>
      <c r="I9" s="132"/>
      <c r="J9" s="132"/>
    </row>
    <row r="10" spans="1:12" x14ac:dyDescent="0.25">
      <c r="C10" s="132"/>
      <c r="D10" s="132"/>
      <c r="E10" s="132"/>
      <c r="F10" s="134"/>
      <c r="G10" s="132"/>
      <c r="H10" s="132"/>
      <c r="I10" s="132"/>
      <c r="J10" s="132"/>
    </row>
    <row r="11" spans="1:12" x14ac:dyDescent="0.25">
      <c r="C11" s="132"/>
      <c r="D11" s="132"/>
      <c r="E11" s="132"/>
      <c r="F11" s="134" t="s">
        <v>310</v>
      </c>
      <c r="G11" s="132"/>
      <c r="H11" s="132"/>
      <c r="I11" s="132"/>
      <c r="J11" s="132"/>
    </row>
    <row r="12" spans="1:12" x14ac:dyDescent="0.25">
      <c r="C12" s="132"/>
      <c r="D12" s="132"/>
      <c r="E12" s="132"/>
      <c r="F12" s="132"/>
      <c r="G12" s="132"/>
      <c r="H12" s="132"/>
      <c r="I12" s="132"/>
      <c r="J12" s="132"/>
    </row>
    <row r="13" spans="1:12" x14ac:dyDescent="0.25">
      <c r="C13" s="132"/>
      <c r="D13" s="132"/>
      <c r="E13" s="132"/>
      <c r="F13" s="132"/>
      <c r="G13" s="132"/>
      <c r="H13" s="132"/>
      <c r="I13" s="132"/>
      <c r="J13" s="132"/>
    </row>
    <row r="15" spans="1:12" x14ac:dyDescent="0.25">
      <c r="C15" s="76" t="s">
        <v>316</v>
      </c>
      <c r="D15" s="76" t="s">
        <v>9</v>
      </c>
      <c r="E15" s="76" t="s">
        <v>311</v>
      </c>
      <c r="F15" s="131" t="s">
        <v>313</v>
      </c>
      <c r="G15" s="76" t="s">
        <v>321</v>
      </c>
    </row>
    <row r="16" spans="1:12" ht="58.5" customHeight="1" x14ac:dyDescent="0.25">
      <c r="C16" s="76" t="s">
        <v>328</v>
      </c>
      <c r="D16" s="77" t="s">
        <v>329</v>
      </c>
      <c r="E16" s="135">
        <v>0</v>
      </c>
      <c r="F16" s="136"/>
      <c r="G16" s="136"/>
    </row>
    <row r="17" spans="3:7" ht="58.5" customHeight="1" x14ac:dyDescent="0.25">
      <c r="C17" s="131" t="s">
        <v>330</v>
      </c>
      <c r="D17" s="77" t="s">
        <v>331</v>
      </c>
      <c r="E17" s="138">
        <v>0.1</v>
      </c>
      <c r="F17" s="136"/>
      <c r="G17" s="136"/>
    </row>
    <row r="18" spans="3:7" ht="136.69999999999999" customHeight="1" x14ac:dyDescent="0.25">
      <c r="C18" s="76" t="s">
        <v>305</v>
      </c>
      <c r="D18" s="77" t="s">
        <v>312</v>
      </c>
      <c r="E18" s="135">
        <v>0.1</v>
      </c>
      <c r="F18" s="136">
        <v>43226</v>
      </c>
      <c r="G18" s="136"/>
    </row>
    <row r="19" spans="3:7" ht="39" customHeight="1" x14ac:dyDescent="0.25">
      <c r="C19" s="76" t="s">
        <v>306</v>
      </c>
      <c r="D19" s="77" t="s">
        <v>314</v>
      </c>
      <c r="E19" s="135">
        <v>0.05</v>
      </c>
    </row>
    <row r="20" spans="3:7" ht="47.45" customHeight="1" x14ac:dyDescent="0.25">
      <c r="C20" s="76" t="s">
        <v>308</v>
      </c>
      <c r="D20" s="77" t="s">
        <v>315</v>
      </c>
      <c r="E20" s="135">
        <v>0.01</v>
      </c>
    </row>
    <row r="21" spans="3:7" ht="105" customHeight="1" x14ac:dyDescent="0.25">
      <c r="C21" s="76" t="s">
        <v>309</v>
      </c>
      <c r="D21" s="77" t="s">
        <v>317</v>
      </c>
      <c r="E21" s="135">
        <v>1.4999999999999999E-2</v>
      </c>
    </row>
    <row r="22" spans="3:7" ht="64.7" customHeight="1" x14ac:dyDescent="0.25">
      <c r="C22" s="76" t="s">
        <v>52</v>
      </c>
      <c r="D22" s="77" t="s">
        <v>318</v>
      </c>
      <c r="E22" s="135">
        <v>0.1</v>
      </c>
      <c r="F22" s="136">
        <v>43261</v>
      </c>
      <c r="G22" s="136"/>
    </row>
    <row r="23" spans="3:7" ht="84.2" customHeight="1" x14ac:dyDescent="0.25">
      <c r="C23" s="76" t="s">
        <v>319</v>
      </c>
      <c r="D23" s="77" t="s">
        <v>320</v>
      </c>
      <c r="E23" s="135">
        <v>0.02</v>
      </c>
      <c r="F23" s="137">
        <v>43558</v>
      </c>
      <c r="G23" s="137"/>
    </row>
    <row r="24" spans="3:7" ht="119.45" customHeight="1" x14ac:dyDescent="0.25">
      <c r="C24" s="131" t="s">
        <v>322</v>
      </c>
      <c r="D24" s="76" t="s">
        <v>324</v>
      </c>
      <c r="E24" s="135">
        <v>0.2</v>
      </c>
    </row>
    <row r="25" spans="3:7" ht="117.2" customHeight="1" x14ac:dyDescent="0.25">
      <c r="C25" s="131" t="s">
        <v>323</v>
      </c>
      <c r="D25" s="76" t="s">
        <v>325</v>
      </c>
      <c r="E25" s="135">
        <v>0.05</v>
      </c>
    </row>
  </sheetData>
  <conditionalFormatting sqref="E16:E25">
    <cfRule type="colorScale" priority="194">
      <colorScale>
        <cfvo type="min"/>
        <cfvo type="percentile" val="50"/>
        <cfvo type="max"/>
        <color rgb="FFF8696B"/>
        <color rgb="FFFFEB84"/>
        <color rgb="FF63BE7B"/>
      </colorScale>
    </cfRule>
  </conditionalFormatting>
  <pageMargins left="0.7" right="0.7" top="0.75" bottom="0.75" header="0.3" footer="0.3"/>
  <pageSetup paperSize="9" orientation="portrait" horizontalDpi="4294967293" verticalDpi="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9"/>
  </sheetPr>
  <dimension ref="A1:N28"/>
  <sheetViews>
    <sheetView topLeftCell="A4" zoomScaleNormal="100" workbookViewId="0">
      <selection activeCell="C16" sqref="C16"/>
    </sheetView>
  </sheetViews>
  <sheetFormatPr defaultRowHeight="15" x14ac:dyDescent="0.25"/>
  <cols>
    <col min="1" max="1" width="9.140625" style="65"/>
    <col min="2" max="2" width="16" style="1" customWidth="1"/>
    <col min="3" max="4" width="32.42578125" style="1" customWidth="1"/>
    <col min="5" max="5" width="13.140625" style="111" customWidth="1"/>
    <col min="6" max="7" width="30.42578125" style="1" customWidth="1"/>
    <col min="8" max="8" width="10.42578125" style="111" customWidth="1"/>
    <col min="9" max="9" width="23.7109375" style="1" customWidth="1"/>
    <col min="10" max="10" width="10.42578125" style="111" customWidth="1"/>
    <col min="11" max="11" width="23.5703125" style="1" customWidth="1"/>
    <col min="12" max="12" width="10.42578125" style="111" customWidth="1"/>
    <col min="13" max="13" width="28.7109375" style="1" customWidth="1"/>
    <col min="14" max="14" width="9.140625" style="111" customWidth="1"/>
    <col min="15" max="16384" width="9.140625" style="1"/>
  </cols>
  <sheetData>
    <row r="1" spans="2:14" s="65" customFormat="1" x14ac:dyDescent="0.25">
      <c r="E1" s="171"/>
      <c r="H1" s="171"/>
      <c r="I1" s="167"/>
      <c r="J1" s="171"/>
      <c r="L1" s="171"/>
      <c r="N1" s="171"/>
    </row>
    <row r="2" spans="2:14" s="65" customFormat="1" x14ac:dyDescent="0.25">
      <c r="E2" s="171"/>
      <c r="H2" s="171"/>
      <c r="I2" s="167"/>
      <c r="J2" s="171"/>
      <c r="L2" s="171"/>
      <c r="N2" s="171"/>
    </row>
    <row r="3" spans="2:14" s="172" customFormat="1" ht="3" customHeight="1" x14ac:dyDescent="0.25">
      <c r="E3" s="173"/>
      <c r="H3" s="173"/>
      <c r="J3" s="173"/>
      <c r="L3" s="173"/>
      <c r="N3" s="173"/>
    </row>
    <row r="4" spans="2:14" ht="20.25" customHeight="1" x14ac:dyDescent="0.25">
      <c r="B4" s="1" t="s">
        <v>291</v>
      </c>
      <c r="C4" s="1" t="s">
        <v>558</v>
      </c>
      <c r="D4" s="1" t="s">
        <v>563</v>
      </c>
      <c r="E4" s="111" t="s">
        <v>498</v>
      </c>
      <c r="F4" s="1" t="s">
        <v>559</v>
      </c>
      <c r="G4" s="1" t="s">
        <v>563</v>
      </c>
      <c r="H4" s="111" t="s">
        <v>498</v>
      </c>
      <c r="I4" s="1" t="s">
        <v>560</v>
      </c>
      <c r="J4" s="111" t="s">
        <v>498</v>
      </c>
      <c r="K4" s="1" t="s">
        <v>561</v>
      </c>
      <c r="L4" s="111" t="s">
        <v>498</v>
      </c>
      <c r="M4" s="1" t="s">
        <v>562</v>
      </c>
      <c r="N4" s="111" t="s">
        <v>498</v>
      </c>
    </row>
    <row r="5" spans="2:14" s="172" customFormat="1" ht="2.25" customHeight="1" x14ac:dyDescent="0.25">
      <c r="E5" s="173"/>
      <c r="H5" s="173"/>
      <c r="J5" s="173"/>
      <c r="L5" s="173"/>
      <c r="N5" s="173"/>
    </row>
    <row r="6" spans="2:14" ht="45" x14ac:dyDescent="0.25">
      <c r="C6" s="164" t="s">
        <v>564</v>
      </c>
      <c r="D6" s="164" t="s">
        <v>565</v>
      </c>
      <c r="E6" s="183">
        <v>0</v>
      </c>
      <c r="F6" s="164" t="s">
        <v>568</v>
      </c>
      <c r="G6" s="164"/>
      <c r="H6" s="183"/>
      <c r="I6" s="164"/>
      <c r="J6" s="183"/>
      <c r="K6" s="164"/>
      <c r="L6" s="183"/>
      <c r="M6" s="165"/>
    </row>
    <row r="7" spans="2:14" ht="45" x14ac:dyDescent="0.25">
      <c r="C7" s="164" t="s">
        <v>566</v>
      </c>
      <c r="D7" s="164" t="s">
        <v>567</v>
      </c>
      <c r="E7" s="183">
        <v>0</v>
      </c>
      <c r="F7" s="164" t="s">
        <v>569</v>
      </c>
      <c r="G7" s="164"/>
      <c r="H7" s="183"/>
      <c r="I7" s="165"/>
      <c r="J7" s="183"/>
      <c r="K7" s="165"/>
      <c r="L7" s="183"/>
      <c r="M7" s="165"/>
    </row>
    <row r="8" spans="2:14" x14ac:dyDescent="0.25">
      <c r="C8" s="165"/>
      <c r="D8" s="165"/>
      <c r="E8" s="183"/>
      <c r="F8" s="164" t="s">
        <v>570</v>
      </c>
      <c r="G8" s="164"/>
      <c r="H8" s="183"/>
      <c r="I8" s="164"/>
      <c r="J8" s="183"/>
      <c r="K8" s="165"/>
      <c r="L8" s="183"/>
      <c r="M8" s="165"/>
    </row>
    <row r="9" spans="2:14" x14ac:dyDescent="0.25">
      <c r="C9" s="164"/>
      <c r="D9" s="164"/>
      <c r="E9" s="183"/>
      <c r="F9" s="165" t="s">
        <v>571</v>
      </c>
      <c r="G9" s="165"/>
      <c r="H9" s="183"/>
      <c r="I9" s="166"/>
      <c r="J9" s="183"/>
      <c r="K9" s="165"/>
      <c r="L9" s="183"/>
      <c r="M9" s="165"/>
    </row>
    <row r="10" spans="2:14" x14ac:dyDescent="0.25">
      <c r="C10" s="166"/>
      <c r="D10" s="166"/>
      <c r="E10" s="183"/>
      <c r="F10" s="165" t="s">
        <v>572</v>
      </c>
      <c r="G10" s="165"/>
      <c r="H10" s="183"/>
      <c r="I10" s="165"/>
      <c r="J10" s="183"/>
      <c r="K10" s="164"/>
      <c r="L10" s="183"/>
      <c r="M10" s="106"/>
    </row>
    <row r="11" spans="2:14" x14ac:dyDescent="0.25">
      <c r="C11" s="165"/>
      <c r="D11" s="165"/>
      <c r="E11" s="183"/>
      <c r="F11" s="165" t="s">
        <v>573</v>
      </c>
      <c r="G11" s="165"/>
      <c r="H11" s="183"/>
      <c r="I11" s="165"/>
      <c r="J11" s="183"/>
      <c r="K11" s="164"/>
      <c r="L11" s="183"/>
      <c r="M11" s="106"/>
    </row>
    <row r="12" spans="2:14" x14ac:dyDescent="0.25">
      <c r="C12" s="165"/>
      <c r="D12" s="165"/>
      <c r="E12" s="183"/>
      <c r="F12" s="165"/>
      <c r="G12" s="165"/>
      <c r="H12" s="183"/>
      <c r="I12" s="164"/>
      <c r="J12" s="183"/>
      <c r="K12" s="106"/>
      <c r="L12" s="183"/>
      <c r="M12" s="106"/>
    </row>
    <row r="13" spans="2:14" x14ac:dyDescent="0.25">
      <c r="C13" s="166"/>
      <c r="D13" s="166"/>
      <c r="E13" s="183"/>
      <c r="F13" s="164" t="s">
        <v>574</v>
      </c>
      <c r="G13" s="164"/>
      <c r="H13" s="183"/>
      <c r="I13" s="166"/>
      <c r="J13" s="183"/>
      <c r="K13" s="106"/>
      <c r="L13" s="183"/>
      <c r="M13" s="106"/>
    </row>
    <row r="14" spans="2:14" x14ac:dyDescent="0.25">
      <c r="C14" s="164"/>
      <c r="D14" s="164"/>
      <c r="E14" s="183"/>
      <c r="F14" s="165" t="s">
        <v>575</v>
      </c>
      <c r="G14" s="165"/>
      <c r="H14" s="183"/>
      <c r="I14" s="166"/>
      <c r="J14" s="183"/>
      <c r="K14" s="106"/>
      <c r="L14" s="183"/>
      <c r="M14" s="106"/>
    </row>
    <row r="15" spans="2:14" x14ac:dyDescent="0.25">
      <c r="C15" s="165"/>
      <c r="D15" s="165"/>
      <c r="E15" s="183"/>
      <c r="F15" s="164"/>
      <c r="G15" s="164"/>
      <c r="H15" s="183"/>
      <c r="I15" s="165"/>
      <c r="J15" s="183"/>
      <c r="K15" s="106"/>
      <c r="L15" s="183"/>
      <c r="M15" s="106"/>
    </row>
    <row r="16" spans="2:14" x14ac:dyDescent="0.25">
      <c r="C16" s="165"/>
      <c r="D16" s="165"/>
      <c r="E16" s="183"/>
      <c r="F16" s="165" t="s">
        <v>576</v>
      </c>
      <c r="G16" s="165"/>
      <c r="H16" s="183"/>
      <c r="I16" s="165"/>
      <c r="J16" s="183"/>
      <c r="K16" s="106"/>
      <c r="L16" s="183"/>
      <c r="M16" s="106"/>
    </row>
    <row r="17" spans="2:14" x14ac:dyDescent="0.25">
      <c r="C17" s="166"/>
      <c r="D17" s="166"/>
      <c r="E17" s="183"/>
      <c r="F17" s="165"/>
      <c r="G17" s="165"/>
      <c r="H17" s="183"/>
      <c r="I17" s="165"/>
      <c r="J17" s="183"/>
      <c r="K17" s="106"/>
      <c r="L17" s="183"/>
      <c r="M17" s="106"/>
    </row>
    <row r="18" spans="2:14" x14ac:dyDescent="0.25">
      <c r="C18" s="165"/>
      <c r="D18" s="165"/>
      <c r="E18" s="183"/>
      <c r="F18" s="165" t="s">
        <v>577</v>
      </c>
      <c r="G18" s="165"/>
      <c r="H18" s="183"/>
      <c r="I18" s="165"/>
      <c r="J18" s="183"/>
      <c r="K18" s="106"/>
      <c r="L18" s="183"/>
      <c r="M18" s="106"/>
    </row>
    <row r="19" spans="2:14" x14ac:dyDescent="0.25">
      <c r="C19" s="165"/>
      <c r="D19" s="165"/>
      <c r="E19" s="183"/>
      <c r="F19" s="106"/>
      <c r="G19" s="106"/>
      <c r="H19" s="106"/>
      <c r="I19" s="166"/>
      <c r="J19" s="183"/>
      <c r="K19" s="106"/>
      <c r="L19" s="106"/>
      <c r="M19" s="106"/>
      <c r="N19" s="1"/>
    </row>
    <row r="20" spans="2:14" x14ac:dyDescent="0.25">
      <c r="C20" s="166"/>
      <c r="D20" s="166"/>
      <c r="E20" s="183"/>
      <c r="F20" s="106"/>
      <c r="G20" s="106"/>
      <c r="H20" s="106"/>
      <c r="I20" s="165"/>
      <c r="J20" s="183"/>
      <c r="K20" s="106"/>
      <c r="L20" s="183"/>
      <c r="M20" s="106"/>
    </row>
    <row r="21" spans="2:14" x14ac:dyDescent="0.25">
      <c r="C21" s="166"/>
      <c r="D21" s="166"/>
      <c r="E21" s="183"/>
      <c r="F21" s="106"/>
      <c r="G21" s="106"/>
      <c r="H21" s="106"/>
      <c r="I21" s="106"/>
      <c r="J21" s="106"/>
      <c r="K21" s="106"/>
      <c r="L21" s="183"/>
      <c r="M21" s="106"/>
    </row>
    <row r="22" spans="2:14" x14ac:dyDescent="0.25">
      <c r="C22" s="166"/>
      <c r="D22" s="166"/>
      <c r="E22" s="183"/>
      <c r="F22" s="106"/>
      <c r="G22" s="106"/>
      <c r="H22" s="183"/>
      <c r="I22" s="106"/>
      <c r="J22" s="183"/>
      <c r="K22" s="106"/>
      <c r="L22" s="183"/>
      <c r="M22" s="106"/>
    </row>
    <row r="23" spans="2:14" s="174" customFormat="1" ht="7.5" customHeight="1" x14ac:dyDescent="0.25">
      <c r="E23" s="175"/>
      <c r="H23" s="175"/>
      <c r="J23" s="175"/>
      <c r="L23" s="175"/>
      <c r="N23" s="175"/>
    </row>
    <row r="24" spans="2:14" x14ac:dyDescent="0.25">
      <c r="E24" s="111">
        <f>AVERAGE(E6:E23)</f>
        <v>0</v>
      </c>
      <c r="H24" s="111" t="e">
        <f>AVERAGE(H6:H23)</f>
        <v>#DIV/0!</v>
      </c>
      <c r="J24" s="111" t="e">
        <f>AVERAGE(J6:J23)</f>
        <v>#DIV/0!</v>
      </c>
      <c r="K24" s="1" t="s">
        <v>499</v>
      </c>
      <c r="L24" s="111" t="e">
        <f>AVERAGE(L6:L23)</f>
        <v>#DIV/0!</v>
      </c>
    </row>
    <row r="25" spans="2:14" s="176" customFormat="1" ht="62.25" customHeight="1" x14ac:dyDescent="0.25">
      <c r="B25" s="176" t="s">
        <v>500</v>
      </c>
      <c r="C25" s="178"/>
      <c r="D25" s="178"/>
      <c r="E25" s="176" t="s">
        <v>500</v>
      </c>
      <c r="F25" s="178"/>
      <c r="G25" s="178"/>
      <c r="H25" s="176" t="s">
        <v>500</v>
      </c>
      <c r="I25" s="178"/>
      <c r="J25" s="176" t="s">
        <v>500</v>
      </c>
      <c r="K25" s="178"/>
      <c r="L25" s="176" t="s">
        <v>500</v>
      </c>
      <c r="M25" s="178"/>
      <c r="N25" s="177"/>
    </row>
    <row r="27" spans="2:14" x14ac:dyDescent="0.25">
      <c r="C27" s="179"/>
      <c r="D27" s="179"/>
      <c r="F27" s="179"/>
      <c r="G27" s="179"/>
      <c r="I27" s="179"/>
      <c r="K27" s="179"/>
      <c r="M27" s="179"/>
    </row>
    <row r="28" spans="2:14" x14ac:dyDescent="0.25">
      <c r="C28" s="64"/>
      <c r="D28" s="64"/>
    </row>
  </sheetData>
  <conditionalFormatting sqref="J26:J1048576 E26:E1048576 E1:E23 H26:H1048576 L26:L1048576 N25:N1048576 H22:H23 J22:J23 H1:H17 L1:L12 N1:N12 L20:L23 L14:L18 N20:N23 N14:N18 J1:J20">
    <cfRule type="colorScale" priority="8">
      <colorScale>
        <cfvo type="num" val="0"/>
        <cfvo type="num" val="0.5"/>
        <cfvo type="num" val="1"/>
        <color rgb="FFF8696B"/>
        <color rgb="FFFFEB84"/>
        <color rgb="FF63BE7B"/>
      </colorScale>
    </cfRule>
  </conditionalFormatting>
  <conditionalFormatting sqref="L13">
    <cfRule type="colorScale" priority="6">
      <colorScale>
        <cfvo type="num" val="0"/>
        <cfvo type="num" val="0.5"/>
        <cfvo type="num" val="1"/>
        <color rgb="FFF8696B"/>
        <color rgb="FFFFEB84"/>
        <color rgb="FF63BE7B"/>
      </colorScale>
    </cfRule>
  </conditionalFormatting>
  <conditionalFormatting sqref="N13">
    <cfRule type="colorScale" priority="5">
      <colorScale>
        <cfvo type="num" val="0"/>
        <cfvo type="num" val="0.5"/>
        <cfvo type="num" val="1"/>
        <color rgb="FFF8696B"/>
        <color rgb="FFFFEB84"/>
        <color rgb="FF63BE7B"/>
      </colorScale>
    </cfRule>
  </conditionalFormatting>
  <conditionalFormatting sqref="E24">
    <cfRule type="colorScale" priority="4">
      <colorScale>
        <cfvo type="num" val="0"/>
        <cfvo type="num" val="0.5"/>
        <cfvo type="num" val="1"/>
        <color rgb="FFF8696B"/>
        <color rgb="FFFFEB84"/>
        <color rgb="FF63BE7B"/>
      </colorScale>
    </cfRule>
  </conditionalFormatting>
  <conditionalFormatting sqref="H24">
    <cfRule type="colorScale" priority="3">
      <colorScale>
        <cfvo type="num" val="0"/>
        <cfvo type="num" val="0.5"/>
        <cfvo type="num" val="1"/>
        <color rgb="FFF8696B"/>
        <color rgb="FFFFEB84"/>
        <color rgb="FF63BE7B"/>
      </colorScale>
    </cfRule>
  </conditionalFormatting>
  <conditionalFormatting sqref="J24 L24 N24">
    <cfRule type="colorScale" priority="2">
      <colorScale>
        <cfvo type="num" val="0"/>
        <cfvo type="num" val="0.5"/>
        <cfvo type="num" val="1"/>
        <color rgb="FFF8696B"/>
        <color rgb="FFFFEB84"/>
        <color rgb="FF63BE7B"/>
      </colorScale>
    </cfRule>
  </conditionalFormatting>
  <conditionalFormatting sqref="H18">
    <cfRule type="colorScale" priority="1">
      <colorScale>
        <cfvo type="num" val="0"/>
        <cfvo type="num" val="0.5"/>
        <cfvo type="num" val="1"/>
        <color rgb="FFF8696B"/>
        <color rgb="FFFFEB84"/>
        <color rgb="FF63BE7B"/>
      </colorScale>
    </cfRule>
  </conditionalFormatting>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0000"/>
  </sheetPr>
  <dimension ref="A1:J344"/>
  <sheetViews>
    <sheetView topLeftCell="B4" zoomScale="115" zoomScaleNormal="115" workbookViewId="0">
      <selection activeCell="G10" sqref="G10:G11"/>
    </sheetView>
  </sheetViews>
  <sheetFormatPr defaultRowHeight="15" x14ac:dyDescent="0.25"/>
  <cols>
    <col min="1" max="1" width="22" style="66" customWidth="1"/>
    <col min="2" max="2" width="28.140625" style="69" customWidth="1"/>
    <col min="3" max="4" width="23.140625" style="73" bestFit="1" customWidth="1"/>
    <col min="5" max="5" width="24" style="73" customWidth="1"/>
    <col min="6" max="6" width="25" style="73" customWidth="1"/>
    <col min="7" max="7" width="24.7109375" style="73" customWidth="1"/>
    <col min="8" max="8" width="23" style="73" customWidth="1"/>
    <col min="9" max="9" width="23.42578125" style="73" bestFit="1" customWidth="1"/>
    <col min="10" max="10" width="45.42578125" style="185" customWidth="1"/>
  </cols>
  <sheetData>
    <row r="1" spans="1:10" x14ac:dyDescent="0.25">
      <c r="A1" s="68">
        <f ca="1">TODAY()</f>
        <v>43306</v>
      </c>
      <c r="B1" s="67"/>
      <c r="C1" s="67"/>
      <c r="D1" s="67"/>
      <c r="E1" s="67"/>
      <c r="F1" s="67" t="s">
        <v>280</v>
      </c>
      <c r="G1" s="186" t="s">
        <v>280</v>
      </c>
      <c r="H1" s="67"/>
      <c r="I1" s="67"/>
    </row>
    <row r="2" spans="1:10" ht="15.75" x14ac:dyDescent="0.25">
      <c r="A2" s="95">
        <f ca="1">NOW()</f>
        <v>43306.455487500003</v>
      </c>
      <c r="B2" s="97">
        <v>43157</v>
      </c>
      <c r="C2" s="96">
        <v>-3</v>
      </c>
      <c r="D2" s="96">
        <v>-2</v>
      </c>
      <c r="E2" s="96">
        <v>-1</v>
      </c>
      <c r="F2" s="96">
        <v>0</v>
      </c>
      <c r="G2" s="96">
        <v>1</v>
      </c>
      <c r="H2" s="96">
        <v>2</v>
      </c>
      <c r="I2" s="96">
        <v>3</v>
      </c>
    </row>
    <row r="3" spans="1:10" x14ac:dyDescent="0.25">
      <c r="A3" s="170">
        <f ca="1">HOUR(A2)</f>
        <v>10</v>
      </c>
      <c r="B3" s="124"/>
      <c r="C3" s="187">
        <f t="shared" ref="C3:I3" ca="1" si="0">C4</f>
        <v>43303</v>
      </c>
      <c r="D3" s="187">
        <f t="shared" ca="1" si="0"/>
        <v>43304</v>
      </c>
      <c r="E3" s="187">
        <f t="shared" ca="1" si="0"/>
        <v>43305</v>
      </c>
      <c r="F3" s="187">
        <f t="shared" ca="1" si="0"/>
        <v>43306</v>
      </c>
      <c r="G3" s="187">
        <f t="shared" ca="1" si="0"/>
        <v>43307</v>
      </c>
      <c r="H3" s="187">
        <f t="shared" ca="1" si="0"/>
        <v>43308</v>
      </c>
      <c r="I3" s="187">
        <f t="shared" ca="1" si="0"/>
        <v>43309</v>
      </c>
    </row>
    <row r="4" spans="1:10" ht="20.25" customHeight="1" x14ac:dyDescent="0.25">
      <c r="A4" s="70"/>
      <c r="B4" s="71"/>
      <c r="C4" s="72">
        <f t="shared" ref="C4:I4" ca="1" si="1">TODAY()+C2</f>
        <v>43303</v>
      </c>
      <c r="D4" s="72">
        <f t="shared" ca="1" si="1"/>
        <v>43304</v>
      </c>
      <c r="E4" s="72">
        <f t="shared" ca="1" si="1"/>
        <v>43305</v>
      </c>
      <c r="F4" s="72">
        <f t="shared" ca="1" si="1"/>
        <v>43306</v>
      </c>
      <c r="G4" s="72">
        <f t="shared" ca="1" si="1"/>
        <v>43307</v>
      </c>
      <c r="H4" s="72">
        <f t="shared" ca="1" si="1"/>
        <v>43308</v>
      </c>
      <c r="I4" s="72">
        <f t="shared" ca="1" si="1"/>
        <v>43309</v>
      </c>
      <c r="J4" s="190"/>
    </row>
    <row r="5" spans="1:10" ht="19.5" customHeight="1" x14ac:dyDescent="0.25">
      <c r="A5" s="169">
        <f ca="1">NOW()</f>
        <v>43306.455487500003</v>
      </c>
      <c r="B5" s="139" t="s">
        <v>334</v>
      </c>
      <c r="C5" s="140"/>
      <c r="D5" s="140"/>
      <c r="E5" s="140"/>
      <c r="F5" s="140"/>
      <c r="G5" s="140"/>
      <c r="H5" s="140"/>
      <c r="I5" s="140"/>
      <c r="J5" s="191" t="s">
        <v>586</v>
      </c>
    </row>
    <row r="6" spans="1:10" ht="67.5" customHeight="1" thickBot="1" x14ac:dyDescent="0.25">
      <c r="A6" s="141"/>
      <c r="B6" s="139" t="s">
        <v>488</v>
      </c>
      <c r="C6" s="201"/>
      <c r="D6" s="201"/>
      <c r="E6" s="201"/>
      <c r="F6" s="201" t="s">
        <v>594</v>
      </c>
      <c r="G6" s="201"/>
      <c r="H6" s="201"/>
      <c r="I6" s="202"/>
      <c r="J6" s="142" t="s">
        <v>593</v>
      </c>
    </row>
    <row r="7" spans="1:10" ht="15.75" thickTop="1" x14ac:dyDescent="0.25">
      <c r="A7" s="159">
        <f>HOUR(B7)</f>
        <v>0</v>
      </c>
      <c r="B7" s="160">
        <v>0</v>
      </c>
      <c r="C7" s="189"/>
      <c r="D7" s="189"/>
      <c r="E7" s="189"/>
      <c r="F7" s="168"/>
      <c r="G7" s="189"/>
      <c r="H7" s="189"/>
      <c r="I7" s="189"/>
      <c r="J7" s="192" t="s">
        <v>587</v>
      </c>
    </row>
    <row r="8" spans="1:10" x14ac:dyDescent="0.2">
      <c r="A8" s="159">
        <f>HOUR(B8)</f>
        <v>1</v>
      </c>
      <c r="B8" s="160">
        <v>4.1666666666666699E-2</v>
      </c>
      <c r="C8" s="189"/>
      <c r="D8" s="189"/>
      <c r="E8" s="189"/>
      <c r="F8" s="188"/>
      <c r="G8" s="189"/>
      <c r="H8" s="189"/>
      <c r="I8" s="189"/>
      <c r="J8" s="193" t="s">
        <v>588</v>
      </c>
    </row>
    <row r="9" spans="1:10" x14ac:dyDescent="0.2">
      <c r="A9" s="159">
        <f t="shared" ref="A9:A30" si="2">HOUR(B9)</f>
        <v>2</v>
      </c>
      <c r="B9" s="160">
        <v>8.3333333333333301E-2</v>
      </c>
      <c r="C9" s="189"/>
      <c r="D9" s="189"/>
      <c r="E9" s="189"/>
      <c r="F9" s="184"/>
      <c r="G9" s="189"/>
      <c r="H9" s="189"/>
      <c r="I9" s="189"/>
      <c r="J9" s="194" t="s">
        <v>589</v>
      </c>
    </row>
    <row r="10" spans="1:10" x14ac:dyDescent="0.2">
      <c r="A10" s="159">
        <f t="shared" si="2"/>
        <v>3</v>
      </c>
      <c r="B10" s="160">
        <v>0.125</v>
      </c>
      <c r="C10" s="168"/>
      <c r="D10" s="168"/>
      <c r="E10" s="168"/>
      <c r="F10" s="184"/>
      <c r="G10" s="203" t="s">
        <v>602</v>
      </c>
      <c r="H10" s="168"/>
      <c r="I10" s="168"/>
      <c r="J10" s="193" t="s">
        <v>590</v>
      </c>
    </row>
    <row r="11" spans="1:10" x14ac:dyDescent="0.2">
      <c r="A11" s="159">
        <f t="shared" si="2"/>
        <v>4</v>
      </c>
      <c r="B11" s="160">
        <v>0.16666666666666699</v>
      </c>
      <c r="C11" s="168"/>
      <c r="D11" s="168"/>
      <c r="E11" s="168"/>
      <c r="F11" s="184"/>
      <c r="G11" s="203" t="s">
        <v>602</v>
      </c>
      <c r="H11" s="168"/>
      <c r="I11" s="168"/>
      <c r="J11" s="193" t="s">
        <v>591</v>
      </c>
    </row>
    <row r="12" spans="1:10" x14ac:dyDescent="0.2">
      <c r="A12" s="159">
        <f t="shared" si="2"/>
        <v>5</v>
      </c>
      <c r="B12" s="160">
        <v>0.20833333333333301</v>
      </c>
      <c r="C12" s="168"/>
      <c r="D12" s="168"/>
      <c r="E12" s="168"/>
      <c r="F12" s="184"/>
      <c r="G12" s="168"/>
      <c r="H12" s="168"/>
      <c r="I12" s="168"/>
      <c r="J12" s="194" t="s">
        <v>595</v>
      </c>
    </row>
    <row r="13" spans="1:10" x14ac:dyDescent="0.25">
      <c r="A13" s="159">
        <f t="shared" si="2"/>
        <v>6</v>
      </c>
      <c r="B13" s="160">
        <v>0.25</v>
      </c>
      <c r="C13" s="168"/>
      <c r="D13" s="168"/>
      <c r="E13" s="168"/>
      <c r="F13" s="204"/>
      <c r="G13" s="168" t="s">
        <v>598</v>
      </c>
      <c r="H13" s="168"/>
      <c r="I13" s="168"/>
      <c r="J13" s="195"/>
    </row>
    <row r="14" spans="1:10" x14ac:dyDescent="0.25">
      <c r="A14" s="159">
        <f t="shared" si="2"/>
        <v>7</v>
      </c>
      <c r="B14" s="160">
        <v>0.29166666666666702</v>
      </c>
      <c r="C14" s="168"/>
      <c r="D14" s="168"/>
      <c r="E14" s="168"/>
      <c r="F14" s="204"/>
      <c r="G14" s="168" t="s">
        <v>598</v>
      </c>
      <c r="H14" s="168"/>
      <c r="I14" s="168"/>
      <c r="J14" s="195"/>
    </row>
    <row r="15" spans="1:10" x14ac:dyDescent="0.25">
      <c r="A15" s="159">
        <f t="shared" si="2"/>
        <v>8</v>
      </c>
      <c r="B15" s="160">
        <v>0.33333333333333298</v>
      </c>
      <c r="C15" s="168"/>
      <c r="D15" s="168"/>
      <c r="E15" s="168"/>
      <c r="F15" s="204"/>
      <c r="G15" s="168"/>
      <c r="H15" s="168"/>
      <c r="I15" s="168"/>
      <c r="J15" s="195"/>
    </row>
    <row r="16" spans="1:10" ht="30" x14ac:dyDescent="0.25">
      <c r="A16" s="159">
        <f t="shared" si="2"/>
        <v>9</v>
      </c>
      <c r="B16" s="160">
        <v>0.375</v>
      </c>
      <c r="C16" s="168"/>
      <c r="D16" s="168"/>
      <c r="E16" s="168"/>
      <c r="F16" s="184"/>
      <c r="G16" s="168" t="s">
        <v>599</v>
      </c>
      <c r="H16" s="168"/>
      <c r="I16" s="168"/>
      <c r="J16" s="195"/>
    </row>
    <row r="17" spans="1:10" ht="30" x14ac:dyDescent="0.25">
      <c r="A17" s="159">
        <f t="shared" si="2"/>
        <v>10</v>
      </c>
      <c r="B17" s="160">
        <v>0.41666666666666702</v>
      </c>
      <c r="C17" s="168"/>
      <c r="D17" s="168"/>
      <c r="E17" s="168"/>
      <c r="F17" s="184"/>
      <c r="G17" s="168" t="s">
        <v>600</v>
      </c>
      <c r="H17" s="168"/>
      <c r="I17" s="168"/>
      <c r="J17" s="195"/>
    </row>
    <row r="18" spans="1:10" x14ac:dyDescent="0.25">
      <c r="A18" s="159">
        <f t="shared" si="2"/>
        <v>11</v>
      </c>
      <c r="B18" s="160">
        <v>0.45833333333333298</v>
      </c>
      <c r="C18" s="168"/>
      <c r="D18" s="168"/>
      <c r="E18" s="168"/>
      <c r="F18" s="184"/>
      <c r="G18" s="196"/>
      <c r="H18" s="168"/>
      <c r="I18" s="168"/>
      <c r="J18" s="195"/>
    </row>
    <row r="19" spans="1:10" x14ac:dyDescent="0.25">
      <c r="A19" s="159">
        <f t="shared" si="2"/>
        <v>12</v>
      </c>
      <c r="B19" s="160">
        <v>0.5</v>
      </c>
      <c r="C19" s="168"/>
      <c r="D19" s="168"/>
      <c r="E19" s="168"/>
      <c r="F19" s="184"/>
      <c r="G19" s="196"/>
      <c r="H19" s="168"/>
      <c r="I19" s="168"/>
      <c r="J19" s="195"/>
    </row>
    <row r="20" spans="1:10" x14ac:dyDescent="0.25">
      <c r="A20" s="159">
        <f t="shared" si="2"/>
        <v>13</v>
      </c>
      <c r="B20" s="160">
        <v>0.54166666666666696</v>
      </c>
      <c r="C20" s="168"/>
      <c r="D20" s="168"/>
      <c r="E20" s="168"/>
      <c r="F20" s="184"/>
      <c r="G20" s="168"/>
      <c r="H20" s="168"/>
      <c r="I20" s="168"/>
      <c r="J20" s="195"/>
    </row>
    <row r="21" spans="1:10" x14ac:dyDescent="0.25">
      <c r="A21" s="159">
        <f t="shared" si="2"/>
        <v>14</v>
      </c>
      <c r="B21" s="160">
        <v>0.58333333333333304</v>
      </c>
      <c r="C21" s="168"/>
      <c r="D21" s="168"/>
      <c r="E21" s="168"/>
      <c r="F21" s="180"/>
      <c r="G21" s="168"/>
      <c r="H21" s="168"/>
      <c r="I21" s="168"/>
      <c r="J21" s="195"/>
    </row>
    <row r="22" spans="1:10" x14ac:dyDescent="0.25">
      <c r="A22" s="159">
        <f t="shared" si="2"/>
        <v>15</v>
      </c>
      <c r="B22" s="160">
        <v>0.625</v>
      </c>
      <c r="C22" s="168"/>
      <c r="D22" s="168"/>
      <c r="E22" s="168"/>
      <c r="F22" s="203"/>
      <c r="G22" s="168"/>
      <c r="H22" s="168"/>
      <c r="I22" s="168"/>
      <c r="J22" s="195"/>
    </row>
    <row r="23" spans="1:10" x14ac:dyDescent="0.25">
      <c r="A23" s="159">
        <f t="shared" si="2"/>
        <v>16</v>
      </c>
      <c r="B23" s="160">
        <v>0.66666666666666696</v>
      </c>
      <c r="C23" s="168"/>
      <c r="D23" s="168"/>
      <c r="E23" s="168"/>
      <c r="F23" s="180" t="s">
        <v>601</v>
      </c>
      <c r="G23" s="168"/>
      <c r="H23" s="168"/>
      <c r="I23" s="168"/>
      <c r="J23" s="195"/>
    </row>
    <row r="24" spans="1:10" x14ac:dyDescent="0.25">
      <c r="A24" s="159">
        <f t="shared" si="2"/>
        <v>17</v>
      </c>
      <c r="B24" s="160">
        <v>0.70833333333333304</v>
      </c>
      <c r="C24" s="168"/>
      <c r="D24" s="168"/>
      <c r="E24" s="168"/>
      <c r="F24" s="180" t="s">
        <v>601</v>
      </c>
      <c r="G24" s="168"/>
      <c r="H24" s="168"/>
      <c r="I24" s="168"/>
      <c r="J24" s="195"/>
    </row>
    <row r="25" spans="1:10" ht="30" x14ac:dyDescent="0.25">
      <c r="A25" s="159">
        <f t="shared" si="2"/>
        <v>18</v>
      </c>
      <c r="B25" s="160">
        <v>0.75</v>
      </c>
      <c r="C25" s="168"/>
      <c r="D25" s="168"/>
      <c r="E25" s="168"/>
      <c r="F25" s="205" t="s">
        <v>599</v>
      </c>
      <c r="G25" s="168"/>
      <c r="H25" s="168"/>
      <c r="I25" s="168"/>
      <c r="J25" s="195"/>
    </row>
    <row r="26" spans="1:10" x14ac:dyDescent="0.25">
      <c r="A26" s="159">
        <f t="shared" si="2"/>
        <v>19</v>
      </c>
      <c r="B26" s="160">
        <v>0.79166666666666696</v>
      </c>
      <c r="C26" s="168"/>
      <c r="D26" s="168"/>
      <c r="E26" s="168"/>
      <c r="F26" s="180" t="s">
        <v>603</v>
      </c>
      <c r="G26" s="168"/>
      <c r="H26" s="168"/>
      <c r="I26" s="168"/>
      <c r="J26" s="195"/>
    </row>
    <row r="27" spans="1:10" x14ac:dyDescent="0.25">
      <c r="A27" s="159">
        <f t="shared" si="2"/>
        <v>20</v>
      </c>
      <c r="B27" s="160">
        <v>0.83333333333333304</v>
      </c>
      <c r="C27" s="168"/>
      <c r="D27" s="168"/>
      <c r="E27" s="168"/>
      <c r="F27" s="205" t="s">
        <v>600</v>
      </c>
      <c r="G27" s="168"/>
      <c r="H27" s="168"/>
      <c r="I27" s="168"/>
      <c r="J27" s="195"/>
    </row>
    <row r="28" spans="1:10" x14ac:dyDescent="0.25">
      <c r="A28" s="159">
        <f t="shared" si="2"/>
        <v>21</v>
      </c>
      <c r="B28" s="160">
        <v>0.875</v>
      </c>
      <c r="C28" s="168"/>
      <c r="D28" s="168"/>
      <c r="E28" s="168"/>
      <c r="F28" s="203" t="s">
        <v>602</v>
      </c>
      <c r="G28" s="168"/>
      <c r="H28" s="168"/>
      <c r="I28" s="168"/>
      <c r="J28" s="195"/>
    </row>
    <row r="29" spans="1:10" x14ac:dyDescent="0.25">
      <c r="A29" s="159">
        <f t="shared" si="2"/>
        <v>22</v>
      </c>
      <c r="B29" s="160">
        <v>0.91666666666666696</v>
      </c>
      <c r="C29" s="189"/>
      <c r="D29" s="189"/>
      <c r="E29" s="189"/>
      <c r="F29" s="203"/>
      <c r="G29" s="189"/>
      <c r="H29" s="189"/>
      <c r="I29" s="189"/>
      <c r="J29" s="195"/>
    </row>
    <row r="30" spans="1:10" ht="47.25" customHeight="1" x14ac:dyDescent="0.25">
      <c r="A30" s="159">
        <f t="shared" si="2"/>
        <v>23</v>
      </c>
      <c r="B30" s="160">
        <v>0.95833333333333304</v>
      </c>
      <c r="C30" s="189"/>
      <c r="D30" s="189"/>
      <c r="E30" s="189"/>
      <c r="F30" s="189"/>
      <c r="G30" s="189"/>
      <c r="H30" s="189"/>
      <c r="I30" s="189"/>
      <c r="J30" s="195"/>
    </row>
    <row r="31" spans="1:10" ht="39" customHeight="1" x14ac:dyDescent="0.25">
      <c r="A31" s="75"/>
      <c r="B31" s="144" t="s">
        <v>340</v>
      </c>
      <c r="C31" s="181">
        <f t="shared" ref="C31:I31" si="3">SUM(C7:C30)</f>
        <v>0</v>
      </c>
      <c r="D31" s="181">
        <f t="shared" si="3"/>
        <v>0</v>
      </c>
      <c r="E31" s="181">
        <f t="shared" si="3"/>
        <v>0</v>
      </c>
      <c r="F31" s="181">
        <f t="shared" si="3"/>
        <v>0</v>
      </c>
      <c r="G31" s="181">
        <f t="shared" si="3"/>
        <v>0</v>
      </c>
      <c r="H31" s="181">
        <f t="shared" si="3"/>
        <v>0</v>
      </c>
      <c r="I31" s="181">
        <f t="shared" si="3"/>
        <v>0</v>
      </c>
      <c r="J31" s="199">
        <f>SUM(C31:I31)</f>
        <v>0</v>
      </c>
    </row>
    <row r="32" spans="1:10" ht="39.75" customHeight="1" thickBot="1" x14ac:dyDescent="0.3">
      <c r="A32" s="197"/>
      <c r="B32" s="198"/>
      <c r="C32" s="198"/>
      <c r="D32" s="198"/>
      <c r="E32" s="198"/>
      <c r="F32" s="198"/>
      <c r="G32" s="198"/>
      <c r="H32" s="198"/>
      <c r="I32" s="198"/>
      <c r="J32" s="200" t="s">
        <v>592</v>
      </c>
    </row>
    <row r="33" spans="10:10" ht="15.75" thickTop="1" x14ac:dyDescent="0.25">
      <c r="J33" s="196"/>
    </row>
    <row r="34" spans="10:10" x14ac:dyDescent="0.25">
      <c r="J34" s="196"/>
    </row>
    <row r="35" spans="10:10" x14ac:dyDescent="0.25">
      <c r="J35" s="196"/>
    </row>
    <row r="36" spans="10:10" x14ac:dyDescent="0.25">
      <c r="J36" s="196"/>
    </row>
    <row r="37" spans="10:10" x14ac:dyDescent="0.25">
      <c r="J37" s="196"/>
    </row>
    <row r="38" spans="10:10" x14ac:dyDescent="0.25">
      <c r="J38" s="196"/>
    </row>
    <row r="39" spans="10:10" x14ac:dyDescent="0.25">
      <c r="J39" s="196"/>
    </row>
    <row r="40" spans="10:10" x14ac:dyDescent="0.25">
      <c r="J40" s="196"/>
    </row>
    <row r="41" spans="10:10" x14ac:dyDescent="0.25">
      <c r="J41" s="196"/>
    </row>
    <row r="42" spans="10:10" x14ac:dyDescent="0.25">
      <c r="J42" s="196"/>
    </row>
    <row r="43" spans="10:10" x14ac:dyDescent="0.25">
      <c r="J43" s="196"/>
    </row>
    <row r="44" spans="10:10" x14ac:dyDescent="0.25">
      <c r="J44" s="196"/>
    </row>
    <row r="45" spans="10:10" x14ac:dyDescent="0.25">
      <c r="J45" s="196"/>
    </row>
    <row r="46" spans="10:10" x14ac:dyDescent="0.25">
      <c r="J46" s="196"/>
    </row>
    <row r="47" spans="10:10" x14ac:dyDescent="0.25">
      <c r="J47" s="196"/>
    </row>
    <row r="48" spans="10:10" x14ac:dyDescent="0.25">
      <c r="J48" s="196"/>
    </row>
    <row r="49" spans="10:10" x14ac:dyDescent="0.25">
      <c r="J49" s="196"/>
    </row>
    <row r="50" spans="10:10" x14ac:dyDescent="0.25">
      <c r="J50" s="196"/>
    </row>
    <row r="51" spans="10:10" x14ac:dyDescent="0.25">
      <c r="J51" s="196"/>
    </row>
    <row r="52" spans="10:10" x14ac:dyDescent="0.25">
      <c r="J52" s="196"/>
    </row>
    <row r="53" spans="10:10" x14ac:dyDescent="0.25">
      <c r="J53" s="196"/>
    </row>
    <row r="54" spans="10:10" x14ac:dyDescent="0.25">
      <c r="J54" s="196"/>
    </row>
    <row r="55" spans="10:10" x14ac:dyDescent="0.25">
      <c r="J55" s="196"/>
    </row>
    <row r="56" spans="10:10" x14ac:dyDescent="0.25">
      <c r="J56" s="196"/>
    </row>
    <row r="57" spans="10:10" x14ac:dyDescent="0.25">
      <c r="J57" s="196"/>
    </row>
    <row r="58" spans="10:10" x14ac:dyDescent="0.25">
      <c r="J58" s="196"/>
    </row>
    <row r="59" spans="10:10" x14ac:dyDescent="0.25">
      <c r="J59" s="196"/>
    </row>
    <row r="60" spans="10:10" x14ac:dyDescent="0.25">
      <c r="J60" s="196"/>
    </row>
    <row r="61" spans="10:10" x14ac:dyDescent="0.25">
      <c r="J61" s="196"/>
    </row>
    <row r="62" spans="10:10" x14ac:dyDescent="0.25">
      <c r="J62" s="196"/>
    </row>
    <row r="63" spans="10:10" x14ac:dyDescent="0.25">
      <c r="J63" s="196"/>
    </row>
    <row r="64" spans="10:10" x14ac:dyDescent="0.25">
      <c r="J64" s="196"/>
    </row>
    <row r="65" spans="10:10" x14ac:dyDescent="0.25">
      <c r="J65" s="196"/>
    </row>
    <row r="66" spans="10:10" x14ac:dyDescent="0.25">
      <c r="J66" s="196"/>
    </row>
    <row r="67" spans="10:10" x14ac:dyDescent="0.25">
      <c r="J67" s="196"/>
    </row>
    <row r="68" spans="10:10" x14ac:dyDescent="0.25">
      <c r="J68" s="196"/>
    </row>
    <row r="69" spans="10:10" x14ac:dyDescent="0.25">
      <c r="J69" s="196"/>
    </row>
    <row r="70" spans="10:10" x14ac:dyDescent="0.25">
      <c r="J70" s="196"/>
    </row>
    <row r="71" spans="10:10" x14ac:dyDescent="0.25">
      <c r="J71" s="196"/>
    </row>
    <row r="72" spans="10:10" x14ac:dyDescent="0.25">
      <c r="J72" s="196"/>
    </row>
    <row r="73" spans="10:10" x14ac:dyDescent="0.25">
      <c r="J73" s="196"/>
    </row>
    <row r="74" spans="10:10" x14ac:dyDescent="0.25">
      <c r="J74" s="196"/>
    </row>
    <row r="75" spans="10:10" x14ac:dyDescent="0.25">
      <c r="J75" s="196"/>
    </row>
    <row r="76" spans="10:10" x14ac:dyDescent="0.25">
      <c r="J76" s="196"/>
    </row>
    <row r="77" spans="10:10" x14ac:dyDescent="0.25">
      <c r="J77" s="196"/>
    </row>
    <row r="78" spans="10:10" x14ac:dyDescent="0.25">
      <c r="J78" s="196"/>
    </row>
    <row r="79" spans="10:10" x14ac:dyDescent="0.25">
      <c r="J79" s="196"/>
    </row>
    <row r="80" spans="10:10" x14ac:dyDescent="0.25">
      <c r="J80" s="196"/>
    </row>
    <row r="81" spans="10:10" x14ac:dyDescent="0.25">
      <c r="J81" s="196"/>
    </row>
    <row r="82" spans="10:10" x14ac:dyDescent="0.25">
      <c r="J82" s="196"/>
    </row>
    <row r="83" spans="10:10" x14ac:dyDescent="0.25">
      <c r="J83" s="196"/>
    </row>
    <row r="84" spans="10:10" x14ac:dyDescent="0.25">
      <c r="J84" s="196"/>
    </row>
    <row r="85" spans="10:10" x14ac:dyDescent="0.25">
      <c r="J85" s="196"/>
    </row>
    <row r="86" spans="10:10" x14ac:dyDescent="0.25">
      <c r="J86" s="196"/>
    </row>
    <row r="87" spans="10:10" x14ac:dyDescent="0.25">
      <c r="J87" s="196"/>
    </row>
    <row r="88" spans="10:10" x14ac:dyDescent="0.25">
      <c r="J88" s="196"/>
    </row>
    <row r="89" spans="10:10" x14ac:dyDescent="0.25">
      <c r="J89" s="196"/>
    </row>
    <row r="90" spans="10:10" x14ac:dyDescent="0.25">
      <c r="J90" s="196"/>
    </row>
    <row r="91" spans="10:10" x14ac:dyDescent="0.25">
      <c r="J91" s="196"/>
    </row>
    <row r="92" spans="10:10" x14ac:dyDescent="0.25">
      <c r="J92" s="196"/>
    </row>
    <row r="93" spans="10:10" x14ac:dyDescent="0.25">
      <c r="J93" s="196"/>
    </row>
    <row r="94" spans="10:10" x14ac:dyDescent="0.25">
      <c r="J94" s="196"/>
    </row>
    <row r="95" spans="10:10" x14ac:dyDescent="0.25">
      <c r="J95" s="196"/>
    </row>
    <row r="96" spans="10:10" x14ac:dyDescent="0.25">
      <c r="J96" s="196"/>
    </row>
    <row r="97" spans="10:10" x14ac:dyDescent="0.25">
      <c r="J97" s="196"/>
    </row>
    <row r="98" spans="10:10" x14ac:dyDescent="0.25">
      <c r="J98" s="196"/>
    </row>
    <row r="99" spans="10:10" x14ac:dyDescent="0.25">
      <c r="J99" s="196"/>
    </row>
    <row r="100" spans="10:10" x14ac:dyDescent="0.25">
      <c r="J100" s="196"/>
    </row>
    <row r="101" spans="10:10" x14ac:dyDescent="0.25">
      <c r="J101" s="196"/>
    </row>
    <row r="102" spans="10:10" x14ac:dyDescent="0.25">
      <c r="J102" s="196"/>
    </row>
    <row r="103" spans="10:10" x14ac:dyDescent="0.25">
      <c r="J103" s="196"/>
    </row>
    <row r="104" spans="10:10" x14ac:dyDescent="0.25">
      <c r="J104" s="196"/>
    </row>
    <row r="105" spans="10:10" x14ac:dyDescent="0.25">
      <c r="J105" s="196"/>
    </row>
    <row r="106" spans="10:10" x14ac:dyDescent="0.25">
      <c r="J106" s="196"/>
    </row>
    <row r="107" spans="10:10" x14ac:dyDescent="0.25">
      <c r="J107" s="196"/>
    </row>
    <row r="108" spans="10:10" x14ac:dyDescent="0.25">
      <c r="J108" s="196"/>
    </row>
    <row r="109" spans="10:10" x14ac:dyDescent="0.25">
      <c r="J109" s="196"/>
    </row>
    <row r="110" spans="10:10" x14ac:dyDescent="0.25">
      <c r="J110" s="196"/>
    </row>
    <row r="111" spans="10:10" x14ac:dyDescent="0.25">
      <c r="J111" s="196"/>
    </row>
    <row r="112" spans="10:10" x14ac:dyDescent="0.25">
      <c r="J112" s="196"/>
    </row>
    <row r="113" spans="10:10" x14ac:dyDescent="0.25">
      <c r="J113" s="196"/>
    </row>
    <row r="114" spans="10:10" x14ac:dyDescent="0.25">
      <c r="J114" s="196"/>
    </row>
    <row r="115" spans="10:10" x14ac:dyDescent="0.25">
      <c r="J115" s="196"/>
    </row>
    <row r="116" spans="10:10" x14ac:dyDescent="0.25">
      <c r="J116" s="196"/>
    </row>
    <row r="117" spans="10:10" x14ac:dyDescent="0.25">
      <c r="J117" s="196"/>
    </row>
    <row r="118" spans="10:10" x14ac:dyDescent="0.25">
      <c r="J118" s="196"/>
    </row>
    <row r="119" spans="10:10" x14ac:dyDescent="0.25">
      <c r="J119" s="196"/>
    </row>
    <row r="120" spans="10:10" x14ac:dyDescent="0.25">
      <c r="J120" s="196"/>
    </row>
    <row r="121" spans="10:10" x14ac:dyDescent="0.25">
      <c r="J121" s="196"/>
    </row>
    <row r="122" spans="10:10" x14ac:dyDescent="0.25">
      <c r="J122" s="196"/>
    </row>
    <row r="123" spans="10:10" x14ac:dyDescent="0.25">
      <c r="J123" s="196"/>
    </row>
    <row r="124" spans="10:10" x14ac:dyDescent="0.25">
      <c r="J124" s="196"/>
    </row>
    <row r="125" spans="10:10" x14ac:dyDescent="0.25">
      <c r="J125" s="196"/>
    </row>
    <row r="126" spans="10:10" x14ac:dyDescent="0.25">
      <c r="J126" s="196"/>
    </row>
    <row r="127" spans="10:10" x14ac:dyDescent="0.25">
      <c r="J127" s="196"/>
    </row>
    <row r="128" spans="10:10" x14ac:dyDescent="0.25">
      <c r="J128" s="196"/>
    </row>
    <row r="129" spans="10:10" x14ac:dyDescent="0.25">
      <c r="J129" s="196"/>
    </row>
    <row r="130" spans="10:10" x14ac:dyDescent="0.25">
      <c r="J130" s="196"/>
    </row>
    <row r="131" spans="10:10" x14ac:dyDescent="0.25">
      <c r="J131" s="196"/>
    </row>
    <row r="132" spans="10:10" x14ac:dyDescent="0.25">
      <c r="J132" s="196"/>
    </row>
    <row r="133" spans="10:10" x14ac:dyDescent="0.25">
      <c r="J133" s="196"/>
    </row>
    <row r="134" spans="10:10" x14ac:dyDescent="0.25">
      <c r="J134" s="196"/>
    </row>
    <row r="135" spans="10:10" x14ac:dyDescent="0.25">
      <c r="J135" s="196"/>
    </row>
    <row r="136" spans="10:10" x14ac:dyDescent="0.25">
      <c r="J136" s="196"/>
    </row>
    <row r="137" spans="10:10" x14ac:dyDescent="0.25">
      <c r="J137" s="196"/>
    </row>
    <row r="138" spans="10:10" x14ac:dyDescent="0.25">
      <c r="J138" s="196"/>
    </row>
    <row r="139" spans="10:10" x14ac:dyDescent="0.25">
      <c r="J139" s="196"/>
    </row>
    <row r="140" spans="10:10" x14ac:dyDescent="0.25">
      <c r="J140" s="196"/>
    </row>
    <row r="141" spans="10:10" x14ac:dyDescent="0.25">
      <c r="J141" s="196"/>
    </row>
    <row r="142" spans="10:10" x14ac:dyDescent="0.25">
      <c r="J142" s="196"/>
    </row>
    <row r="143" spans="10:10" x14ac:dyDescent="0.25">
      <c r="J143" s="196"/>
    </row>
    <row r="144" spans="10:10" x14ac:dyDescent="0.25">
      <c r="J144" s="196"/>
    </row>
    <row r="145" spans="10:10" x14ac:dyDescent="0.25">
      <c r="J145" s="196"/>
    </row>
    <row r="146" spans="10:10" x14ac:dyDescent="0.25">
      <c r="J146" s="196"/>
    </row>
    <row r="147" spans="10:10" x14ac:dyDescent="0.25">
      <c r="J147" s="196"/>
    </row>
    <row r="148" spans="10:10" x14ac:dyDescent="0.25">
      <c r="J148" s="196"/>
    </row>
    <row r="149" spans="10:10" x14ac:dyDescent="0.25">
      <c r="J149" s="196"/>
    </row>
    <row r="150" spans="10:10" x14ac:dyDescent="0.25">
      <c r="J150" s="196"/>
    </row>
    <row r="151" spans="10:10" x14ac:dyDescent="0.25">
      <c r="J151" s="196"/>
    </row>
    <row r="152" spans="10:10" x14ac:dyDescent="0.25">
      <c r="J152" s="196"/>
    </row>
    <row r="153" spans="10:10" x14ac:dyDescent="0.25">
      <c r="J153" s="196"/>
    </row>
    <row r="154" spans="10:10" x14ac:dyDescent="0.25">
      <c r="J154" s="196"/>
    </row>
    <row r="155" spans="10:10" x14ac:dyDescent="0.25">
      <c r="J155" s="196"/>
    </row>
    <row r="156" spans="10:10" x14ac:dyDescent="0.25">
      <c r="J156" s="196"/>
    </row>
    <row r="157" spans="10:10" x14ac:dyDescent="0.25">
      <c r="J157" s="196"/>
    </row>
    <row r="158" spans="10:10" x14ac:dyDescent="0.25">
      <c r="J158" s="196"/>
    </row>
    <row r="159" spans="10:10" x14ac:dyDescent="0.25">
      <c r="J159" s="196"/>
    </row>
    <row r="160" spans="10:10" x14ac:dyDescent="0.25">
      <c r="J160" s="196"/>
    </row>
    <row r="161" spans="10:10" x14ac:dyDescent="0.25">
      <c r="J161" s="196"/>
    </row>
    <row r="162" spans="10:10" x14ac:dyDescent="0.25">
      <c r="J162" s="196"/>
    </row>
    <row r="163" spans="10:10" x14ac:dyDescent="0.25">
      <c r="J163" s="196"/>
    </row>
    <row r="164" spans="10:10" x14ac:dyDescent="0.25">
      <c r="J164" s="196"/>
    </row>
    <row r="165" spans="10:10" x14ac:dyDescent="0.25">
      <c r="J165" s="196"/>
    </row>
    <row r="166" spans="10:10" x14ac:dyDescent="0.25">
      <c r="J166" s="196"/>
    </row>
    <row r="167" spans="10:10" x14ac:dyDescent="0.25">
      <c r="J167" s="196"/>
    </row>
    <row r="168" spans="10:10" x14ac:dyDescent="0.25">
      <c r="J168" s="196"/>
    </row>
    <row r="169" spans="10:10" x14ac:dyDescent="0.25">
      <c r="J169" s="196"/>
    </row>
    <row r="170" spans="10:10" x14ac:dyDescent="0.25">
      <c r="J170" s="196"/>
    </row>
    <row r="171" spans="10:10" x14ac:dyDescent="0.25">
      <c r="J171" s="196"/>
    </row>
    <row r="172" spans="10:10" x14ac:dyDescent="0.25">
      <c r="J172" s="196"/>
    </row>
    <row r="173" spans="10:10" x14ac:dyDescent="0.25">
      <c r="J173" s="196"/>
    </row>
    <row r="174" spans="10:10" x14ac:dyDescent="0.25">
      <c r="J174" s="196"/>
    </row>
    <row r="175" spans="10:10" x14ac:dyDescent="0.25">
      <c r="J175" s="196"/>
    </row>
    <row r="176" spans="10:10" x14ac:dyDescent="0.25">
      <c r="J176" s="196"/>
    </row>
    <row r="177" spans="10:10" x14ac:dyDescent="0.25">
      <c r="J177" s="196"/>
    </row>
    <row r="178" spans="10:10" x14ac:dyDescent="0.25">
      <c r="J178" s="196"/>
    </row>
    <row r="179" spans="10:10" x14ac:dyDescent="0.25">
      <c r="J179" s="196"/>
    </row>
    <row r="180" spans="10:10" x14ac:dyDescent="0.25">
      <c r="J180" s="196"/>
    </row>
    <row r="181" spans="10:10" x14ac:dyDescent="0.25">
      <c r="J181" s="196"/>
    </row>
    <row r="182" spans="10:10" x14ac:dyDescent="0.25">
      <c r="J182" s="196"/>
    </row>
    <row r="183" spans="10:10" x14ac:dyDescent="0.25">
      <c r="J183" s="196"/>
    </row>
    <row r="184" spans="10:10" x14ac:dyDescent="0.25">
      <c r="J184" s="196"/>
    </row>
    <row r="185" spans="10:10" x14ac:dyDescent="0.25">
      <c r="J185" s="196"/>
    </row>
    <row r="186" spans="10:10" x14ac:dyDescent="0.25">
      <c r="J186" s="196"/>
    </row>
    <row r="187" spans="10:10" x14ac:dyDescent="0.25">
      <c r="J187" s="196"/>
    </row>
    <row r="188" spans="10:10" x14ac:dyDescent="0.25">
      <c r="J188" s="196"/>
    </row>
    <row r="189" spans="10:10" x14ac:dyDescent="0.25">
      <c r="J189" s="196"/>
    </row>
    <row r="190" spans="10:10" x14ac:dyDescent="0.25">
      <c r="J190" s="196"/>
    </row>
    <row r="191" spans="10:10" x14ac:dyDescent="0.25">
      <c r="J191" s="196"/>
    </row>
    <row r="192" spans="10:10" x14ac:dyDescent="0.25">
      <c r="J192" s="196"/>
    </row>
    <row r="193" spans="10:10" x14ac:dyDescent="0.25">
      <c r="J193" s="196"/>
    </row>
    <row r="194" spans="10:10" x14ac:dyDescent="0.25">
      <c r="J194" s="196"/>
    </row>
    <row r="195" spans="10:10" x14ac:dyDescent="0.25">
      <c r="J195" s="196"/>
    </row>
    <row r="196" spans="10:10" x14ac:dyDescent="0.25">
      <c r="J196" s="196"/>
    </row>
    <row r="197" spans="10:10" x14ac:dyDescent="0.25">
      <c r="J197" s="196"/>
    </row>
    <row r="198" spans="10:10" x14ac:dyDescent="0.25">
      <c r="J198" s="196"/>
    </row>
    <row r="199" spans="10:10" x14ac:dyDescent="0.25">
      <c r="J199" s="196"/>
    </row>
    <row r="200" spans="10:10" x14ac:dyDescent="0.25">
      <c r="J200" s="196"/>
    </row>
    <row r="201" spans="10:10" x14ac:dyDescent="0.25">
      <c r="J201" s="196"/>
    </row>
    <row r="202" spans="10:10" x14ac:dyDescent="0.25">
      <c r="J202" s="196"/>
    </row>
    <row r="203" spans="10:10" x14ac:dyDescent="0.25">
      <c r="J203" s="196"/>
    </row>
    <row r="204" spans="10:10" x14ac:dyDescent="0.25">
      <c r="J204" s="196"/>
    </row>
    <row r="205" spans="10:10" x14ac:dyDescent="0.25">
      <c r="J205" s="196"/>
    </row>
    <row r="206" spans="10:10" x14ac:dyDescent="0.25">
      <c r="J206" s="196"/>
    </row>
    <row r="207" spans="10:10" x14ac:dyDescent="0.25">
      <c r="J207" s="196"/>
    </row>
    <row r="208" spans="10:10" x14ac:dyDescent="0.25">
      <c r="J208" s="196"/>
    </row>
    <row r="209" spans="10:10" x14ac:dyDescent="0.25">
      <c r="J209" s="196"/>
    </row>
    <row r="210" spans="10:10" x14ac:dyDescent="0.25">
      <c r="J210" s="196"/>
    </row>
    <row r="211" spans="10:10" x14ac:dyDescent="0.25">
      <c r="J211" s="196"/>
    </row>
    <row r="212" spans="10:10" x14ac:dyDescent="0.25">
      <c r="J212" s="196"/>
    </row>
    <row r="213" spans="10:10" x14ac:dyDescent="0.25">
      <c r="J213" s="196"/>
    </row>
    <row r="214" spans="10:10" x14ac:dyDescent="0.25">
      <c r="J214" s="196"/>
    </row>
    <row r="215" spans="10:10" x14ac:dyDescent="0.25">
      <c r="J215" s="196"/>
    </row>
    <row r="216" spans="10:10" x14ac:dyDescent="0.25">
      <c r="J216" s="196"/>
    </row>
    <row r="217" spans="10:10" x14ac:dyDescent="0.25">
      <c r="J217" s="196"/>
    </row>
    <row r="218" spans="10:10" x14ac:dyDescent="0.25">
      <c r="J218" s="196"/>
    </row>
    <row r="219" spans="10:10" x14ac:dyDescent="0.25">
      <c r="J219" s="196"/>
    </row>
    <row r="220" spans="10:10" x14ac:dyDescent="0.25">
      <c r="J220" s="196"/>
    </row>
    <row r="221" spans="10:10" x14ac:dyDescent="0.25">
      <c r="J221" s="196"/>
    </row>
    <row r="222" spans="10:10" x14ac:dyDescent="0.25">
      <c r="J222" s="196"/>
    </row>
    <row r="223" spans="10:10" x14ac:dyDescent="0.25">
      <c r="J223" s="196"/>
    </row>
    <row r="224" spans="10:10" x14ac:dyDescent="0.25">
      <c r="J224" s="196"/>
    </row>
    <row r="225" spans="10:10" x14ac:dyDescent="0.25">
      <c r="J225" s="196"/>
    </row>
    <row r="226" spans="10:10" x14ac:dyDescent="0.25">
      <c r="J226" s="196"/>
    </row>
    <row r="227" spans="10:10" x14ac:dyDescent="0.25">
      <c r="J227" s="196"/>
    </row>
    <row r="228" spans="10:10" x14ac:dyDescent="0.25">
      <c r="J228" s="196"/>
    </row>
    <row r="229" spans="10:10" x14ac:dyDescent="0.25">
      <c r="J229" s="196"/>
    </row>
    <row r="230" spans="10:10" x14ac:dyDescent="0.25">
      <c r="J230" s="196"/>
    </row>
    <row r="231" spans="10:10" x14ac:dyDescent="0.25">
      <c r="J231" s="196"/>
    </row>
    <row r="232" spans="10:10" x14ac:dyDescent="0.25">
      <c r="J232" s="196"/>
    </row>
    <row r="233" spans="10:10" x14ac:dyDescent="0.25">
      <c r="J233" s="196"/>
    </row>
    <row r="234" spans="10:10" x14ac:dyDescent="0.25">
      <c r="J234" s="196"/>
    </row>
    <row r="235" spans="10:10" x14ac:dyDescent="0.25">
      <c r="J235" s="196"/>
    </row>
    <row r="236" spans="10:10" x14ac:dyDescent="0.25">
      <c r="J236" s="196"/>
    </row>
    <row r="237" spans="10:10" x14ac:dyDescent="0.25">
      <c r="J237" s="196"/>
    </row>
    <row r="238" spans="10:10" x14ac:dyDescent="0.25">
      <c r="J238" s="196"/>
    </row>
    <row r="239" spans="10:10" x14ac:dyDescent="0.25">
      <c r="J239" s="196"/>
    </row>
    <row r="240" spans="10:10" x14ac:dyDescent="0.25">
      <c r="J240" s="196"/>
    </row>
    <row r="241" spans="10:10" x14ac:dyDescent="0.25">
      <c r="J241" s="196"/>
    </row>
    <row r="242" spans="10:10" x14ac:dyDescent="0.25">
      <c r="J242" s="196"/>
    </row>
    <row r="243" spans="10:10" x14ac:dyDescent="0.25">
      <c r="J243" s="196"/>
    </row>
    <row r="244" spans="10:10" x14ac:dyDescent="0.25">
      <c r="J244" s="196"/>
    </row>
    <row r="245" spans="10:10" x14ac:dyDescent="0.25">
      <c r="J245" s="196"/>
    </row>
    <row r="246" spans="10:10" x14ac:dyDescent="0.25">
      <c r="J246" s="196"/>
    </row>
    <row r="247" spans="10:10" x14ac:dyDescent="0.25">
      <c r="J247" s="196"/>
    </row>
    <row r="248" spans="10:10" x14ac:dyDescent="0.25">
      <c r="J248" s="196"/>
    </row>
    <row r="249" spans="10:10" x14ac:dyDescent="0.25">
      <c r="J249" s="196"/>
    </row>
    <row r="250" spans="10:10" x14ac:dyDescent="0.25">
      <c r="J250" s="196"/>
    </row>
    <row r="251" spans="10:10" x14ac:dyDescent="0.25">
      <c r="J251" s="196"/>
    </row>
    <row r="252" spans="10:10" x14ac:dyDescent="0.25">
      <c r="J252" s="196"/>
    </row>
    <row r="253" spans="10:10" x14ac:dyDescent="0.25">
      <c r="J253" s="196"/>
    </row>
    <row r="254" spans="10:10" x14ac:dyDescent="0.25">
      <c r="J254" s="196"/>
    </row>
    <row r="255" spans="10:10" x14ac:dyDescent="0.25">
      <c r="J255" s="196"/>
    </row>
    <row r="256" spans="10:10" x14ac:dyDescent="0.25">
      <c r="J256" s="196"/>
    </row>
    <row r="257" spans="10:10" x14ac:dyDescent="0.25">
      <c r="J257" s="196"/>
    </row>
    <row r="258" spans="10:10" x14ac:dyDescent="0.25">
      <c r="J258" s="196"/>
    </row>
    <row r="259" spans="10:10" x14ac:dyDescent="0.25">
      <c r="J259" s="196"/>
    </row>
    <row r="260" spans="10:10" x14ac:dyDescent="0.25">
      <c r="J260" s="196"/>
    </row>
    <row r="261" spans="10:10" x14ac:dyDescent="0.25">
      <c r="J261" s="196"/>
    </row>
    <row r="262" spans="10:10" x14ac:dyDescent="0.25">
      <c r="J262" s="196"/>
    </row>
    <row r="263" spans="10:10" x14ac:dyDescent="0.25">
      <c r="J263" s="196"/>
    </row>
    <row r="264" spans="10:10" x14ac:dyDescent="0.25">
      <c r="J264" s="196"/>
    </row>
    <row r="265" spans="10:10" x14ac:dyDescent="0.25">
      <c r="J265" s="196"/>
    </row>
    <row r="266" spans="10:10" x14ac:dyDescent="0.25">
      <c r="J266" s="196"/>
    </row>
    <row r="267" spans="10:10" x14ac:dyDescent="0.25">
      <c r="J267" s="196"/>
    </row>
    <row r="268" spans="10:10" x14ac:dyDescent="0.25">
      <c r="J268" s="196"/>
    </row>
    <row r="269" spans="10:10" x14ac:dyDescent="0.25">
      <c r="J269" s="196"/>
    </row>
    <row r="270" spans="10:10" x14ac:dyDescent="0.25">
      <c r="J270" s="196"/>
    </row>
    <row r="271" spans="10:10" x14ac:dyDescent="0.25">
      <c r="J271" s="196"/>
    </row>
    <row r="272" spans="10:10" x14ac:dyDescent="0.25">
      <c r="J272" s="196"/>
    </row>
    <row r="273" spans="10:10" x14ac:dyDescent="0.25">
      <c r="J273" s="196"/>
    </row>
    <row r="274" spans="10:10" x14ac:dyDescent="0.25">
      <c r="J274" s="196"/>
    </row>
    <row r="275" spans="10:10" x14ac:dyDescent="0.25">
      <c r="J275" s="196"/>
    </row>
    <row r="276" spans="10:10" x14ac:dyDescent="0.25">
      <c r="J276" s="196"/>
    </row>
    <row r="277" spans="10:10" x14ac:dyDescent="0.25">
      <c r="J277" s="196"/>
    </row>
    <row r="278" spans="10:10" x14ac:dyDescent="0.25">
      <c r="J278" s="196"/>
    </row>
    <row r="279" spans="10:10" x14ac:dyDescent="0.25">
      <c r="J279" s="196"/>
    </row>
    <row r="280" spans="10:10" x14ac:dyDescent="0.25">
      <c r="J280" s="196"/>
    </row>
    <row r="281" spans="10:10" x14ac:dyDescent="0.25">
      <c r="J281" s="196"/>
    </row>
    <row r="282" spans="10:10" x14ac:dyDescent="0.25">
      <c r="J282" s="196"/>
    </row>
    <row r="283" spans="10:10" x14ac:dyDescent="0.25">
      <c r="J283" s="196"/>
    </row>
    <row r="284" spans="10:10" x14ac:dyDescent="0.25">
      <c r="J284" s="196"/>
    </row>
    <row r="285" spans="10:10" x14ac:dyDescent="0.25">
      <c r="J285" s="196"/>
    </row>
    <row r="286" spans="10:10" x14ac:dyDescent="0.25">
      <c r="J286" s="196"/>
    </row>
    <row r="287" spans="10:10" x14ac:dyDescent="0.25">
      <c r="J287" s="196"/>
    </row>
    <row r="288" spans="10:10" x14ac:dyDescent="0.25">
      <c r="J288" s="196"/>
    </row>
    <row r="289" spans="10:10" x14ac:dyDescent="0.25">
      <c r="J289" s="196"/>
    </row>
    <row r="290" spans="10:10" x14ac:dyDescent="0.25">
      <c r="J290" s="196"/>
    </row>
    <row r="291" spans="10:10" x14ac:dyDescent="0.25">
      <c r="J291" s="196"/>
    </row>
    <row r="292" spans="10:10" x14ac:dyDescent="0.25">
      <c r="J292" s="196"/>
    </row>
    <row r="293" spans="10:10" x14ac:dyDescent="0.25">
      <c r="J293" s="196"/>
    </row>
    <row r="294" spans="10:10" x14ac:dyDescent="0.25">
      <c r="J294" s="196"/>
    </row>
    <row r="295" spans="10:10" x14ac:dyDescent="0.25">
      <c r="J295" s="196"/>
    </row>
    <row r="296" spans="10:10" x14ac:dyDescent="0.25">
      <c r="J296" s="196"/>
    </row>
    <row r="297" spans="10:10" x14ac:dyDescent="0.25">
      <c r="J297" s="196"/>
    </row>
    <row r="298" spans="10:10" x14ac:dyDescent="0.25">
      <c r="J298" s="196"/>
    </row>
    <row r="299" spans="10:10" x14ac:dyDescent="0.25">
      <c r="J299" s="196"/>
    </row>
    <row r="300" spans="10:10" x14ac:dyDescent="0.25">
      <c r="J300" s="196"/>
    </row>
    <row r="301" spans="10:10" x14ac:dyDescent="0.25">
      <c r="J301" s="196"/>
    </row>
    <row r="302" spans="10:10" x14ac:dyDescent="0.25">
      <c r="J302" s="196"/>
    </row>
    <row r="303" spans="10:10" x14ac:dyDescent="0.25">
      <c r="J303" s="196"/>
    </row>
    <row r="304" spans="10:10" x14ac:dyDescent="0.25">
      <c r="J304" s="196"/>
    </row>
    <row r="305" spans="10:10" x14ac:dyDescent="0.25">
      <c r="J305" s="196"/>
    </row>
    <row r="306" spans="10:10" x14ac:dyDescent="0.25">
      <c r="J306" s="196"/>
    </row>
    <row r="307" spans="10:10" x14ac:dyDescent="0.25">
      <c r="J307" s="196"/>
    </row>
    <row r="308" spans="10:10" x14ac:dyDescent="0.25">
      <c r="J308" s="196"/>
    </row>
    <row r="309" spans="10:10" x14ac:dyDescent="0.25">
      <c r="J309" s="196"/>
    </row>
    <row r="310" spans="10:10" x14ac:dyDescent="0.25">
      <c r="J310" s="196"/>
    </row>
    <row r="311" spans="10:10" x14ac:dyDescent="0.25">
      <c r="J311" s="196"/>
    </row>
    <row r="312" spans="10:10" x14ac:dyDescent="0.25">
      <c r="J312" s="196"/>
    </row>
    <row r="313" spans="10:10" x14ac:dyDescent="0.25">
      <c r="J313" s="196"/>
    </row>
    <row r="314" spans="10:10" x14ac:dyDescent="0.25">
      <c r="J314" s="196"/>
    </row>
    <row r="315" spans="10:10" x14ac:dyDescent="0.25">
      <c r="J315" s="196"/>
    </row>
    <row r="316" spans="10:10" x14ac:dyDescent="0.25">
      <c r="J316" s="196"/>
    </row>
    <row r="317" spans="10:10" x14ac:dyDescent="0.25">
      <c r="J317" s="196"/>
    </row>
    <row r="318" spans="10:10" x14ac:dyDescent="0.25">
      <c r="J318" s="196"/>
    </row>
    <row r="319" spans="10:10" x14ac:dyDescent="0.25">
      <c r="J319" s="196"/>
    </row>
    <row r="320" spans="10:10" x14ac:dyDescent="0.25">
      <c r="J320" s="196"/>
    </row>
    <row r="321" spans="10:10" x14ac:dyDescent="0.25">
      <c r="J321" s="196"/>
    </row>
    <row r="322" spans="10:10" x14ac:dyDescent="0.25">
      <c r="J322" s="196"/>
    </row>
    <row r="323" spans="10:10" x14ac:dyDescent="0.25">
      <c r="J323" s="196"/>
    </row>
    <row r="324" spans="10:10" x14ac:dyDescent="0.25">
      <c r="J324" s="196"/>
    </row>
    <row r="325" spans="10:10" x14ac:dyDescent="0.25">
      <c r="J325" s="196"/>
    </row>
    <row r="326" spans="10:10" x14ac:dyDescent="0.25">
      <c r="J326" s="196"/>
    </row>
    <row r="327" spans="10:10" x14ac:dyDescent="0.25">
      <c r="J327" s="196"/>
    </row>
    <row r="328" spans="10:10" x14ac:dyDescent="0.25">
      <c r="J328" s="196"/>
    </row>
    <row r="329" spans="10:10" x14ac:dyDescent="0.25">
      <c r="J329" s="196"/>
    </row>
    <row r="330" spans="10:10" x14ac:dyDescent="0.25">
      <c r="J330" s="196"/>
    </row>
    <row r="331" spans="10:10" x14ac:dyDescent="0.25">
      <c r="J331" s="196"/>
    </row>
    <row r="332" spans="10:10" x14ac:dyDescent="0.25">
      <c r="J332" s="196"/>
    </row>
    <row r="333" spans="10:10" x14ac:dyDescent="0.25">
      <c r="J333" s="196"/>
    </row>
    <row r="334" spans="10:10" x14ac:dyDescent="0.25">
      <c r="J334" s="196"/>
    </row>
    <row r="335" spans="10:10" x14ac:dyDescent="0.25">
      <c r="J335" s="196"/>
    </row>
    <row r="336" spans="10:10" x14ac:dyDescent="0.25">
      <c r="J336" s="196"/>
    </row>
    <row r="337" spans="10:10" x14ac:dyDescent="0.25">
      <c r="J337" s="196"/>
    </row>
    <row r="338" spans="10:10" x14ac:dyDescent="0.25">
      <c r="J338" s="196"/>
    </row>
    <row r="339" spans="10:10" x14ac:dyDescent="0.25">
      <c r="J339" s="196"/>
    </row>
    <row r="340" spans="10:10" x14ac:dyDescent="0.25">
      <c r="J340" s="196"/>
    </row>
    <row r="341" spans="10:10" x14ac:dyDescent="0.25">
      <c r="J341" s="196"/>
    </row>
    <row r="342" spans="10:10" x14ac:dyDescent="0.25">
      <c r="J342" s="196"/>
    </row>
    <row r="343" spans="10:10" x14ac:dyDescent="0.25">
      <c r="J343" s="196"/>
    </row>
    <row r="344" spans="10:10" x14ac:dyDescent="0.25">
      <c r="J344" s="196"/>
    </row>
  </sheetData>
  <conditionalFormatting sqref="E15 E12:I12 F11:F12 E18:E19 E21:E22 E25 C26:E28 C7:I8 C9:E9 G9:I9 H17:I20 G13:I16 G21:I27 G13:G17 H10:I11 G28:H28">
    <cfRule type="expression" dxfId="387" priority="216">
      <formula xml:space="preserve"> INDIRECT(CHAR(COLUMN()+96) &amp; 4) = TODAY() * NOT(ISBLANK(INDIRECT(CHAR(COLUMN()+96) &amp; ROW())))</formula>
    </cfRule>
    <cfRule type="expression" dxfId="386" priority="217">
      <formula xml:space="preserve"> INDIRECT(CHAR(COLUMN()+96) &amp; 4) = TODAY() * ISBLANK(INDIRECT(CHAR(COLUMN()+96) &amp; ROW()))</formula>
    </cfRule>
  </conditionalFormatting>
  <conditionalFormatting sqref="A4:I6 J6">
    <cfRule type="timePeriod" dxfId="385" priority="218" timePeriod="today">
      <formula>FLOOR(A4,1)=TODAY()</formula>
    </cfRule>
    <cfRule type="timePeriod" dxfId="384" priority="219" timePeriod="tomorrow">
      <formula>FLOOR(A4,1)=TODAY()+1</formula>
    </cfRule>
    <cfRule type="timePeriod" dxfId="383" priority="220" timePeriod="yesterday">
      <formula>FLOOR(A4,1)=TODAY()-1</formula>
    </cfRule>
  </conditionalFormatting>
  <conditionalFormatting sqref="A10:B27 E15 E12:I12 A29:B30 F11:F12 E18:E19 E21:E22 E25 A28:E28 C26:E27 A7:I8 A9:E9 G9:I9 H17:I20 G13:I16 G21:I27 G13:G17 H10:I11 G28:H28">
    <cfRule type="expression" dxfId="382" priority="213">
      <formula>INDIRECT("A"&amp;3) = INDIRECT("A"&amp;ROW())</formula>
    </cfRule>
  </conditionalFormatting>
  <conditionalFormatting sqref="A2:A3 A1:I1 B2:I2">
    <cfRule type="expression" dxfId="381" priority="214">
      <formula xml:space="preserve"> INDIRECT(CHAR(COLUMN()+96) &amp; 4) = TODAY() * ISBLANK(INDIRECT(CHAR(COLUMN()+96) &amp; ROW()))</formula>
    </cfRule>
  </conditionalFormatting>
  <conditionalFormatting sqref="A31:I31 E15 E12:I12 F11:F12 E18:E19 E21:E22 E25 C26:E28 C7:I8 C9:E9 G9:I9 H17:I20 G13:I16 G21:I27 G13:G17 H10:I11 G28:H28">
    <cfRule type="colorScale" priority="215">
      <colorScale>
        <cfvo type="num" val="0"/>
        <cfvo type="num" val="0.5"/>
        <cfvo type="num" val="1"/>
        <color rgb="FFF8696B"/>
        <color rgb="FFFFEB84"/>
        <color rgb="FF63BE7B"/>
      </colorScale>
    </cfRule>
  </conditionalFormatting>
  <conditionalFormatting sqref="E20">
    <cfRule type="expression" dxfId="380" priority="211">
      <formula xml:space="preserve"> INDIRECT(CHAR(COLUMN()+96) &amp; 4) = TODAY() * NOT(ISBLANK(INDIRECT(CHAR(COLUMN()+96) &amp; ROW())))</formula>
    </cfRule>
    <cfRule type="expression" dxfId="379" priority="212">
      <formula xml:space="preserve"> INDIRECT(CHAR(COLUMN()+96) &amp; 4) = TODAY() * ISBLANK(INDIRECT(CHAR(COLUMN()+96) &amp; ROW()))</formula>
    </cfRule>
  </conditionalFormatting>
  <conditionalFormatting sqref="E20">
    <cfRule type="expression" dxfId="378" priority="209">
      <formula>INDIRECT("A"&amp;3) = INDIRECT("A"&amp;ROW())</formula>
    </cfRule>
  </conditionalFormatting>
  <conditionalFormatting sqref="E20">
    <cfRule type="colorScale" priority="210">
      <colorScale>
        <cfvo type="num" val="0"/>
        <cfvo type="num" val="0.5"/>
        <cfvo type="num" val="1"/>
        <color rgb="FFF8696B"/>
        <color rgb="FFFFEB84"/>
        <color rgb="FF63BE7B"/>
      </colorScale>
    </cfRule>
  </conditionalFormatting>
  <conditionalFormatting sqref="E20">
    <cfRule type="expression" dxfId="377" priority="207">
      <formula xml:space="preserve"> INDIRECT(CHAR(COLUMN()+96) &amp; 4) = TODAY() * NOT(ISBLANK(INDIRECT(CHAR(COLUMN()+96) &amp; ROW())))</formula>
    </cfRule>
    <cfRule type="expression" dxfId="376" priority="208">
      <formula xml:space="preserve"> INDIRECT(CHAR(COLUMN()+96) &amp; 4) = TODAY() * ISBLANK(INDIRECT(CHAR(COLUMN()+96) &amp; ROW()))</formula>
    </cfRule>
  </conditionalFormatting>
  <conditionalFormatting sqref="E20">
    <cfRule type="expression" dxfId="375" priority="205">
      <formula>INDIRECT("A"&amp;3) = INDIRECT("A"&amp;ROW())</formula>
    </cfRule>
  </conditionalFormatting>
  <conditionalFormatting sqref="E20">
    <cfRule type="colorScale" priority="206">
      <colorScale>
        <cfvo type="num" val="0"/>
        <cfvo type="num" val="0.5"/>
        <cfvo type="num" val="1"/>
        <color rgb="FFF8696B"/>
        <color rgb="FFFFEB84"/>
        <color rgb="FF63BE7B"/>
      </colorScale>
    </cfRule>
  </conditionalFormatting>
  <conditionalFormatting sqref="G20">
    <cfRule type="expression" dxfId="374" priority="203">
      <formula xml:space="preserve"> INDIRECT(CHAR(COLUMN()+96) &amp; 4) = TODAY() * NOT(ISBLANK(INDIRECT(CHAR(COLUMN()+96) &amp; ROW())))</formula>
    </cfRule>
    <cfRule type="expression" dxfId="373" priority="204">
      <formula xml:space="preserve"> INDIRECT(CHAR(COLUMN()+96) &amp; 4) = TODAY() * ISBLANK(INDIRECT(CHAR(COLUMN()+96) &amp; ROW()))</formula>
    </cfRule>
  </conditionalFormatting>
  <conditionalFormatting sqref="G20">
    <cfRule type="expression" dxfId="372" priority="201">
      <formula>INDIRECT("A"&amp;3) = INDIRECT("A"&amp;ROW())</formula>
    </cfRule>
  </conditionalFormatting>
  <conditionalFormatting sqref="G20">
    <cfRule type="colorScale" priority="202">
      <colorScale>
        <cfvo type="num" val="0"/>
        <cfvo type="num" val="0.5"/>
        <cfvo type="num" val="1"/>
        <color rgb="FFF8696B"/>
        <color rgb="FFFFEB84"/>
        <color rgb="FF63BE7B"/>
      </colorScale>
    </cfRule>
  </conditionalFormatting>
  <conditionalFormatting sqref="G20">
    <cfRule type="expression" dxfId="371" priority="199">
      <formula xml:space="preserve"> INDIRECT(CHAR(COLUMN()+96) &amp; 4) = TODAY() * NOT(ISBLANK(INDIRECT(CHAR(COLUMN()+96) &amp; ROW())))</formula>
    </cfRule>
    <cfRule type="expression" dxfId="370" priority="200">
      <formula xml:space="preserve"> INDIRECT(CHAR(COLUMN()+96) &amp; 4) = TODAY() * ISBLANK(INDIRECT(CHAR(COLUMN()+96) &amp; ROW()))</formula>
    </cfRule>
  </conditionalFormatting>
  <conditionalFormatting sqref="G20">
    <cfRule type="expression" dxfId="369" priority="197">
      <formula>INDIRECT("A"&amp;3) = INDIRECT("A"&amp;ROW())</formula>
    </cfRule>
  </conditionalFormatting>
  <conditionalFormatting sqref="G20">
    <cfRule type="colorScale" priority="198">
      <colorScale>
        <cfvo type="num" val="0"/>
        <cfvo type="num" val="0.5"/>
        <cfvo type="num" val="1"/>
        <color rgb="FFF8696B"/>
        <color rgb="FFFFEB84"/>
        <color rgb="FF63BE7B"/>
      </colorScale>
    </cfRule>
  </conditionalFormatting>
  <conditionalFormatting sqref="C23:C24">
    <cfRule type="expression" dxfId="368" priority="187">
      <formula xml:space="preserve"> INDIRECT(CHAR(COLUMN()+96) &amp; 4) = TODAY() * NOT(ISBLANK(INDIRECT(CHAR(COLUMN()+96) &amp; ROW())))</formula>
    </cfRule>
    <cfRule type="expression" dxfId="367" priority="188">
      <formula xml:space="preserve"> INDIRECT(CHAR(COLUMN()+96) &amp; 4) = TODAY() * ISBLANK(INDIRECT(CHAR(COLUMN()+96) &amp; ROW()))</formula>
    </cfRule>
  </conditionalFormatting>
  <conditionalFormatting sqref="C23:C24">
    <cfRule type="expression" dxfId="366" priority="185">
      <formula>INDIRECT("A"&amp;3) = INDIRECT("A"&amp;ROW())</formula>
    </cfRule>
  </conditionalFormatting>
  <conditionalFormatting sqref="C23:C24">
    <cfRule type="colorScale" priority="186">
      <colorScale>
        <cfvo type="num" val="0"/>
        <cfvo type="num" val="0.5"/>
        <cfvo type="num" val="1"/>
        <color rgb="FFF8696B"/>
        <color rgb="FFFFEB84"/>
        <color rgb="FF63BE7B"/>
      </colorScale>
    </cfRule>
  </conditionalFormatting>
  <conditionalFormatting sqref="C23:C24">
    <cfRule type="expression" dxfId="365" priority="183">
      <formula xml:space="preserve"> INDIRECT(CHAR(COLUMN()+96) &amp; 4) = TODAY() * NOT(ISBLANK(INDIRECT(CHAR(COLUMN()+96) &amp; ROW())))</formula>
    </cfRule>
    <cfRule type="expression" dxfId="364" priority="184">
      <formula xml:space="preserve"> INDIRECT(CHAR(COLUMN()+96) &amp; 4) = TODAY() * ISBLANK(INDIRECT(CHAR(COLUMN()+96) &amp; ROW()))</formula>
    </cfRule>
  </conditionalFormatting>
  <conditionalFormatting sqref="C23:C24">
    <cfRule type="expression" dxfId="363" priority="181">
      <formula>INDIRECT("A"&amp;3) = INDIRECT("A"&amp;ROW())</formula>
    </cfRule>
  </conditionalFormatting>
  <conditionalFormatting sqref="C23:C24">
    <cfRule type="colorScale" priority="182">
      <colorScale>
        <cfvo type="num" val="0"/>
        <cfvo type="num" val="0.5"/>
        <cfvo type="num" val="1"/>
        <color rgb="FFF8696B"/>
        <color rgb="FFFFEB84"/>
        <color rgb="FF63BE7B"/>
      </colorScale>
    </cfRule>
  </conditionalFormatting>
  <conditionalFormatting sqref="C10:C14">
    <cfRule type="expression" dxfId="362" priority="195">
      <formula xml:space="preserve"> INDIRECT(CHAR(COLUMN()+96) &amp; 4) = TODAY() * NOT(ISBLANK(INDIRECT(CHAR(COLUMN()+96) &amp; ROW())))</formula>
    </cfRule>
    <cfRule type="expression" dxfId="361" priority="196">
      <formula xml:space="preserve"> INDIRECT(CHAR(COLUMN()+96) &amp; 4) = TODAY() * ISBLANK(INDIRECT(CHAR(COLUMN()+96) &amp; ROW()))</formula>
    </cfRule>
  </conditionalFormatting>
  <conditionalFormatting sqref="C10:C14">
    <cfRule type="expression" dxfId="360" priority="193">
      <formula>INDIRECT("A"&amp;3) = INDIRECT("A"&amp;ROW())</formula>
    </cfRule>
  </conditionalFormatting>
  <conditionalFormatting sqref="C10:C14">
    <cfRule type="colorScale" priority="194">
      <colorScale>
        <cfvo type="num" val="0"/>
        <cfvo type="num" val="0.5"/>
        <cfvo type="num" val="1"/>
        <color rgb="FFF8696B"/>
        <color rgb="FFFFEB84"/>
        <color rgb="FF63BE7B"/>
      </colorScale>
    </cfRule>
  </conditionalFormatting>
  <conditionalFormatting sqref="C15">
    <cfRule type="expression" dxfId="359" priority="191">
      <formula xml:space="preserve"> INDIRECT(CHAR(COLUMN()+96) &amp; 4) = TODAY() * NOT(ISBLANK(INDIRECT(CHAR(COLUMN()+96) &amp; ROW())))</formula>
    </cfRule>
    <cfRule type="expression" dxfId="358" priority="192">
      <formula xml:space="preserve"> INDIRECT(CHAR(COLUMN()+96) &amp; 4) = TODAY() * ISBLANK(INDIRECT(CHAR(COLUMN()+96) &amp; ROW()))</formula>
    </cfRule>
  </conditionalFormatting>
  <conditionalFormatting sqref="C15">
    <cfRule type="expression" dxfId="357" priority="189">
      <formula>INDIRECT("A"&amp;3) = INDIRECT("A"&amp;ROW())</formula>
    </cfRule>
  </conditionalFormatting>
  <conditionalFormatting sqref="C15">
    <cfRule type="colorScale" priority="190">
      <colorScale>
        <cfvo type="num" val="0"/>
        <cfvo type="num" val="0.5"/>
        <cfvo type="num" val="1"/>
        <color rgb="FFF8696B"/>
        <color rgb="FFFFEB84"/>
        <color rgb="FF63BE7B"/>
      </colorScale>
    </cfRule>
  </conditionalFormatting>
  <conditionalFormatting sqref="C16">
    <cfRule type="expression" dxfId="356" priority="179">
      <formula xml:space="preserve"> INDIRECT(CHAR(COLUMN()+96) &amp; 4) = TODAY() * NOT(ISBLANK(INDIRECT(CHAR(COLUMN()+96) &amp; ROW())))</formula>
    </cfRule>
    <cfRule type="expression" dxfId="355" priority="180">
      <formula xml:space="preserve"> INDIRECT(CHAR(COLUMN()+96) &amp; 4) = TODAY() * ISBLANK(INDIRECT(CHAR(COLUMN()+96) &amp; ROW()))</formula>
    </cfRule>
  </conditionalFormatting>
  <conditionalFormatting sqref="C16">
    <cfRule type="expression" dxfId="354" priority="177">
      <formula>INDIRECT("A"&amp;3) = INDIRECT("A"&amp;ROW())</formula>
    </cfRule>
  </conditionalFormatting>
  <conditionalFormatting sqref="C16">
    <cfRule type="colorScale" priority="178">
      <colorScale>
        <cfvo type="num" val="0"/>
        <cfvo type="num" val="0.5"/>
        <cfvo type="num" val="1"/>
        <color rgb="FFF8696B"/>
        <color rgb="FFFFEB84"/>
        <color rgb="FF63BE7B"/>
      </colorScale>
    </cfRule>
  </conditionalFormatting>
  <conditionalFormatting sqref="C16">
    <cfRule type="expression" dxfId="353" priority="175">
      <formula xml:space="preserve"> INDIRECT(CHAR(COLUMN()+96) &amp; 4) = TODAY() * NOT(ISBLANK(INDIRECT(CHAR(COLUMN()+96) &amp; ROW())))</formula>
    </cfRule>
    <cfRule type="expression" dxfId="352" priority="176">
      <formula xml:space="preserve"> INDIRECT(CHAR(COLUMN()+96) &amp; 4) = TODAY() * ISBLANK(INDIRECT(CHAR(COLUMN()+96) &amp; ROW()))</formula>
    </cfRule>
  </conditionalFormatting>
  <conditionalFormatting sqref="C16">
    <cfRule type="expression" dxfId="351" priority="173">
      <formula>INDIRECT("A"&amp;3) = INDIRECT("A"&amp;ROW())</formula>
    </cfRule>
  </conditionalFormatting>
  <conditionalFormatting sqref="C16">
    <cfRule type="colorScale" priority="174">
      <colorScale>
        <cfvo type="num" val="0"/>
        <cfvo type="num" val="0.5"/>
        <cfvo type="num" val="1"/>
        <color rgb="FFF8696B"/>
        <color rgb="FFFFEB84"/>
        <color rgb="FF63BE7B"/>
      </colorScale>
    </cfRule>
  </conditionalFormatting>
  <conditionalFormatting sqref="C17:C18">
    <cfRule type="expression" dxfId="350" priority="171">
      <formula xml:space="preserve"> INDIRECT(CHAR(COLUMN()+96) &amp; 4) = TODAY() * NOT(ISBLANK(INDIRECT(CHAR(COLUMN()+96) &amp; ROW())))</formula>
    </cfRule>
    <cfRule type="expression" dxfId="349" priority="172">
      <formula xml:space="preserve"> INDIRECT(CHAR(COLUMN()+96) &amp; 4) = TODAY() * ISBLANK(INDIRECT(CHAR(COLUMN()+96) &amp; ROW()))</formula>
    </cfRule>
  </conditionalFormatting>
  <conditionalFormatting sqref="C17:C18">
    <cfRule type="expression" dxfId="348" priority="169">
      <formula>INDIRECT("A"&amp;3) = INDIRECT("A"&amp;ROW())</formula>
    </cfRule>
  </conditionalFormatting>
  <conditionalFormatting sqref="C17:C18">
    <cfRule type="colorScale" priority="170">
      <colorScale>
        <cfvo type="num" val="0"/>
        <cfvo type="num" val="0.5"/>
        <cfvo type="num" val="1"/>
        <color rgb="FFF8696B"/>
        <color rgb="FFFFEB84"/>
        <color rgb="FF63BE7B"/>
      </colorScale>
    </cfRule>
  </conditionalFormatting>
  <conditionalFormatting sqref="C17:C18">
    <cfRule type="expression" dxfId="347" priority="167">
      <formula xml:space="preserve"> INDIRECT(CHAR(COLUMN()+96) &amp; 4) = TODAY() * NOT(ISBLANK(INDIRECT(CHAR(COLUMN()+96) &amp; ROW())))</formula>
    </cfRule>
    <cfRule type="expression" dxfId="346" priority="168">
      <formula xml:space="preserve"> INDIRECT(CHAR(COLUMN()+96) &amp; 4) = TODAY() * ISBLANK(INDIRECT(CHAR(COLUMN()+96) &amp; ROW()))</formula>
    </cfRule>
  </conditionalFormatting>
  <conditionalFormatting sqref="C17:C18">
    <cfRule type="expression" dxfId="345" priority="165">
      <formula>INDIRECT("A"&amp;3) = INDIRECT("A"&amp;ROW())</formula>
    </cfRule>
  </conditionalFormatting>
  <conditionalFormatting sqref="C17:C18">
    <cfRule type="colorScale" priority="166">
      <colorScale>
        <cfvo type="num" val="0"/>
        <cfvo type="num" val="0.5"/>
        <cfvo type="num" val="1"/>
        <color rgb="FFF8696B"/>
        <color rgb="FFFFEB84"/>
        <color rgb="FF63BE7B"/>
      </colorScale>
    </cfRule>
  </conditionalFormatting>
  <conditionalFormatting sqref="C19:C22">
    <cfRule type="expression" dxfId="344" priority="163">
      <formula xml:space="preserve"> INDIRECT(CHAR(COLUMN()+96) &amp; 4) = TODAY() * NOT(ISBLANK(INDIRECT(CHAR(COLUMN()+96) &amp; ROW())))</formula>
    </cfRule>
    <cfRule type="expression" dxfId="343" priority="164">
      <formula xml:space="preserve"> INDIRECT(CHAR(COLUMN()+96) &amp; 4) = TODAY() * ISBLANK(INDIRECT(CHAR(COLUMN()+96) &amp; ROW()))</formula>
    </cfRule>
  </conditionalFormatting>
  <conditionalFormatting sqref="C19:C22">
    <cfRule type="expression" dxfId="342" priority="161">
      <formula>INDIRECT("A"&amp;3) = INDIRECT("A"&amp;ROW())</formula>
    </cfRule>
  </conditionalFormatting>
  <conditionalFormatting sqref="C19:C22">
    <cfRule type="colorScale" priority="162">
      <colorScale>
        <cfvo type="num" val="0"/>
        <cfvo type="num" val="0.5"/>
        <cfvo type="num" val="1"/>
        <color rgb="FFF8696B"/>
        <color rgb="FFFFEB84"/>
        <color rgb="FF63BE7B"/>
      </colorScale>
    </cfRule>
  </conditionalFormatting>
  <conditionalFormatting sqref="C25">
    <cfRule type="expression" dxfId="341" priority="159">
      <formula xml:space="preserve"> INDIRECT(CHAR(COLUMN()+96) &amp; 4) = TODAY() * NOT(ISBLANK(INDIRECT(CHAR(COLUMN()+96) &amp; ROW())))</formula>
    </cfRule>
    <cfRule type="expression" dxfId="340" priority="160">
      <formula xml:space="preserve"> INDIRECT(CHAR(COLUMN()+96) &amp; 4) = TODAY() * ISBLANK(INDIRECT(CHAR(COLUMN()+96) &amp; ROW()))</formula>
    </cfRule>
  </conditionalFormatting>
  <conditionalFormatting sqref="C25">
    <cfRule type="expression" dxfId="339" priority="157">
      <formula>INDIRECT("A"&amp;3) = INDIRECT("A"&amp;ROW())</formula>
    </cfRule>
  </conditionalFormatting>
  <conditionalFormatting sqref="C25">
    <cfRule type="colorScale" priority="158">
      <colorScale>
        <cfvo type="num" val="0"/>
        <cfvo type="num" val="0.5"/>
        <cfvo type="num" val="1"/>
        <color rgb="FFF8696B"/>
        <color rgb="FFFFEB84"/>
        <color rgb="FF63BE7B"/>
      </colorScale>
    </cfRule>
  </conditionalFormatting>
  <conditionalFormatting sqref="D22:D24">
    <cfRule type="expression" dxfId="338" priority="143">
      <formula xml:space="preserve"> INDIRECT(CHAR(COLUMN()+96) &amp; 4) = TODAY() * NOT(ISBLANK(INDIRECT(CHAR(COLUMN()+96) &amp; ROW())))</formula>
    </cfRule>
    <cfRule type="expression" dxfId="337" priority="144">
      <formula xml:space="preserve"> INDIRECT(CHAR(COLUMN()+96) &amp; 4) = TODAY() * ISBLANK(INDIRECT(CHAR(COLUMN()+96) &amp; ROW()))</formula>
    </cfRule>
  </conditionalFormatting>
  <conditionalFormatting sqref="D22:D24">
    <cfRule type="expression" dxfId="336" priority="141">
      <formula>INDIRECT("A"&amp;3) = INDIRECT("A"&amp;ROW())</formula>
    </cfRule>
  </conditionalFormatting>
  <conditionalFormatting sqref="D22:D24">
    <cfRule type="colorScale" priority="142">
      <colorScale>
        <cfvo type="num" val="0"/>
        <cfvo type="num" val="0.5"/>
        <cfvo type="num" val="1"/>
        <color rgb="FFF8696B"/>
        <color rgb="FFFFEB84"/>
        <color rgb="FF63BE7B"/>
      </colorScale>
    </cfRule>
  </conditionalFormatting>
  <conditionalFormatting sqref="D22:D24">
    <cfRule type="expression" dxfId="335" priority="139">
      <formula xml:space="preserve"> INDIRECT(CHAR(COLUMN()+96) &amp; 4) = TODAY() * NOT(ISBLANK(INDIRECT(CHAR(COLUMN()+96) &amp; ROW())))</formula>
    </cfRule>
    <cfRule type="expression" dxfId="334" priority="140">
      <formula xml:space="preserve"> INDIRECT(CHAR(COLUMN()+96) &amp; 4) = TODAY() * ISBLANK(INDIRECT(CHAR(COLUMN()+96) &amp; ROW()))</formula>
    </cfRule>
  </conditionalFormatting>
  <conditionalFormatting sqref="D22:D24">
    <cfRule type="expression" dxfId="333" priority="137">
      <formula>INDIRECT("A"&amp;3) = INDIRECT("A"&amp;ROW())</formula>
    </cfRule>
  </conditionalFormatting>
  <conditionalFormatting sqref="D22:D24">
    <cfRule type="colorScale" priority="138">
      <colorScale>
        <cfvo type="num" val="0"/>
        <cfvo type="num" val="0.5"/>
        <cfvo type="num" val="1"/>
        <color rgb="FFF8696B"/>
        <color rgb="FFFFEB84"/>
        <color rgb="FF63BE7B"/>
      </colorScale>
    </cfRule>
  </conditionalFormatting>
  <conditionalFormatting sqref="D10:D13">
    <cfRule type="expression" dxfId="332" priority="151">
      <formula xml:space="preserve"> INDIRECT(CHAR(COLUMN()+96) &amp; 4) = TODAY() * NOT(ISBLANK(INDIRECT(CHAR(COLUMN()+96) &amp; ROW())))</formula>
    </cfRule>
    <cfRule type="expression" dxfId="331" priority="152">
      <formula xml:space="preserve"> INDIRECT(CHAR(COLUMN()+96) &amp; 4) = TODAY() * ISBLANK(INDIRECT(CHAR(COLUMN()+96) &amp; ROW()))</formula>
    </cfRule>
  </conditionalFormatting>
  <conditionalFormatting sqref="D10:D13">
    <cfRule type="expression" dxfId="330" priority="149">
      <formula>INDIRECT("A"&amp;3) = INDIRECT("A"&amp;ROW())</formula>
    </cfRule>
  </conditionalFormatting>
  <conditionalFormatting sqref="D10:D13">
    <cfRule type="colorScale" priority="150">
      <colorScale>
        <cfvo type="num" val="0"/>
        <cfvo type="num" val="0.5"/>
        <cfvo type="num" val="1"/>
        <color rgb="FFF8696B"/>
        <color rgb="FFFFEB84"/>
        <color rgb="FF63BE7B"/>
      </colorScale>
    </cfRule>
  </conditionalFormatting>
  <conditionalFormatting sqref="D15">
    <cfRule type="expression" dxfId="329" priority="147">
      <formula xml:space="preserve"> INDIRECT(CHAR(COLUMN()+96) &amp; 4) = TODAY() * NOT(ISBLANK(INDIRECT(CHAR(COLUMN()+96) &amp; ROW())))</formula>
    </cfRule>
    <cfRule type="expression" dxfId="328" priority="148">
      <formula xml:space="preserve"> INDIRECT(CHAR(COLUMN()+96) &amp; 4) = TODAY() * ISBLANK(INDIRECT(CHAR(COLUMN()+96) &amp; ROW()))</formula>
    </cfRule>
  </conditionalFormatting>
  <conditionalFormatting sqref="D15">
    <cfRule type="expression" dxfId="327" priority="145">
      <formula>INDIRECT("A"&amp;3) = INDIRECT("A"&amp;ROW())</formula>
    </cfRule>
  </conditionalFormatting>
  <conditionalFormatting sqref="D15">
    <cfRule type="colorScale" priority="146">
      <colorScale>
        <cfvo type="num" val="0"/>
        <cfvo type="num" val="0.5"/>
        <cfvo type="num" val="1"/>
        <color rgb="FFF8696B"/>
        <color rgb="FFFFEB84"/>
        <color rgb="FF63BE7B"/>
      </colorScale>
    </cfRule>
  </conditionalFormatting>
  <conditionalFormatting sqref="D16">
    <cfRule type="expression" dxfId="326" priority="135">
      <formula xml:space="preserve"> INDIRECT(CHAR(COLUMN()+96) &amp; 4) = TODAY() * NOT(ISBLANK(INDIRECT(CHAR(COLUMN()+96) &amp; ROW())))</formula>
    </cfRule>
    <cfRule type="expression" dxfId="325" priority="136">
      <formula xml:space="preserve"> INDIRECT(CHAR(COLUMN()+96) &amp; 4) = TODAY() * ISBLANK(INDIRECT(CHAR(COLUMN()+96) &amp; ROW()))</formula>
    </cfRule>
  </conditionalFormatting>
  <conditionalFormatting sqref="D16">
    <cfRule type="expression" dxfId="324" priority="133">
      <formula>INDIRECT("A"&amp;3) = INDIRECT("A"&amp;ROW())</formula>
    </cfRule>
  </conditionalFormatting>
  <conditionalFormatting sqref="D16">
    <cfRule type="colorScale" priority="134">
      <colorScale>
        <cfvo type="num" val="0"/>
        <cfvo type="num" val="0.5"/>
        <cfvo type="num" val="1"/>
        <color rgb="FFF8696B"/>
        <color rgb="FFFFEB84"/>
        <color rgb="FF63BE7B"/>
      </colorScale>
    </cfRule>
  </conditionalFormatting>
  <conditionalFormatting sqref="D16">
    <cfRule type="expression" dxfId="323" priority="131">
      <formula xml:space="preserve"> INDIRECT(CHAR(COLUMN()+96) &amp; 4) = TODAY() * NOT(ISBLANK(INDIRECT(CHAR(COLUMN()+96) &amp; ROW())))</formula>
    </cfRule>
    <cfRule type="expression" dxfId="322" priority="132">
      <formula xml:space="preserve"> INDIRECT(CHAR(COLUMN()+96) &amp; 4) = TODAY() * ISBLANK(INDIRECT(CHAR(COLUMN()+96) &amp; ROW()))</formula>
    </cfRule>
  </conditionalFormatting>
  <conditionalFormatting sqref="D16">
    <cfRule type="expression" dxfId="321" priority="129">
      <formula>INDIRECT("A"&amp;3) = INDIRECT("A"&amp;ROW())</formula>
    </cfRule>
  </conditionalFormatting>
  <conditionalFormatting sqref="D16">
    <cfRule type="colorScale" priority="130">
      <colorScale>
        <cfvo type="num" val="0"/>
        <cfvo type="num" val="0.5"/>
        <cfvo type="num" val="1"/>
        <color rgb="FFF8696B"/>
        <color rgb="FFFFEB84"/>
        <color rgb="FF63BE7B"/>
      </colorScale>
    </cfRule>
  </conditionalFormatting>
  <conditionalFormatting sqref="D25">
    <cfRule type="expression" dxfId="320" priority="127">
      <formula xml:space="preserve"> INDIRECT(CHAR(COLUMN()+96) &amp; 4) = TODAY() * NOT(ISBLANK(INDIRECT(CHAR(COLUMN()+96) &amp; ROW())))</formula>
    </cfRule>
    <cfRule type="expression" dxfId="319" priority="128">
      <formula xml:space="preserve"> INDIRECT(CHAR(COLUMN()+96) &amp; 4) = TODAY() * ISBLANK(INDIRECT(CHAR(COLUMN()+96) &amp; ROW()))</formula>
    </cfRule>
  </conditionalFormatting>
  <conditionalFormatting sqref="D25">
    <cfRule type="expression" dxfId="318" priority="125">
      <formula>INDIRECT("A"&amp;3) = INDIRECT("A"&amp;ROW())</formula>
    </cfRule>
  </conditionalFormatting>
  <conditionalFormatting sqref="D25">
    <cfRule type="colorScale" priority="126">
      <colorScale>
        <cfvo type="num" val="0"/>
        <cfvo type="num" val="0.5"/>
        <cfvo type="num" val="1"/>
        <color rgb="FFF8696B"/>
        <color rgb="FFFFEB84"/>
        <color rgb="FF63BE7B"/>
      </colorScale>
    </cfRule>
  </conditionalFormatting>
  <conditionalFormatting sqref="D21">
    <cfRule type="expression" dxfId="317" priority="123">
      <formula xml:space="preserve"> INDIRECT(CHAR(COLUMN()+96) &amp; 4) = TODAY() * NOT(ISBLANK(INDIRECT(CHAR(COLUMN()+96) &amp; ROW())))</formula>
    </cfRule>
    <cfRule type="expression" dxfId="316" priority="124">
      <formula xml:space="preserve"> INDIRECT(CHAR(COLUMN()+96) &amp; 4) = TODAY() * ISBLANK(INDIRECT(CHAR(COLUMN()+96) &amp; ROW()))</formula>
    </cfRule>
  </conditionalFormatting>
  <conditionalFormatting sqref="D21">
    <cfRule type="expression" dxfId="315" priority="121">
      <formula>INDIRECT("A"&amp;3) = INDIRECT("A"&amp;ROW())</formula>
    </cfRule>
  </conditionalFormatting>
  <conditionalFormatting sqref="D21">
    <cfRule type="colorScale" priority="122">
      <colorScale>
        <cfvo type="num" val="0"/>
        <cfvo type="num" val="0.5"/>
        <cfvo type="num" val="1"/>
        <color rgb="FFF8696B"/>
        <color rgb="FFFFEB84"/>
        <color rgb="FF63BE7B"/>
      </colorScale>
    </cfRule>
  </conditionalFormatting>
  <conditionalFormatting sqref="D14:E14 E13">
    <cfRule type="expression" dxfId="314" priority="119">
      <formula xml:space="preserve"> INDIRECT(CHAR(COLUMN()+96) &amp; 4) = TODAY() * NOT(ISBLANK(INDIRECT(CHAR(COLUMN()+96) &amp; ROW())))</formula>
    </cfRule>
    <cfRule type="expression" dxfId="313" priority="120">
      <formula xml:space="preserve"> INDIRECT(CHAR(COLUMN()+96) &amp; 4) = TODAY() * ISBLANK(INDIRECT(CHAR(COLUMN()+96) &amp; ROW()))</formula>
    </cfRule>
  </conditionalFormatting>
  <conditionalFormatting sqref="D14:E14 E13">
    <cfRule type="expression" dxfId="312" priority="117">
      <formula>INDIRECT("A"&amp;3) = INDIRECT("A"&amp;ROW())</formula>
    </cfRule>
  </conditionalFormatting>
  <conditionalFormatting sqref="D14:E14 E13">
    <cfRule type="colorScale" priority="118">
      <colorScale>
        <cfvo type="num" val="0"/>
        <cfvo type="num" val="0.5"/>
        <cfvo type="num" val="1"/>
        <color rgb="FFF8696B"/>
        <color rgb="FFFFEB84"/>
        <color rgb="FF63BE7B"/>
      </colorScale>
    </cfRule>
  </conditionalFormatting>
  <conditionalFormatting sqref="D19:D20">
    <cfRule type="expression" dxfId="311" priority="115">
      <formula xml:space="preserve"> INDIRECT(CHAR(COLUMN()+96) &amp; 4) = TODAY() * NOT(ISBLANK(INDIRECT(CHAR(COLUMN()+96) &amp; ROW())))</formula>
    </cfRule>
    <cfRule type="expression" dxfId="310" priority="116">
      <formula xml:space="preserve"> INDIRECT(CHAR(COLUMN()+96) &amp; 4) = TODAY() * ISBLANK(INDIRECT(CHAR(COLUMN()+96) &amp; ROW()))</formula>
    </cfRule>
  </conditionalFormatting>
  <conditionalFormatting sqref="D19:D20">
    <cfRule type="expression" dxfId="309" priority="113">
      <formula>INDIRECT("A"&amp;3) = INDIRECT("A"&amp;ROW())</formula>
    </cfRule>
  </conditionalFormatting>
  <conditionalFormatting sqref="D19:D20">
    <cfRule type="colorScale" priority="114">
      <colorScale>
        <cfvo type="num" val="0"/>
        <cfvo type="num" val="0.5"/>
        <cfvo type="num" val="1"/>
        <color rgb="FFF8696B"/>
        <color rgb="FFFFEB84"/>
        <color rgb="FF63BE7B"/>
      </colorScale>
    </cfRule>
  </conditionalFormatting>
  <conditionalFormatting sqref="D19:D20">
    <cfRule type="expression" dxfId="308" priority="111">
      <formula xml:space="preserve"> INDIRECT(CHAR(COLUMN()+96) &amp; 4) = TODAY() * NOT(ISBLANK(INDIRECT(CHAR(COLUMN()+96) &amp; ROW())))</formula>
    </cfRule>
    <cfRule type="expression" dxfId="307" priority="112">
      <formula xml:space="preserve"> INDIRECT(CHAR(COLUMN()+96) &amp; 4) = TODAY() * ISBLANK(INDIRECT(CHAR(COLUMN()+96) &amp; ROW()))</formula>
    </cfRule>
  </conditionalFormatting>
  <conditionalFormatting sqref="D19:D20">
    <cfRule type="expression" dxfId="306" priority="109">
      <formula>INDIRECT("A"&amp;3) = INDIRECT("A"&amp;ROW())</formula>
    </cfRule>
  </conditionalFormatting>
  <conditionalFormatting sqref="D19:D20">
    <cfRule type="colorScale" priority="110">
      <colorScale>
        <cfvo type="num" val="0"/>
        <cfvo type="num" val="0.5"/>
        <cfvo type="num" val="1"/>
        <color rgb="FFF8696B"/>
        <color rgb="FFFFEB84"/>
        <color rgb="FF63BE7B"/>
      </colorScale>
    </cfRule>
  </conditionalFormatting>
  <conditionalFormatting sqref="D17:D18">
    <cfRule type="expression" dxfId="305" priority="107">
      <formula xml:space="preserve"> INDIRECT(CHAR(COLUMN()+96) &amp; 4) = TODAY() * NOT(ISBLANK(INDIRECT(CHAR(COLUMN()+96) &amp; ROW())))</formula>
    </cfRule>
    <cfRule type="expression" dxfId="304" priority="108">
      <formula xml:space="preserve"> INDIRECT(CHAR(COLUMN()+96) &amp; 4) = TODAY() * ISBLANK(INDIRECT(CHAR(COLUMN()+96) &amp; ROW()))</formula>
    </cfRule>
  </conditionalFormatting>
  <conditionalFormatting sqref="D17:D18">
    <cfRule type="expression" dxfId="303" priority="105">
      <formula>INDIRECT("A"&amp;3) = INDIRECT("A"&amp;ROW())</formula>
    </cfRule>
  </conditionalFormatting>
  <conditionalFormatting sqref="D17:D18">
    <cfRule type="colorScale" priority="106">
      <colorScale>
        <cfvo type="num" val="0"/>
        <cfvo type="num" val="0.5"/>
        <cfvo type="num" val="1"/>
        <color rgb="FFF8696B"/>
        <color rgb="FFFFEB84"/>
        <color rgb="FF63BE7B"/>
      </colorScale>
    </cfRule>
  </conditionalFormatting>
  <conditionalFormatting sqref="E10:E11">
    <cfRule type="expression" dxfId="302" priority="103">
      <formula xml:space="preserve"> INDIRECT(CHAR(COLUMN()+96) &amp; 4) = TODAY() * NOT(ISBLANK(INDIRECT(CHAR(COLUMN()+96) &amp; ROW())))</formula>
    </cfRule>
    <cfRule type="expression" dxfId="301" priority="104">
      <formula xml:space="preserve"> INDIRECT(CHAR(COLUMN()+96) &amp; 4) = TODAY() * ISBLANK(INDIRECT(CHAR(COLUMN()+96) &amp; ROW()))</formula>
    </cfRule>
  </conditionalFormatting>
  <conditionalFormatting sqref="E10:E11">
    <cfRule type="expression" dxfId="300" priority="101">
      <formula>INDIRECT("A"&amp;3) = INDIRECT("A"&amp;ROW())</formula>
    </cfRule>
  </conditionalFormatting>
  <conditionalFormatting sqref="E10:E11">
    <cfRule type="colorScale" priority="102">
      <colorScale>
        <cfvo type="num" val="0"/>
        <cfvo type="num" val="0.5"/>
        <cfvo type="num" val="1"/>
        <color rgb="FFF8696B"/>
        <color rgb="FFFFEB84"/>
        <color rgb="FF63BE7B"/>
      </colorScale>
    </cfRule>
  </conditionalFormatting>
  <conditionalFormatting sqref="E10:E11">
    <cfRule type="expression" dxfId="299" priority="99">
      <formula xml:space="preserve"> INDIRECT(CHAR(COLUMN()+96) &amp; 4) = TODAY() * NOT(ISBLANK(INDIRECT(CHAR(COLUMN()+96) &amp; ROW())))</formula>
    </cfRule>
    <cfRule type="expression" dxfId="298" priority="100">
      <formula xml:space="preserve"> INDIRECT(CHAR(COLUMN()+96) &amp; 4) = TODAY() * ISBLANK(INDIRECT(CHAR(COLUMN()+96) &amp; ROW()))</formula>
    </cfRule>
  </conditionalFormatting>
  <conditionalFormatting sqref="E10:E11">
    <cfRule type="expression" dxfId="297" priority="97">
      <formula>INDIRECT("A"&amp;3) = INDIRECT("A"&amp;ROW())</formula>
    </cfRule>
  </conditionalFormatting>
  <conditionalFormatting sqref="E10:E11">
    <cfRule type="colorScale" priority="98">
      <colorScale>
        <cfvo type="num" val="0"/>
        <cfvo type="num" val="0.5"/>
        <cfvo type="num" val="1"/>
        <color rgb="FFF8696B"/>
        <color rgb="FFFFEB84"/>
        <color rgb="FF63BE7B"/>
      </colorScale>
    </cfRule>
  </conditionalFormatting>
  <conditionalFormatting sqref="E16:E17">
    <cfRule type="expression" dxfId="296" priority="95">
      <formula xml:space="preserve"> INDIRECT(CHAR(COLUMN()+96) &amp; 4) = TODAY() * NOT(ISBLANK(INDIRECT(CHAR(COLUMN()+96) &amp; ROW())))</formula>
    </cfRule>
    <cfRule type="expression" dxfId="295" priority="96">
      <formula xml:space="preserve"> INDIRECT(CHAR(COLUMN()+96) &amp; 4) = TODAY() * ISBLANK(INDIRECT(CHAR(COLUMN()+96) &amp; ROW()))</formula>
    </cfRule>
  </conditionalFormatting>
  <conditionalFormatting sqref="E16:E17">
    <cfRule type="expression" dxfId="294" priority="93">
      <formula>INDIRECT("A"&amp;3) = INDIRECT("A"&amp;ROW())</formula>
    </cfRule>
  </conditionalFormatting>
  <conditionalFormatting sqref="E16:E17">
    <cfRule type="colorScale" priority="94">
      <colorScale>
        <cfvo type="num" val="0"/>
        <cfvo type="num" val="0.5"/>
        <cfvo type="num" val="1"/>
        <color rgb="FFF8696B"/>
        <color rgb="FFFFEB84"/>
        <color rgb="FF63BE7B"/>
      </colorScale>
    </cfRule>
  </conditionalFormatting>
  <conditionalFormatting sqref="E16:E17">
    <cfRule type="expression" dxfId="293" priority="91">
      <formula xml:space="preserve"> INDIRECT(CHAR(COLUMN()+96) &amp; 4) = TODAY() * NOT(ISBLANK(INDIRECT(CHAR(COLUMN()+96) &amp; ROW())))</formula>
    </cfRule>
    <cfRule type="expression" dxfId="292" priority="92">
      <formula xml:space="preserve"> INDIRECT(CHAR(COLUMN()+96) &amp; 4) = TODAY() * ISBLANK(INDIRECT(CHAR(COLUMN()+96) &amp; ROW()))</formula>
    </cfRule>
  </conditionalFormatting>
  <conditionalFormatting sqref="E16:E17">
    <cfRule type="expression" dxfId="291" priority="89">
      <formula>INDIRECT("A"&amp;3) = INDIRECT("A"&amp;ROW())</formula>
    </cfRule>
  </conditionalFormatting>
  <conditionalFormatting sqref="E16:E17">
    <cfRule type="colorScale" priority="90">
      <colorScale>
        <cfvo type="num" val="0"/>
        <cfvo type="num" val="0.5"/>
        <cfvo type="num" val="1"/>
        <color rgb="FFF8696B"/>
        <color rgb="FFFFEB84"/>
        <color rgb="FF63BE7B"/>
      </colorScale>
    </cfRule>
  </conditionalFormatting>
  <conditionalFormatting sqref="E23:E24">
    <cfRule type="expression" dxfId="290" priority="87">
      <formula xml:space="preserve"> INDIRECT(CHAR(COLUMN()+96) &amp; 4) = TODAY() * NOT(ISBLANK(INDIRECT(CHAR(COLUMN()+96) &amp; ROW())))</formula>
    </cfRule>
    <cfRule type="expression" dxfId="289" priority="88">
      <formula xml:space="preserve"> INDIRECT(CHAR(COLUMN()+96) &amp; 4) = TODAY() * ISBLANK(INDIRECT(CHAR(COLUMN()+96) &amp; ROW()))</formula>
    </cfRule>
  </conditionalFormatting>
  <conditionalFormatting sqref="E23:E24">
    <cfRule type="expression" dxfId="288" priority="85">
      <formula>INDIRECT("A"&amp;3) = INDIRECT("A"&amp;ROW())</formula>
    </cfRule>
  </conditionalFormatting>
  <conditionalFormatting sqref="E23:E24">
    <cfRule type="colorScale" priority="86">
      <colorScale>
        <cfvo type="num" val="0"/>
        <cfvo type="num" val="0.5"/>
        <cfvo type="num" val="1"/>
        <color rgb="FFF8696B"/>
        <color rgb="FFFFEB84"/>
        <color rgb="FF63BE7B"/>
      </colorScale>
    </cfRule>
  </conditionalFormatting>
  <conditionalFormatting sqref="E23:E24">
    <cfRule type="expression" dxfId="287" priority="83">
      <formula xml:space="preserve"> INDIRECT(CHAR(COLUMN()+96) &amp; 4) = TODAY() * NOT(ISBLANK(INDIRECT(CHAR(COLUMN()+96) &amp; ROW())))</formula>
    </cfRule>
    <cfRule type="expression" dxfId="286" priority="84">
      <formula xml:space="preserve"> INDIRECT(CHAR(COLUMN()+96) &amp; 4) = TODAY() * ISBLANK(INDIRECT(CHAR(COLUMN()+96) &amp; ROW()))</formula>
    </cfRule>
  </conditionalFormatting>
  <conditionalFormatting sqref="E23:E24">
    <cfRule type="expression" dxfId="285" priority="81">
      <formula>INDIRECT("A"&amp;3) = INDIRECT("A"&amp;ROW())</formula>
    </cfRule>
  </conditionalFormatting>
  <conditionalFormatting sqref="E23:E24">
    <cfRule type="colorScale" priority="82">
      <colorScale>
        <cfvo type="num" val="0"/>
        <cfvo type="num" val="0.5"/>
        <cfvo type="num" val="1"/>
        <color rgb="FFF8696B"/>
        <color rgb="FFFFEB84"/>
        <color rgb="FF63BE7B"/>
      </colorScale>
    </cfRule>
  </conditionalFormatting>
  <conditionalFormatting sqref="I28:I30 C30:H30 C29:E29 G29:H29">
    <cfRule type="expression" dxfId="284" priority="79">
      <formula xml:space="preserve"> INDIRECT(CHAR(COLUMN()+96) &amp; 4) = TODAY() * NOT(ISBLANK(INDIRECT(CHAR(COLUMN()+96) &amp; ROW())))</formula>
    </cfRule>
    <cfRule type="expression" dxfId="283" priority="80">
      <formula xml:space="preserve"> INDIRECT(CHAR(COLUMN()+96) &amp; 4) = TODAY() * ISBLANK(INDIRECT(CHAR(COLUMN()+96) &amp; ROW()))</formula>
    </cfRule>
  </conditionalFormatting>
  <conditionalFormatting sqref="I28:I30 C30:H30 C29:E29 G29:H29">
    <cfRule type="expression" dxfId="282" priority="77">
      <formula>INDIRECT("A"&amp;3) = INDIRECT("A"&amp;ROW())</formula>
    </cfRule>
  </conditionalFormatting>
  <conditionalFormatting sqref="I28:I30 C30:H30 C29:E29 G29:H29">
    <cfRule type="colorScale" priority="78">
      <colorScale>
        <cfvo type="num" val="0"/>
        <cfvo type="num" val="0.5"/>
        <cfvo type="num" val="1"/>
        <color rgb="FFF8696B"/>
        <color rgb="FFFFEB84"/>
        <color rgb="FF63BE7B"/>
      </colorScale>
    </cfRule>
  </conditionalFormatting>
  <conditionalFormatting sqref="F28:F29">
    <cfRule type="expression" dxfId="281" priority="63">
      <formula xml:space="preserve"> INDIRECT(CHAR(COLUMN()+96) &amp; 4) = TODAY() * NOT(ISBLANK(INDIRECT(CHAR(COLUMN()+96) &amp; ROW())))</formula>
    </cfRule>
    <cfRule type="expression" dxfId="280" priority="64">
      <formula xml:space="preserve"> INDIRECT(CHAR(COLUMN()+96) &amp; 4) = TODAY() * ISBLANK(INDIRECT(CHAR(COLUMN()+96) &amp; ROW()))</formula>
    </cfRule>
  </conditionalFormatting>
  <conditionalFormatting sqref="F28:F29">
    <cfRule type="expression" dxfId="279" priority="61">
      <formula>INDIRECT("A"&amp;3) = INDIRECT("A"&amp;ROW())</formula>
    </cfRule>
  </conditionalFormatting>
  <conditionalFormatting sqref="F28:F29">
    <cfRule type="colorScale" priority="62">
      <colorScale>
        <cfvo type="num" val="0"/>
        <cfvo type="num" val="0.5"/>
        <cfvo type="num" val="1"/>
        <color rgb="FFF8696B"/>
        <color rgb="FFFFEB84"/>
        <color rgb="FF63BE7B"/>
      </colorScale>
    </cfRule>
  </conditionalFormatting>
  <conditionalFormatting sqref="F9:F10">
    <cfRule type="expression" dxfId="278" priority="55">
      <formula xml:space="preserve"> INDIRECT(CHAR(COLUMN()+96) &amp; 4) = TODAY() * NOT(ISBLANK(INDIRECT(CHAR(COLUMN()+96) &amp; ROW())))</formula>
    </cfRule>
    <cfRule type="expression" dxfId="277" priority="56">
      <formula xml:space="preserve"> INDIRECT(CHAR(COLUMN()+96) &amp; 4) = TODAY() * ISBLANK(INDIRECT(CHAR(COLUMN()+96) &amp; ROW()))</formula>
    </cfRule>
  </conditionalFormatting>
  <conditionalFormatting sqref="F9:F10">
    <cfRule type="expression" dxfId="276" priority="53">
      <formula>INDIRECT("A"&amp;3) = INDIRECT("A"&amp;ROW())</formula>
    </cfRule>
  </conditionalFormatting>
  <conditionalFormatting sqref="F9:F10">
    <cfRule type="colorScale" priority="54">
      <colorScale>
        <cfvo type="num" val="0"/>
        <cfvo type="num" val="0.5"/>
        <cfvo type="num" val="1"/>
        <color rgb="FFF8696B"/>
        <color rgb="FFFFEB84"/>
        <color rgb="FF63BE7B"/>
      </colorScale>
    </cfRule>
  </conditionalFormatting>
  <conditionalFormatting sqref="G17:G19">
    <cfRule type="expression" dxfId="275" priority="51">
      <formula xml:space="preserve"> INDIRECT(CHAR(COLUMN()+96) &amp; 4) = TODAY() * NOT(ISBLANK(INDIRECT(CHAR(COLUMN()+96) &amp; ROW())))</formula>
    </cfRule>
    <cfRule type="expression" dxfId="274" priority="52">
      <formula xml:space="preserve"> INDIRECT(CHAR(COLUMN()+96) &amp; 4) = TODAY() * ISBLANK(INDIRECT(CHAR(COLUMN()+96) &amp; ROW()))</formula>
    </cfRule>
  </conditionalFormatting>
  <conditionalFormatting sqref="G17:G19">
    <cfRule type="expression" dxfId="273" priority="49">
      <formula>INDIRECT("A"&amp;3) = INDIRECT("A"&amp;ROW())</formula>
    </cfRule>
  </conditionalFormatting>
  <conditionalFormatting sqref="G17:G19">
    <cfRule type="colorScale" priority="50">
      <colorScale>
        <cfvo type="num" val="0"/>
        <cfvo type="num" val="0.5"/>
        <cfvo type="num" val="1"/>
        <color rgb="FFF8696B"/>
        <color rgb="FFFFEB84"/>
        <color rgb="FF63BE7B"/>
      </colorScale>
    </cfRule>
  </conditionalFormatting>
  <conditionalFormatting sqref="F13:F15">
    <cfRule type="expression" dxfId="272" priority="43">
      <formula xml:space="preserve"> INDIRECT(CHAR(COLUMN()+96) &amp; 4) = TODAY() * NOT(ISBLANK(INDIRECT(CHAR(COLUMN()+96) &amp; ROW())))</formula>
    </cfRule>
    <cfRule type="expression" dxfId="271" priority="44">
      <formula xml:space="preserve"> INDIRECT(CHAR(COLUMN()+96) &amp; 4) = TODAY() * ISBLANK(INDIRECT(CHAR(COLUMN()+96) &amp; ROW()))</formula>
    </cfRule>
  </conditionalFormatting>
  <conditionalFormatting sqref="F13:F15">
    <cfRule type="expression" dxfId="270" priority="41">
      <formula>INDIRECT("A"&amp;3) = INDIRECT("A"&amp;ROW())</formula>
    </cfRule>
  </conditionalFormatting>
  <conditionalFormatting sqref="F13:F15">
    <cfRule type="colorScale" priority="42">
      <colorScale>
        <cfvo type="num" val="0"/>
        <cfvo type="num" val="0.5"/>
        <cfvo type="num" val="1"/>
        <color rgb="FFF8696B"/>
        <color rgb="FFFFEB84"/>
        <color rgb="FF63BE7B"/>
      </colorScale>
    </cfRule>
  </conditionalFormatting>
  <conditionalFormatting sqref="F20">
    <cfRule type="expression" dxfId="269" priority="39">
      <formula xml:space="preserve"> INDIRECT(CHAR(COLUMN()+96) &amp; 4) = TODAY() * NOT(ISBLANK(INDIRECT(CHAR(COLUMN()+96) &amp; ROW())))</formula>
    </cfRule>
    <cfRule type="expression" dxfId="268" priority="40">
      <formula xml:space="preserve"> INDIRECT(CHAR(COLUMN()+96) &amp; 4) = TODAY() * ISBLANK(INDIRECT(CHAR(COLUMN()+96) &amp; ROW()))</formula>
    </cfRule>
  </conditionalFormatting>
  <conditionalFormatting sqref="F20">
    <cfRule type="expression" dxfId="267" priority="37">
      <formula>INDIRECT("A"&amp;3) = INDIRECT("A"&amp;ROW())</formula>
    </cfRule>
  </conditionalFormatting>
  <conditionalFormatting sqref="F20">
    <cfRule type="colorScale" priority="38">
      <colorScale>
        <cfvo type="num" val="0"/>
        <cfvo type="num" val="0.5"/>
        <cfvo type="num" val="1"/>
        <color rgb="FFF8696B"/>
        <color rgb="FFFFEB84"/>
        <color rgb="FF63BE7B"/>
      </colorScale>
    </cfRule>
  </conditionalFormatting>
  <conditionalFormatting sqref="F16:F19">
    <cfRule type="expression" dxfId="266" priority="35">
      <formula xml:space="preserve"> INDIRECT(CHAR(COLUMN()+96) &amp; 4) = TODAY() * NOT(ISBLANK(INDIRECT(CHAR(COLUMN()+96) &amp; ROW())))</formula>
    </cfRule>
    <cfRule type="expression" dxfId="265" priority="36">
      <formula xml:space="preserve"> INDIRECT(CHAR(COLUMN()+96) &amp; 4) = TODAY() * ISBLANK(INDIRECT(CHAR(COLUMN()+96) &amp; ROW()))</formula>
    </cfRule>
  </conditionalFormatting>
  <conditionalFormatting sqref="F16:F19">
    <cfRule type="expression" dxfId="264" priority="33">
      <formula>INDIRECT("A"&amp;3) = INDIRECT("A"&amp;ROW())</formula>
    </cfRule>
  </conditionalFormatting>
  <conditionalFormatting sqref="F16:F19">
    <cfRule type="colorScale" priority="34">
      <colorScale>
        <cfvo type="num" val="0"/>
        <cfvo type="num" val="0.5"/>
        <cfvo type="num" val="1"/>
        <color rgb="FFF8696B"/>
        <color rgb="FFFFEB84"/>
        <color rgb="FF63BE7B"/>
      </colorScale>
    </cfRule>
  </conditionalFormatting>
  <conditionalFormatting sqref="F21:F24">
    <cfRule type="expression" dxfId="263" priority="31">
      <formula xml:space="preserve"> INDIRECT(CHAR(COLUMN()+96) &amp; 4) = TODAY() * NOT(ISBLANK(INDIRECT(CHAR(COLUMN()+96) &amp; ROW())))</formula>
    </cfRule>
    <cfRule type="expression" dxfId="262" priority="32">
      <formula xml:space="preserve"> INDIRECT(CHAR(COLUMN()+96) &amp; 4) = TODAY() * ISBLANK(INDIRECT(CHAR(COLUMN()+96) &amp; ROW()))</formula>
    </cfRule>
  </conditionalFormatting>
  <conditionalFormatting sqref="F21:F24">
    <cfRule type="expression" dxfId="261" priority="29">
      <formula>INDIRECT("A"&amp;3) = INDIRECT("A"&amp;ROW())</formula>
    </cfRule>
  </conditionalFormatting>
  <conditionalFormatting sqref="F21:F24">
    <cfRule type="colorScale" priority="30">
      <colorScale>
        <cfvo type="num" val="0"/>
        <cfvo type="num" val="0.5"/>
        <cfvo type="num" val="1"/>
        <color rgb="FFF8696B"/>
        <color rgb="FFFFEB84"/>
        <color rgb="FF63BE7B"/>
      </colorScale>
    </cfRule>
  </conditionalFormatting>
  <conditionalFormatting sqref="F25:F26">
    <cfRule type="expression" dxfId="260" priority="15">
      <formula xml:space="preserve"> INDIRECT(CHAR(COLUMN()+96) &amp; 4) = TODAY() * NOT(ISBLANK(INDIRECT(CHAR(COLUMN()+96) &amp; ROW())))</formula>
    </cfRule>
    <cfRule type="expression" dxfId="259" priority="16">
      <formula xml:space="preserve"> INDIRECT(CHAR(COLUMN()+96) &amp; 4) = TODAY() * ISBLANK(INDIRECT(CHAR(COLUMN()+96) &amp; ROW()))</formula>
    </cfRule>
  </conditionalFormatting>
  <conditionalFormatting sqref="F25:F26">
    <cfRule type="expression" dxfId="258" priority="13">
      <formula>INDIRECT("A"&amp;3) = INDIRECT("A"&amp;ROW())</formula>
    </cfRule>
  </conditionalFormatting>
  <conditionalFormatting sqref="F25:F26">
    <cfRule type="colorScale" priority="14">
      <colorScale>
        <cfvo type="num" val="0"/>
        <cfvo type="num" val="0.5"/>
        <cfvo type="num" val="1"/>
        <color rgb="FFF8696B"/>
        <color rgb="FFFFEB84"/>
        <color rgb="FF63BE7B"/>
      </colorScale>
    </cfRule>
  </conditionalFormatting>
  <conditionalFormatting sqref="F27">
    <cfRule type="expression" dxfId="257" priority="7">
      <formula xml:space="preserve"> INDIRECT(CHAR(COLUMN()+96) &amp; 4) = TODAY() * NOT(ISBLANK(INDIRECT(CHAR(COLUMN()+96) &amp; ROW())))</formula>
    </cfRule>
    <cfRule type="expression" dxfId="256" priority="8">
      <formula xml:space="preserve"> INDIRECT(CHAR(COLUMN()+96) &amp; 4) = TODAY() * ISBLANK(INDIRECT(CHAR(COLUMN()+96) &amp; ROW()))</formula>
    </cfRule>
  </conditionalFormatting>
  <conditionalFormatting sqref="F27">
    <cfRule type="expression" dxfId="255" priority="5">
      <formula>INDIRECT("A"&amp;3) = INDIRECT("A"&amp;ROW())</formula>
    </cfRule>
  </conditionalFormatting>
  <conditionalFormatting sqref="F27">
    <cfRule type="colorScale" priority="6">
      <colorScale>
        <cfvo type="num" val="0"/>
        <cfvo type="num" val="0.5"/>
        <cfvo type="num" val="1"/>
        <color rgb="FFF8696B"/>
        <color rgb="FFFFEB84"/>
        <color rgb="FF63BE7B"/>
      </colorScale>
    </cfRule>
  </conditionalFormatting>
  <conditionalFormatting sqref="G10:G11">
    <cfRule type="expression" dxfId="254" priority="3">
      <formula xml:space="preserve"> INDIRECT(CHAR(COLUMN()+96) &amp; 4) = TODAY() * NOT(ISBLANK(INDIRECT(CHAR(COLUMN()+96) &amp; ROW())))</formula>
    </cfRule>
    <cfRule type="expression" dxfId="253" priority="4">
      <formula xml:space="preserve"> INDIRECT(CHAR(COLUMN()+96) &amp; 4) = TODAY() * ISBLANK(INDIRECT(CHAR(COLUMN()+96) &amp; ROW()))</formula>
    </cfRule>
  </conditionalFormatting>
  <conditionalFormatting sqref="G10:G11">
    <cfRule type="expression" dxfId="252" priority="1">
      <formula>INDIRECT("A"&amp;3) = INDIRECT("A"&amp;ROW())</formula>
    </cfRule>
  </conditionalFormatting>
  <conditionalFormatting sqref="G10:G11">
    <cfRule type="colorScale" priority="2">
      <colorScale>
        <cfvo type="num" val="0"/>
        <cfvo type="num" val="0.5"/>
        <cfvo type="num" val="1"/>
        <color rgb="FFF8696B"/>
        <color rgb="FFFFEB84"/>
        <color rgb="FF63BE7B"/>
      </colorScale>
    </cfRule>
  </conditionalFormatting>
  <pageMargins left="0.7" right="0.7" top="0.75" bottom="0.75" header="0.3" footer="0.3"/>
  <pageSetup paperSize="9" orientation="portrait" horizontalDpi="4294967293"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4"/>
  </sheetPr>
  <dimension ref="A1:AT11"/>
  <sheetViews>
    <sheetView zoomScale="79" zoomScaleNormal="96" zoomScalePageLayoutView="96" workbookViewId="0">
      <selection activeCell="E6" sqref="E6"/>
    </sheetView>
  </sheetViews>
  <sheetFormatPr defaultColWidth="8.85546875" defaultRowHeight="15" x14ac:dyDescent="0.25"/>
  <cols>
    <col min="1" max="1" width="12.7109375" style="65" customWidth="1"/>
    <col min="2" max="2" width="9.5703125" style="106" customWidth="1"/>
    <col min="3" max="3" width="20.7109375" style="106" customWidth="1"/>
    <col min="4" max="4" width="18.140625" style="1" customWidth="1"/>
    <col min="5" max="5" width="74" style="1" customWidth="1"/>
    <col min="6" max="6" width="84.42578125" style="1" customWidth="1"/>
    <col min="7" max="7" width="35.42578125" style="1" customWidth="1"/>
    <col min="8" max="8" width="17" style="105" customWidth="1"/>
    <col min="9" max="9" width="32.28515625" style="105" customWidth="1"/>
    <col min="10" max="11" width="35.42578125" style="1" customWidth="1"/>
    <col min="12" max="12" width="30.7109375" style="1" customWidth="1"/>
    <col min="13" max="13" width="22" style="1" customWidth="1"/>
    <col min="14" max="16384" width="8.85546875" style="1"/>
  </cols>
  <sheetData>
    <row r="1" spans="1:46" s="67" customFormat="1" ht="26.25" customHeight="1" x14ac:dyDescent="0.25">
      <c r="A1" s="68">
        <f ca="1">TODAY()</f>
        <v>43306</v>
      </c>
      <c r="B1" s="68"/>
      <c r="C1" s="68"/>
    </row>
    <row r="2" spans="1:46" s="96" customFormat="1" ht="26.25" customHeight="1" x14ac:dyDescent="0.25">
      <c r="A2" s="95">
        <f ca="1">NOW()</f>
        <v>43306.455487500003</v>
      </c>
      <c r="B2" s="95"/>
      <c r="C2" s="95" t="s">
        <v>397</v>
      </c>
      <c r="F2" s="97" t="s">
        <v>281</v>
      </c>
      <c r="G2" s="97"/>
      <c r="J2" s="97"/>
      <c r="K2" s="97"/>
      <c r="L2" s="97"/>
      <c r="M2" s="97"/>
      <c r="N2" s="97"/>
    </row>
    <row r="3" spans="1:46" s="110" customFormat="1" x14ac:dyDescent="0.25">
      <c r="A3" s="116"/>
      <c r="B3" s="127" t="s">
        <v>285</v>
      </c>
      <c r="H3" s="115"/>
      <c r="I3" s="115"/>
    </row>
    <row r="4" spans="1:46" s="109" customFormat="1" x14ac:dyDescent="0.25">
      <c r="A4" s="107"/>
      <c r="B4" s="108" t="s">
        <v>40</v>
      </c>
      <c r="C4" s="108" t="s">
        <v>396</v>
      </c>
      <c r="D4" s="109" t="s">
        <v>21</v>
      </c>
      <c r="E4" s="109" t="s">
        <v>289</v>
      </c>
      <c r="F4" s="109" t="s">
        <v>291</v>
      </c>
      <c r="G4" s="109" t="s">
        <v>283</v>
      </c>
      <c r="H4" s="109" t="s">
        <v>282</v>
      </c>
      <c r="I4" s="109" t="s">
        <v>286</v>
      </c>
      <c r="J4" s="109" t="s">
        <v>284</v>
      </c>
      <c r="K4" s="109" t="s">
        <v>290</v>
      </c>
    </row>
    <row r="5" spans="1:46" ht="67.5" customHeight="1" x14ac:dyDescent="0.25">
      <c r="B5" s="106">
        <v>20</v>
      </c>
      <c r="C5" s="106" t="s">
        <v>429</v>
      </c>
      <c r="D5" s="2" t="s">
        <v>389</v>
      </c>
      <c r="E5" s="1" t="s">
        <v>605</v>
      </c>
      <c r="F5" s="129"/>
      <c r="G5" s="123"/>
      <c r="H5" s="111"/>
      <c r="I5" s="51"/>
      <c r="K5" s="114"/>
      <c r="L5" s="43"/>
      <c r="M5" s="43"/>
      <c r="N5" s="43"/>
      <c r="O5" s="43"/>
      <c r="P5" s="43"/>
      <c r="Q5" s="43"/>
      <c r="R5" s="43"/>
      <c r="S5" s="43"/>
      <c r="T5" s="43"/>
      <c r="U5" s="43"/>
      <c r="V5" s="43"/>
      <c r="W5" s="43"/>
      <c r="X5" s="43"/>
      <c r="Y5" s="43"/>
      <c r="Z5" s="43"/>
      <c r="AA5" s="43"/>
      <c r="AB5" s="43"/>
      <c r="AC5" s="43"/>
      <c r="AD5" s="43"/>
      <c r="AE5" s="43"/>
      <c r="AF5" s="43"/>
      <c r="AG5" s="43"/>
      <c r="AH5" s="43"/>
      <c r="AI5" s="43"/>
      <c r="AJ5" s="43"/>
      <c r="AK5" s="43"/>
      <c r="AL5" s="43"/>
      <c r="AM5" s="43"/>
      <c r="AN5" s="43"/>
      <c r="AO5" s="43"/>
      <c r="AP5" s="43"/>
      <c r="AQ5" s="43"/>
      <c r="AR5" s="43"/>
      <c r="AS5" s="43"/>
      <c r="AT5" s="43"/>
    </row>
    <row r="6" spans="1:46" ht="94.5" customHeight="1" x14ac:dyDescent="0.25">
      <c r="B6" s="106">
        <v>15</v>
      </c>
      <c r="D6" s="2" t="s">
        <v>390</v>
      </c>
      <c r="F6" s="129"/>
      <c r="G6" s="123"/>
      <c r="H6" s="111"/>
      <c r="I6" s="51"/>
      <c r="K6" s="113"/>
    </row>
    <row r="7" spans="1:46" ht="61.7" customHeight="1" x14ac:dyDescent="0.25">
      <c r="B7" s="106">
        <v>0</v>
      </c>
      <c r="D7" s="2" t="s">
        <v>392</v>
      </c>
      <c r="F7" s="128"/>
      <c r="G7" s="123"/>
      <c r="H7" s="111"/>
      <c r="I7" s="51"/>
      <c r="K7" s="114"/>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c r="AT7" s="43"/>
    </row>
    <row r="8" spans="1:46" ht="78.75" customHeight="1" x14ac:dyDescent="0.25">
      <c r="B8" s="106">
        <v>0</v>
      </c>
      <c r="D8" s="2" t="s">
        <v>394</v>
      </c>
      <c r="F8" s="128"/>
      <c r="G8" s="2"/>
      <c r="H8" s="111"/>
      <c r="I8" s="51"/>
      <c r="K8" s="114"/>
    </row>
    <row r="9" spans="1:46" ht="106.5" customHeight="1" x14ac:dyDescent="0.25">
      <c r="B9" s="106">
        <v>0</v>
      </c>
      <c r="D9" s="117" t="s">
        <v>395</v>
      </c>
      <c r="E9" s="1" t="s">
        <v>604</v>
      </c>
      <c r="F9" s="128"/>
      <c r="G9" s="145"/>
      <c r="H9" s="111"/>
      <c r="I9" s="51"/>
      <c r="K9" s="113"/>
      <c r="L9" s="43"/>
      <c r="M9" s="43"/>
      <c r="N9" s="43"/>
      <c r="O9" s="43"/>
      <c r="P9" s="43"/>
      <c r="Q9" s="43"/>
      <c r="R9" s="43"/>
      <c r="S9" s="43"/>
      <c r="T9" s="43"/>
      <c r="U9" s="43"/>
      <c r="V9" s="43"/>
      <c r="W9" s="43"/>
      <c r="X9" s="43"/>
      <c r="Y9" s="43"/>
      <c r="Z9" s="43"/>
      <c r="AA9" s="43"/>
      <c r="AB9" s="43"/>
      <c r="AC9" s="43"/>
      <c r="AD9" s="43"/>
      <c r="AE9" s="43"/>
      <c r="AF9" s="43"/>
      <c r="AG9" s="43"/>
      <c r="AH9" s="43"/>
      <c r="AI9" s="43"/>
      <c r="AJ9" s="43"/>
      <c r="AK9" s="43"/>
      <c r="AL9" s="43"/>
      <c r="AM9" s="43"/>
      <c r="AN9" s="43"/>
      <c r="AO9" s="43"/>
      <c r="AP9" s="43"/>
      <c r="AQ9" s="43"/>
      <c r="AR9" s="43"/>
      <c r="AS9" s="43"/>
      <c r="AT9" s="43"/>
    </row>
    <row r="10" spans="1:46" ht="106.5" customHeight="1" x14ac:dyDescent="0.25">
      <c r="B10" s="106">
        <v>0</v>
      </c>
      <c r="D10" s="117" t="s">
        <v>399</v>
      </c>
      <c r="F10" s="112"/>
      <c r="G10" s="118"/>
      <c r="H10" s="111"/>
      <c r="I10" s="51"/>
      <c r="K10" s="114"/>
      <c r="L10" s="43"/>
      <c r="M10" s="43"/>
      <c r="N10" s="43"/>
      <c r="O10" s="43"/>
      <c r="P10" s="43"/>
      <c r="Q10" s="43"/>
      <c r="R10" s="43"/>
      <c r="S10" s="43"/>
      <c r="T10" s="43"/>
      <c r="U10" s="43"/>
      <c r="V10" s="43"/>
      <c r="W10" s="43"/>
      <c r="X10" s="43"/>
      <c r="Y10" s="43"/>
      <c r="Z10" s="43"/>
      <c r="AA10" s="43"/>
      <c r="AB10" s="43"/>
      <c r="AC10" s="43"/>
      <c r="AD10" s="43"/>
      <c r="AE10" s="43"/>
      <c r="AF10" s="43"/>
      <c r="AG10" s="43"/>
      <c r="AH10" s="43"/>
      <c r="AI10" s="43"/>
      <c r="AJ10" s="43"/>
      <c r="AK10" s="43"/>
      <c r="AL10" s="43"/>
      <c r="AM10" s="43"/>
      <c r="AN10" s="43"/>
      <c r="AO10" s="43"/>
      <c r="AP10" s="43"/>
      <c r="AQ10" s="43"/>
      <c r="AR10" s="43"/>
      <c r="AS10" s="43"/>
      <c r="AT10" s="43"/>
    </row>
    <row r="11" spans="1:46" ht="106.5" customHeight="1" x14ac:dyDescent="0.25">
      <c r="B11" s="39"/>
      <c r="C11" s="39"/>
      <c r="D11" s="117"/>
      <c r="E11" s="2"/>
      <c r="F11" s="119"/>
      <c r="G11" s="118"/>
      <c r="H11" s="120"/>
      <c r="I11" s="121"/>
      <c r="J11" s="39"/>
      <c r="K11" s="122" t="s">
        <v>287</v>
      </c>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c r="AS11" s="43"/>
      <c r="AT11" s="43"/>
    </row>
  </sheetData>
  <conditionalFormatting sqref="B5:C11">
    <cfRule type="colorScale" priority="2">
      <colorScale>
        <cfvo type="num" val="0"/>
        <cfvo type="num" val="5"/>
        <cfvo type="num" val="20"/>
        <color rgb="FF00B050"/>
        <color rgb="FFFFFF00"/>
        <color rgb="FFFF2929"/>
      </colorScale>
    </cfRule>
  </conditionalFormatting>
  <conditionalFormatting sqref="H5:H11">
    <cfRule type="colorScale" priority="1">
      <colorScale>
        <cfvo type="num" val="0"/>
        <cfvo type="num" val="0.5"/>
        <cfvo type="num" val="1"/>
        <color rgb="FFF8696B"/>
        <color rgb="FFFFEB84"/>
        <color rgb="FF63BE7B"/>
      </colorScale>
    </cfRule>
  </conditionalFormatting>
  <pageMargins left="0.7" right="0.7" top="0.75" bottom="0.75" header="0.3" footer="0.3"/>
  <pageSetup paperSize="9" orientation="portrait" horizontalDpi="4294967293" verticalDpi="0"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NC726"/>
  <sheetViews>
    <sheetView topLeftCell="B4" zoomScale="70" zoomScaleNormal="70" zoomScalePageLayoutView="115" workbookViewId="0">
      <selection activeCell="C8" sqref="C8"/>
    </sheetView>
  </sheetViews>
  <sheetFormatPr defaultColWidth="9.140625" defaultRowHeight="15" x14ac:dyDescent="0.25"/>
  <cols>
    <col min="1" max="1" width="14.7109375" style="10" customWidth="1"/>
    <col min="2" max="2" width="15.42578125" style="31" customWidth="1"/>
    <col min="3" max="3" width="31.42578125" style="31" customWidth="1"/>
    <col min="4" max="4" width="15.85546875" style="32" customWidth="1"/>
    <col min="5" max="5" width="16.42578125" style="32" customWidth="1"/>
    <col min="6" max="6" width="32.85546875" style="21" customWidth="1"/>
    <col min="7" max="7" width="2.42578125" style="13" customWidth="1"/>
    <col min="8" max="8" width="15" style="2" customWidth="1"/>
    <col min="9" max="9" width="11.42578125" style="2" customWidth="1"/>
    <col min="10" max="10" width="11.85546875" style="2" customWidth="1"/>
    <col min="11" max="11" width="13.140625" style="2" customWidth="1"/>
    <col min="12" max="12" width="9.140625" style="2" customWidth="1"/>
    <col min="13" max="13" width="9.140625" style="2"/>
    <col min="14" max="14" width="9.140625" style="2" customWidth="1"/>
    <col min="15" max="15" width="13.28515625" style="2" customWidth="1"/>
    <col min="16" max="40" width="9.140625" style="2" customWidth="1"/>
    <col min="41" max="367" width="9.140625" style="2"/>
    <col min="368" max="16384" width="9.140625" style="1"/>
  </cols>
  <sheetData>
    <row r="1" spans="1:367" s="3" customFormat="1" x14ac:dyDescent="0.25">
      <c r="A1" s="10"/>
      <c r="B1" s="22"/>
      <c r="C1" s="22"/>
      <c r="D1" s="23"/>
      <c r="E1" s="23"/>
      <c r="F1" s="18"/>
      <c r="G1" s="11"/>
      <c r="H1" s="41"/>
      <c r="I1" s="41"/>
      <c r="J1" s="41"/>
      <c r="K1" s="41"/>
      <c r="L1" s="41"/>
      <c r="M1" s="41"/>
      <c r="N1" s="41"/>
      <c r="O1" s="41"/>
      <c r="P1" s="41"/>
      <c r="Q1" s="41"/>
      <c r="R1" s="41"/>
      <c r="S1" s="41"/>
      <c r="T1" s="41"/>
      <c r="U1" s="41"/>
      <c r="V1" s="41"/>
      <c r="W1" s="41"/>
      <c r="X1" s="41"/>
      <c r="Y1" s="41"/>
      <c r="Z1" s="41"/>
      <c r="AA1" s="41"/>
      <c r="AB1" s="41"/>
      <c r="AC1" s="41"/>
      <c r="AD1" s="41"/>
      <c r="AE1" s="41"/>
      <c r="AF1" s="41"/>
      <c r="AG1" s="41"/>
      <c r="AH1" s="41"/>
      <c r="AI1" s="41"/>
      <c r="AJ1" s="41"/>
      <c r="AK1" s="41"/>
      <c r="AL1" s="41"/>
      <c r="AM1" s="41"/>
      <c r="AN1" s="41"/>
      <c r="AO1" s="41"/>
      <c r="AP1" s="41"/>
      <c r="AQ1" s="41"/>
      <c r="AR1" s="41"/>
      <c r="AS1" s="41"/>
      <c r="AT1" s="41"/>
      <c r="AU1" s="41"/>
      <c r="AV1" s="41"/>
      <c r="AW1" s="41"/>
      <c r="AX1" s="41"/>
      <c r="AY1" s="41"/>
      <c r="AZ1" s="41"/>
      <c r="BA1" s="41"/>
      <c r="BB1" s="41"/>
      <c r="BC1" s="41"/>
      <c r="BD1" s="41"/>
      <c r="BE1" s="41"/>
      <c r="BF1" s="41"/>
      <c r="BG1" s="41"/>
      <c r="BH1" s="41"/>
      <c r="BI1" s="41"/>
      <c r="BJ1" s="41"/>
      <c r="BK1" s="41"/>
      <c r="BL1" s="41"/>
      <c r="BM1" s="41"/>
      <c r="BN1" s="41"/>
      <c r="BO1" s="41"/>
      <c r="BP1" s="41"/>
      <c r="BQ1" s="41"/>
      <c r="BR1" s="41"/>
      <c r="BS1" s="41"/>
      <c r="BT1" s="41"/>
      <c r="BU1" s="41"/>
      <c r="BV1" s="41"/>
      <c r="BW1" s="41"/>
      <c r="BX1" s="41"/>
      <c r="BY1" s="41"/>
      <c r="BZ1" s="41"/>
      <c r="CA1" s="41"/>
      <c r="CB1" s="41"/>
      <c r="CC1" s="41"/>
      <c r="CD1" s="41"/>
      <c r="CE1" s="41"/>
      <c r="CF1" s="41"/>
      <c r="CG1" s="41"/>
      <c r="CH1" s="41"/>
      <c r="CI1" s="41"/>
      <c r="CJ1" s="41"/>
      <c r="CK1" s="41"/>
      <c r="CL1" s="41"/>
      <c r="CM1" s="41"/>
      <c r="CN1" s="41"/>
      <c r="CO1" s="41"/>
      <c r="CP1" s="41"/>
      <c r="CQ1" s="41"/>
      <c r="CR1" s="41"/>
      <c r="CS1" s="41"/>
      <c r="CT1" s="41"/>
      <c r="CU1" s="41"/>
      <c r="CV1" s="41"/>
      <c r="CW1" s="41"/>
      <c r="CX1" s="41"/>
      <c r="CY1" s="41"/>
      <c r="CZ1" s="41"/>
      <c r="DA1" s="41"/>
      <c r="DB1" s="41"/>
      <c r="DC1" s="41"/>
      <c r="DD1" s="41"/>
      <c r="DE1" s="41"/>
      <c r="DF1" s="41"/>
      <c r="DG1" s="41"/>
      <c r="DH1" s="41"/>
      <c r="DI1" s="41"/>
      <c r="DJ1" s="41"/>
      <c r="DK1" s="41"/>
      <c r="DL1" s="41"/>
      <c r="DM1" s="41"/>
      <c r="DN1" s="41"/>
      <c r="DO1" s="41"/>
      <c r="DP1" s="41"/>
      <c r="DQ1" s="41"/>
      <c r="DR1" s="41"/>
      <c r="DS1" s="41"/>
      <c r="DT1" s="41"/>
      <c r="DU1" s="41"/>
      <c r="DV1" s="41"/>
      <c r="DW1" s="41"/>
      <c r="DX1" s="41"/>
      <c r="DY1" s="41"/>
      <c r="DZ1" s="41"/>
      <c r="EA1" s="41"/>
      <c r="EB1" s="41"/>
      <c r="EC1" s="41"/>
      <c r="ED1" s="41"/>
      <c r="EE1" s="41"/>
      <c r="EF1" s="41"/>
      <c r="EG1" s="41"/>
      <c r="EH1" s="41"/>
      <c r="EI1" s="41"/>
      <c r="EJ1" s="41"/>
      <c r="EK1" s="41"/>
      <c r="EL1" s="41"/>
      <c r="EM1" s="41"/>
      <c r="EN1" s="41"/>
      <c r="EO1" s="41"/>
      <c r="EP1" s="41"/>
      <c r="EQ1" s="41"/>
      <c r="ER1" s="41"/>
      <c r="ES1" s="41"/>
      <c r="ET1" s="41"/>
      <c r="EU1" s="41"/>
      <c r="EV1" s="41"/>
      <c r="EW1" s="41"/>
      <c r="EX1" s="41"/>
      <c r="EY1" s="41"/>
      <c r="EZ1" s="41"/>
      <c r="FA1" s="41"/>
      <c r="FB1" s="41"/>
      <c r="FC1" s="41"/>
      <c r="FD1" s="41"/>
      <c r="FE1" s="41"/>
      <c r="FF1" s="41"/>
      <c r="FG1" s="41"/>
      <c r="FH1" s="41"/>
      <c r="FI1" s="41"/>
      <c r="FJ1" s="41"/>
      <c r="FK1" s="41"/>
      <c r="FL1" s="41"/>
      <c r="FM1" s="41"/>
      <c r="FN1" s="41"/>
      <c r="FO1" s="41"/>
      <c r="FP1" s="41"/>
      <c r="FQ1" s="41"/>
      <c r="FR1" s="41"/>
      <c r="FS1" s="41"/>
      <c r="FT1" s="41"/>
      <c r="FU1" s="41"/>
      <c r="FV1" s="41"/>
      <c r="FW1" s="41"/>
      <c r="FX1" s="41"/>
      <c r="FY1" s="41"/>
      <c r="FZ1" s="41"/>
      <c r="GA1" s="41"/>
      <c r="GB1" s="41"/>
      <c r="GC1" s="41"/>
      <c r="GD1" s="41"/>
      <c r="GE1" s="41"/>
      <c r="GF1" s="41"/>
      <c r="GG1" s="41"/>
      <c r="GH1" s="41"/>
      <c r="GI1" s="41"/>
      <c r="GJ1" s="41"/>
      <c r="GK1" s="41"/>
      <c r="GL1" s="41"/>
      <c r="GM1" s="41"/>
      <c r="GN1" s="41"/>
      <c r="GO1" s="41"/>
      <c r="GP1" s="41"/>
      <c r="GQ1" s="41"/>
      <c r="GR1" s="41"/>
      <c r="GS1" s="41"/>
      <c r="GT1" s="41"/>
      <c r="GU1" s="41"/>
      <c r="GV1" s="41"/>
      <c r="GW1" s="41"/>
      <c r="GX1" s="41"/>
      <c r="GY1" s="41"/>
      <c r="GZ1" s="41"/>
      <c r="HA1" s="41"/>
      <c r="HB1" s="41"/>
      <c r="HC1" s="41"/>
      <c r="HD1" s="41"/>
      <c r="HE1" s="41"/>
      <c r="HF1" s="41"/>
      <c r="HG1" s="41"/>
      <c r="HH1" s="41"/>
      <c r="HI1" s="41"/>
      <c r="HJ1" s="41"/>
      <c r="HK1" s="41"/>
      <c r="HL1" s="41"/>
      <c r="HM1" s="41"/>
      <c r="HN1" s="41"/>
      <c r="HO1" s="41"/>
      <c r="HP1" s="41"/>
      <c r="HQ1" s="41"/>
      <c r="HR1" s="41"/>
      <c r="HS1" s="41"/>
      <c r="HT1" s="41"/>
      <c r="HU1" s="41"/>
      <c r="HV1" s="41"/>
      <c r="HW1" s="41"/>
      <c r="HX1" s="41"/>
      <c r="HY1" s="41"/>
      <c r="HZ1" s="41"/>
      <c r="IA1" s="41"/>
      <c r="IB1" s="41"/>
      <c r="IC1" s="41"/>
      <c r="ID1" s="41"/>
      <c r="IE1" s="41"/>
      <c r="IF1" s="41"/>
      <c r="IG1" s="41"/>
      <c r="IH1" s="41"/>
      <c r="II1" s="41"/>
      <c r="IJ1" s="41"/>
      <c r="IK1" s="41"/>
      <c r="IL1" s="41"/>
      <c r="IM1" s="41"/>
      <c r="IN1" s="41"/>
      <c r="IO1" s="41"/>
      <c r="IP1" s="41"/>
      <c r="IQ1" s="41"/>
      <c r="IR1" s="41"/>
      <c r="IS1" s="41"/>
      <c r="IT1" s="41"/>
      <c r="IU1" s="41"/>
      <c r="IV1" s="41"/>
      <c r="IW1" s="41"/>
      <c r="IX1" s="41"/>
      <c r="IY1" s="41"/>
      <c r="IZ1" s="41"/>
      <c r="JA1" s="41"/>
      <c r="JB1" s="41"/>
      <c r="JC1" s="41"/>
      <c r="JD1" s="41"/>
      <c r="JE1" s="41"/>
      <c r="JF1" s="41"/>
      <c r="JG1" s="41"/>
      <c r="JH1" s="41"/>
      <c r="JI1" s="41"/>
      <c r="JJ1" s="41"/>
      <c r="JK1" s="41"/>
      <c r="JL1" s="41"/>
      <c r="JM1" s="41"/>
      <c r="JN1" s="41"/>
      <c r="JO1" s="41"/>
      <c r="JP1" s="41"/>
      <c r="JQ1" s="41"/>
      <c r="JR1" s="41"/>
      <c r="JS1" s="41"/>
      <c r="JT1" s="41"/>
      <c r="JU1" s="41"/>
      <c r="JV1" s="41"/>
      <c r="JW1" s="41"/>
      <c r="JX1" s="41"/>
      <c r="JY1" s="41"/>
      <c r="JZ1" s="41"/>
      <c r="KA1" s="41"/>
      <c r="KB1" s="41"/>
      <c r="KC1" s="41"/>
      <c r="KD1" s="41"/>
      <c r="KE1" s="41"/>
      <c r="KF1" s="41"/>
      <c r="KG1" s="41"/>
      <c r="KH1" s="41"/>
      <c r="KI1" s="41"/>
      <c r="KJ1" s="41"/>
      <c r="KK1" s="41"/>
      <c r="KL1" s="41"/>
      <c r="KM1" s="41"/>
      <c r="KN1" s="41"/>
      <c r="KO1" s="41"/>
      <c r="KP1" s="41"/>
      <c r="KQ1" s="41"/>
      <c r="KR1" s="41"/>
      <c r="KS1" s="41"/>
      <c r="KT1" s="41"/>
      <c r="KU1" s="41"/>
      <c r="KV1" s="41"/>
      <c r="KW1" s="41"/>
      <c r="KX1" s="41"/>
      <c r="KY1" s="41"/>
      <c r="KZ1" s="41"/>
      <c r="LA1" s="41"/>
      <c r="LB1" s="41"/>
      <c r="LC1" s="41"/>
      <c r="LD1" s="41"/>
      <c r="LE1" s="41"/>
      <c r="LF1" s="41"/>
      <c r="LG1" s="41"/>
      <c r="LH1" s="41"/>
      <c r="LI1" s="41"/>
      <c r="LJ1" s="41"/>
      <c r="LK1" s="41"/>
      <c r="LL1" s="41"/>
      <c r="LM1" s="41"/>
      <c r="LN1" s="41"/>
      <c r="LO1" s="41"/>
      <c r="LP1" s="41"/>
      <c r="LQ1" s="41"/>
      <c r="LR1" s="41"/>
      <c r="LS1" s="41"/>
      <c r="LT1" s="41"/>
      <c r="LU1" s="41"/>
      <c r="LV1" s="41"/>
      <c r="LW1" s="41"/>
      <c r="LX1" s="41"/>
      <c r="LY1" s="41"/>
      <c r="LZ1" s="41"/>
      <c r="MA1" s="41"/>
      <c r="MB1" s="41"/>
      <c r="MC1" s="41"/>
      <c r="MD1" s="41"/>
      <c r="ME1" s="41"/>
      <c r="MF1" s="41"/>
      <c r="MG1" s="41"/>
      <c r="MH1" s="41"/>
      <c r="MI1" s="41"/>
      <c r="MJ1" s="41"/>
      <c r="MK1" s="41"/>
      <c r="ML1" s="41"/>
      <c r="MM1" s="41"/>
      <c r="MN1" s="41"/>
      <c r="MO1" s="41"/>
      <c r="MP1" s="41"/>
      <c r="MQ1" s="41"/>
      <c r="MR1" s="41"/>
      <c r="MS1" s="41"/>
      <c r="MT1" s="41"/>
      <c r="MU1" s="41"/>
      <c r="MV1" s="41"/>
      <c r="MW1" s="41"/>
      <c r="MX1" s="41"/>
      <c r="MY1" s="41"/>
      <c r="MZ1" s="41"/>
      <c r="NA1" s="41"/>
      <c r="NB1" s="41"/>
      <c r="NC1" s="41"/>
    </row>
    <row r="2" spans="1:367" s="7" customFormat="1" x14ac:dyDescent="0.25">
      <c r="A2" s="9"/>
      <c r="B2" s="24"/>
      <c r="C2" s="24"/>
      <c r="D2" s="25"/>
      <c r="E2" s="25"/>
      <c r="F2" s="19"/>
      <c r="G2" s="11"/>
      <c r="H2" s="41"/>
      <c r="I2" s="41"/>
      <c r="J2" s="41"/>
      <c r="K2" s="41"/>
      <c r="L2" s="41"/>
      <c r="M2" s="41"/>
      <c r="N2" s="41"/>
      <c r="O2" s="41"/>
      <c r="P2" s="41"/>
      <c r="Q2" s="41"/>
      <c r="R2" s="41"/>
      <c r="S2" s="41"/>
      <c r="T2" s="41"/>
      <c r="U2" s="41"/>
      <c r="V2" s="41"/>
      <c r="W2" s="41"/>
      <c r="X2" s="41"/>
      <c r="Y2" s="41"/>
      <c r="Z2" s="41"/>
      <c r="AA2" s="41"/>
      <c r="AB2" s="41"/>
      <c r="AC2" s="41"/>
      <c r="AD2" s="41"/>
      <c r="AE2" s="41"/>
      <c r="AF2" s="41"/>
      <c r="AG2" s="41"/>
      <c r="AH2" s="41"/>
      <c r="AI2" s="41"/>
      <c r="AJ2" s="41"/>
      <c r="AK2" s="41"/>
      <c r="AL2" s="41"/>
      <c r="AM2" s="41"/>
      <c r="AN2" s="41"/>
      <c r="AO2" s="41"/>
      <c r="AP2" s="41"/>
      <c r="AQ2" s="41"/>
      <c r="AR2" s="41"/>
      <c r="AS2" s="41"/>
      <c r="AT2" s="41"/>
      <c r="AU2" s="41"/>
      <c r="AV2" s="41"/>
      <c r="AW2" s="41"/>
      <c r="AX2" s="41"/>
      <c r="AY2" s="41"/>
      <c r="AZ2" s="41"/>
      <c r="BA2" s="41"/>
      <c r="BB2" s="41"/>
      <c r="BC2" s="41"/>
      <c r="BD2" s="41"/>
      <c r="BE2" s="41"/>
      <c r="BF2" s="41"/>
      <c r="BG2" s="41"/>
      <c r="BH2" s="41"/>
      <c r="BI2" s="41"/>
      <c r="BJ2" s="41"/>
      <c r="BK2" s="41"/>
      <c r="BL2" s="41"/>
      <c r="BM2" s="41"/>
      <c r="BN2" s="41"/>
      <c r="BO2" s="41"/>
      <c r="BP2" s="41"/>
      <c r="BQ2" s="41"/>
      <c r="BR2" s="41"/>
      <c r="BS2" s="41"/>
      <c r="BT2" s="41"/>
      <c r="BU2" s="41"/>
      <c r="BV2" s="41"/>
      <c r="BW2" s="41"/>
      <c r="BX2" s="41"/>
      <c r="BY2" s="41"/>
      <c r="BZ2" s="41"/>
      <c r="CA2" s="41"/>
      <c r="CB2" s="41"/>
      <c r="CC2" s="41"/>
      <c r="CD2" s="41"/>
      <c r="CE2" s="41"/>
      <c r="CF2" s="41"/>
      <c r="CG2" s="41"/>
      <c r="CH2" s="41"/>
      <c r="CI2" s="41"/>
      <c r="CJ2" s="41"/>
      <c r="CK2" s="41"/>
      <c r="CL2" s="41"/>
      <c r="CM2" s="41"/>
      <c r="CN2" s="41"/>
      <c r="CO2" s="41"/>
      <c r="CP2" s="41"/>
      <c r="CQ2" s="41"/>
      <c r="CR2" s="41"/>
      <c r="CS2" s="41"/>
      <c r="CT2" s="41"/>
      <c r="CU2" s="41"/>
      <c r="CV2" s="41"/>
      <c r="CW2" s="41"/>
      <c r="CX2" s="41"/>
      <c r="CY2" s="41"/>
      <c r="CZ2" s="41"/>
      <c r="DA2" s="41"/>
      <c r="DB2" s="41"/>
      <c r="DC2" s="41"/>
      <c r="DD2" s="41"/>
      <c r="DE2" s="41"/>
      <c r="DF2" s="41"/>
      <c r="DG2" s="41"/>
      <c r="DH2" s="41"/>
      <c r="DI2" s="41"/>
      <c r="DJ2" s="41"/>
      <c r="DK2" s="41"/>
      <c r="DL2" s="41"/>
      <c r="DM2" s="41"/>
      <c r="DN2" s="41"/>
      <c r="DO2" s="41"/>
      <c r="DP2" s="41"/>
      <c r="DQ2" s="41"/>
      <c r="DR2" s="41"/>
      <c r="DS2" s="41"/>
      <c r="DT2" s="41"/>
      <c r="DU2" s="41"/>
      <c r="DV2" s="41"/>
      <c r="DW2" s="41"/>
      <c r="DX2" s="41"/>
      <c r="DY2" s="41"/>
      <c r="DZ2" s="41"/>
      <c r="EA2" s="41"/>
      <c r="EB2" s="41"/>
      <c r="EC2" s="41"/>
      <c r="ED2" s="41"/>
      <c r="EE2" s="41"/>
      <c r="EF2" s="41"/>
      <c r="EG2" s="41"/>
      <c r="EH2" s="41"/>
      <c r="EI2" s="41"/>
      <c r="EJ2" s="41"/>
      <c r="EK2" s="41"/>
      <c r="EL2" s="41"/>
      <c r="EM2" s="41"/>
      <c r="EN2" s="41"/>
      <c r="EO2" s="41"/>
      <c r="EP2" s="41"/>
      <c r="EQ2" s="41"/>
      <c r="ER2" s="41"/>
      <c r="ES2" s="41"/>
      <c r="ET2" s="41"/>
      <c r="EU2" s="41"/>
      <c r="EV2" s="41"/>
      <c r="EW2" s="41"/>
      <c r="EX2" s="41"/>
      <c r="EY2" s="41"/>
      <c r="EZ2" s="41"/>
      <c r="FA2" s="41"/>
      <c r="FB2" s="41"/>
      <c r="FC2" s="41"/>
      <c r="FD2" s="41"/>
      <c r="FE2" s="41"/>
      <c r="FF2" s="41"/>
      <c r="FG2" s="41"/>
      <c r="FH2" s="41"/>
      <c r="FI2" s="41"/>
      <c r="FJ2" s="41"/>
      <c r="FK2" s="41"/>
      <c r="FL2" s="41"/>
      <c r="FM2" s="41"/>
      <c r="FN2" s="41"/>
      <c r="FO2" s="41"/>
      <c r="FP2" s="41"/>
      <c r="FQ2" s="41"/>
      <c r="FR2" s="41"/>
      <c r="FS2" s="41"/>
      <c r="FT2" s="41"/>
      <c r="FU2" s="41"/>
      <c r="FV2" s="41"/>
      <c r="FW2" s="41"/>
      <c r="FX2" s="41"/>
      <c r="FY2" s="41"/>
      <c r="FZ2" s="41"/>
      <c r="GA2" s="41"/>
      <c r="GB2" s="41"/>
      <c r="GC2" s="41"/>
      <c r="GD2" s="41"/>
      <c r="GE2" s="41"/>
      <c r="GF2" s="41"/>
      <c r="GG2" s="41"/>
      <c r="GH2" s="41"/>
      <c r="GI2" s="41"/>
      <c r="GJ2" s="41"/>
      <c r="GK2" s="41"/>
      <c r="GL2" s="41"/>
      <c r="GM2" s="41"/>
      <c r="GN2" s="41"/>
      <c r="GO2" s="41"/>
      <c r="GP2" s="41"/>
      <c r="GQ2" s="41"/>
      <c r="GR2" s="41"/>
      <c r="GS2" s="41"/>
      <c r="GT2" s="41"/>
      <c r="GU2" s="41"/>
      <c r="GV2" s="41"/>
      <c r="GW2" s="41"/>
      <c r="GX2" s="41"/>
      <c r="GY2" s="41"/>
      <c r="GZ2" s="41"/>
      <c r="HA2" s="41"/>
      <c r="HB2" s="41"/>
      <c r="HC2" s="41"/>
      <c r="HD2" s="41"/>
      <c r="HE2" s="41"/>
      <c r="HF2" s="41"/>
      <c r="HG2" s="41"/>
      <c r="HH2" s="41"/>
      <c r="HI2" s="41"/>
      <c r="HJ2" s="41"/>
      <c r="HK2" s="41"/>
      <c r="HL2" s="41"/>
      <c r="HM2" s="41"/>
      <c r="HN2" s="41"/>
      <c r="HO2" s="41"/>
      <c r="HP2" s="41"/>
      <c r="HQ2" s="41"/>
      <c r="HR2" s="41"/>
      <c r="HS2" s="41"/>
      <c r="HT2" s="41"/>
      <c r="HU2" s="41"/>
      <c r="HV2" s="41"/>
      <c r="HW2" s="41"/>
      <c r="HX2" s="41"/>
      <c r="HY2" s="41"/>
      <c r="HZ2" s="41"/>
      <c r="IA2" s="41"/>
      <c r="IB2" s="41"/>
      <c r="IC2" s="41"/>
      <c r="ID2" s="41"/>
      <c r="IE2" s="41"/>
      <c r="IF2" s="41"/>
      <c r="IG2" s="41"/>
      <c r="IH2" s="41"/>
      <c r="II2" s="41"/>
      <c r="IJ2" s="41"/>
      <c r="IK2" s="41"/>
      <c r="IL2" s="41"/>
      <c r="IM2" s="41"/>
      <c r="IN2" s="41"/>
      <c r="IO2" s="41"/>
      <c r="IP2" s="41"/>
      <c r="IQ2" s="41"/>
      <c r="IR2" s="41"/>
      <c r="IS2" s="41"/>
      <c r="IT2" s="41"/>
      <c r="IU2" s="41"/>
      <c r="IV2" s="41"/>
      <c r="IW2" s="41"/>
      <c r="IX2" s="41"/>
      <c r="IY2" s="41"/>
      <c r="IZ2" s="41"/>
      <c r="JA2" s="41"/>
      <c r="JB2" s="41"/>
      <c r="JC2" s="41"/>
      <c r="JD2" s="41"/>
      <c r="JE2" s="41"/>
      <c r="JF2" s="41"/>
      <c r="JG2" s="41"/>
      <c r="JH2" s="41"/>
      <c r="JI2" s="41"/>
      <c r="JJ2" s="41"/>
      <c r="JK2" s="41"/>
      <c r="JL2" s="41"/>
      <c r="JM2" s="41"/>
      <c r="JN2" s="41"/>
      <c r="JO2" s="41"/>
      <c r="JP2" s="41"/>
      <c r="JQ2" s="41"/>
      <c r="JR2" s="41"/>
      <c r="JS2" s="41"/>
      <c r="JT2" s="41"/>
      <c r="JU2" s="41"/>
      <c r="JV2" s="41"/>
      <c r="JW2" s="41"/>
      <c r="JX2" s="41"/>
      <c r="JY2" s="41"/>
      <c r="JZ2" s="41"/>
      <c r="KA2" s="41"/>
      <c r="KB2" s="41"/>
      <c r="KC2" s="41"/>
      <c r="KD2" s="41"/>
      <c r="KE2" s="41"/>
      <c r="KF2" s="41"/>
      <c r="KG2" s="41"/>
      <c r="KH2" s="41"/>
      <c r="KI2" s="41"/>
      <c r="KJ2" s="41"/>
      <c r="KK2" s="41"/>
      <c r="KL2" s="41"/>
      <c r="KM2" s="41"/>
      <c r="KN2" s="41"/>
      <c r="KO2" s="41"/>
      <c r="KP2" s="41"/>
      <c r="KQ2" s="41"/>
      <c r="KR2" s="41"/>
      <c r="KS2" s="41"/>
      <c r="KT2" s="41"/>
      <c r="KU2" s="41"/>
      <c r="KV2" s="41"/>
      <c r="KW2" s="41"/>
      <c r="KX2" s="41"/>
      <c r="KY2" s="41"/>
      <c r="KZ2" s="41"/>
      <c r="LA2" s="41"/>
      <c r="LB2" s="41"/>
      <c r="LC2" s="41"/>
      <c r="LD2" s="41"/>
      <c r="LE2" s="41"/>
      <c r="LF2" s="41"/>
      <c r="LG2" s="41"/>
      <c r="LH2" s="41"/>
      <c r="LI2" s="41"/>
      <c r="LJ2" s="41"/>
      <c r="LK2" s="41"/>
      <c r="LL2" s="41"/>
      <c r="LM2" s="41"/>
      <c r="LN2" s="41"/>
      <c r="LO2" s="41"/>
      <c r="LP2" s="41"/>
      <c r="LQ2" s="41"/>
      <c r="LR2" s="41"/>
      <c r="LS2" s="41"/>
      <c r="LT2" s="41"/>
      <c r="LU2" s="41"/>
      <c r="LV2" s="41"/>
      <c r="LW2" s="41"/>
      <c r="LX2" s="41"/>
      <c r="LY2" s="41"/>
      <c r="LZ2" s="41"/>
      <c r="MA2" s="41"/>
      <c r="MB2" s="41"/>
      <c r="MC2" s="41"/>
      <c r="MD2" s="41"/>
      <c r="ME2" s="41"/>
      <c r="MF2" s="41"/>
      <c r="MG2" s="41"/>
      <c r="MH2" s="41"/>
      <c r="MI2" s="41"/>
      <c r="MJ2" s="41"/>
      <c r="MK2" s="41"/>
      <c r="ML2" s="41"/>
      <c r="MM2" s="41"/>
      <c r="MN2" s="41"/>
      <c r="MO2" s="41"/>
      <c r="MP2" s="41"/>
      <c r="MQ2" s="41"/>
      <c r="MR2" s="41"/>
      <c r="MS2" s="41"/>
      <c r="MT2" s="41"/>
      <c r="MU2" s="41"/>
      <c r="MV2" s="41"/>
      <c r="MW2" s="41"/>
      <c r="MX2" s="41"/>
      <c r="MY2" s="41"/>
      <c r="MZ2" s="41"/>
      <c r="NA2" s="41"/>
      <c r="NB2" s="41"/>
      <c r="NC2" s="41"/>
    </row>
    <row r="3" spans="1:367" s="5" customFormat="1" ht="60.75" customHeight="1" x14ac:dyDescent="0.25">
      <c r="A3" s="8"/>
      <c r="B3" s="26"/>
      <c r="C3" s="26" t="s">
        <v>5</v>
      </c>
      <c r="D3" s="27" t="s">
        <v>6</v>
      </c>
      <c r="E3" s="84" t="s">
        <v>55</v>
      </c>
      <c r="F3" s="83" t="s">
        <v>54</v>
      </c>
      <c r="G3" s="12"/>
      <c r="H3" s="6">
        <v>374</v>
      </c>
      <c r="I3" s="6"/>
      <c r="J3" s="6">
        <v>378</v>
      </c>
      <c r="K3" s="6"/>
      <c r="L3" s="6"/>
      <c r="M3" s="6" t="s">
        <v>53</v>
      </c>
      <c r="N3" s="82">
        <v>1</v>
      </c>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39.75" customHeight="1" x14ac:dyDescent="0.25">
      <c r="A4" s="10"/>
      <c r="B4" s="28"/>
      <c r="C4" s="36">
        <f ca="1">TODAY()</f>
        <v>43306</v>
      </c>
      <c r="D4" s="37" t="s">
        <v>7</v>
      </c>
      <c r="E4" s="29"/>
      <c r="F4" s="20"/>
      <c r="G4" s="12"/>
      <c r="H4" s="6">
        <f>$H$3 - 365</f>
        <v>9</v>
      </c>
      <c r="K4" s="81" t="s">
        <v>12</v>
      </c>
    </row>
    <row r="5" spans="1:367" s="6" customFormat="1" x14ac:dyDescent="0.25">
      <c r="A5" s="10"/>
      <c r="B5" s="28"/>
      <c r="C5" s="28"/>
      <c r="D5" s="29"/>
      <c r="E5" s="29"/>
      <c r="F5" s="20"/>
      <c r="G5" s="12"/>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4" customFormat="1" ht="62.25" customHeight="1" x14ac:dyDescent="0.25">
      <c r="A6" s="101"/>
      <c r="B6" s="98"/>
      <c r="C6" s="98"/>
      <c r="D6" s="98"/>
      <c r="E6" s="98"/>
      <c r="F6" s="99"/>
      <c r="G6" s="15"/>
      <c r="H6" s="14">
        <f t="shared" ref="H6:N6" ca="1" si="0">TODAY()+((COLUMN()-$H$4)*$N$3)</f>
        <v>43305</v>
      </c>
      <c r="I6" s="14">
        <f t="shared" ca="1" si="0"/>
        <v>43306</v>
      </c>
      <c r="J6" s="14">
        <f t="shared" ca="1" si="0"/>
        <v>43307</v>
      </c>
      <c r="K6" s="14">
        <f t="shared" ca="1" si="0"/>
        <v>43308</v>
      </c>
      <c r="L6" s="14">
        <f t="shared" ca="1" si="0"/>
        <v>43309</v>
      </c>
      <c r="M6" s="14">
        <f t="shared" ca="1" si="0"/>
        <v>43310</v>
      </c>
      <c r="N6" s="14">
        <f t="shared" ca="1" si="0"/>
        <v>43311</v>
      </c>
      <c r="O6" s="14">
        <f t="shared" ref="O6:BZ6" ca="1" si="1">TODAY()+((COLUMN()-$H$4)*$N$3)</f>
        <v>43312</v>
      </c>
      <c r="P6" s="14">
        <f t="shared" ca="1" si="1"/>
        <v>43313</v>
      </c>
      <c r="Q6" s="14">
        <f t="shared" ca="1" si="1"/>
        <v>43314</v>
      </c>
      <c r="R6" s="14">
        <f t="shared" ca="1" si="1"/>
        <v>43315</v>
      </c>
      <c r="S6" s="14">
        <f t="shared" ca="1" si="1"/>
        <v>43316</v>
      </c>
      <c r="T6" s="14">
        <f ca="1">TODAY()+((COLUMN()-$H$4)*$N$3)</f>
        <v>43317</v>
      </c>
      <c r="U6" s="14">
        <f t="shared" ca="1" si="1"/>
        <v>43318</v>
      </c>
      <c r="V6" s="14">
        <f t="shared" ca="1" si="1"/>
        <v>43319</v>
      </c>
      <c r="W6" s="14">
        <f t="shared" ca="1" si="1"/>
        <v>43320</v>
      </c>
      <c r="X6" s="14">
        <f t="shared" ca="1" si="1"/>
        <v>43321</v>
      </c>
      <c r="Y6" s="14">
        <f t="shared" ca="1" si="1"/>
        <v>43322</v>
      </c>
      <c r="Z6" s="14">
        <f t="shared" ca="1" si="1"/>
        <v>43323</v>
      </c>
      <c r="AA6" s="14">
        <f t="shared" ca="1" si="1"/>
        <v>43324</v>
      </c>
      <c r="AB6" s="14">
        <f t="shared" ca="1" si="1"/>
        <v>43325</v>
      </c>
      <c r="AC6" s="14">
        <f t="shared" ca="1" si="1"/>
        <v>43326</v>
      </c>
      <c r="AD6" s="14">
        <f t="shared" ca="1" si="1"/>
        <v>43327</v>
      </c>
      <c r="AE6" s="14">
        <f t="shared" ca="1" si="1"/>
        <v>43328</v>
      </c>
      <c r="AF6" s="14">
        <f t="shared" ca="1" si="1"/>
        <v>43329</v>
      </c>
      <c r="AG6" s="14">
        <f t="shared" ca="1" si="1"/>
        <v>43330</v>
      </c>
      <c r="AH6" s="14">
        <f t="shared" ca="1" si="1"/>
        <v>43331</v>
      </c>
      <c r="AI6" s="14">
        <f t="shared" ca="1" si="1"/>
        <v>43332</v>
      </c>
      <c r="AJ6" s="14">
        <f t="shared" ca="1" si="1"/>
        <v>43333</v>
      </c>
      <c r="AK6" s="14">
        <f t="shared" ca="1" si="1"/>
        <v>43334</v>
      </c>
      <c r="AL6" s="14">
        <f t="shared" ca="1" si="1"/>
        <v>43335</v>
      </c>
      <c r="AM6" s="14">
        <f t="shared" ca="1" si="1"/>
        <v>43336</v>
      </c>
      <c r="AN6" s="14">
        <f t="shared" ca="1" si="1"/>
        <v>43337</v>
      </c>
      <c r="AO6" s="14">
        <f t="shared" ca="1" si="1"/>
        <v>43338</v>
      </c>
      <c r="AP6" s="14">
        <f t="shared" ca="1" si="1"/>
        <v>43339</v>
      </c>
      <c r="AQ6" s="14">
        <f t="shared" ca="1" si="1"/>
        <v>43340</v>
      </c>
      <c r="AR6" s="14">
        <f t="shared" ca="1" si="1"/>
        <v>43341</v>
      </c>
      <c r="AS6" s="14">
        <f t="shared" ca="1" si="1"/>
        <v>43342</v>
      </c>
      <c r="AT6" s="14">
        <f t="shared" ca="1" si="1"/>
        <v>43343</v>
      </c>
      <c r="AU6" s="14">
        <f t="shared" ca="1" si="1"/>
        <v>43344</v>
      </c>
      <c r="AV6" s="14">
        <f t="shared" ca="1" si="1"/>
        <v>43345</v>
      </c>
      <c r="AW6" s="14">
        <f t="shared" ca="1" si="1"/>
        <v>43346</v>
      </c>
      <c r="AX6" s="14">
        <f t="shared" ca="1" si="1"/>
        <v>43347</v>
      </c>
      <c r="AY6" s="14">
        <f t="shared" ca="1" si="1"/>
        <v>43348</v>
      </c>
      <c r="AZ6" s="14">
        <f t="shared" ca="1" si="1"/>
        <v>43349</v>
      </c>
      <c r="BA6" s="14">
        <f t="shared" ca="1" si="1"/>
        <v>43350</v>
      </c>
      <c r="BB6" s="14">
        <f t="shared" ca="1" si="1"/>
        <v>43351</v>
      </c>
      <c r="BC6" s="14">
        <f t="shared" ca="1" si="1"/>
        <v>43352</v>
      </c>
      <c r="BD6" s="14">
        <f t="shared" ca="1" si="1"/>
        <v>43353</v>
      </c>
      <c r="BE6" s="14">
        <f t="shared" ca="1" si="1"/>
        <v>43354</v>
      </c>
      <c r="BF6" s="14">
        <f t="shared" ca="1" si="1"/>
        <v>43355</v>
      </c>
      <c r="BG6" s="14">
        <f t="shared" ca="1" si="1"/>
        <v>43356</v>
      </c>
      <c r="BH6" s="14">
        <f t="shared" ca="1" si="1"/>
        <v>43357</v>
      </c>
      <c r="BI6" s="14">
        <f t="shared" ca="1" si="1"/>
        <v>43358</v>
      </c>
      <c r="BJ6" s="14">
        <f t="shared" ca="1" si="1"/>
        <v>43359</v>
      </c>
      <c r="BK6" s="14">
        <f t="shared" ca="1" si="1"/>
        <v>43360</v>
      </c>
      <c r="BL6" s="14">
        <f t="shared" ca="1" si="1"/>
        <v>43361</v>
      </c>
      <c r="BM6" s="14">
        <f t="shared" ca="1" si="1"/>
        <v>43362</v>
      </c>
      <c r="BN6" s="14">
        <f t="shared" ca="1" si="1"/>
        <v>43363</v>
      </c>
      <c r="BO6" s="14">
        <f t="shared" ca="1" si="1"/>
        <v>43364</v>
      </c>
      <c r="BP6" s="14">
        <f t="shared" ca="1" si="1"/>
        <v>43365</v>
      </c>
      <c r="BQ6" s="14">
        <f t="shared" ca="1" si="1"/>
        <v>43366</v>
      </c>
      <c r="BR6" s="14">
        <f t="shared" ca="1" si="1"/>
        <v>43367</v>
      </c>
      <c r="BS6" s="14">
        <f t="shared" ca="1" si="1"/>
        <v>43368</v>
      </c>
      <c r="BT6" s="14">
        <f t="shared" ca="1" si="1"/>
        <v>43369</v>
      </c>
      <c r="BU6" s="14">
        <f t="shared" ca="1" si="1"/>
        <v>43370</v>
      </c>
      <c r="BV6" s="14">
        <f t="shared" ca="1" si="1"/>
        <v>43371</v>
      </c>
      <c r="BW6" s="14">
        <f t="shared" ca="1" si="1"/>
        <v>43372</v>
      </c>
      <c r="BX6" s="14">
        <f t="shared" ca="1" si="1"/>
        <v>43373</v>
      </c>
      <c r="BY6" s="14">
        <f t="shared" ca="1" si="1"/>
        <v>43374</v>
      </c>
      <c r="BZ6" s="14">
        <f t="shared" ca="1" si="1"/>
        <v>43375</v>
      </c>
      <c r="CA6" s="14">
        <f t="shared" ref="CA6:EL6" ca="1" si="2">TODAY()+((COLUMN()-$H$4)*$N$3)</f>
        <v>43376</v>
      </c>
      <c r="CB6" s="14">
        <f t="shared" ca="1" si="2"/>
        <v>43377</v>
      </c>
      <c r="CC6" s="14">
        <f t="shared" ca="1" si="2"/>
        <v>43378</v>
      </c>
      <c r="CD6" s="14">
        <f t="shared" ca="1" si="2"/>
        <v>43379</v>
      </c>
      <c r="CE6" s="14">
        <f t="shared" ca="1" si="2"/>
        <v>43380</v>
      </c>
      <c r="CF6" s="14">
        <f t="shared" ca="1" si="2"/>
        <v>43381</v>
      </c>
      <c r="CG6" s="14">
        <f t="shared" ca="1" si="2"/>
        <v>43382</v>
      </c>
      <c r="CH6" s="14">
        <f t="shared" ca="1" si="2"/>
        <v>43383</v>
      </c>
      <c r="CI6" s="14">
        <f t="shared" ca="1" si="2"/>
        <v>43384</v>
      </c>
      <c r="CJ6" s="14">
        <f t="shared" ca="1" si="2"/>
        <v>43385</v>
      </c>
      <c r="CK6" s="14">
        <f t="shared" ca="1" si="2"/>
        <v>43386</v>
      </c>
      <c r="CL6" s="14">
        <f t="shared" ca="1" si="2"/>
        <v>43387</v>
      </c>
      <c r="CM6" s="14">
        <f t="shared" ca="1" si="2"/>
        <v>43388</v>
      </c>
      <c r="CN6" s="14">
        <f t="shared" ca="1" si="2"/>
        <v>43389</v>
      </c>
      <c r="CO6" s="14">
        <f t="shared" ca="1" si="2"/>
        <v>43390</v>
      </c>
      <c r="CP6" s="14">
        <f t="shared" ca="1" si="2"/>
        <v>43391</v>
      </c>
      <c r="CQ6" s="14">
        <f t="shared" ca="1" si="2"/>
        <v>43392</v>
      </c>
      <c r="CR6" s="14">
        <f t="shared" ca="1" si="2"/>
        <v>43393</v>
      </c>
      <c r="CS6" s="14">
        <f t="shared" ca="1" si="2"/>
        <v>43394</v>
      </c>
      <c r="CT6" s="14">
        <f t="shared" ca="1" si="2"/>
        <v>43395</v>
      </c>
      <c r="CU6" s="14">
        <f t="shared" ca="1" si="2"/>
        <v>43396</v>
      </c>
      <c r="CV6" s="14">
        <f t="shared" ca="1" si="2"/>
        <v>43397</v>
      </c>
      <c r="CW6" s="14">
        <f t="shared" ca="1" si="2"/>
        <v>43398</v>
      </c>
      <c r="CX6" s="14">
        <f t="shared" ca="1" si="2"/>
        <v>43399</v>
      </c>
      <c r="CY6" s="14">
        <f t="shared" ca="1" si="2"/>
        <v>43400</v>
      </c>
      <c r="CZ6" s="14">
        <f t="shared" ca="1" si="2"/>
        <v>43401</v>
      </c>
      <c r="DA6" s="14">
        <f t="shared" ca="1" si="2"/>
        <v>43402</v>
      </c>
      <c r="DB6" s="14">
        <f t="shared" ca="1" si="2"/>
        <v>43403</v>
      </c>
      <c r="DC6" s="14">
        <f t="shared" ca="1" si="2"/>
        <v>43404</v>
      </c>
      <c r="DD6" s="14">
        <f t="shared" ca="1" si="2"/>
        <v>43405</v>
      </c>
      <c r="DE6" s="14">
        <f t="shared" ca="1" si="2"/>
        <v>43406</v>
      </c>
      <c r="DF6" s="14">
        <f t="shared" ca="1" si="2"/>
        <v>43407</v>
      </c>
      <c r="DG6" s="14">
        <f t="shared" ca="1" si="2"/>
        <v>43408</v>
      </c>
      <c r="DH6" s="14">
        <f t="shared" ca="1" si="2"/>
        <v>43409</v>
      </c>
      <c r="DI6" s="14">
        <f t="shared" ca="1" si="2"/>
        <v>43410</v>
      </c>
      <c r="DJ6" s="14">
        <f t="shared" ca="1" si="2"/>
        <v>43411</v>
      </c>
      <c r="DK6" s="14">
        <f t="shared" ca="1" si="2"/>
        <v>43412</v>
      </c>
      <c r="DL6" s="14">
        <f t="shared" ca="1" si="2"/>
        <v>43413</v>
      </c>
      <c r="DM6" s="14">
        <f t="shared" ca="1" si="2"/>
        <v>43414</v>
      </c>
      <c r="DN6" s="14">
        <f t="shared" ca="1" si="2"/>
        <v>43415</v>
      </c>
      <c r="DO6" s="14">
        <f t="shared" ca="1" si="2"/>
        <v>43416</v>
      </c>
      <c r="DP6" s="14">
        <f t="shared" ca="1" si="2"/>
        <v>43417</v>
      </c>
      <c r="DQ6" s="14">
        <f t="shared" ca="1" si="2"/>
        <v>43418</v>
      </c>
      <c r="DR6" s="14">
        <f t="shared" ca="1" si="2"/>
        <v>43419</v>
      </c>
      <c r="DS6" s="14">
        <f t="shared" ca="1" si="2"/>
        <v>43420</v>
      </c>
      <c r="DT6" s="14">
        <f t="shared" ca="1" si="2"/>
        <v>43421</v>
      </c>
      <c r="DU6" s="14">
        <f t="shared" ca="1" si="2"/>
        <v>43422</v>
      </c>
      <c r="DV6" s="14">
        <f t="shared" ca="1" si="2"/>
        <v>43423</v>
      </c>
      <c r="DW6" s="14">
        <f t="shared" ca="1" si="2"/>
        <v>43424</v>
      </c>
      <c r="DX6" s="14">
        <f t="shared" ca="1" si="2"/>
        <v>43425</v>
      </c>
      <c r="DY6" s="14">
        <f t="shared" ca="1" si="2"/>
        <v>43426</v>
      </c>
      <c r="DZ6" s="14">
        <f t="shared" ca="1" si="2"/>
        <v>43427</v>
      </c>
      <c r="EA6" s="14">
        <f t="shared" ca="1" si="2"/>
        <v>43428</v>
      </c>
      <c r="EB6" s="14">
        <f t="shared" ca="1" si="2"/>
        <v>43429</v>
      </c>
      <c r="EC6" s="14">
        <f t="shared" ca="1" si="2"/>
        <v>43430</v>
      </c>
      <c r="ED6" s="14">
        <f t="shared" ca="1" si="2"/>
        <v>43431</v>
      </c>
      <c r="EE6" s="14">
        <f t="shared" ca="1" si="2"/>
        <v>43432</v>
      </c>
      <c r="EF6" s="14">
        <f t="shared" ca="1" si="2"/>
        <v>43433</v>
      </c>
      <c r="EG6" s="14">
        <f t="shared" ca="1" si="2"/>
        <v>43434</v>
      </c>
      <c r="EH6" s="14">
        <f t="shared" ca="1" si="2"/>
        <v>43435</v>
      </c>
      <c r="EI6" s="14">
        <f t="shared" ca="1" si="2"/>
        <v>43436</v>
      </c>
      <c r="EJ6" s="14">
        <f t="shared" ca="1" si="2"/>
        <v>43437</v>
      </c>
      <c r="EK6" s="14">
        <f t="shared" ca="1" si="2"/>
        <v>43438</v>
      </c>
      <c r="EL6" s="14">
        <f t="shared" ca="1" si="2"/>
        <v>43439</v>
      </c>
      <c r="EM6" s="14">
        <f t="shared" ref="EM6:GX6" ca="1" si="3">TODAY()+((COLUMN()-$H$4)*$N$3)</f>
        <v>43440</v>
      </c>
      <c r="EN6" s="14">
        <f t="shared" ca="1" si="3"/>
        <v>43441</v>
      </c>
      <c r="EO6" s="14">
        <f t="shared" ca="1" si="3"/>
        <v>43442</v>
      </c>
      <c r="EP6" s="14">
        <f t="shared" ca="1" si="3"/>
        <v>43443</v>
      </c>
      <c r="EQ6" s="14">
        <f t="shared" ca="1" si="3"/>
        <v>43444</v>
      </c>
      <c r="ER6" s="14">
        <f t="shared" ca="1" si="3"/>
        <v>43445</v>
      </c>
      <c r="ES6" s="14">
        <f t="shared" ca="1" si="3"/>
        <v>43446</v>
      </c>
      <c r="ET6" s="14">
        <f t="shared" ca="1" si="3"/>
        <v>43447</v>
      </c>
      <c r="EU6" s="14">
        <f t="shared" ca="1" si="3"/>
        <v>43448</v>
      </c>
      <c r="EV6" s="14">
        <f t="shared" ca="1" si="3"/>
        <v>43449</v>
      </c>
      <c r="EW6" s="14">
        <f t="shared" ca="1" si="3"/>
        <v>43450</v>
      </c>
      <c r="EX6" s="14">
        <f t="shared" ca="1" si="3"/>
        <v>43451</v>
      </c>
      <c r="EY6" s="14">
        <f t="shared" ca="1" si="3"/>
        <v>43452</v>
      </c>
      <c r="EZ6" s="14">
        <f t="shared" ca="1" si="3"/>
        <v>43453</v>
      </c>
      <c r="FA6" s="14">
        <f t="shared" ca="1" si="3"/>
        <v>43454</v>
      </c>
      <c r="FB6" s="14">
        <f t="shared" ca="1" si="3"/>
        <v>43455</v>
      </c>
      <c r="FC6" s="14">
        <f t="shared" ca="1" si="3"/>
        <v>43456</v>
      </c>
      <c r="FD6" s="14">
        <f t="shared" ca="1" si="3"/>
        <v>43457</v>
      </c>
      <c r="FE6" s="14">
        <f t="shared" ca="1" si="3"/>
        <v>43458</v>
      </c>
      <c r="FF6" s="14">
        <f t="shared" ca="1" si="3"/>
        <v>43459</v>
      </c>
      <c r="FG6" s="14">
        <f t="shared" ca="1" si="3"/>
        <v>43460</v>
      </c>
      <c r="FH6" s="14">
        <f t="shared" ca="1" si="3"/>
        <v>43461</v>
      </c>
      <c r="FI6" s="14">
        <f t="shared" ca="1" si="3"/>
        <v>43462</v>
      </c>
      <c r="FJ6" s="14">
        <f t="shared" ca="1" si="3"/>
        <v>43463</v>
      </c>
      <c r="FK6" s="14">
        <f t="shared" ca="1" si="3"/>
        <v>43464</v>
      </c>
      <c r="FL6" s="14">
        <f t="shared" ca="1" si="3"/>
        <v>43465</v>
      </c>
      <c r="FM6" s="14">
        <f t="shared" ca="1" si="3"/>
        <v>43466</v>
      </c>
      <c r="FN6" s="14">
        <f t="shared" ca="1" si="3"/>
        <v>43467</v>
      </c>
      <c r="FO6" s="14">
        <f t="shared" ca="1" si="3"/>
        <v>43468</v>
      </c>
      <c r="FP6" s="14">
        <f t="shared" ca="1" si="3"/>
        <v>43469</v>
      </c>
      <c r="FQ6" s="14">
        <f t="shared" ca="1" si="3"/>
        <v>43470</v>
      </c>
      <c r="FR6" s="14">
        <f t="shared" ca="1" si="3"/>
        <v>43471</v>
      </c>
      <c r="FS6" s="14">
        <f t="shared" ca="1" si="3"/>
        <v>43472</v>
      </c>
      <c r="FT6" s="14">
        <f t="shared" ca="1" si="3"/>
        <v>43473</v>
      </c>
      <c r="FU6" s="14">
        <f t="shared" ca="1" si="3"/>
        <v>43474</v>
      </c>
      <c r="FV6" s="14">
        <f t="shared" ca="1" si="3"/>
        <v>43475</v>
      </c>
      <c r="FW6" s="14">
        <f t="shared" ca="1" si="3"/>
        <v>43476</v>
      </c>
      <c r="FX6" s="14">
        <f t="shared" ca="1" si="3"/>
        <v>43477</v>
      </c>
      <c r="FY6" s="14">
        <f t="shared" ca="1" si="3"/>
        <v>43478</v>
      </c>
      <c r="FZ6" s="14">
        <f t="shared" ca="1" si="3"/>
        <v>43479</v>
      </c>
      <c r="GA6" s="14">
        <f t="shared" ca="1" si="3"/>
        <v>43480</v>
      </c>
      <c r="GB6" s="14">
        <f t="shared" ca="1" si="3"/>
        <v>43481</v>
      </c>
      <c r="GC6" s="14">
        <f t="shared" ca="1" si="3"/>
        <v>43482</v>
      </c>
      <c r="GD6" s="14">
        <f t="shared" ca="1" si="3"/>
        <v>43483</v>
      </c>
      <c r="GE6" s="14">
        <f t="shared" ca="1" si="3"/>
        <v>43484</v>
      </c>
      <c r="GF6" s="14">
        <f t="shared" ca="1" si="3"/>
        <v>43485</v>
      </c>
      <c r="GG6" s="14">
        <f t="shared" ca="1" si="3"/>
        <v>43486</v>
      </c>
      <c r="GH6" s="14">
        <f t="shared" ca="1" si="3"/>
        <v>43487</v>
      </c>
      <c r="GI6" s="14">
        <f t="shared" ca="1" si="3"/>
        <v>43488</v>
      </c>
      <c r="GJ6" s="14">
        <f t="shared" ca="1" si="3"/>
        <v>43489</v>
      </c>
      <c r="GK6" s="14">
        <f t="shared" ca="1" si="3"/>
        <v>43490</v>
      </c>
      <c r="GL6" s="14">
        <f t="shared" ca="1" si="3"/>
        <v>43491</v>
      </c>
      <c r="GM6" s="14">
        <f t="shared" ca="1" si="3"/>
        <v>43492</v>
      </c>
      <c r="GN6" s="14">
        <f t="shared" ca="1" si="3"/>
        <v>43493</v>
      </c>
      <c r="GO6" s="14">
        <f t="shared" ca="1" si="3"/>
        <v>43494</v>
      </c>
      <c r="GP6" s="14">
        <f t="shared" ca="1" si="3"/>
        <v>43495</v>
      </c>
      <c r="GQ6" s="14">
        <f t="shared" ca="1" si="3"/>
        <v>43496</v>
      </c>
      <c r="GR6" s="14">
        <f t="shared" ca="1" si="3"/>
        <v>43497</v>
      </c>
      <c r="GS6" s="14">
        <f t="shared" ca="1" si="3"/>
        <v>43498</v>
      </c>
      <c r="GT6" s="14">
        <f t="shared" ca="1" si="3"/>
        <v>43499</v>
      </c>
      <c r="GU6" s="14">
        <f t="shared" ca="1" si="3"/>
        <v>43500</v>
      </c>
      <c r="GV6" s="14">
        <f t="shared" ca="1" si="3"/>
        <v>43501</v>
      </c>
      <c r="GW6" s="14">
        <f t="shared" ca="1" si="3"/>
        <v>43502</v>
      </c>
      <c r="GX6" s="14">
        <f t="shared" ca="1" si="3"/>
        <v>43503</v>
      </c>
      <c r="GY6" s="14">
        <f t="shared" ref="GY6:JJ6" ca="1" si="4">TODAY()+((COLUMN()-$H$4)*$N$3)</f>
        <v>43504</v>
      </c>
      <c r="GZ6" s="14">
        <f t="shared" ca="1" si="4"/>
        <v>43505</v>
      </c>
      <c r="HA6" s="14">
        <f t="shared" ca="1" si="4"/>
        <v>43506</v>
      </c>
      <c r="HB6" s="14">
        <f t="shared" ca="1" si="4"/>
        <v>43507</v>
      </c>
      <c r="HC6" s="14">
        <f t="shared" ca="1" si="4"/>
        <v>43508</v>
      </c>
      <c r="HD6" s="14">
        <f t="shared" ca="1" si="4"/>
        <v>43509</v>
      </c>
      <c r="HE6" s="14">
        <f t="shared" ca="1" si="4"/>
        <v>43510</v>
      </c>
      <c r="HF6" s="14">
        <f t="shared" ca="1" si="4"/>
        <v>43511</v>
      </c>
      <c r="HG6" s="14">
        <f t="shared" ca="1" si="4"/>
        <v>43512</v>
      </c>
      <c r="HH6" s="14">
        <f t="shared" ca="1" si="4"/>
        <v>43513</v>
      </c>
      <c r="HI6" s="14">
        <f t="shared" ca="1" si="4"/>
        <v>43514</v>
      </c>
      <c r="HJ6" s="14">
        <f t="shared" ca="1" si="4"/>
        <v>43515</v>
      </c>
      <c r="HK6" s="14">
        <f t="shared" ca="1" si="4"/>
        <v>43516</v>
      </c>
      <c r="HL6" s="14">
        <f t="shared" ca="1" si="4"/>
        <v>43517</v>
      </c>
      <c r="HM6" s="14">
        <f t="shared" ca="1" si="4"/>
        <v>43518</v>
      </c>
      <c r="HN6" s="14">
        <f t="shared" ca="1" si="4"/>
        <v>43519</v>
      </c>
      <c r="HO6" s="14">
        <f t="shared" ca="1" si="4"/>
        <v>43520</v>
      </c>
      <c r="HP6" s="14">
        <f t="shared" ca="1" si="4"/>
        <v>43521</v>
      </c>
      <c r="HQ6" s="14">
        <f t="shared" ca="1" si="4"/>
        <v>43522</v>
      </c>
      <c r="HR6" s="14">
        <f t="shared" ca="1" si="4"/>
        <v>43523</v>
      </c>
      <c r="HS6" s="14">
        <f t="shared" ca="1" si="4"/>
        <v>43524</v>
      </c>
      <c r="HT6" s="14">
        <f t="shared" ca="1" si="4"/>
        <v>43525</v>
      </c>
      <c r="HU6" s="14">
        <f t="shared" ca="1" si="4"/>
        <v>43526</v>
      </c>
      <c r="HV6" s="14">
        <f t="shared" ca="1" si="4"/>
        <v>43527</v>
      </c>
      <c r="HW6" s="14">
        <f t="shared" ca="1" si="4"/>
        <v>43528</v>
      </c>
      <c r="HX6" s="14">
        <f t="shared" ca="1" si="4"/>
        <v>43529</v>
      </c>
      <c r="HY6" s="14">
        <f t="shared" ca="1" si="4"/>
        <v>43530</v>
      </c>
      <c r="HZ6" s="14">
        <f t="shared" ca="1" si="4"/>
        <v>43531</v>
      </c>
      <c r="IA6" s="14">
        <f t="shared" ca="1" si="4"/>
        <v>43532</v>
      </c>
      <c r="IB6" s="14">
        <f t="shared" ca="1" si="4"/>
        <v>43533</v>
      </c>
      <c r="IC6" s="14">
        <f t="shared" ca="1" si="4"/>
        <v>43534</v>
      </c>
      <c r="ID6" s="14">
        <f t="shared" ca="1" si="4"/>
        <v>43535</v>
      </c>
      <c r="IE6" s="14">
        <f t="shared" ca="1" si="4"/>
        <v>43536</v>
      </c>
      <c r="IF6" s="14">
        <f t="shared" ca="1" si="4"/>
        <v>43537</v>
      </c>
      <c r="IG6" s="14">
        <f t="shared" ca="1" si="4"/>
        <v>43538</v>
      </c>
      <c r="IH6" s="14">
        <f t="shared" ca="1" si="4"/>
        <v>43539</v>
      </c>
      <c r="II6" s="14">
        <f t="shared" ca="1" si="4"/>
        <v>43540</v>
      </c>
      <c r="IJ6" s="14">
        <f t="shared" ca="1" si="4"/>
        <v>43541</v>
      </c>
      <c r="IK6" s="14">
        <f t="shared" ca="1" si="4"/>
        <v>43542</v>
      </c>
      <c r="IL6" s="14">
        <f t="shared" ca="1" si="4"/>
        <v>43543</v>
      </c>
      <c r="IM6" s="14">
        <f t="shared" ca="1" si="4"/>
        <v>43544</v>
      </c>
      <c r="IN6" s="14">
        <f t="shared" ca="1" si="4"/>
        <v>43545</v>
      </c>
      <c r="IO6" s="14">
        <f t="shared" ca="1" si="4"/>
        <v>43546</v>
      </c>
      <c r="IP6" s="14">
        <f t="shared" ca="1" si="4"/>
        <v>43547</v>
      </c>
      <c r="IQ6" s="14">
        <f t="shared" ca="1" si="4"/>
        <v>43548</v>
      </c>
      <c r="IR6" s="14">
        <f t="shared" ca="1" si="4"/>
        <v>43549</v>
      </c>
      <c r="IS6" s="14">
        <f t="shared" ca="1" si="4"/>
        <v>43550</v>
      </c>
      <c r="IT6" s="14">
        <f t="shared" ca="1" si="4"/>
        <v>43551</v>
      </c>
      <c r="IU6" s="14">
        <f t="shared" ca="1" si="4"/>
        <v>43552</v>
      </c>
      <c r="IV6" s="14">
        <f t="shared" ca="1" si="4"/>
        <v>43553</v>
      </c>
      <c r="IW6" s="14">
        <f t="shared" ca="1" si="4"/>
        <v>43554</v>
      </c>
      <c r="IX6" s="14">
        <f t="shared" ca="1" si="4"/>
        <v>43555</v>
      </c>
      <c r="IY6" s="14">
        <f t="shared" ca="1" si="4"/>
        <v>43556</v>
      </c>
      <c r="IZ6" s="14">
        <f t="shared" ca="1" si="4"/>
        <v>43557</v>
      </c>
      <c r="JA6" s="14">
        <f t="shared" ca="1" si="4"/>
        <v>43558</v>
      </c>
      <c r="JB6" s="14">
        <f t="shared" ca="1" si="4"/>
        <v>43559</v>
      </c>
      <c r="JC6" s="14">
        <f t="shared" ca="1" si="4"/>
        <v>43560</v>
      </c>
      <c r="JD6" s="14">
        <f t="shared" ca="1" si="4"/>
        <v>43561</v>
      </c>
      <c r="JE6" s="14">
        <f t="shared" ca="1" si="4"/>
        <v>43562</v>
      </c>
      <c r="JF6" s="14">
        <f t="shared" ca="1" si="4"/>
        <v>43563</v>
      </c>
      <c r="JG6" s="14">
        <f t="shared" ca="1" si="4"/>
        <v>43564</v>
      </c>
      <c r="JH6" s="14">
        <f t="shared" ca="1" si="4"/>
        <v>43565</v>
      </c>
      <c r="JI6" s="14">
        <f t="shared" ca="1" si="4"/>
        <v>43566</v>
      </c>
      <c r="JJ6" s="14">
        <f t="shared" ca="1" si="4"/>
        <v>43567</v>
      </c>
      <c r="JK6" s="14">
        <f t="shared" ref="JK6:LV6" ca="1" si="5">TODAY()+((COLUMN()-$H$4)*$N$3)</f>
        <v>43568</v>
      </c>
      <c r="JL6" s="14">
        <f t="shared" ca="1" si="5"/>
        <v>43569</v>
      </c>
      <c r="JM6" s="14">
        <f t="shared" ca="1" si="5"/>
        <v>43570</v>
      </c>
      <c r="JN6" s="14">
        <f t="shared" ca="1" si="5"/>
        <v>43571</v>
      </c>
      <c r="JO6" s="14">
        <f t="shared" ca="1" si="5"/>
        <v>43572</v>
      </c>
      <c r="JP6" s="14">
        <f t="shared" ca="1" si="5"/>
        <v>43573</v>
      </c>
      <c r="JQ6" s="14">
        <f t="shared" ca="1" si="5"/>
        <v>43574</v>
      </c>
      <c r="JR6" s="14">
        <f t="shared" ca="1" si="5"/>
        <v>43575</v>
      </c>
      <c r="JS6" s="14">
        <f t="shared" ca="1" si="5"/>
        <v>43576</v>
      </c>
      <c r="JT6" s="14">
        <f t="shared" ca="1" si="5"/>
        <v>43577</v>
      </c>
      <c r="JU6" s="14">
        <f t="shared" ca="1" si="5"/>
        <v>43578</v>
      </c>
      <c r="JV6" s="14">
        <f t="shared" ca="1" si="5"/>
        <v>43579</v>
      </c>
      <c r="JW6" s="14">
        <f t="shared" ca="1" si="5"/>
        <v>43580</v>
      </c>
      <c r="JX6" s="14">
        <f t="shared" ca="1" si="5"/>
        <v>43581</v>
      </c>
      <c r="JY6" s="14">
        <f t="shared" ca="1" si="5"/>
        <v>43582</v>
      </c>
      <c r="JZ6" s="14">
        <f t="shared" ca="1" si="5"/>
        <v>43583</v>
      </c>
      <c r="KA6" s="14">
        <f t="shared" ca="1" si="5"/>
        <v>43584</v>
      </c>
      <c r="KB6" s="14">
        <f t="shared" ca="1" si="5"/>
        <v>43585</v>
      </c>
      <c r="KC6" s="14">
        <f t="shared" ca="1" si="5"/>
        <v>43586</v>
      </c>
      <c r="KD6" s="14">
        <f t="shared" ca="1" si="5"/>
        <v>43587</v>
      </c>
      <c r="KE6" s="14">
        <f t="shared" ca="1" si="5"/>
        <v>43588</v>
      </c>
      <c r="KF6" s="14">
        <f t="shared" ca="1" si="5"/>
        <v>43589</v>
      </c>
      <c r="KG6" s="14">
        <f t="shared" ca="1" si="5"/>
        <v>43590</v>
      </c>
      <c r="KH6" s="14">
        <f t="shared" ca="1" si="5"/>
        <v>43591</v>
      </c>
      <c r="KI6" s="14">
        <f t="shared" ca="1" si="5"/>
        <v>43592</v>
      </c>
      <c r="KJ6" s="14">
        <f t="shared" ca="1" si="5"/>
        <v>43593</v>
      </c>
      <c r="KK6" s="14">
        <f t="shared" ca="1" si="5"/>
        <v>43594</v>
      </c>
      <c r="KL6" s="14">
        <f t="shared" ca="1" si="5"/>
        <v>43595</v>
      </c>
      <c r="KM6" s="14">
        <f t="shared" ca="1" si="5"/>
        <v>43596</v>
      </c>
      <c r="KN6" s="14">
        <f t="shared" ca="1" si="5"/>
        <v>43597</v>
      </c>
      <c r="KO6" s="14">
        <f t="shared" ca="1" si="5"/>
        <v>43598</v>
      </c>
      <c r="KP6" s="14">
        <f t="shared" ca="1" si="5"/>
        <v>43599</v>
      </c>
      <c r="KQ6" s="14">
        <f t="shared" ca="1" si="5"/>
        <v>43600</v>
      </c>
      <c r="KR6" s="14">
        <f t="shared" ca="1" si="5"/>
        <v>43601</v>
      </c>
      <c r="KS6" s="14">
        <f t="shared" ca="1" si="5"/>
        <v>43602</v>
      </c>
      <c r="KT6" s="14">
        <f t="shared" ca="1" si="5"/>
        <v>43603</v>
      </c>
      <c r="KU6" s="14">
        <f t="shared" ca="1" si="5"/>
        <v>43604</v>
      </c>
      <c r="KV6" s="14">
        <f t="shared" ca="1" si="5"/>
        <v>43605</v>
      </c>
      <c r="KW6" s="14">
        <f t="shared" ca="1" si="5"/>
        <v>43606</v>
      </c>
      <c r="KX6" s="14">
        <f t="shared" ca="1" si="5"/>
        <v>43607</v>
      </c>
      <c r="KY6" s="14">
        <f t="shared" ca="1" si="5"/>
        <v>43608</v>
      </c>
      <c r="KZ6" s="14">
        <f t="shared" ca="1" si="5"/>
        <v>43609</v>
      </c>
      <c r="LA6" s="14">
        <f t="shared" ca="1" si="5"/>
        <v>43610</v>
      </c>
      <c r="LB6" s="14">
        <f t="shared" ca="1" si="5"/>
        <v>43611</v>
      </c>
      <c r="LC6" s="14">
        <f t="shared" ca="1" si="5"/>
        <v>43612</v>
      </c>
      <c r="LD6" s="14">
        <f t="shared" ca="1" si="5"/>
        <v>43613</v>
      </c>
      <c r="LE6" s="14">
        <f t="shared" ca="1" si="5"/>
        <v>43614</v>
      </c>
      <c r="LF6" s="14">
        <f t="shared" ca="1" si="5"/>
        <v>43615</v>
      </c>
      <c r="LG6" s="14">
        <f t="shared" ca="1" si="5"/>
        <v>43616</v>
      </c>
      <c r="LH6" s="14">
        <f t="shared" ca="1" si="5"/>
        <v>43617</v>
      </c>
      <c r="LI6" s="14">
        <f t="shared" ca="1" si="5"/>
        <v>43618</v>
      </c>
      <c r="LJ6" s="14">
        <f t="shared" ca="1" si="5"/>
        <v>43619</v>
      </c>
      <c r="LK6" s="14">
        <f t="shared" ca="1" si="5"/>
        <v>43620</v>
      </c>
      <c r="LL6" s="14">
        <f t="shared" ca="1" si="5"/>
        <v>43621</v>
      </c>
      <c r="LM6" s="14">
        <f t="shared" ca="1" si="5"/>
        <v>43622</v>
      </c>
      <c r="LN6" s="14">
        <f t="shared" ca="1" si="5"/>
        <v>43623</v>
      </c>
      <c r="LO6" s="14">
        <f t="shared" ca="1" si="5"/>
        <v>43624</v>
      </c>
      <c r="LP6" s="14">
        <f t="shared" ca="1" si="5"/>
        <v>43625</v>
      </c>
      <c r="LQ6" s="14">
        <f t="shared" ca="1" si="5"/>
        <v>43626</v>
      </c>
      <c r="LR6" s="14">
        <f t="shared" ca="1" si="5"/>
        <v>43627</v>
      </c>
      <c r="LS6" s="14">
        <f t="shared" ca="1" si="5"/>
        <v>43628</v>
      </c>
      <c r="LT6" s="14">
        <f t="shared" ca="1" si="5"/>
        <v>43629</v>
      </c>
      <c r="LU6" s="14">
        <f t="shared" ca="1" si="5"/>
        <v>43630</v>
      </c>
      <c r="LV6" s="14">
        <f t="shared" ca="1" si="5"/>
        <v>43631</v>
      </c>
      <c r="LW6" s="14">
        <f t="shared" ref="LW6:NA6" ca="1" si="6">TODAY()+((COLUMN()-$H$4)*$N$3)</f>
        <v>43632</v>
      </c>
      <c r="LX6" s="14">
        <f t="shared" ca="1" si="6"/>
        <v>43633</v>
      </c>
      <c r="LY6" s="14">
        <f t="shared" ca="1" si="6"/>
        <v>43634</v>
      </c>
      <c r="LZ6" s="14">
        <f t="shared" ca="1" si="6"/>
        <v>43635</v>
      </c>
      <c r="MA6" s="14">
        <f t="shared" ca="1" si="6"/>
        <v>43636</v>
      </c>
      <c r="MB6" s="14">
        <f t="shared" ca="1" si="6"/>
        <v>43637</v>
      </c>
      <c r="MC6" s="14">
        <f t="shared" ca="1" si="6"/>
        <v>43638</v>
      </c>
      <c r="MD6" s="14">
        <f t="shared" ca="1" si="6"/>
        <v>43639</v>
      </c>
      <c r="ME6" s="14">
        <f t="shared" ca="1" si="6"/>
        <v>43640</v>
      </c>
      <c r="MF6" s="14">
        <f t="shared" ca="1" si="6"/>
        <v>43641</v>
      </c>
      <c r="MG6" s="14">
        <f t="shared" ca="1" si="6"/>
        <v>43642</v>
      </c>
      <c r="MH6" s="14">
        <f t="shared" ca="1" si="6"/>
        <v>43643</v>
      </c>
      <c r="MI6" s="14">
        <f t="shared" ca="1" si="6"/>
        <v>43644</v>
      </c>
      <c r="MJ6" s="14">
        <f t="shared" ca="1" si="6"/>
        <v>43645</v>
      </c>
      <c r="MK6" s="14">
        <f t="shared" ca="1" si="6"/>
        <v>43646</v>
      </c>
      <c r="ML6" s="14">
        <f t="shared" ca="1" si="6"/>
        <v>43647</v>
      </c>
      <c r="MM6" s="14">
        <f t="shared" ca="1" si="6"/>
        <v>43648</v>
      </c>
      <c r="MN6" s="14">
        <f t="shared" ca="1" si="6"/>
        <v>43649</v>
      </c>
      <c r="MO6" s="14">
        <f t="shared" ca="1" si="6"/>
        <v>43650</v>
      </c>
      <c r="MP6" s="14">
        <f t="shared" ca="1" si="6"/>
        <v>43651</v>
      </c>
      <c r="MQ6" s="14">
        <f t="shared" ca="1" si="6"/>
        <v>43652</v>
      </c>
      <c r="MR6" s="14">
        <f t="shared" ca="1" si="6"/>
        <v>43653</v>
      </c>
      <c r="MS6" s="14">
        <f t="shared" ca="1" si="6"/>
        <v>43654</v>
      </c>
      <c r="MT6" s="14">
        <f t="shared" ca="1" si="6"/>
        <v>43655</v>
      </c>
      <c r="MU6" s="14">
        <f t="shared" ca="1" si="6"/>
        <v>43656</v>
      </c>
      <c r="MV6" s="14">
        <f t="shared" ca="1" si="6"/>
        <v>43657</v>
      </c>
      <c r="MW6" s="14">
        <f t="shared" ca="1" si="6"/>
        <v>43658</v>
      </c>
      <c r="MX6" s="14">
        <f t="shared" ca="1" si="6"/>
        <v>43659</v>
      </c>
      <c r="MY6" s="14">
        <f t="shared" ca="1" si="6"/>
        <v>43660</v>
      </c>
      <c r="MZ6" s="14">
        <f t="shared" ca="1" si="6"/>
        <v>43661</v>
      </c>
      <c r="NA6" s="14">
        <f t="shared" ca="1" si="6"/>
        <v>43662</v>
      </c>
    </row>
    <row r="7" spans="1:367" s="2" customFormat="1" ht="24" customHeight="1" x14ac:dyDescent="0.25">
      <c r="A7" s="100" t="s">
        <v>273</v>
      </c>
      <c r="B7" s="34" t="s">
        <v>4</v>
      </c>
      <c r="C7" s="34" t="s">
        <v>0</v>
      </c>
      <c r="D7" s="33" t="s">
        <v>1</v>
      </c>
      <c r="E7" s="33" t="s">
        <v>2</v>
      </c>
      <c r="F7" s="35" t="s">
        <v>3</v>
      </c>
      <c r="G7" s="80"/>
      <c r="H7" s="39"/>
      <c r="I7" s="39"/>
      <c r="J7" s="39"/>
      <c r="K7" s="39"/>
      <c r="L7" s="39"/>
      <c r="M7" s="39"/>
      <c r="N7" s="39"/>
      <c r="O7" s="39"/>
      <c r="P7" s="39"/>
      <c r="Q7" s="39"/>
      <c r="R7" s="39"/>
      <c r="S7" s="39"/>
      <c r="T7" s="39"/>
      <c r="U7" s="39"/>
      <c r="V7" s="39"/>
      <c r="W7" s="39"/>
      <c r="X7" s="39"/>
      <c r="Y7" s="39"/>
      <c r="Z7" s="39"/>
      <c r="AA7" s="39"/>
      <c r="AB7" s="39"/>
      <c r="AC7" s="39"/>
      <c r="AD7" s="39"/>
      <c r="AE7" s="39"/>
      <c r="AF7" s="39"/>
      <c r="AG7" s="39"/>
      <c r="AH7" s="39"/>
      <c r="AI7" s="39"/>
      <c r="AJ7" s="39"/>
      <c r="AK7" s="39"/>
      <c r="AL7" s="39"/>
      <c r="AM7" s="39"/>
      <c r="AN7" s="39"/>
      <c r="AO7" s="39"/>
      <c r="AP7" s="39"/>
      <c r="AQ7" s="39"/>
      <c r="AR7" s="39"/>
      <c r="AS7" s="39"/>
    </row>
    <row r="8" spans="1:367" s="2" customFormat="1" ht="24" customHeight="1" x14ac:dyDescent="0.25">
      <c r="A8" s="102" t="s">
        <v>618</v>
      </c>
      <c r="B8" s="34" t="s">
        <v>619</v>
      </c>
      <c r="C8" s="34" t="s">
        <v>620</v>
      </c>
      <c r="D8" s="33">
        <v>43302</v>
      </c>
      <c r="E8" s="17">
        <v>43305</v>
      </c>
      <c r="F8" s="126">
        <v>0</v>
      </c>
      <c r="G8" s="80"/>
      <c r="H8" s="39"/>
      <c r="I8" s="39"/>
      <c r="J8" s="39"/>
      <c r="K8" s="39"/>
      <c r="L8" s="39"/>
      <c r="M8" s="39"/>
      <c r="N8" s="39"/>
      <c r="O8" s="39"/>
      <c r="P8" s="39"/>
      <c r="Q8" s="39"/>
      <c r="R8" s="39"/>
      <c r="S8" s="39"/>
      <c r="T8" s="39"/>
      <c r="U8" s="39"/>
      <c r="V8" s="39"/>
      <c r="W8" s="39"/>
      <c r="X8" s="39"/>
      <c r="Y8" s="39"/>
      <c r="Z8" s="39"/>
      <c r="AA8" s="39"/>
      <c r="AB8" s="39"/>
      <c r="AC8" s="39"/>
      <c r="AD8" s="39"/>
      <c r="AE8" s="39"/>
      <c r="AF8" s="39"/>
      <c r="AG8" s="39"/>
      <c r="AH8" s="39"/>
      <c r="AI8" s="39"/>
      <c r="AJ8" s="39"/>
      <c r="AK8" s="39"/>
      <c r="AL8" s="39"/>
      <c r="AM8" s="39"/>
      <c r="AN8" s="39"/>
      <c r="AO8" s="39"/>
      <c r="AP8" s="39"/>
      <c r="AQ8" s="39"/>
      <c r="AR8" s="39"/>
      <c r="AS8" s="39"/>
    </row>
    <row r="9" spans="1:367" ht="20.100000000000001" customHeight="1" x14ac:dyDescent="0.25">
      <c r="A9" s="102"/>
      <c r="B9" s="30" t="s">
        <v>619</v>
      </c>
      <c r="C9" s="16" t="s">
        <v>621</v>
      </c>
      <c r="D9" s="16">
        <v>43305</v>
      </c>
      <c r="E9" s="17">
        <v>43309</v>
      </c>
      <c r="F9" s="4">
        <v>0</v>
      </c>
      <c r="G9" s="80"/>
      <c r="H9" s="39"/>
      <c r="I9" s="39"/>
      <c r="J9" s="39"/>
      <c r="K9" s="39"/>
      <c r="L9" s="39"/>
      <c r="M9" s="39"/>
      <c r="N9" s="39"/>
      <c r="O9" s="39"/>
      <c r="P9" s="39"/>
      <c r="Q9" s="39"/>
      <c r="R9" s="39"/>
      <c r="S9" s="39"/>
      <c r="T9" s="39"/>
      <c r="U9" s="39"/>
      <c r="V9" s="39"/>
      <c r="W9" s="39"/>
      <c r="X9" s="39"/>
      <c r="Y9" s="39"/>
      <c r="Z9" s="39"/>
      <c r="AA9" s="39"/>
      <c r="AB9" s="39"/>
      <c r="AC9" s="39"/>
      <c r="AD9" s="39"/>
      <c r="AE9" s="39"/>
      <c r="AF9" s="39"/>
      <c r="AG9" s="39"/>
      <c r="AH9" s="39"/>
      <c r="AI9" s="39"/>
      <c r="AJ9" s="39"/>
      <c r="AK9" s="39"/>
      <c r="AL9" s="39"/>
      <c r="AM9" s="39"/>
      <c r="AN9" s="39"/>
      <c r="AO9" s="39"/>
      <c r="AP9" s="39"/>
      <c r="AQ9" s="39"/>
      <c r="AR9" s="39"/>
      <c r="AS9" s="39"/>
    </row>
    <row r="10" spans="1:367" ht="20.100000000000001" customHeight="1" x14ac:dyDescent="0.25">
      <c r="A10" s="102"/>
      <c r="B10" s="30"/>
      <c r="C10" s="16"/>
      <c r="D10" s="16"/>
      <c r="E10" s="17"/>
      <c r="F10" s="4"/>
      <c r="G10" s="80"/>
      <c r="H10" s="39"/>
      <c r="I10" s="39"/>
      <c r="J10" s="39"/>
      <c r="K10" s="39"/>
      <c r="L10" s="39"/>
      <c r="M10" s="39"/>
      <c r="N10" s="39"/>
      <c r="O10" s="39"/>
      <c r="P10" s="39"/>
      <c r="Q10" s="39"/>
      <c r="R10" s="39"/>
      <c r="S10" s="39"/>
      <c r="T10" s="39"/>
      <c r="U10" s="39"/>
      <c r="V10" s="39"/>
      <c r="W10" s="39"/>
      <c r="X10" s="39"/>
      <c r="Y10" s="39"/>
      <c r="Z10" s="39"/>
      <c r="AA10" s="39"/>
      <c r="AB10" s="39"/>
      <c r="AC10" s="39"/>
      <c r="AD10" s="39"/>
      <c r="AE10" s="39"/>
      <c r="AF10" s="39"/>
      <c r="AG10" s="39"/>
      <c r="AH10" s="39"/>
      <c r="AI10" s="39"/>
      <c r="AJ10" s="39"/>
      <c r="AK10" s="39"/>
      <c r="AL10" s="39"/>
      <c r="AM10" s="39"/>
      <c r="AN10" s="39"/>
      <c r="AO10" s="39"/>
      <c r="AP10" s="39"/>
      <c r="AQ10" s="39"/>
      <c r="AR10" s="39"/>
      <c r="AS10" s="39"/>
    </row>
    <row r="11" spans="1:367" ht="20.100000000000001" customHeight="1" x14ac:dyDescent="0.25">
      <c r="A11" s="102"/>
      <c r="B11" s="30"/>
      <c r="C11" s="16"/>
      <c r="D11" s="16"/>
      <c r="E11" s="17"/>
      <c r="F11" s="4"/>
      <c r="G11" s="80"/>
      <c r="H11" s="39"/>
      <c r="I11" s="39"/>
      <c r="J11" s="39"/>
      <c r="K11" s="39"/>
      <c r="L11" s="39"/>
      <c r="M11" s="39"/>
      <c r="N11" s="39"/>
      <c r="O11" s="39"/>
      <c r="P11" s="39"/>
      <c r="Q11" s="39"/>
      <c r="R11" s="39"/>
      <c r="S11" s="39"/>
      <c r="T11" s="39"/>
      <c r="U11" s="39"/>
      <c r="V11" s="39"/>
      <c r="W11" s="39"/>
      <c r="X11" s="39"/>
      <c r="Y11" s="39"/>
      <c r="Z11" s="39"/>
      <c r="AA11" s="39"/>
      <c r="AB11" s="39"/>
      <c r="AC11" s="39"/>
      <c r="AD11" s="39"/>
      <c r="AE11" s="39"/>
      <c r="AF11" s="39"/>
      <c r="AG11" s="39"/>
      <c r="AH11" s="39"/>
      <c r="AI11" s="39"/>
      <c r="AJ11" s="39"/>
      <c r="AK11" s="39"/>
      <c r="AL11" s="39"/>
      <c r="AM11" s="39"/>
      <c r="AN11" s="39"/>
      <c r="AO11" s="39"/>
      <c r="AP11" s="39"/>
      <c r="AQ11" s="39"/>
      <c r="AR11" s="39"/>
      <c r="AS11" s="39"/>
    </row>
    <row r="12" spans="1:367" ht="20.100000000000001" customHeight="1" x14ac:dyDescent="0.25">
      <c r="A12" s="102"/>
      <c r="B12" s="30"/>
      <c r="C12" s="16"/>
      <c r="D12" s="16"/>
      <c r="E12" s="17"/>
      <c r="F12" s="4"/>
      <c r="G12" s="80"/>
      <c r="H12" s="39"/>
      <c r="I12" s="39"/>
      <c r="J12" s="39"/>
      <c r="K12" s="39"/>
      <c r="L12" s="39"/>
      <c r="M12" s="39"/>
      <c r="N12" s="39"/>
      <c r="O12" s="39"/>
      <c r="P12" s="39"/>
      <c r="Q12" s="39"/>
      <c r="R12" s="39"/>
      <c r="S12" s="39"/>
      <c r="T12" s="39"/>
      <c r="U12" s="39"/>
      <c r="V12" s="39"/>
      <c r="W12" s="39"/>
      <c r="X12" s="39"/>
      <c r="Y12" s="39"/>
      <c r="Z12" s="39"/>
      <c r="AA12" s="39"/>
      <c r="AB12" s="39"/>
      <c r="AC12" s="39"/>
      <c r="AD12" s="39"/>
      <c r="AE12" s="39"/>
      <c r="AF12" s="39"/>
      <c r="AG12" s="39"/>
      <c r="AH12" s="39"/>
      <c r="AI12" s="39"/>
      <c r="AJ12" s="39"/>
      <c r="AK12" s="39"/>
      <c r="AL12" s="39"/>
      <c r="AM12" s="39"/>
      <c r="AN12" s="39"/>
      <c r="AO12" s="39"/>
      <c r="AP12" s="39"/>
      <c r="AQ12" s="39"/>
      <c r="AR12" s="39"/>
      <c r="AS12" s="39"/>
    </row>
    <row r="13" spans="1:367" ht="20.100000000000001" customHeight="1" x14ac:dyDescent="0.25">
      <c r="A13" s="102"/>
      <c r="B13" s="30"/>
      <c r="C13" s="16"/>
      <c r="D13" s="16"/>
      <c r="E13" s="17"/>
      <c r="F13" s="4"/>
      <c r="G13" s="80"/>
      <c r="H13" s="39"/>
      <c r="I13" s="39"/>
      <c r="J13" s="39"/>
      <c r="K13" s="39"/>
      <c r="L13" s="39"/>
      <c r="M13" s="39"/>
      <c r="N13" s="39"/>
      <c r="O13" s="39"/>
      <c r="P13" s="39"/>
      <c r="Q13" s="39"/>
      <c r="R13" s="39"/>
      <c r="S13" s="39"/>
      <c r="T13" s="39"/>
      <c r="U13" s="39"/>
      <c r="V13" s="39"/>
      <c r="W13" s="39"/>
      <c r="X13" s="39"/>
      <c r="Y13" s="39"/>
      <c r="Z13" s="39"/>
      <c r="AA13" s="39"/>
      <c r="AB13" s="39"/>
      <c r="AC13" s="39"/>
      <c r="AD13" s="39"/>
      <c r="AE13" s="39"/>
      <c r="AF13" s="39"/>
      <c r="AG13" s="39"/>
      <c r="AH13" s="39"/>
      <c r="AI13" s="39"/>
      <c r="AJ13" s="39"/>
      <c r="AK13" s="39"/>
      <c r="AL13" s="39"/>
      <c r="AM13" s="39"/>
      <c r="AN13" s="39"/>
      <c r="AO13" s="39"/>
      <c r="AP13" s="39"/>
      <c r="AQ13" s="39"/>
      <c r="AR13" s="39"/>
      <c r="AS13" s="39"/>
    </row>
    <row r="14" spans="1:367" ht="30.2" customHeight="1" x14ac:dyDescent="0.25">
      <c r="A14" s="102"/>
      <c r="B14" s="30"/>
      <c r="C14" s="16"/>
      <c r="D14" s="16"/>
      <c r="E14" s="17"/>
      <c r="F14" s="4"/>
      <c r="G14" s="80"/>
      <c r="H14" s="39"/>
      <c r="I14" s="39"/>
      <c r="J14" s="39"/>
      <c r="K14" s="39"/>
      <c r="L14" s="39"/>
      <c r="M14" s="39"/>
      <c r="N14" s="39"/>
      <c r="O14" s="39"/>
      <c r="P14" s="39"/>
      <c r="Q14" s="39"/>
      <c r="R14" s="39"/>
      <c r="S14" s="39"/>
      <c r="T14" s="39"/>
      <c r="U14" s="39"/>
      <c r="V14" s="39"/>
      <c r="W14" s="39"/>
      <c r="X14" s="39"/>
      <c r="Y14" s="39"/>
      <c r="Z14" s="39"/>
      <c r="AA14" s="39"/>
      <c r="AB14" s="39"/>
      <c r="AC14" s="39"/>
      <c r="AD14" s="39"/>
      <c r="AE14" s="39"/>
      <c r="AF14" s="39"/>
      <c r="AG14" s="39"/>
      <c r="AH14" s="39"/>
      <c r="AI14" s="39"/>
      <c r="AJ14" s="39"/>
      <c r="AK14" s="39"/>
      <c r="AL14" s="39"/>
      <c r="AM14" s="39"/>
      <c r="AN14" s="39"/>
      <c r="AO14" s="39"/>
      <c r="AP14" s="39"/>
      <c r="AQ14" s="39"/>
      <c r="AR14" s="39"/>
      <c r="AS14" s="39"/>
    </row>
    <row r="15" spans="1:367" ht="19.5" customHeight="1" x14ac:dyDescent="0.25">
      <c r="A15" s="102"/>
      <c r="B15" s="30"/>
      <c r="C15" s="16"/>
      <c r="D15" s="16"/>
      <c r="E15" s="17"/>
      <c r="F15" s="4"/>
      <c r="G15" s="80"/>
      <c r="H15" s="39"/>
      <c r="I15" s="39"/>
      <c r="J15" s="39"/>
      <c r="K15" s="39"/>
      <c r="L15" s="39"/>
      <c r="M15" s="39"/>
      <c r="N15" s="39"/>
      <c r="O15" s="39"/>
      <c r="P15" s="39"/>
      <c r="Q15" s="39"/>
      <c r="R15" s="39"/>
      <c r="S15" s="39"/>
      <c r="T15" s="39"/>
      <c r="U15" s="39"/>
      <c r="V15" s="39"/>
      <c r="W15" s="39"/>
      <c r="X15" s="39"/>
      <c r="Y15" s="39"/>
      <c r="Z15" s="39"/>
      <c r="AA15" s="39"/>
      <c r="AB15" s="39"/>
      <c r="AC15" s="39"/>
      <c r="AD15" s="39"/>
      <c r="AE15" s="39"/>
      <c r="AF15" s="39"/>
      <c r="AG15" s="39"/>
      <c r="AH15" s="39"/>
      <c r="AI15" s="39"/>
      <c r="AJ15" s="39"/>
      <c r="AK15" s="39"/>
      <c r="AL15" s="39"/>
      <c r="AM15" s="39"/>
      <c r="AN15" s="39"/>
      <c r="AO15" s="39"/>
      <c r="AP15" s="39"/>
      <c r="AQ15" s="39"/>
      <c r="AR15" s="39"/>
      <c r="AS15" s="39"/>
    </row>
    <row r="16" spans="1:367" ht="37.5" customHeight="1" x14ac:dyDescent="0.25">
      <c r="A16" s="102"/>
      <c r="B16" s="30"/>
      <c r="C16" s="16"/>
      <c r="D16" s="16"/>
      <c r="E16" s="17"/>
      <c r="F16" s="4"/>
      <c r="G16" s="80"/>
      <c r="H16" s="39"/>
      <c r="I16" s="39"/>
      <c r="J16" s="39"/>
      <c r="K16" s="39"/>
      <c r="L16" s="39"/>
      <c r="M16" s="39"/>
      <c r="N16" s="39"/>
      <c r="O16" s="39"/>
      <c r="P16" s="39"/>
      <c r="Q16" s="39"/>
      <c r="R16" s="39"/>
      <c r="S16" s="39"/>
      <c r="T16" s="39"/>
      <c r="U16" s="39"/>
      <c r="V16" s="39"/>
      <c r="W16" s="39"/>
      <c r="X16" s="39"/>
      <c r="Y16" s="39"/>
      <c r="Z16" s="39"/>
      <c r="AA16" s="39"/>
      <c r="AB16" s="39"/>
      <c r="AC16" s="39"/>
      <c r="AD16" s="39"/>
      <c r="AE16" s="39"/>
      <c r="AF16" s="39"/>
      <c r="AG16" s="39"/>
      <c r="AH16" s="39"/>
      <c r="AI16" s="39"/>
      <c r="AJ16" s="39"/>
      <c r="AK16" s="39"/>
      <c r="AL16" s="39"/>
      <c r="AM16" s="39"/>
      <c r="AN16" s="39"/>
      <c r="AO16" s="39"/>
      <c r="AP16" s="39"/>
      <c r="AQ16" s="39"/>
      <c r="AR16" s="39"/>
      <c r="AS16" s="39"/>
    </row>
    <row r="17" spans="1:45" ht="20.100000000000001" customHeight="1" x14ac:dyDescent="0.25">
      <c r="A17" s="102"/>
      <c r="B17" s="30"/>
      <c r="C17" s="16"/>
      <c r="D17" s="16"/>
      <c r="E17" s="17"/>
      <c r="F17" s="4"/>
      <c r="G17" s="80"/>
      <c r="H17" s="39"/>
      <c r="I17" s="39"/>
      <c r="J17" s="39"/>
      <c r="K17" s="39"/>
      <c r="L17" s="39"/>
      <c r="M17" s="39"/>
      <c r="N17" s="39"/>
      <c r="O17" s="39"/>
      <c r="P17" s="39"/>
      <c r="Q17" s="39"/>
      <c r="R17" s="39"/>
      <c r="S17" s="39"/>
      <c r="T17" s="39"/>
      <c r="U17" s="39"/>
      <c r="V17" s="39"/>
      <c r="W17" s="39"/>
      <c r="X17" s="39"/>
      <c r="Y17" s="39"/>
      <c r="Z17" s="39"/>
      <c r="AA17" s="39"/>
      <c r="AB17" s="39"/>
      <c r="AC17" s="39"/>
      <c r="AD17" s="39"/>
      <c r="AE17" s="39"/>
      <c r="AF17" s="39"/>
      <c r="AG17" s="39"/>
      <c r="AH17" s="39"/>
      <c r="AI17" s="39"/>
      <c r="AJ17" s="39"/>
      <c r="AK17" s="39"/>
      <c r="AL17" s="39"/>
      <c r="AM17" s="39"/>
      <c r="AN17" s="39"/>
      <c r="AO17" s="39"/>
      <c r="AP17" s="39"/>
      <c r="AQ17" s="39"/>
      <c r="AR17" s="39"/>
      <c r="AS17" s="39"/>
    </row>
    <row r="18" spans="1:45" ht="20.100000000000001" customHeight="1" x14ac:dyDescent="0.25">
      <c r="A18" s="102"/>
      <c r="B18" s="30"/>
      <c r="C18" s="16"/>
      <c r="D18" s="16"/>
      <c r="E18" s="17"/>
      <c r="F18" s="4"/>
      <c r="G18" s="80"/>
      <c r="H18" s="39"/>
      <c r="I18" s="39"/>
      <c r="J18" s="39"/>
      <c r="K18" s="39"/>
      <c r="L18" s="39"/>
      <c r="M18" s="39"/>
      <c r="N18" s="39"/>
      <c r="O18" s="39"/>
      <c r="P18" s="39"/>
      <c r="Q18" s="39"/>
      <c r="R18" s="39"/>
      <c r="S18" s="39"/>
      <c r="T18" s="39"/>
      <c r="U18" s="39"/>
      <c r="V18" s="39"/>
      <c r="W18" s="39"/>
      <c r="X18" s="39"/>
      <c r="Y18" s="39"/>
      <c r="Z18" s="39"/>
      <c r="AA18" s="39"/>
      <c r="AB18" s="39"/>
      <c r="AC18" s="39"/>
      <c r="AD18" s="39"/>
      <c r="AE18" s="39"/>
      <c r="AF18" s="39"/>
      <c r="AG18" s="39"/>
      <c r="AH18" s="39"/>
      <c r="AI18" s="39"/>
      <c r="AJ18" s="39"/>
      <c r="AK18" s="39"/>
      <c r="AL18" s="39"/>
      <c r="AM18" s="39"/>
      <c r="AN18" s="39"/>
      <c r="AO18" s="39"/>
      <c r="AP18" s="39"/>
      <c r="AQ18" s="39"/>
      <c r="AR18" s="39"/>
      <c r="AS18" s="39"/>
    </row>
    <row r="19" spans="1:45" ht="20.100000000000001" customHeight="1" x14ac:dyDescent="0.25">
      <c r="A19" s="102"/>
      <c r="B19" s="30"/>
      <c r="C19" s="16"/>
      <c r="D19" s="16"/>
      <c r="E19" s="17"/>
      <c r="F19" s="4"/>
      <c r="G19" s="80"/>
      <c r="H19" s="39"/>
      <c r="I19" s="39"/>
      <c r="J19" s="39"/>
      <c r="K19" s="39"/>
      <c r="L19" s="39"/>
      <c r="M19" s="39"/>
      <c r="N19" s="39"/>
      <c r="O19" s="39"/>
      <c r="P19" s="39"/>
      <c r="Q19" s="39"/>
      <c r="R19" s="39"/>
      <c r="S19" s="39"/>
      <c r="T19" s="39"/>
      <c r="U19" s="39"/>
      <c r="V19" s="39"/>
      <c r="W19" s="39"/>
      <c r="X19" s="39"/>
      <c r="Y19" s="39"/>
      <c r="Z19" s="39"/>
      <c r="AA19" s="39"/>
      <c r="AB19" s="39"/>
      <c r="AC19" s="39"/>
      <c r="AD19" s="39"/>
      <c r="AE19" s="39"/>
      <c r="AF19" s="39"/>
      <c r="AG19" s="39"/>
      <c r="AH19" s="39"/>
      <c r="AI19" s="39"/>
      <c r="AJ19" s="39"/>
      <c r="AK19" s="39"/>
      <c r="AL19" s="39"/>
      <c r="AM19" s="39"/>
      <c r="AN19" s="39"/>
      <c r="AO19" s="39"/>
      <c r="AP19" s="39"/>
      <c r="AQ19" s="39"/>
      <c r="AR19" s="39"/>
      <c r="AS19" s="39"/>
    </row>
    <row r="20" spans="1:45" ht="51.75" customHeight="1" x14ac:dyDescent="0.25">
      <c r="A20" s="102"/>
      <c r="B20" s="30"/>
      <c r="C20" s="16"/>
      <c r="D20" s="16"/>
      <c r="E20" s="17"/>
      <c r="F20" s="4"/>
      <c r="G20" s="80"/>
      <c r="H20" s="39"/>
      <c r="I20" s="39"/>
      <c r="J20" s="39"/>
      <c r="K20" s="39"/>
      <c r="L20" s="39"/>
      <c r="M20" s="39"/>
      <c r="N20" s="39"/>
      <c r="O20" s="39"/>
      <c r="P20" s="39"/>
      <c r="Q20" s="39"/>
      <c r="R20" s="39"/>
      <c r="S20" s="39"/>
      <c r="T20" s="39"/>
      <c r="U20" s="39"/>
      <c r="V20" s="39"/>
      <c r="W20" s="39"/>
      <c r="X20" s="39"/>
      <c r="Y20" s="39"/>
      <c r="Z20" s="39"/>
      <c r="AA20" s="39"/>
      <c r="AB20" s="39"/>
      <c r="AC20" s="39"/>
      <c r="AD20" s="39"/>
      <c r="AE20" s="39"/>
      <c r="AF20" s="39"/>
      <c r="AG20" s="39"/>
      <c r="AH20" s="39"/>
      <c r="AI20" s="39"/>
      <c r="AJ20" s="39"/>
      <c r="AK20" s="39"/>
      <c r="AL20" s="39"/>
      <c r="AM20" s="39"/>
      <c r="AN20" s="39"/>
      <c r="AO20" s="39"/>
      <c r="AP20" s="39"/>
      <c r="AQ20" s="39"/>
      <c r="AR20" s="39"/>
      <c r="AS20" s="39"/>
    </row>
    <row r="21" spans="1:45" ht="39" customHeight="1" x14ac:dyDescent="0.25">
      <c r="A21" s="102"/>
      <c r="B21" s="30"/>
      <c r="C21" s="16"/>
      <c r="D21" s="16"/>
      <c r="E21" s="17"/>
      <c r="F21" s="4"/>
      <c r="G21" s="80"/>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39"/>
      <c r="AS21" s="39"/>
    </row>
    <row r="22" spans="1:45" ht="18" customHeight="1" x14ac:dyDescent="0.25">
      <c r="A22" s="102"/>
      <c r="B22" s="30"/>
      <c r="C22" s="16"/>
      <c r="D22" s="16"/>
      <c r="E22" s="17"/>
      <c r="F22" s="4"/>
      <c r="G22" s="80"/>
      <c r="H22" s="39"/>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39"/>
      <c r="AS22" s="39"/>
    </row>
    <row r="23" spans="1:45" ht="20.100000000000001" customHeight="1" x14ac:dyDescent="0.25">
      <c r="A23" s="102"/>
      <c r="B23" s="30"/>
      <c r="C23" s="16"/>
      <c r="D23" s="16"/>
      <c r="E23" s="17"/>
      <c r="F23" s="4"/>
      <c r="G23" s="80"/>
    </row>
    <row r="24" spans="1:45" ht="20.100000000000001" customHeight="1" x14ac:dyDescent="0.25">
      <c r="A24" s="102"/>
      <c r="B24" s="30"/>
      <c r="C24" s="16"/>
      <c r="D24" s="16"/>
      <c r="E24" s="17"/>
      <c r="F24" s="4"/>
      <c r="G24" s="80"/>
    </row>
    <row r="25" spans="1:45" ht="20.100000000000001" customHeight="1" x14ac:dyDescent="0.25">
      <c r="A25" s="102"/>
      <c r="B25" s="30"/>
      <c r="C25" s="16"/>
      <c r="D25" s="16"/>
      <c r="E25" s="17"/>
      <c r="F25" s="4"/>
      <c r="G25" s="80"/>
    </row>
    <row r="26" spans="1:45" ht="20.100000000000001" customHeight="1" x14ac:dyDescent="0.25">
      <c r="A26" s="102"/>
      <c r="B26" s="30"/>
      <c r="C26" s="16"/>
      <c r="D26" s="16"/>
      <c r="E26" s="17"/>
      <c r="F26" s="4"/>
      <c r="G26" s="80"/>
    </row>
    <row r="27" spans="1:45" ht="20.100000000000001" customHeight="1" x14ac:dyDescent="0.25">
      <c r="A27" s="102"/>
      <c r="B27" s="103"/>
      <c r="C27" s="104"/>
      <c r="D27" s="104"/>
      <c r="E27" s="104"/>
      <c r="F27" s="130"/>
      <c r="G27" s="80"/>
    </row>
    <row r="28" spans="1:45" ht="20.100000000000001" customHeight="1" x14ac:dyDescent="0.25">
      <c r="A28" s="102"/>
      <c r="B28" s="30"/>
      <c r="C28" s="16"/>
      <c r="D28" s="16"/>
      <c r="E28" s="17"/>
      <c r="F28" s="4"/>
      <c r="G28" s="80"/>
    </row>
    <row r="29" spans="1:45" ht="20.100000000000001" customHeight="1" x14ac:dyDescent="0.25">
      <c r="A29" s="102"/>
      <c r="B29" s="30"/>
      <c r="C29" s="16"/>
      <c r="D29" s="16"/>
      <c r="E29" s="17"/>
      <c r="F29" s="4"/>
      <c r="G29" s="80"/>
    </row>
    <row r="30" spans="1:45" ht="20.100000000000001" customHeight="1" x14ac:dyDescent="0.25">
      <c r="A30" s="102"/>
      <c r="B30" s="30"/>
      <c r="C30" s="16"/>
      <c r="D30" s="16"/>
      <c r="E30" s="17"/>
      <c r="F30" s="4"/>
      <c r="G30" s="80"/>
    </row>
    <row r="31" spans="1:45" ht="20.100000000000001" customHeight="1" x14ac:dyDescent="0.25">
      <c r="A31" s="102"/>
      <c r="B31" s="30"/>
      <c r="C31" s="16"/>
      <c r="D31" s="16"/>
      <c r="E31" s="17"/>
      <c r="F31" s="4"/>
      <c r="G31" s="80"/>
    </row>
    <row r="32" spans="1:45" ht="20.100000000000001" customHeight="1" x14ac:dyDescent="0.25">
      <c r="A32" s="102"/>
      <c r="B32" s="30"/>
      <c r="C32" s="16"/>
      <c r="D32" s="16"/>
      <c r="E32" s="17"/>
      <c r="F32" s="4"/>
      <c r="G32" s="80"/>
    </row>
    <row r="33" spans="1:14" ht="20.100000000000001" customHeight="1" x14ac:dyDescent="0.25">
      <c r="A33" s="102"/>
      <c r="B33" s="30"/>
      <c r="C33" s="16"/>
      <c r="D33" s="16"/>
      <c r="E33" s="17"/>
      <c r="F33" s="4"/>
      <c r="G33" s="80"/>
    </row>
    <row r="34" spans="1:14" ht="38.25" customHeight="1" x14ac:dyDescent="0.25">
      <c r="A34" s="102"/>
      <c r="B34" s="30"/>
      <c r="C34" s="16"/>
      <c r="D34" s="16"/>
      <c r="E34" s="17"/>
      <c r="F34" s="4"/>
      <c r="G34" s="80"/>
    </row>
    <row r="35" spans="1:14" ht="20.100000000000001" customHeight="1" x14ac:dyDescent="0.25">
      <c r="A35" s="102"/>
      <c r="B35" s="30"/>
      <c r="C35" s="16"/>
      <c r="D35" s="16"/>
      <c r="E35" s="17"/>
      <c r="F35" s="4"/>
      <c r="G35" s="80"/>
    </row>
    <row r="36" spans="1:14" ht="20.100000000000001" customHeight="1" x14ac:dyDescent="0.25">
      <c r="A36" s="102"/>
      <c r="B36" s="30"/>
      <c r="C36" s="16"/>
      <c r="D36" s="16"/>
      <c r="E36" s="17"/>
      <c r="F36" s="4"/>
      <c r="G36" s="80"/>
      <c r="N36" s="2" t="s">
        <v>280</v>
      </c>
    </row>
    <row r="37" spans="1:14" ht="48.2" customHeight="1" x14ac:dyDescent="0.25">
      <c r="A37" s="102"/>
      <c r="B37" s="30"/>
      <c r="C37" s="16"/>
      <c r="D37" s="16"/>
      <c r="E37" s="17"/>
      <c r="F37" s="4"/>
      <c r="G37" s="80"/>
    </row>
    <row r="38" spans="1:14" ht="20.100000000000001" customHeight="1" x14ac:dyDescent="0.25">
      <c r="A38" s="102"/>
      <c r="B38" s="30"/>
      <c r="C38" s="16"/>
      <c r="D38" s="16"/>
      <c r="E38" s="17"/>
      <c r="F38" s="4"/>
      <c r="G38" s="80"/>
    </row>
    <row r="39" spans="1:14" ht="20.100000000000001" customHeight="1" x14ac:dyDescent="0.25">
      <c r="A39" s="102"/>
      <c r="B39" s="30"/>
      <c r="C39" s="16"/>
      <c r="D39" s="16"/>
      <c r="E39" s="17"/>
      <c r="F39" s="4"/>
      <c r="G39" s="80"/>
    </row>
    <row r="40" spans="1:14" ht="20.100000000000001" customHeight="1" x14ac:dyDescent="0.25">
      <c r="A40" s="102"/>
      <c r="B40" s="30"/>
      <c r="C40" s="16"/>
      <c r="D40" s="16"/>
      <c r="E40" s="17"/>
      <c r="F40" s="4"/>
      <c r="G40" s="80"/>
    </row>
    <row r="41" spans="1:14" ht="20.100000000000001" customHeight="1" x14ac:dyDescent="0.25">
      <c r="A41" s="102"/>
      <c r="B41" s="103"/>
      <c r="C41" s="104"/>
      <c r="D41" s="104"/>
      <c r="E41" s="104"/>
      <c r="F41" s="4"/>
      <c r="G41" s="80"/>
    </row>
    <row r="42" spans="1:14" ht="20.100000000000001" customHeight="1" x14ac:dyDescent="0.25">
      <c r="A42" s="102"/>
      <c r="B42" s="30"/>
      <c r="C42" s="16"/>
      <c r="D42" s="16"/>
      <c r="E42" s="104"/>
      <c r="F42" s="4"/>
      <c r="G42" s="80"/>
    </row>
    <row r="43" spans="1:14" ht="20.100000000000001" customHeight="1" x14ac:dyDescent="0.25">
      <c r="A43" s="102"/>
      <c r="B43" s="30"/>
      <c r="C43" s="16"/>
      <c r="D43" s="16"/>
      <c r="E43" s="104"/>
      <c r="F43" s="4"/>
      <c r="G43" s="80"/>
    </row>
    <row r="44" spans="1:14" ht="20.100000000000001" customHeight="1" x14ac:dyDescent="0.25">
      <c r="A44" s="102"/>
      <c r="B44" s="30"/>
      <c r="C44" s="16"/>
      <c r="D44" s="16"/>
      <c r="E44" s="104"/>
      <c r="F44" s="4"/>
      <c r="G44" s="80"/>
    </row>
    <row r="45" spans="1:14" ht="20.100000000000001" customHeight="1" x14ac:dyDescent="0.25">
      <c r="A45" s="102"/>
      <c r="B45" s="30"/>
      <c r="C45" s="16"/>
      <c r="D45" s="16"/>
      <c r="E45" s="104"/>
      <c r="F45" s="4"/>
      <c r="G45" s="80"/>
    </row>
    <row r="46" spans="1:14" ht="20.100000000000001" customHeight="1" x14ac:dyDescent="0.25">
      <c r="A46" s="102"/>
      <c r="B46" s="30"/>
      <c r="C46" s="16"/>
      <c r="D46" s="16"/>
      <c r="E46" s="104"/>
      <c r="F46" s="4"/>
      <c r="G46" s="80"/>
    </row>
    <row r="47" spans="1:14" ht="20.100000000000001" customHeight="1" x14ac:dyDescent="0.25">
      <c r="A47" s="102"/>
      <c r="B47" s="30"/>
      <c r="C47" s="16"/>
      <c r="D47" s="16"/>
      <c r="E47" s="104"/>
      <c r="F47" s="4"/>
      <c r="G47" s="80"/>
    </row>
    <row r="48" spans="1:14" ht="20.100000000000001" customHeight="1" x14ac:dyDescent="0.25">
      <c r="A48" s="102"/>
      <c r="B48" s="30"/>
      <c r="C48" s="16"/>
      <c r="D48" s="16"/>
      <c r="E48" s="17"/>
      <c r="F48" s="4"/>
      <c r="G48" s="80"/>
    </row>
    <row r="49" spans="1:7" ht="20.100000000000001" customHeight="1" x14ac:dyDescent="0.25">
      <c r="A49" s="102"/>
      <c r="B49" s="30"/>
      <c r="C49" s="16"/>
      <c r="D49" s="16"/>
      <c r="E49" s="17"/>
      <c r="F49" s="4"/>
      <c r="G49" s="80"/>
    </row>
    <row r="50" spans="1:7" ht="20.100000000000001" customHeight="1" x14ac:dyDescent="0.25">
      <c r="A50" s="102"/>
      <c r="B50" s="30"/>
      <c r="C50" s="16"/>
      <c r="D50" s="16"/>
      <c r="E50" s="17"/>
      <c r="F50" s="4"/>
      <c r="G50" s="80"/>
    </row>
    <row r="51" spans="1:7" ht="20.100000000000001" customHeight="1" x14ac:dyDescent="0.25">
      <c r="A51" s="102"/>
      <c r="B51" s="30"/>
      <c r="C51" s="16"/>
      <c r="D51" s="16"/>
      <c r="E51" s="17"/>
      <c r="F51" s="4"/>
      <c r="G51" s="80"/>
    </row>
    <row r="52" spans="1:7" ht="20.100000000000001" customHeight="1" x14ac:dyDescent="0.25">
      <c r="A52" s="102"/>
      <c r="B52" s="30"/>
      <c r="C52" s="16"/>
      <c r="D52" s="16"/>
      <c r="E52" s="17"/>
      <c r="F52" s="4"/>
      <c r="G52" s="80"/>
    </row>
    <row r="53" spans="1:7" ht="20.100000000000001" customHeight="1" x14ac:dyDescent="0.25">
      <c r="A53" s="102"/>
      <c r="B53" s="30"/>
      <c r="C53" s="16"/>
      <c r="D53" s="16"/>
      <c r="E53" s="17"/>
      <c r="F53" s="4"/>
      <c r="G53" s="80"/>
    </row>
    <row r="54" spans="1:7" ht="20.100000000000001" customHeight="1" x14ac:dyDescent="0.25">
      <c r="A54" s="102"/>
      <c r="B54" s="30"/>
      <c r="C54" s="16"/>
      <c r="D54" s="16"/>
      <c r="E54" s="17"/>
      <c r="F54" s="4"/>
      <c r="G54" s="80"/>
    </row>
    <row r="55" spans="1:7" ht="20.100000000000001" customHeight="1" x14ac:dyDescent="0.25">
      <c r="A55" s="102"/>
      <c r="B55" s="30"/>
      <c r="C55" s="16"/>
      <c r="D55" s="16"/>
      <c r="E55" s="17"/>
      <c r="F55" s="4"/>
      <c r="G55" s="80"/>
    </row>
    <row r="56" spans="1:7" ht="20.100000000000001" customHeight="1" x14ac:dyDescent="0.25">
      <c r="A56" s="102"/>
      <c r="B56" s="30"/>
      <c r="C56" s="16"/>
      <c r="D56" s="16"/>
      <c r="E56" s="17"/>
      <c r="F56" s="4"/>
      <c r="G56" s="80"/>
    </row>
    <row r="57" spans="1:7" ht="20.100000000000001" customHeight="1" x14ac:dyDescent="0.25">
      <c r="A57" s="102"/>
      <c r="B57" s="30"/>
      <c r="C57" s="16"/>
      <c r="D57" s="16"/>
      <c r="E57" s="17"/>
      <c r="F57" s="4"/>
      <c r="G57" s="80"/>
    </row>
    <row r="58" spans="1:7" ht="20.100000000000001" customHeight="1" x14ac:dyDescent="0.25">
      <c r="A58" s="102"/>
      <c r="B58" s="30"/>
      <c r="C58" s="16"/>
      <c r="D58" s="16"/>
      <c r="E58" s="17"/>
      <c r="F58" s="4"/>
      <c r="G58" s="80"/>
    </row>
    <row r="59" spans="1:7" ht="20.100000000000001" customHeight="1" x14ac:dyDescent="0.25">
      <c r="A59" s="102"/>
      <c r="B59" s="30"/>
      <c r="C59" s="16"/>
      <c r="D59" s="16"/>
      <c r="E59" s="17"/>
      <c r="F59" s="4"/>
      <c r="G59" s="80"/>
    </row>
    <row r="60" spans="1:7" ht="20.100000000000001" customHeight="1" x14ac:dyDescent="0.25">
      <c r="A60" s="102"/>
      <c r="B60" s="30"/>
      <c r="C60" s="16"/>
      <c r="D60" s="16"/>
      <c r="E60" s="17"/>
      <c r="F60" s="4"/>
      <c r="G60" s="80"/>
    </row>
    <row r="61" spans="1:7" ht="20.100000000000001" customHeight="1" x14ac:dyDescent="0.25">
      <c r="A61" s="102"/>
      <c r="B61" s="30"/>
      <c r="C61" s="16"/>
      <c r="D61" s="16"/>
      <c r="E61" s="17"/>
      <c r="F61" s="4"/>
      <c r="G61" s="80"/>
    </row>
    <row r="62" spans="1:7" ht="20.100000000000001" customHeight="1" x14ac:dyDescent="0.25">
      <c r="A62" s="102"/>
      <c r="B62" s="30"/>
      <c r="C62" s="16"/>
      <c r="D62" s="16"/>
      <c r="E62" s="17"/>
      <c r="F62" s="4"/>
      <c r="G62" s="80"/>
    </row>
    <row r="63" spans="1:7" ht="20.100000000000001" customHeight="1" x14ac:dyDescent="0.25">
      <c r="A63" s="102"/>
      <c r="B63" s="30"/>
      <c r="C63" s="16"/>
      <c r="D63" s="16"/>
      <c r="E63" s="17"/>
      <c r="F63" s="4"/>
      <c r="G63" s="80"/>
    </row>
    <row r="64" spans="1:7" ht="20.100000000000001" customHeight="1" x14ac:dyDescent="0.25">
      <c r="A64" s="102"/>
      <c r="B64" s="30"/>
      <c r="C64" s="16"/>
      <c r="D64" s="16"/>
      <c r="E64" s="17"/>
      <c r="F64" s="4"/>
      <c r="G64" s="80"/>
    </row>
    <row r="65" spans="1:7" ht="20.100000000000001" customHeight="1" x14ac:dyDescent="0.25">
      <c r="A65" s="102"/>
      <c r="B65" s="30"/>
      <c r="C65" s="16"/>
      <c r="D65" s="16"/>
      <c r="E65" s="17"/>
      <c r="F65" s="4"/>
      <c r="G65" s="80"/>
    </row>
    <row r="66" spans="1:7" ht="20.100000000000001" customHeight="1" x14ac:dyDescent="0.25">
      <c r="A66" s="102"/>
      <c r="B66" s="30"/>
      <c r="C66" s="16"/>
      <c r="D66" s="16"/>
      <c r="E66" s="17"/>
      <c r="F66" s="4"/>
      <c r="G66" s="80"/>
    </row>
    <row r="67" spans="1:7" ht="20.100000000000001" customHeight="1" x14ac:dyDescent="0.25">
      <c r="A67" s="102"/>
      <c r="B67" s="30"/>
      <c r="C67" s="16"/>
      <c r="D67" s="16"/>
      <c r="E67" s="17"/>
      <c r="F67" s="4"/>
      <c r="G67" s="80"/>
    </row>
    <row r="68" spans="1:7" ht="20.100000000000001" customHeight="1" x14ac:dyDescent="0.25">
      <c r="A68" s="102"/>
      <c r="B68" s="30"/>
      <c r="C68" s="16"/>
      <c r="D68" s="16"/>
      <c r="E68" s="17"/>
      <c r="F68" s="4"/>
      <c r="G68" s="80"/>
    </row>
    <row r="69" spans="1:7" ht="20.100000000000001" customHeight="1" x14ac:dyDescent="0.25">
      <c r="A69" s="102"/>
      <c r="B69" s="30"/>
      <c r="C69" s="16"/>
      <c r="D69" s="16"/>
      <c r="E69" s="17"/>
      <c r="F69" s="4"/>
      <c r="G69" s="80"/>
    </row>
    <row r="70" spans="1:7" ht="20.100000000000001" customHeight="1" x14ac:dyDescent="0.25">
      <c r="A70" s="102"/>
      <c r="B70" s="30"/>
      <c r="C70" s="16"/>
      <c r="D70" s="16"/>
      <c r="E70" s="17"/>
      <c r="F70" s="4"/>
      <c r="G70" s="80"/>
    </row>
    <row r="71" spans="1:7" ht="20.100000000000001" customHeight="1" x14ac:dyDescent="0.25">
      <c r="A71" s="102"/>
      <c r="B71" s="30"/>
      <c r="C71" s="16"/>
      <c r="D71" s="16"/>
      <c r="E71" s="17"/>
      <c r="F71" s="4"/>
      <c r="G71" s="80"/>
    </row>
    <row r="72" spans="1:7" ht="20.100000000000001" customHeight="1" x14ac:dyDescent="0.25">
      <c r="A72" s="102"/>
      <c r="B72" s="30"/>
      <c r="C72" s="16"/>
      <c r="D72" s="16"/>
      <c r="E72" s="17"/>
      <c r="F72" s="4"/>
      <c r="G72" s="80"/>
    </row>
    <row r="73" spans="1:7" ht="20.100000000000001" customHeight="1" x14ac:dyDescent="0.25">
      <c r="A73" s="102"/>
      <c r="B73" s="30"/>
      <c r="C73" s="16"/>
      <c r="D73" s="16"/>
      <c r="E73" s="17"/>
      <c r="F73" s="4"/>
      <c r="G73" s="80"/>
    </row>
    <row r="74" spans="1:7" ht="20.100000000000001" customHeight="1" x14ac:dyDescent="0.25">
      <c r="A74" s="102"/>
      <c r="B74" s="30"/>
      <c r="C74" s="16"/>
      <c r="D74" s="16"/>
      <c r="E74" s="17"/>
      <c r="F74" s="4"/>
      <c r="G74" s="80"/>
    </row>
    <row r="75" spans="1:7" ht="20.100000000000001" customHeight="1" x14ac:dyDescent="0.25">
      <c r="A75" s="102"/>
      <c r="B75" s="30"/>
      <c r="C75" s="16"/>
      <c r="D75" s="16"/>
      <c r="E75" s="17"/>
      <c r="F75" s="4"/>
      <c r="G75" s="80"/>
    </row>
    <row r="76" spans="1:7" ht="20.100000000000001" customHeight="1" x14ac:dyDescent="0.25">
      <c r="A76" s="102"/>
      <c r="B76" s="30"/>
      <c r="C76" s="16"/>
      <c r="D76" s="16"/>
      <c r="E76" s="17"/>
      <c r="F76" s="4"/>
      <c r="G76" s="80"/>
    </row>
    <row r="77" spans="1:7" ht="20.100000000000001" customHeight="1" x14ac:dyDescent="0.25">
      <c r="A77" s="102"/>
      <c r="B77" s="30"/>
      <c r="C77" s="16"/>
      <c r="D77" s="16"/>
      <c r="E77" s="17"/>
      <c r="F77" s="4"/>
      <c r="G77" s="80"/>
    </row>
    <row r="78" spans="1:7" ht="20.100000000000001" customHeight="1" x14ac:dyDescent="0.25">
      <c r="A78" s="102"/>
      <c r="B78" s="30"/>
      <c r="C78" s="16"/>
      <c r="D78" s="16"/>
      <c r="E78" s="17"/>
      <c r="F78" s="4"/>
      <c r="G78" s="80"/>
    </row>
    <row r="79" spans="1:7" ht="20.100000000000001" customHeight="1" x14ac:dyDescent="0.25">
      <c r="A79" s="102"/>
      <c r="B79" s="30"/>
      <c r="C79" s="16"/>
      <c r="D79" s="16"/>
      <c r="E79" s="17"/>
      <c r="F79" s="4"/>
      <c r="G79" s="80"/>
    </row>
    <row r="80" spans="1:7" ht="20.100000000000001" customHeight="1" x14ac:dyDescent="0.25">
      <c r="A80" s="102"/>
      <c r="B80" s="30"/>
      <c r="C80" s="16"/>
      <c r="D80" s="16"/>
      <c r="E80" s="17"/>
      <c r="F80" s="4"/>
      <c r="G80" s="80"/>
    </row>
    <row r="81" spans="1:7" ht="20.100000000000001" customHeight="1" x14ac:dyDescent="0.25">
      <c r="A81" s="102"/>
      <c r="B81" s="30"/>
      <c r="C81" s="16"/>
      <c r="D81" s="16"/>
      <c r="E81" s="17"/>
      <c r="F81" s="4"/>
      <c r="G81" s="80"/>
    </row>
    <row r="82" spans="1:7" ht="20.100000000000001" customHeight="1" x14ac:dyDescent="0.25">
      <c r="A82" s="102"/>
      <c r="B82" s="30"/>
      <c r="C82" s="16"/>
      <c r="D82" s="16"/>
      <c r="E82" s="17"/>
      <c r="F82" s="4"/>
      <c r="G82" s="80"/>
    </row>
    <row r="83" spans="1:7" ht="20.100000000000001" customHeight="1" x14ac:dyDescent="0.25">
      <c r="A83" s="102"/>
      <c r="B83" s="30"/>
      <c r="C83" s="16"/>
      <c r="D83" s="16"/>
      <c r="E83" s="17"/>
      <c r="F83" s="4"/>
      <c r="G83" s="80"/>
    </row>
    <row r="84" spans="1:7" ht="20.100000000000001" customHeight="1" x14ac:dyDescent="0.25">
      <c r="A84" s="102"/>
      <c r="B84" s="30"/>
      <c r="C84" s="16"/>
      <c r="D84" s="16"/>
      <c r="E84" s="17"/>
      <c r="F84" s="4"/>
      <c r="G84" s="80"/>
    </row>
    <row r="85" spans="1:7" ht="20.100000000000001" customHeight="1" x14ac:dyDescent="0.25">
      <c r="A85" s="102"/>
      <c r="B85" s="30"/>
      <c r="C85" s="16"/>
      <c r="D85" s="16"/>
      <c r="E85" s="17"/>
      <c r="F85" s="4"/>
      <c r="G85" s="80"/>
    </row>
    <row r="86" spans="1:7" ht="20.100000000000001" customHeight="1" x14ac:dyDescent="0.25">
      <c r="A86" s="102"/>
      <c r="B86" s="30"/>
      <c r="C86" s="16"/>
      <c r="D86" s="16"/>
      <c r="E86" s="17"/>
      <c r="F86" s="4"/>
      <c r="G86" s="80"/>
    </row>
    <row r="87" spans="1:7" ht="20.100000000000001" customHeight="1" x14ac:dyDescent="0.25">
      <c r="A87" s="102"/>
      <c r="B87" s="30"/>
      <c r="C87" s="16"/>
      <c r="D87" s="16"/>
      <c r="E87" s="17"/>
      <c r="F87" s="4"/>
      <c r="G87" s="80"/>
    </row>
    <row r="88" spans="1:7" ht="20.100000000000001" customHeight="1" x14ac:dyDescent="0.25">
      <c r="A88" s="102"/>
      <c r="B88" s="30"/>
      <c r="C88" s="16"/>
      <c r="D88" s="16"/>
      <c r="E88" s="17"/>
      <c r="F88" s="4"/>
      <c r="G88" s="80"/>
    </row>
    <row r="89" spans="1:7" ht="20.100000000000001" customHeight="1" x14ac:dyDescent="0.25">
      <c r="A89" s="102"/>
      <c r="B89" s="30"/>
      <c r="C89" s="16"/>
      <c r="D89" s="16"/>
      <c r="E89" s="17"/>
      <c r="F89" s="4"/>
      <c r="G89" s="80"/>
    </row>
    <row r="90" spans="1:7" ht="20.100000000000001" customHeight="1" x14ac:dyDescent="0.25">
      <c r="A90" s="102"/>
      <c r="B90" s="30"/>
      <c r="C90" s="16"/>
      <c r="D90" s="16"/>
      <c r="E90" s="17"/>
      <c r="F90" s="4"/>
      <c r="G90" s="80"/>
    </row>
    <row r="91" spans="1:7" ht="20.100000000000001" customHeight="1" x14ac:dyDescent="0.25">
      <c r="A91" s="102"/>
      <c r="B91" s="30"/>
      <c r="C91" s="16"/>
      <c r="D91" s="16"/>
      <c r="E91" s="17"/>
      <c r="F91" s="4"/>
      <c r="G91" s="80"/>
    </row>
    <row r="92" spans="1:7" ht="20.100000000000001" customHeight="1" x14ac:dyDescent="0.25">
      <c r="A92" s="102"/>
      <c r="B92" s="30"/>
      <c r="C92" s="16"/>
      <c r="D92" s="16"/>
      <c r="E92" s="17"/>
      <c r="F92" s="4"/>
      <c r="G92" s="80"/>
    </row>
    <row r="93" spans="1:7" ht="20.100000000000001" customHeight="1" x14ac:dyDescent="0.25">
      <c r="A93" s="102"/>
      <c r="B93" s="30"/>
      <c r="C93" s="16"/>
      <c r="D93" s="16"/>
      <c r="E93" s="17"/>
      <c r="F93" s="4"/>
      <c r="G93" s="80"/>
    </row>
    <row r="94" spans="1:7" ht="20.100000000000001" customHeight="1" x14ac:dyDescent="0.25">
      <c r="A94" s="102"/>
      <c r="B94" s="30"/>
      <c r="C94" s="16"/>
      <c r="D94" s="16"/>
      <c r="E94" s="17"/>
      <c r="F94" s="4"/>
      <c r="G94" s="80"/>
    </row>
    <row r="95" spans="1:7" ht="20.100000000000001" customHeight="1" x14ac:dyDescent="0.25">
      <c r="A95" s="102"/>
      <c r="B95" s="30"/>
      <c r="C95" s="16"/>
      <c r="D95" s="16"/>
      <c r="E95" s="17"/>
      <c r="F95" s="4"/>
      <c r="G95" s="80"/>
    </row>
    <row r="96" spans="1:7" ht="20.100000000000001" customHeight="1" x14ac:dyDescent="0.25">
      <c r="A96" s="102"/>
      <c r="B96" s="30"/>
      <c r="C96" s="16"/>
      <c r="D96" s="16"/>
      <c r="E96" s="17"/>
      <c r="F96" s="4"/>
      <c r="G96" s="80"/>
    </row>
    <row r="97" spans="1:7" ht="20.100000000000001" customHeight="1" x14ac:dyDescent="0.25">
      <c r="A97" s="102"/>
      <c r="B97" s="30"/>
      <c r="C97" s="16"/>
      <c r="D97" s="16"/>
      <c r="E97" s="17"/>
      <c r="F97" s="4"/>
      <c r="G97" s="80"/>
    </row>
    <row r="98" spans="1:7" ht="20.100000000000001" customHeight="1" x14ac:dyDescent="0.25">
      <c r="A98" s="102"/>
      <c r="B98" s="30"/>
      <c r="C98" s="16"/>
      <c r="D98" s="16"/>
      <c r="E98" s="17"/>
      <c r="F98" s="4"/>
      <c r="G98" s="80"/>
    </row>
    <row r="99" spans="1:7" ht="20.100000000000001" customHeight="1" x14ac:dyDescent="0.25">
      <c r="A99" s="102"/>
      <c r="B99" s="30"/>
      <c r="C99" s="16"/>
      <c r="D99" s="16"/>
      <c r="E99" s="17"/>
      <c r="F99" s="4"/>
      <c r="G99" s="80"/>
    </row>
    <row r="100" spans="1:7" ht="20.100000000000001" customHeight="1" x14ac:dyDescent="0.25">
      <c r="A100" s="102"/>
      <c r="B100" s="30"/>
      <c r="C100" s="16"/>
      <c r="D100" s="16"/>
      <c r="E100" s="17"/>
      <c r="F100" s="4"/>
      <c r="G100" s="80"/>
    </row>
    <row r="101" spans="1:7" ht="20.100000000000001" customHeight="1" x14ac:dyDescent="0.25">
      <c r="A101" s="102"/>
      <c r="B101" s="30"/>
      <c r="C101" s="16"/>
      <c r="D101" s="16"/>
      <c r="E101" s="17"/>
      <c r="F101" s="4"/>
      <c r="G101" s="80"/>
    </row>
    <row r="102" spans="1:7" ht="20.100000000000001" customHeight="1" x14ac:dyDescent="0.25">
      <c r="A102" s="102"/>
      <c r="B102" s="30"/>
      <c r="C102" s="16"/>
      <c r="D102" s="16"/>
      <c r="E102" s="17"/>
      <c r="F102" s="4"/>
      <c r="G102" s="80"/>
    </row>
    <row r="103" spans="1:7" ht="20.100000000000001" customHeight="1" x14ac:dyDescent="0.25">
      <c r="A103" s="102"/>
      <c r="B103" s="30"/>
      <c r="C103" s="16"/>
      <c r="D103" s="16"/>
      <c r="E103" s="17"/>
      <c r="F103" s="4"/>
      <c r="G103" s="80"/>
    </row>
    <row r="104" spans="1:7" ht="20.100000000000001" customHeight="1" x14ac:dyDescent="0.25">
      <c r="A104" s="102"/>
      <c r="B104" s="30"/>
      <c r="C104" s="16"/>
      <c r="D104" s="16"/>
      <c r="E104" s="17"/>
      <c r="F104" s="4"/>
      <c r="G104" s="80"/>
    </row>
    <row r="105" spans="1:7" ht="20.100000000000001" customHeight="1" x14ac:dyDescent="0.25">
      <c r="A105" s="102"/>
      <c r="B105" s="30"/>
      <c r="C105" s="16"/>
      <c r="D105" s="16"/>
      <c r="E105" s="17"/>
      <c r="F105" s="4"/>
      <c r="G105" s="80"/>
    </row>
    <row r="106" spans="1:7" ht="20.100000000000001" customHeight="1" x14ac:dyDescent="0.25">
      <c r="A106" s="102"/>
      <c r="B106" s="30"/>
      <c r="C106" s="16"/>
      <c r="D106" s="16"/>
      <c r="E106" s="17"/>
      <c r="F106" s="4"/>
      <c r="G106" s="80"/>
    </row>
    <row r="107" spans="1:7" ht="20.100000000000001" customHeight="1" x14ac:dyDescent="0.25">
      <c r="A107" s="102"/>
      <c r="B107" s="30"/>
      <c r="C107" s="16"/>
      <c r="D107" s="16"/>
      <c r="E107" s="17"/>
      <c r="F107" s="4"/>
      <c r="G107" s="80"/>
    </row>
    <row r="108" spans="1:7" ht="20.100000000000001" customHeight="1" x14ac:dyDescent="0.25">
      <c r="A108" s="102"/>
      <c r="B108" s="30"/>
      <c r="C108" s="16"/>
      <c r="D108" s="16"/>
      <c r="E108" s="17"/>
      <c r="F108" s="4"/>
      <c r="G108" s="80"/>
    </row>
    <row r="109" spans="1:7" ht="20.100000000000001" customHeight="1" x14ac:dyDescent="0.25">
      <c r="A109" s="102"/>
      <c r="B109" s="30"/>
      <c r="C109" s="16"/>
      <c r="D109" s="16"/>
      <c r="E109" s="17"/>
      <c r="F109" s="4"/>
      <c r="G109" s="80"/>
    </row>
    <row r="110" spans="1:7" ht="20.100000000000001" customHeight="1" x14ac:dyDescent="0.25">
      <c r="A110" s="102"/>
      <c r="B110" s="30"/>
      <c r="C110" s="16"/>
      <c r="D110" s="16"/>
      <c r="E110" s="17"/>
      <c r="F110" s="4"/>
      <c r="G110" s="80"/>
    </row>
    <row r="111" spans="1:7" ht="20.100000000000001" customHeight="1" x14ac:dyDescent="0.25">
      <c r="A111" s="102"/>
      <c r="B111" s="30"/>
      <c r="C111" s="16"/>
      <c r="D111" s="16"/>
      <c r="E111" s="17"/>
      <c r="F111" s="4"/>
      <c r="G111" s="80"/>
    </row>
    <row r="112" spans="1:7" ht="20.100000000000001" customHeight="1" x14ac:dyDescent="0.25">
      <c r="A112" s="102"/>
      <c r="B112" s="30"/>
      <c r="C112" s="16"/>
      <c r="D112" s="16"/>
      <c r="E112" s="17"/>
      <c r="F112" s="4"/>
      <c r="G112" s="80"/>
    </row>
    <row r="113" spans="1:7" ht="20.100000000000001" customHeight="1" x14ac:dyDescent="0.25">
      <c r="A113" s="102"/>
      <c r="B113" s="30"/>
      <c r="C113" s="16"/>
      <c r="D113" s="16"/>
      <c r="E113" s="17"/>
      <c r="F113" s="4"/>
      <c r="G113" s="80"/>
    </row>
    <row r="114" spans="1:7" ht="20.100000000000001" customHeight="1" x14ac:dyDescent="0.25">
      <c r="A114" s="102"/>
      <c r="B114" s="30"/>
      <c r="C114" s="16"/>
      <c r="D114" s="16"/>
      <c r="E114" s="17"/>
      <c r="F114" s="4"/>
      <c r="G114" s="80"/>
    </row>
    <row r="115" spans="1:7" ht="20.100000000000001" customHeight="1" x14ac:dyDescent="0.25">
      <c r="A115" s="102"/>
      <c r="B115" s="30"/>
      <c r="C115" s="16"/>
      <c r="D115" s="16"/>
      <c r="E115" s="17"/>
      <c r="F115" s="4"/>
      <c r="G115" s="80"/>
    </row>
    <row r="116" spans="1:7" ht="20.100000000000001" customHeight="1" x14ac:dyDescent="0.25">
      <c r="A116" s="102"/>
      <c r="B116" s="30"/>
      <c r="C116" s="16"/>
      <c r="D116" s="16"/>
      <c r="E116" s="17"/>
      <c r="F116" s="4"/>
      <c r="G116" s="80"/>
    </row>
    <row r="117" spans="1:7" ht="20.100000000000001" customHeight="1" x14ac:dyDescent="0.25">
      <c r="A117" s="102"/>
      <c r="B117" s="30"/>
      <c r="C117" s="16"/>
      <c r="D117" s="16"/>
      <c r="E117" s="17"/>
      <c r="F117" s="4"/>
      <c r="G117" s="80"/>
    </row>
    <row r="118" spans="1:7" ht="20.100000000000001" customHeight="1" x14ac:dyDescent="0.25">
      <c r="A118" s="102"/>
      <c r="B118" s="30"/>
      <c r="C118" s="16"/>
      <c r="D118" s="16"/>
      <c r="E118" s="17"/>
      <c r="F118" s="4"/>
      <c r="G118" s="80"/>
    </row>
    <row r="119" spans="1:7" ht="20.100000000000001" customHeight="1" x14ac:dyDescent="0.25">
      <c r="A119" s="102"/>
      <c r="B119" s="30"/>
      <c r="C119" s="16"/>
      <c r="D119" s="16"/>
      <c r="E119" s="17"/>
      <c r="F119" s="4"/>
      <c r="G119" s="80"/>
    </row>
    <row r="120" spans="1:7" ht="20.100000000000001" customHeight="1" x14ac:dyDescent="0.25">
      <c r="A120" s="102"/>
      <c r="B120" s="30"/>
      <c r="C120" s="16"/>
      <c r="D120" s="16"/>
      <c r="E120" s="17"/>
      <c r="F120" s="4"/>
      <c r="G120" s="80"/>
    </row>
    <row r="121" spans="1:7" ht="20.100000000000001" customHeight="1" x14ac:dyDescent="0.25">
      <c r="A121" s="102"/>
      <c r="B121" s="30"/>
      <c r="C121" s="16"/>
      <c r="D121" s="16"/>
      <c r="E121" s="17"/>
      <c r="F121" s="4"/>
      <c r="G121" s="80"/>
    </row>
    <row r="122" spans="1:7" ht="20.100000000000001" customHeight="1" x14ac:dyDescent="0.25">
      <c r="A122" s="102"/>
      <c r="B122" s="30"/>
      <c r="C122" s="16"/>
      <c r="D122" s="16"/>
      <c r="E122" s="17"/>
      <c r="F122" s="4"/>
      <c r="G122" s="80"/>
    </row>
    <row r="123" spans="1:7" ht="20.100000000000001" customHeight="1" x14ac:dyDescent="0.25">
      <c r="A123" s="102"/>
      <c r="B123" s="30"/>
      <c r="C123" s="16"/>
      <c r="D123" s="16"/>
      <c r="E123" s="17"/>
      <c r="F123" s="4"/>
      <c r="G123" s="80"/>
    </row>
    <row r="124" spans="1:7" ht="20.100000000000001" customHeight="1" x14ac:dyDescent="0.25">
      <c r="A124" s="102"/>
      <c r="B124" s="30"/>
      <c r="C124" s="16"/>
      <c r="D124" s="16"/>
      <c r="E124" s="17"/>
      <c r="F124" s="4"/>
      <c r="G124" s="80"/>
    </row>
    <row r="125" spans="1:7" ht="20.100000000000001" customHeight="1" x14ac:dyDescent="0.25">
      <c r="A125" s="102"/>
      <c r="B125" s="30"/>
      <c r="C125" s="16"/>
      <c r="D125" s="16"/>
      <c r="E125" s="17"/>
      <c r="F125" s="4"/>
      <c r="G125" s="80"/>
    </row>
    <row r="126" spans="1:7" ht="20.100000000000001" customHeight="1" x14ac:dyDescent="0.25">
      <c r="A126" s="102"/>
      <c r="B126" s="30"/>
      <c r="C126" s="16"/>
      <c r="D126" s="16"/>
      <c r="E126" s="17"/>
      <c r="F126" s="4"/>
      <c r="G126" s="80"/>
    </row>
    <row r="127" spans="1:7" ht="20.100000000000001" customHeight="1" x14ac:dyDescent="0.25">
      <c r="A127" s="102"/>
      <c r="B127" s="30"/>
      <c r="C127" s="16"/>
      <c r="D127" s="16"/>
      <c r="E127" s="17"/>
      <c r="F127" s="4"/>
      <c r="G127" s="80"/>
    </row>
    <row r="128" spans="1:7" ht="20.100000000000001" customHeight="1" x14ac:dyDescent="0.25">
      <c r="A128" s="102"/>
      <c r="B128" s="30"/>
      <c r="C128" s="16"/>
      <c r="D128" s="16"/>
      <c r="E128" s="17"/>
      <c r="F128" s="4"/>
      <c r="G128" s="80"/>
    </row>
    <row r="129" spans="1:7" ht="20.100000000000001" customHeight="1" x14ac:dyDescent="0.25">
      <c r="A129" s="102"/>
      <c r="B129" s="30"/>
      <c r="C129" s="16"/>
      <c r="D129" s="16"/>
      <c r="E129" s="17"/>
      <c r="F129" s="4"/>
      <c r="G129" s="80"/>
    </row>
    <row r="130" spans="1:7" ht="20.100000000000001" customHeight="1" x14ac:dyDescent="0.25">
      <c r="A130" s="102"/>
      <c r="B130" s="30"/>
      <c r="C130" s="16"/>
      <c r="D130" s="16"/>
      <c r="E130" s="17"/>
      <c r="F130" s="4"/>
      <c r="G130" s="80"/>
    </row>
    <row r="131" spans="1:7" ht="20.100000000000001" customHeight="1" x14ac:dyDescent="0.25">
      <c r="A131" s="102"/>
      <c r="B131" s="30"/>
      <c r="C131" s="16"/>
      <c r="D131" s="16"/>
      <c r="E131" s="17"/>
      <c r="F131" s="4"/>
      <c r="G131" s="80"/>
    </row>
    <row r="132" spans="1:7" ht="20.100000000000001" customHeight="1" x14ac:dyDescent="0.25">
      <c r="A132" s="102"/>
      <c r="B132" s="30"/>
      <c r="C132" s="16"/>
      <c r="D132" s="16"/>
      <c r="E132" s="17"/>
      <c r="F132" s="4"/>
      <c r="G132" s="80"/>
    </row>
    <row r="133" spans="1:7" ht="20.100000000000001" customHeight="1" x14ac:dyDescent="0.25">
      <c r="A133" s="102"/>
      <c r="B133" s="30"/>
      <c r="C133" s="16"/>
      <c r="D133" s="16"/>
      <c r="E133" s="17"/>
      <c r="F133" s="4"/>
      <c r="G133" s="80"/>
    </row>
    <row r="134" spans="1:7" ht="20.100000000000001" customHeight="1" x14ac:dyDescent="0.25">
      <c r="A134" s="102"/>
      <c r="B134" s="30"/>
      <c r="C134" s="16"/>
      <c r="D134" s="16"/>
      <c r="E134" s="17"/>
      <c r="F134" s="4"/>
      <c r="G134" s="80"/>
    </row>
    <row r="135" spans="1:7" ht="20.100000000000001" customHeight="1" x14ac:dyDescent="0.25">
      <c r="A135" s="102"/>
      <c r="B135" s="30"/>
      <c r="C135" s="16"/>
      <c r="D135" s="16"/>
      <c r="E135" s="17"/>
      <c r="F135" s="4"/>
      <c r="G135" s="80"/>
    </row>
    <row r="136" spans="1:7" ht="20.100000000000001" customHeight="1" x14ac:dyDescent="0.25">
      <c r="A136" s="102"/>
      <c r="B136" s="30"/>
      <c r="C136" s="16"/>
      <c r="D136" s="16"/>
      <c r="E136" s="17"/>
      <c r="F136" s="4"/>
      <c r="G136" s="80"/>
    </row>
    <row r="137" spans="1:7" ht="20.100000000000001" customHeight="1" x14ac:dyDescent="0.25">
      <c r="A137" s="102"/>
      <c r="B137" s="30"/>
      <c r="C137" s="16"/>
      <c r="D137" s="16"/>
      <c r="E137" s="17"/>
      <c r="F137" s="4"/>
      <c r="G137" s="80"/>
    </row>
    <row r="138" spans="1:7" ht="20.100000000000001" customHeight="1" x14ac:dyDescent="0.25">
      <c r="A138" s="102"/>
      <c r="B138" s="30"/>
      <c r="C138" s="16"/>
      <c r="D138" s="16"/>
      <c r="E138" s="17"/>
      <c r="F138" s="4"/>
      <c r="G138" s="80"/>
    </row>
    <row r="139" spans="1:7" ht="20.100000000000001" customHeight="1" x14ac:dyDescent="0.25">
      <c r="A139" s="102"/>
      <c r="B139" s="30"/>
      <c r="C139" s="16"/>
      <c r="D139" s="16"/>
      <c r="E139" s="17"/>
      <c r="F139" s="4"/>
      <c r="G139" s="80"/>
    </row>
    <row r="140" spans="1:7" ht="20.100000000000001" customHeight="1" x14ac:dyDescent="0.25">
      <c r="A140" s="102"/>
      <c r="B140" s="30"/>
      <c r="C140" s="16"/>
      <c r="D140" s="16"/>
      <c r="E140" s="17"/>
      <c r="F140" s="4"/>
      <c r="G140" s="80"/>
    </row>
    <row r="141" spans="1:7" ht="20.100000000000001" customHeight="1" x14ac:dyDescent="0.25">
      <c r="A141" s="102"/>
      <c r="B141" s="30"/>
      <c r="C141" s="16"/>
      <c r="D141" s="16"/>
      <c r="E141" s="17"/>
      <c r="F141" s="4"/>
      <c r="G141" s="80"/>
    </row>
    <row r="142" spans="1:7" ht="20.100000000000001" customHeight="1" x14ac:dyDescent="0.25">
      <c r="A142" s="102"/>
      <c r="B142" s="30"/>
      <c r="C142" s="16"/>
      <c r="D142" s="16"/>
      <c r="E142" s="17"/>
      <c r="F142" s="4"/>
      <c r="G142" s="80"/>
    </row>
    <row r="143" spans="1:7" ht="20.100000000000001" customHeight="1" x14ac:dyDescent="0.25">
      <c r="A143" s="102"/>
      <c r="B143" s="30"/>
      <c r="C143" s="16"/>
      <c r="D143" s="16"/>
      <c r="E143" s="17"/>
      <c r="F143" s="4"/>
      <c r="G143" s="80"/>
    </row>
    <row r="144" spans="1:7" ht="20.100000000000001" customHeight="1" x14ac:dyDescent="0.25">
      <c r="A144" s="102"/>
      <c r="B144" s="30"/>
      <c r="C144" s="16"/>
      <c r="D144" s="16"/>
      <c r="E144" s="17"/>
      <c r="F144" s="4"/>
      <c r="G144" s="80"/>
    </row>
    <row r="145" spans="1:7" ht="20.100000000000001" customHeight="1" x14ac:dyDescent="0.25">
      <c r="A145" s="102"/>
      <c r="B145" s="30"/>
      <c r="C145" s="16"/>
      <c r="D145" s="16"/>
      <c r="E145" s="17"/>
      <c r="F145" s="4"/>
      <c r="G145" s="80"/>
    </row>
    <row r="146" spans="1:7" ht="20.100000000000001" customHeight="1" x14ac:dyDescent="0.25">
      <c r="A146" s="102"/>
      <c r="B146" s="30"/>
      <c r="C146" s="16"/>
      <c r="D146" s="16"/>
      <c r="E146" s="17"/>
      <c r="F146" s="4"/>
      <c r="G146" s="80"/>
    </row>
    <row r="147" spans="1:7" ht="20.100000000000001" customHeight="1" x14ac:dyDescent="0.25">
      <c r="A147" s="102"/>
      <c r="B147" s="30"/>
      <c r="C147" s="16"/>
      <c r="D147" s="16"/>
      <c r="E147" s="17"/>
      <c r="F147" s="4"/>
      <c r="G147" s="80"/>
    </row>
    <row r="148" spans="1:7" ht="20.100000000000001" customHeight="1" x14ac:dyDescent="0.25">
      <c r="A148" s="102"/>
      <c r="B148" s="30"/>
      <c r="C148" s="16"/>
      <c r="D148" s="16"/>
      <c r="E148" s="17"/>
      <c r="F148" s="4"/>
      <c r="G148" s="80"/>
    </row>
    <row r="149" spans="1:7" ht="20.100000000000001" customHeight="1" x14ac:dyDescent="0.25">
      <c r="A149" s="102"/>
      <c r="B149" s="30"/>
      <c r="C149" s="16"/>
      <c r="D149" s="16"/>
      <c r="E149" s="17"/>
      <c r="F149" s="4"/>
      <c r="G149" s="80"/>
    </row>
    <row r="150" spans="1:7" ht="20.100000000000001" customHeight="1" x14ac:dyDescent="0.25">
      <c r="A150" s="102"/>
      <c r="B150" s="30"/>
      <c r="C150" s="16"/>
      <c r="D150" s="16"/>
      <c r="E150" s="17"/>
      <c r="F150" s="4"/>
      <c r="G150" s="80"/>
    </row>
    <row r="151" spans="1:7" ht="20.100000000000001" customHeight="1" x14ac:dyDescent="0.25">
      <c r="A151" s="102"/>
      <c r="B151" s="30"/>
      <c r="C151" s="16"/>
      <c r="D151" s="16"/>
      <c r="E151" s="17"/>
      <c r="F151" s="4"/>
      <c r="G151" s="80"/>
    </row>
    <row r="152" spans="1:7" ht="20.100000000000001" customHeight="1" x14ac:dyDescent="0.25">
      <c r="A152" s="102"/>
      <c r="B152" s="30"/>
      <c r="C152" s="16"/>
      <c r="D152" s="16"/>
      <c r="E152" s="17"/>
      <c r="F152" s="4"/>
      <c r="G152" s="80"/>
    </row>
    <row r="153" spans="1:7" ht="20.100000000000001" customHeight="1" x14ac:dyDescent="0.25">
      <c r="A153" s="102"/>
      <c r="B153" s="30"/>
      <c r="C153" s="16"/>
      <c r="D153" s="16"/>
      <c r="E153" s="17"/>
      <c r="F153" s="4"/>
      <c r="G153" s="80"/>
    </row>
    <row r="154" spans="1:7" ht="20.100000000000001" customHeight="1" x14ac:dyDescent="0.25">
      <c r="A154" s="102"/>
      <c r="B154" s="30"/>
      <c r="C154" s="16"/>
      <c r="D154" s="16"/>
      <c r="E154" s="17"/>
      <c r="F154" s="4"/>
      <c r="G154" s="80"/>
    </row>
    <row r="155" spans="1:7" ht="20.100000000000001" customHeight="1" x14ac:dyDescent="0.25">
      <c r="A155" s="102"/>
      <c r="B155" s="30"/>
      <c r="C155" s="16"/>
      <c r="D155" s="16"/>
      <c r="E155" s="17"/>
      <c r="F155" s="4"/>
      <c r="G155" s="80"/>
    </row>
    <row r="156" spans="1:7" ht="20.100000000000001" customHeight="1" x14ac:dyDescent="0.25">
      <c r="A156" s="102"/>
      <c r="B156" s="30"/>
      <c r="C156" s="16"/>
      <c r="D156" s="16"/>
      <c r="E156" s="17"/>
      <c r="F156" s="4"/>
      <c r="G156" s="80"/>
    </row>
    <row r="157" spans="1:7" ht="20.100000000000001" customHeight="1" x14ac:dyDescent="0.25">
      <c r="A157" s="102"/>
      <c r="B157" s="30"/>
      <c r="C157" s="16"/>
      <c r="D157" s="16"/>
      <c r="E157" s="17"/>
      <c r="F157" s="4"/>
      <c r="G157" s="80"/>
    </row>
    <row r="158" spans="1:7" ht="20.100000000000001" customHeight="1" x14ac:dyDescent="0.25">
      <c r="A158" s="102"/>
      <c r="B158" s="30"/>
      <c r="C158" s="16"/>
      <c r="D158" s="16"/>
      <c r="E158" s="17"/>
      <c r="F158" s="4"/>
      <c r="G158" s="80"/>
    </row>
    <row r="159" spans="1:7" ht="20.100000000000001" customHeight="1" x14ac:dyDescent="0.25">
      <c r="A159" s="102"/>
      <c r="B159" s="30"/>
      <c r="C159" s="16"/>
      <c r="D159" s="16"/>
      <c r="E159" s="17"/>
      <c r="F159" s="4"/>
      <c r="G159" s="80"/>
    </row>
    <row r="160" spans="1:7" ht="20.100000000000001" customHeight="1" x14ac:dyDescent="0.25">
      <c r="A160" s="102"/>
      <c r="B160" s="30"/>
      <c r="C160" s="16"/>
      <c r="D160" s="16"/>
      <c r="E160" s="17"/>
      <c r="F160" s="4"/>
      <c r="G160" s="80"/>
    </row>
    <row r="161" spans="1:7" ht="20.100000000000001" customHeight="1" x14ac:dyDescent="0.25">
      <c r="A161" s="102"/>
      <c r="B161" s="30"/>
      <c r="C161" s="16"/>
      <c r="D161" s="16"/>
      <c r="E161" s="17"/>
      <c r="F161" s="4"/>
      <c r="G161" s="80"/>
    </row>
    <row r="162" spans="1:7" ht="20.100000000000001" customHeight="1" x14ac:dyDescent="0.25">
      <c r="A162" s="102"/>
      <c r="B162" s="30"/>
      <c r="C162" s="16"/>
      <c r="D162" s="16"/>
      <c r="E162" s="17"/>
      <c r="F162" s="4"/>
      <c r="G162" s="80"/>
    </row>
    <row r="163" spans="1:7" ht="20.100000000000001" customHeight="1" x14ac:dyDescent="0.25">
      <c r="A163" s="102"/>
      <c r="B163" s="30"/>
      <c r="C163" s="16"/>
      <c r="D163" s="16"/>
      <c r="E163" s="17"/>
      <c r="F163" s="4"/>
      <c r="G163" s="80"/>
    </row>
    <row r="164" spans="1:7" ht="20.100000000000001" customHeight="1" x14ac:dyDescent="0.25">
      <c r="A164" s="102"/>
      <c r="B164" s="30"/>
      <c r="C164" s="16"/>
      <c r="D164" s="16"/>
      <c r="E164" s="17"/>
      <c r="F164" s="4"/>
      <c r="G164" s="80"/>
    </row>
    <row r="165" spans="1:7" ht="20.100000000000001" customHeight="1" x14ac:dyDescent="0.25">
      <c r="A165" s="102"/>
      <c r="B165" s="30"/>
      <c r="C165" s="16"/>
      <c r="D165" s="16"/>
      <c r="E165" s="17"/>
      <c r="F165" s="4"/>
      <c r="G165" s="80"/>
    </row>
    <row r="166" spans="1:7" ht="20.100000000000001" customHeight="1" x14ac:dyDescent="0.25">
      <c r="A166" s="102"/>
      <c r="B166" s="30"/>
      <c r="C166" s="16"/>
      <c r="D166" s="16"/>
      <c r="E166" s="17"/>
      <c r="F166" s="4"/>
      <c r="G166" s="80"/>
    </row>
    <row r="167" spans="1:7" ht="20.100000000000001" customHeight="1" x14ac:dyDescent="0.25">
      <c r="A167" s="102"/>
      <c r="B167" s="30"/>
      <c r="C167" s="16"/>
      <c r="D167" s="16"/>
      <c r="E167" s="17"/>
      <c r="F167" s="4"/>
      <c r="G167" s="80"/>
    </row>
    <row r="168" spans="1:7" ht="20.100000000000001" customHeight="1" x14ac:dyDescent="0.25">
      <c r="A168" s="102"/>
      <c r="B168" s="30"/>
      <c r="C168" s="16"/>
      <c r="D168" s="16"/>
      <c r="E168" s="17"/>
      <c r="F168" s="4"/>
      <c r="G168" s="80"/>
    </row>
    <row r="169" spans="1:7" ht="20.100000000000001" customHeight="1" x14ac:dyDescent="0.25">
      <c r="A169" s="102"/>
      <c r="B169" s="30"/>
      <c r="C169" s="16"/>
      <c r="D169" s="16"/>
      <c r="E169" s="17"/>
      <c r="F169" s="4"/>
      <c r="G169" s="80"/>
    </row>
    <row r="170" spans="1:7" ht="20.100000000000001" customHeight="1" x14ac:dyDescent="0.25">
      <c r="A170" s="102"/>
      <c r="B170" s="30"/>
      <c r="C170" s="16"/>
      <c r="D170" s="16"/>
      <c r="E170" s="17"/>
      <c r="F170" s="4"/>
      <c r="G170" s="80"/>
    </row>
    <row r="171" spans="1:7" ht="20.100000000000001" customHeight="1" x14ac:dyDescent="0.25">
      <c r="A171" s="102"/>
      <c r="B171" s="30"/>
      <c r="C171" s="16"/>
      <c r="D171" s="16"/>
      <c r="E171" s="17"/>
      <c r="F171" s="4"/>
      <c r="G171" s="80"/>
    </row>
    <row r="172" spans="1:7" ht="20.100000000000001" customHeight="1" x14ac:dyDescent="0.25">
      <c r="A172" s="102"/>
      <c r="B172" s="30"/>
      <c r="C172" s="16"/>
      <c r="D172" s="16"/>
      <c r="E172" s="17"/>
      <c r="F172" s="4"/>
      <c r="G172" s="80"/>
    </row>
    <row r="173" spans="1:7" ht="20.100000000000001" customHeight="1" x14ac:dyDescent="0.25">
      <c r="A173" s="102"/>
      <c r="B173" s="30"/>
      <c r="C173" s="16"/>
      <c r="D173" s="16"/>
      <c r="E173" s="17"/>
      <c r="F173" s="4"/>
      <c r="G173" s="80"/>
    </row>
    <row r="174" spans="1:7" ht="20.100000000000001" customHeight="1" x14ac:dyDescent="0.25">
      <c r="A174" s="102"/>
      <c r="B174" s="30"/>
      <c r="C174" s="16"/>
      <c r="D174" s="16"/>
      <c r="E174" s="17"/>
      <c r="F174" s="4"/>
      <c r="G174" s="80"/>
    </row>
    <row r="175" spans="1:7" ht="20.100000000000001" customHeight="1" x14ac:dyDescent="0.25">
      <c r="A175" s="102"/>
      <c r="B175" s="30"/>
      <c r="C175" s="16"/>
      <c r="D175" s="16"/>
      <c r="E175" s="17"/>
      <c r="F175" s="4"/>
      <c r="G175" s="80"/>
    </row>
    <row r="176" spans="1:7" ht="20.100000000000001" customHeight="1" x14ac:dyDescent="0.25">
      <c r="A176" s="102"/>
      <c r="B176" s="30"/>
      <c r="C176" s="16"/>
      <c r="D176" s="16"/>
      <c r="E176" s="17"/>
      <c r="F176" s="4"/>
      <c r="G176" s="80"/>
    </row>
    <row r="177" spans="1:7" ht="20.100000000000001" customHeight="1" x14ac:dyDescent="0.25">
      <c r="A177" s="102"/>
      <c r="B177" s="30"/>
      <c r="C177" s="16"/>
      <c r="D177" s="16"/>
      <c r="E177" s="17"/>
      <c r="F177" s="4"/>
      <c r="G177" s="80"/>
    </row>
    <row r="178" spans="1:7" ht="20.100000000000001" customHeight="1" x14ac:dyDescent="0.25">
      <c r="A178" s="102"/>
      <c r="B178" s="30"/>
      <c r="C178" s="16"/>
      <c r="D178" s="16"/>
      <c r="E178" s="17"/>
      <c r="F178" s="4"/>
      <c r="G178" s="80"/>
    </row>
    <row r="179" spans="1:7" ht="20.100000000000001" customHeight="1" x14ac:dyDescent="0.25">
      <c r="A179" s="102"/>
      <c r="B179" s="30"/>
      <c r="C179" s="16"/>
      <c r="D179" s="16"/>
      <c r="E179" s="17"/>
      <c r="F179" s="4"/>
      <c r="G179" s="80"/>
    </row>
    <row r="180" spans="1:7" ht="20.100000000000001" customHeight="1" x14ac:dyDescent="0.25">
      <c r="A180" s="102"/>
      <c r="B180" s="30"/>
      <c r="C180" s="16"/>
      <c r="D180" s="16"/>
      <c r="E180" s="17"/>
      <c r="F180" s="4"/>
      <c r="G180" s="80"/>
    </row>
    <row r="181" spans="1:7" ht="20.100000000000001" customHeight="1" x14ac:dyDescent="0.25">
      <c r="A181" s="102"/>
      <c r="B181" s="30"/>
      <c r="C181" s="16"/>
      <c r="D181" s="16"/>
      <c r="E181" s="17"/>
      <c r="F181" s="4"/>
      <c r="G181" s="80"/>
    </row>
    <row r="182" spans="1:7" ht="20.100000000000001" customHeight="1" x14ac:dyDescent="0.25">
      <c r="A182" s="102"/>
      <c r="B182" s="30"/>
      <c r="C182" s="16"/>
      <c r="D182" s="16"/>
      <c r="E182" s="17"/>
      <c r="F182" s="4"/>
      <c r="G182" s="80"/>
    </row>
    <row r="183" spans="1:7" ht="20.100000000000001" customHeight="1" x14ac:dyDescent="0.25">
      <c r="A183" s="102"/>
      <c r="B183" s="30"/>
      <c r="C183" s="16"/>
      <c r="D183" s="16"/>
      <c r="E183" s="17"/>
      <c r="F183" s="4"/>
      <c r="G183" s="80"/>
    </row>
    <row r="184" spans="1:7" ht="20.100000000000001" customHeight="1" x14ac:dyDescent="0.25">
      <c r="A184" s="102"/>
      <c r="B184" s="30"/>
      <c r="C184" s="16"/>
      <c r="D184" s="16"/>
      <c r="E184" s="17"/>
      <c r="F184" s="4"/>
      <c r="G184" s="80"/>
    </row>
    <row r="185" spans="1:7" ht="20.100000000000001" customHeight="1" x14ac:dyDescent="0.25">
      <c r="A185" s="102"/>
      <c r="B185" s="30"/>
      <c r="C185" s="16"/>
      <c r="D185" s="16"/>
      <c r="E185" s="17"/>
      <c r="F185" s="4"/>
      <c r="G185" s="80"/>
    </row>
    <row r="186" spans="1:7" ht="20.100000000000001" customHeight="1" x14ac:dyDescent="0.25">
      <c r="A186" s="102"/>
      <c r="B186" s="30"/>
      <c r="C186" s="16"/>
      <c r="D186" s="16"/>
      <c r="E186" s="17"/>
      <c r="F186" s="4"/>
      <c r="G186" s="80"/>
    </row>
    <row r="187" spans="1:7" ht="20.100000000000001" customHeight="1" x14ac:dyDescent="0.25">
      <c r="A187" s="102"/>
      <c r="B187" s="30"/>
      <c r="C187" s="16"/>
      <c r="D187" s="16"/>
      <c r="E187" s="17"/>
      <c r="F187" s="4"/>
      <c r="G187" s="80"/>
    </row>
    <row r="188" spans="1:7" ht="20.100000000000001" customHeight="1" x14ac:dyDescent="0.25">
      <c r="A188" s="102"/>
      <c r="B188" s="30"/>
      <c r="C188" s="16"/>
      <c r="D188" s="16"/>
      <c r="E188" s="17"/>
      <c r="F188" s="4"/>
      <c r="G188" s="80"/>
    </row>
    <row r="189" spans="1:7" ht="20.100000000000001" customHeight="1" x14ac:dyDescent="0.25">
      <c r="A189" s="102"/>
      <c r="B189" s="30"/>
      <c r="C189" s="16"/>
      <c r="D189" s="16"/>
      <c r="E189" s="17"/>
      <c r="F189" s="4"/>
      <c r="G189" s="80"/>
    </row>
    <row r="190" spans="1:7" ht="20.100000000000001" customHeight="1" x14ac:dyDescent="0.25">
      <c r="A190" s="102"/>
      <c r="B190" s="30"/>
      <c r="C190" s="16"/>
      <c r="D190" s="16"/>
      <c r="E190" s="17"/>
      <c r="F190" s="4"/>
      <c r="G190" s="80"/>
    </row>
    <row r="191" spans="1:7" ht="20.100000000000001" customHeight="1" x14ac:dyDescent="0.25">
      <c r="A191" s="102"/>
      <c r="B191" s="30"/>
      <c r="C191" s="16"/>
      <c r="D191" s="16"/>
      <c r="E191" s="17"/>
      <c r="F191" s="4"/>
      <c r="G191" s="80"/>
    </row>
    <row r="192" spans="1:7" ht="20.100000000000001" customHeight="1" x14ac:dyDescent="0.25">
      <c r="A192" s="102"/>
      <c r="B192" s="30"/>
      <c r="C192" s="16"/>
      <c r="D192" s="16"/>
      <c r="E192" s="17"/>
      <c r="F192" s="4"/>
      <c r="G192" s="80"/>
    </row>
    <row r="193" spans="1:7" ht="20.100000000000001" customHeight="1" x14ac:dyDescent="0.25">
      <c r="A193" s="102"/>
      <c r="B193" s="30"/>
      <c r="C193" s="16"/>
      <c r="D193" s="16"/>
      <c r="E193" s="17"/>
      <c r="F193" s="4"/>
      <c r="G193" s="80"/>
    </row>
    <row r="194" spans="1:7" ht="20.100000000000001" customHeight="1" x14ac:dyDescent="0.25">
      <c r="A194" s="102"/>
      <c r="B194" s="30"/>
      <c r="C194" s="16"/>
      <c r="D194" s="16"/>
      <c r="E194" s="17"/>
      <c r="F194" s="4"/>
      <c r="G194" s="80"/>
    </row>
    <row r="195" spans="1:7" ht="20.100000000000001" customHeight="1" x14ac:dyDescent="0.25">
      <c r="A195" s="102"/>
      <c r="B195" s="30"/>
      <c r="C195" s="16"/>
      <c r="D195" s="16"/>
      <c r="E195" s="17"/>
      <c r="F195" s="4"/>
      <c r="G195" s="80"/>
    </row>
    <row r="196" spans="1:7" ht="20.100000000000001" customHeight="1" x14ac:dyDescent="0.25">
      <c r="A196" s="102"/>
      <c r="B196" s="30"/>
      <c r="C196" s="16"/>
      <c r="D196" s="16"/>
      <c r="E196" s="17"/>
      <c r="F196" s="4"/>
      <c r="G196" s="80"/>
    </row>
    <row r="197" spans="1:7" ht="20.100000000000001" customHeight="1" x14ac:dyDescent="0.25">
      <c r="A197" s="102"/>
      <c r="B197" s="30"/>
      <c r="C197" s="16"/>
      <c r="D197" s="16"/>
      <c r="E197" s="17"/>
      <c r="F197" s="4"/>
      <c r="G197" s="80"/>
    </row>
    <row r="198" spans="1:7" ht="20.100000000000001" customHeight="1" x14ac:dyDescent="0.25">
      <c r="A198" s="102"/>
      <c r="B198" s="30"/>
      <c r="C198" s="16"/>
      <c r="D198" s="16"/>
      <c r="E198" s="17"/>
      <c r="F198" s="4"/>
      <c r="G198" s="80"/>
    </row>
    <row r="199" spans="1:7" ht="20.100000000000001" customHeight="1" x14ac:dyDescent="0.25">
      <c r="A199" s="102"/>
      <c r="B199" s="30"/>
      <c r="C199" s="16"/>
      <c r="D199" s="16"/>
      <c r="E199" s="17"/>
      <c r="F199" s="4"/>
      <c r="G199" s="80"/>
    </row>
    <row r="200" spans="1:7" ht="20.100000000000001" customHeight="1" x14ac:dyDescent="0.25">
      <c r="A200" s="102"/>
      <c r="B200" s="30"/>
      <c r="C200" s="16"/>
      <c r="D200" s="16"/>
      <c r="E200" s="17"/>
      <c r="F200" s="4"/>
      <c r="G200" s="80"/>
    </row>
    <row r="201" spans="1:7" ht="20.100000000000001" customHeight="1" x14ac:dyDescent="0.25">
      <c r="A201" s="102"/>
      <c r="B201" s="30"/>
      <c r="C201" s="16"/>
      <c r="D201" s="16"/>
      <c r="E201" s="17"/>
      <c r="F201" s="4"/>
      <c r="G201" s="80"/>
    </row>
    <row r="202" spans="1:7" ht="20.100000000000001" customHeight="1" x14ac:dyDescent="0.25">
      <c r="A202" s="102"/>
      <c r="B202" s="30"/>
      <c r="C202" s="16"/>
      <c r="D202" s="16"/>
      <c r="E202" s="17"/>
      <c r="F202" s="4"/>
      <c r="G202" s="80"/>
    </row>
    <row r="203" spans="1:7" ht="20.100000000000001" customHeight="1" x14ac:dyDescent="0.25">
      <c r="A203" s="102"/>
      <c r="B203" s="30"/>
      <c r="C203" s="16"/>
      <c r="D203" s="16"/>
      <c r="E203" s="17"/>
      <c r="F203" s="4"/>
      <c r="G203" s="80"/>
    </row>
    <row r="204" spans="1:7" ht="20.100000000000001" customHeight="1" x14ac:dyDescent="0.25">
      <c r="A204" s="102"/>
      <c r="B204" s="30"/>
      <c r="C204" s="16"/>
      <c r="D204" s="16"/>
      <c r="E204" s="17"/>
      <c r="F204" s="4"/>
      <c r="G204" s="80"/>
    </row>
    <row r="205" spans="1:7" ht="20.100000000000001" customHeight="1" x14ac:dyDescent="0.25">
      <c r="A205" s="102"/>
      <c r="B205" s="30"/>
      <c r="C205" s="16"/>
      <c r="D205" s="16"/>
      <c r="E205" s="17"/>
      <c r="F205" s="4"/>
      <c r="G205" s="80"/>
    </row>
    <row r="206" spans="1:7" ht="20.100000000000001" customHeight="1" x14ac:dyDescent="0.25">
      <c r="A206" s="102"/>
      <c r="B206" s="30"/>
      <c r="C206" s="16"/>
      <c r="D206" s="16"/>
      <c r="E206" s="17"/>
      <c r="F206" s="4"/>
      <c r="G206" s="80"/>
    </row>
    <row r="207" spans="1:7" ht="20.100000000000001" customHeight="1" x14ac:dyDescent="0.25">
      <c r="A207" s="102"/>
      <c r="B207" s="30"/>
      <c r="C207" s="16"/>
      <c r="D207" s="16"/>
      <c r="E207" s="17"/>
      <c r="F207" s="4"/>
      <c r="G207" s="80"/>
    </row>
    <row r="208" spans="1:7" ht="20.100000000000001" customHeight="1" x14ac:dyDescent="0.25">
      <c r="A208" s="102"/>
      <c r="B208" s="30"/>
      <c r="C208" s="16"/>
      <c r="D208" s="16"/>
      <c r="E208" s="17"/>
      <c r="F208" s="4"/>
      <c r="G208" s="80"/>
    </row>
    <row r="209" spans="1:7" ht="20.100000000000001" customHeight="1" x14ac:dyDescent="0.25">
      <c r="A209" s="102"/>
      <c r="B209" s="30"/>
      <c r="C209" s="16"/>
      <c r="D209" s="16"/>
      <c r="E209" s="17"/>
      <c r="F209" s="4"/>
      <c r="G209" s="80"/>
    </row>
    <row r="210" spans="1:7" ht="20.100000000000001" customHeight="1" x14ac:dyDescent="0.25">
      <c r="A210" s="102"/>
      <c r="B210" s="30"/>
      <c r="C210" s="16"/>
      <c r="D210" s="16"/>
      <c r="E210" s="17"/>
      <c r="F210" s="4"/>
      <c r="G210" s="80"/>
    </row>
    <row r="211" spans="1:7" ht="20.100000000000001" customHeight="1" x14ac:dyDescent="0.25">
      <c r="A211" s="102"/>
      <c r="B211" s="30"/>
      <c r="C211" s="16"/>
      <c r="D211" s="16"/>
      <c r="E211" s="17"/>
      <c r="F211" s="4"/>
      <c r="G211" s="80"/>
    </row>
    <row r="212" spans="1:7" ht="20.100000000000001" customHeight="1" x14ac:dyDescent="0.25">
      <c r="A212" s="102"/>
      <c r="B212" s="30"/>
      <c r="C212" s="16"/>
      <c r="D212" s="16"/>
      <c r="E212" s="17"/>
      <c r="F212" s="4"/>
      <c r="G212" s="80"/>
    </row>
    <row r="213" spans="1:7" ht="20.100000000000001" customHeight="1" x14ac:dyDescent="0.25">
      <c r="A213" s="102"/>
      <c r="B213" s="30"/>
      <c r="C213" s="16"/>
      <c r="D213" s="16"/>
      <c r="E213" s="17"/>
      <c r="F213" s="4"/>
      <c r="G213" s="80"/>
    </row>
    <row r="214" spans="1:7" ht="20.100000000000001" customHeight="1" x14ac:dyDescent="0.25">
      <c r="A214" s="102"/>
      <c r="B214" s="30"/>
      <c r="C214" s="16"/>
      <c r="D214" s="16"/>
      <c r="E214" s="17"/>
      <c r="F214" s="4"/>
      <c r="G214" s="80"/>
    </row>
    <row r="215" spans="1:7" ht="20.100000000000001" customHeight="1" x14ac:dyDescent="0.25">
      <c r="A215" s="102"/>
      <c r="B215" s="30"/>
      <c r="C215" s="16"/>
      <c r="D215" s="16"/>
      <c r="E215" s="17"/>
      <c r="F215" s="4"/>
      <c r="G215" s="80"/>
    </row>
    <row r="216" spans="1:7" ht="20.100000000000001" customHeight="1" x14ac:dyDescent="0.25">
      <c r="A216" s="102"/>
      <c r="B216" s="30"/>
      <c r="C216" s="16"/>
      <c r="D216" s="16"/>
      <c r="E216" s="17"/>
      <c r="F216" s="4"/>
      <c r="G216" s="80"/>
    </row>
    <row r="217" spans="1:7" ht="20.100000000000001" customHeight="1" x14ac:dyDescent="0.25">
      <c r="A217" s="102"/>
      <c r="B217" s="30"/>
      <c r="C217" s="16"/>
      <c r="D217" s="16"/>
      <c r="E217" s="17"/>
      <c r="F217" s="4"/>
      <c r="G217" s="80"/>
    </row>
    <row r="218" spans="1:7" ht="20.100000000000001" customHeight="1" x14ac:dyDescent="0.25">
      <c r="A218" s="102"/>
      <c r="B218" s="30"/>
      <c r="C218" s="16"/>
      <c r="D218" s="16"/>
      <c r="E218" s="17"/>
      <c r="F218" s="4"/>
      <c r="G218" s="80"/>
    </row>
    <row r="219" spans="1:7" ht="20.100000000000001" customHeight="1" x14ac:dyDescent="0.25">
      <c r="A219" s="102"/>
      <c r="B219" s="30"/>
      <c r="C219" s="16"/>
      <c r="D219" s="16"/>
      <c r="E219" s="17"/>
      <c r="F219" s="4"/>
      <c r="G219" s="80"/>
    </row>
    <row r="220" spans="1:7" ht="20.100000000000001" customHeight="1" x14ac:dyDescent="0.25">
      <c r="A220" s="102"/>
      <c r="B220" s="30"/>
      <c r="C220" s="16"/>
      <c r="D220" s="16"/>
      <c r="E220" s="17"/>
      <c r="F220" s="4"/>
      <c r="G220" s="80"/>
    </row>
    <row r="221" spans="1:7" ht="20.100000000000001" customHeight="1" x14ac:dyDescent="0.25">
      <c r="A221" s="102"/>
      <c r="B221" s="30"/>
      <c r="C221" s="16"/>
      <c r="D221" s="16"/>
      <c r="E221" s="17"/>
      <c r="F221" s="4"/>
      <c r="G221" s="80"/>
    </row>
    <row r="222" spans="1:7" ht="20.100000000000001" customHeight="1" x14ac:dyDescent="0.25">
      <c r="A222" s="102"/>
      <c r="B222" s="30"/>
      <c r="C222" s="16"/>
      <c r="D222" s="16"/>
      <c r="E222" s="17"/>
      <c r="F222" s="4"/>
      <c r="G222" s="80"/>
    </row>
    <row r="223" spans="1:7" ht="20.100000000000001" customHeight="1" x14ac:dyDescent="0.25">
      <c r="A223" s="102"/>
      <c r="B223" s="30"/>
      <c r="C223" s="16"/>
      <c r="D223" s="16"/>
      <c r="E223" s="17"/>
      <c r="F223" s="4"/>
      <c r="G223" s="80"/>
    </row>
    <row r="224" spans="1:7" ht="20.100000000000001" customHeight="1" x14ac:dyDescent="0.25">
      <c r="A224" s="102"/>
      <c r="B224" s="30"/>
      <c r="C224" s="16"/>
      <c r="D224" s="16"/>
      <c r="E224" s="17"/>
      <c r="F224" s="4"/>
      <c r="G224" s="80"/>
    </row>
    <row r="225" spans="1:7" ht="20.100000000000001" customHeight="1" x14ac:dyDescent="0.25">
      <c r="A225" s="102"/>
      <c r="B225" s="30"/>
      <c r="C225" s="16"/>
      <c r="D225" s="16"/>
      <c r="E225" s="17"/>
      <c r="F225" s="4"/>
      <c r="G225" s="80"/>
    </row>
    <row r="226" spans="1:7" ht="20.100000000000001" customHeight="1" x14ac:dyDescent="0.25">
      <c r="A226" s="102"/>
      <c r="B226" s="30"/>
      <c r="C226" s="16"/>
      <c r="D226" s="16"/>
      <c r="E226" s="17"/>
      <c r="F226" s="4"/>
      <c r="G226" s="80"/>
    </row>
    <row r="227" spans="1:7" ht="20.100000000000001" customHeight="1" x14ac:dyDescent="0.25">
      <c r="A227" s="102"/>
      <c r="B227" s="30"/>
      <c r="C227" s="16"/>
      <c r="D227" s="16"/>
      <c r="E227" s="17"/>
      <c r="F227" s="4"/>
      <c r="G227" s="80"/>
    </row>
    <row r="228" spans="1:7" ht="20.100000000000001" customHeight="1" x14ac:dyDescent="0.25">
      <c r="A228" s="102"/>
      <c r="B228" s="30"/>
      <c r="C228" s="16"/>
      <c r="D228" s="16"/>
      <c r="E228" s="17"/>
      <c r="F228" s="4"/>
      <c r="G228" s="80"/>
    </row>
    <row r="229" spans="1:7" ht="20.100000000000001" customHeight="1" x14ac:dyDescent="0.25">
      <c r="A229" s="102"/>
      <c r="B229" s="30"/>
      <c r="C229" s="16"/>
      <c r="D229" s="16"/>
      <c r="E229" s="17"/>
      <c r="F229" s="4"/>
      <c r="G229" s="80"/>
    </row>
    <row r="230" spans="1:7" ht="20.100000000000001" customHeight="1" x14ac:dyDescent="0.25">
      <c r="A230" s="102"/>
      <c r="B230" s="30"/>
      <c r="C230" s="16"/>
      <c r="D230" s="16"/>
      <c r="E230" s="17"/>
      <c r="F230" s="4"/>
      <c r="G230" s="80"/>
    </row>
    <row r="231" spans="1:7" ht="20.100000000000001" customHeight="1" x14ac:dyDescent="0.25">
      <c r="A231" s="102"/>
      <c r="B231" s="30"/>
      <c r="C231" s="16"/>
      <c r="D231" s="16"/>
      <c r="E231" s="17"/>
      <c r="F231" s="4"/>
      <c r="G231" s="80"/>
    </row>
    <row r="232" spans="1:7" ht="20.100000000000001" customHeight="1" x14ac:dyDescent="0.25">
      <c r="A232" s="102"/>
      <c r="B232" s="30"/>
      <c r="C232" s="16"/>
      <c r="D232" s="16"/>
      <c r="E232" s="17"/>
      <c r="F232" s="4"/>
      <c r="G232" s="80"/>
    </row>
    <row r="233" spans="1:7" ht="20.100000000000001" customHeight="1" x14ac:dyDescent="0.25">
      <c r="A233" s="102"/>
      <c r="B233" s="30"/>
      <c r="C233" s="16"/>
      <c r="D233" s="16"/>
      <c r="E233" s="17"/>
      <c r="F233" s="4"/>
      <c r="G233" s="80"/>
    </row>
    <row r="234" spans="1:7" ht="20.100000000000001" customHeight="1" x14ac:dyDescent="0.25">
      <c r="A234" s="102"/>
      <c r="B234" s="30"/>
      <c r="C234" s="16"/>
      <c r="D234" s="16"/>
      <c r="E234" s="17"/>
      <c r="F234" s="4"/>
      <c r="G234" s="80"/>
    </row>
    <row r="235" spans="1:7" ht="20.100000000000001" customHeight="1" x14ac:dyDescent="0.25">
      <c r="A235" s="102"/>
      <c r="B235" s="30"/>
      <c r="C235" s="16"/>
      <c r="D235" s="16"/>
      <c r="E235" s="17"/>
      <c r="F235" s="4"/>
      <c r="G235" s="80"/>
    </row>
    <row r="236" spans="1:7" ht="20.100000000000001" customHeight="1" x14ac:dyDescent="0.25">
      <c r="A236" s="102"/>
      <c r="B236" s="30"/>
      <c r="C236" s="16"/>
      <c r="D236" s="16"/>
      <c r="E236" s="17"/>
      <c r="F236" s="4"/>
      <c r="G236" s="80"/>
    </row>
    <row r="237" spans="1:7" ht="20.100000000000001" customHeight="1" x14ac:dyDescent="0.25">
      <c r="A237" s="102"/>
      <c r="B237" s="30"/>
      <c r="C237" s="16"/>
      <c r="D237" s="16"/>
      <c r="E237" s="17"/>
      <c r="F237" s="4"/>
      <c r="G237" s="80"/>
    </row>
    <row r="238" spans="1:7" ht="20.100000000000001" customHeight="1" x14ac:dyDescent="0.25">
      <c r="A238" s="102"/>
      <c r="B238" s="30"/>
      <c r="C238" s="16"/>
      <c r="D238" s="16"/>
      <c r="E238" s="17"/>
      <c r="F238" s="4"/>
      <c r="G238" s="80"/>
    </row>
    <row r="239" spans="1:7" ht="20.100000000000001" customHeight="1" x14ac:dyDescent="0.25">
      <c r="A239" s="102"/>
      <c r="B239" s="30"/>
      <c r="C239" s="16"/>
      <c r="D239" s="16"/>
      <c r="E239" s="17"/>
      <c r="F239" s="4"/>
      <c r="G239" s="80"/>
    </row>
    <row r="240" spans="1:7" ht="20.100000000000001" customHeight="1" x14ac:dyDescent="0.25">
      <c r="A240" s="102"/>
      <c r="B240" s="30"/>
      <c r="C240" s="16"/>
      <c r="D240" s="16"/>
      <c r="E240" s="17"/>
      <c r="F240" s="4"/>
      <c r="G240" s="80"/>
    </row>
    <row r="241" spans="1:7" ht="20.100000000000001" customHeight="1" x14ac:dyDescent="0.25">
      <c r="A241" s="102"/>
      <c r="B241" s="30"/>
      <c r="C241" s="16"/>
      <c r="D241" s="16"/>
      <c r="E241" s="17"/>
      <c r="F241" s="4"/>
      <c r="G241" s="80"/>
    </row>
    <row r="242" spans="1:7" ht="20.100000000000001" customHeight="1" x14ac:dyDescent="0.25">
      <c r="A242" s="102"/>
      <c r="B242" s="30"/>
      <c r="C242" s="16"/>
      <c r="D242" s="16"/>
      <c r="E242" s="17"/>
      <c r="F242" s="4"/>
      <c r="G242" s="80"/>
    </row>
    <row r="243" spans="1:7" ht="20.100000000000001" customHeight="1" x14ac:dyDescent="0.25">
      <c r="A243" s="102"/>
      <c r="B243" s="30"/>
      <c r="C243" s="16"/>
      <c r="D243" s="16"/>
      <c r="E243" s="17"/>
      <c r="F243" s="4"/>
      <c r="G243" s="80"/>
    </row>
    <row r="244" spans="1:7" ht="20.100000000000001" customHeight="1" x14ac:dyDescent="0.25">
      <c r="A244" s="102"/>
      <c r="B244" s="30"/>
      <c r="C244" s="16"/>
      <c r="D244" s="16"/>
      <c r="E244" s="17"/>
      <c r="F244" s="4"/>
      <c r="G244" s="80"/>
    </row>
    <row r="245" spans="1:7" ht="20.100000000000001" customHeight="1" x14ac:dyDescent="0.25">
      <c r="A245" s="102"/>
      <c r="B245" s="30"/>
      <c r="C245" s="16"/>
      <c r="D245" s="16"/>
      <c r="E245" s="17"/>
      <c r="F245" s="4"/>
      <c r="G245" s="80"/>
    </row>
    <row r="246" spans="1:7" ht="20.100000000000001" customHeight="1" x14ac:dyDescent="0.25">
      <c r="A246" s="102"/>
      <c r="B246" s="30"/>
      <c r="C246" s="16"/>
      <c r="D246" s="16"/>
      <c r="E246" s="17"/>
      <c r="F246" s="4"/>
      <c r="G246" s="80"/>
    </row>
    <row r="247" spans="1:7" ht="20.100000000000001" customHeight="1" x14ac:dyDescent="0.25">
      <c r="A247" s="102"/>
      <c r="B247" s="30"/>
      <c r="C247" s="16"/>
      <c r="D247" s="16"/>
      <c r="E247" s="17"/>
      <c r="F247" s="4"/>
      <c r="G247" s="80"/>
    </row>
    <row r="248" spans="1:7" ht="20.100000000000001" customHeight="1" x14ac:dyDescent="0.25">
      <c r="A248" s="102"/>
      <c r="B248" s="30"/>
      <c r="C248" s="16"/>
      <c r="D248" s="16"/>
      <c r="E248" s="17"/>
      <c r="F248" s="4"/>
      <c r="G248" s="80"/>
    </row>
    <row r="249" spans="1:7" ht="20.100000000000001" customHeight="1" x14ac:dyDescent="0.25">
      <c r="A249" s="102"/>
      <c r="B249" s="30"/>
      <c r="C249" s="16"/>
      <c r="D249" s="16"/>
      <c r="E249" s="17"/>
      <c r="F249" s="4"/>
      <c r="G249" s="80"/>
    </row>
    <row r="250" spans="1:7" ht="20.100000000000001" customHeight="1" x14ac:dyDescent="0.25">
      <c r="A250" s="102"/>
      <c r="B250" s="30"/>
      <c r="C250" s="16"/>
      <c r="D250" s="16"/>
      <c r="E250" s="17"/>
      <c r="F250" s="4"/>
      <c r="G250" s="80"/>
    </row>
    <row r="251" spans="1:7" ht="20.100000000000001" customHeight="1" x14ac:dyDescent="0.25">
      <c r="A251" s="102"/>
      <c r="B251" s="30"/>
      <c r="C251" s="16"/>
      <c r="D251" s="16"/>
      <c r="E251" s="17"/>
      <c r="F251" s="4"/>
      <c r="G251" s="80"/>
    </row>
    <row r="252" spans="1:7" ht="20.100000000000001" customHeight="1" x14ac:dyDescent="0.25">
      <c r="A252" s="102"/>
      <c r="B252" s="30"/>
      <c r="C252" s="16"/>
      <c r="D252" s="16"/>
      <c r="E252" s="17"/>
      <c r="F252" s="4"/>
      <c r="G252" s="80"/>
    </row>
    <row r="253" spans="1:7" ht="20.100000000000001" customHeight="1" x14ac:dyDescent="0.25">
      <c r="A253" s="102"/>
      <c r="B253" s="30"/>
      <c r="C253" s="16"/>
      <c r="D253" s="16"/>
      <c r="E253" s="17"/>
      <c r="F253" s="4"/>
      <c r="G253" s="80"/>
    </row>
    <row r="254" spans="1:7" ht="20.100000000000001" customHeight="1" x14ac:dyDescent="0.25">
      <c r="A254" s="102"/>
      <c r="B254" s="30"/>
      <c r="C254" s="16"/>
      <c r="D254" s="16"/>
      <c r="E254" s="17"/>
      <c r="F254" s="4"/>
      <c r="G254" s="80"/>
    </row>
    <row r="255" spans="1:7" ht="20.100000000000001" customHeight="1" x14ac:dyDescent="0.25">
      <c r="A255" s="102"/>
      <c r="B255" s="30"/>
      <c r="C255" s="16"/>
      <c r="D255" s="16"/>
      <c r="E255" s="17"/>
      <c r="F255" s="4"/>
      <c r="G255" s="80"/>
    </row>
    <row r="256" spans="1:7" ht="20.100000000000001" customHeight="1" x14ac:dyDescent="0.25">
      <c r="A256" s="102"/>
      <c r="B256" s="30"/>
      <c r="C256" s="16"/>
      <c r="D256" s="16"/>
      <c r="E256" s="17"/>
      <c r="F256" s="4"/>
      <c r="G256" s="80"/>
    </row>
    <row r="257" spans="1:7" ht="20.100000000000001" customHeight="1" x14ac:dyDescent="0.25">
      <c r="A257" s="102"/>
      <c r="B257" s="30"/>
      <c r="C257" s="16"/>
      <c r="D257" s="16"/>
      <c r="E257" s="17"/>
      <c r="F257" s="4"/>
      <c r="G257" s="80"/>
    </row>
    <row r="258" spans="1:7" ht="20.100000000000001" customHeight="1" x14ac:dyDescent="0.25">
      <c r="A258" s="102"/>
      <c r="B258" s="30"/>
      <c r="C258" s="16"/>
      <c r="D258" s="16"/>
      <c r="E258" s="17"/>
      <c r="F258" s="4"/>
      <c r="G258" s="80"/>
    </row>
    <row r="259" spans="1:7" ht="20.100000000000001" customHeight="1" x14ac:dyDescent="0.25">
      <c r="A259" s="102"/>
      <c r="B259" s="30"/>
      <c r="C259" s="16"/>
      <c r="D259" s="16"/>
      <c r="E259" s="17"/>
      <c r="F259" s="4"/>
      <c r="G259" s="80"/>
    </row>
    <row r="260" spans="1:7" ht="20.100000000000001" customHeight="1" x14ac:dyDescent="0.25">
      <c r="A260" s="102"/>
      <c r="B260" s="30"/>
      <c r="C260" s="16"/>
      <c r="D260" s="16"/>
      <c r="E260" s="17"/>
      <c r="F260" s="4"/>
      <c r="G260" s="80"/>
    </row>
    <row r="261" spans="1:7" ht="20.100000000000001" customHeight="1" x14ac:dyDescent="0.25">
      <c r="A261" s="102"/>
      <c r="B261" s="30"/>
      <c r="C261" s="16"/>
      <c r="D261" s="16"/>
      <c r="E261" s="17"/>
      <c r="F261" s="4"/>
      <c r="G261" s="80"/>
    </row>
    <row r="262" spans="1:7" ht="20.100000000000001" customHeight="1" x14ac:dyDescent="0.25">
      <c r="A262" s="102"/>
      <c r="B262" s="30"/>
      <c r="C262" s="16"/>
      <c r="D262" s="16"/>
      <c r="E262" s="17"/>
      <c r="F262" s="4"/>
      <c r="G262" s="80"/>
    </row>
    <row r="263" spans="1:7" ht="20.100000000000001" customHeight="1" x14ac:dyDescent="0.25">
      <c r="A263" s="102"/>
      <c r="B263" s="30"/>
      <c r="C263" s="16"/>
      <c r="D263" s="16"/>
      <c r="E263" s="17"/>
      <c r="F263" s="4"/>
      <c r="G263" s="80"/>
    </row>
    <row r="264" spans="1:7" ht="20.100000000000001" customHeight="1" x14ac:dyDescent="0.25">
      <c r="A264" s="102"/>
      <c r="B264" s="30"/>
      <c r="C264" s="16"/>
      <c r="D264" s="16"/>
      <c r="E264" s="17"/>
      <c r="F264" s="4"/>
      <c r="G264" s="80"/>
    </row>
    <row r="265" spans="1:7" ht="20.100000000000001" customHeight="1" x14ac:dyDescent="0.25">
      <c r="A265" s="102"/>
      <c r="B265" s="30"/>
      <c r="C265" s="16"/>
      <c r="D265" s="16"/>
      <c r="E265" s="17"/>
      <c r="F265" s="4"/>
      <c r="G265" s="80"/>
    </row>
    <row r="266" spans="1:7" ht="20.100000000000001" customHeight="1" x14ac:dyDescent="0.25">
      <c r="A266" s="102"/>
      <c r="B266" s="30"/>
      <c r="C266" s="16"/>
      <c r="D266" s="16"/>
      <c r="E266" s="17"/>
      <c r="F266" s="4"/>
      <c r="G266" s="80"/>
    </row>
    <row r="267" spans="1:7" ht="20.100000000000001" customHeight="1" x14ac:dyDescent="0.25">
      <c r="A267" s="102"/>
      <c r="B267" s="30"/>
      <c r="C267" s="16"/>
      <c r="D267" s="16"/>
      <c r="E267" s="17"/>
      <c r="F267" s="4"/>
      <c r="G267" s="80"/>
    </row>
    <row r="268" spans="1:7" ht="20.100000000000001" customHeight="1" x14ac:dyDescent="0.25">
      <c r="A268" s="102"/>
      <c r="B268" s="30"/>
      <c r="C268" s="16"/>
      <c r="D268" s="16"/>
      <c r="E268" s="17"/>
      <c r="F268" s="4"/>
      <c r="G268" s="80"/>
    </row>
    <row r="269" spans="1:7" ht="20.100000000000001" customHeight="1" x14ac:dyDescent="0.25">
      <c r="A269" s="102"/>
      <c r="B269" s="30"/>
      <c r="C269" s="16"/>
      <c r="D269" s="16"/>
      <c r="E269" s="17"/>
      <c r="F269" s="4"/>
      <c r="G269" s="80"/>
    </row>
    <row r="270" spans="1:7" ht="20.100000000000001" customHeight="1" x14ac:dyDescent="0.25">
      <c r="A270" s="102"/>
      <c r="B270" s="30"/>
      <c r="C270" s="16"/>
      <c r="D270" s="16"/>
      <c r="E270" s="17"/>
      <c r="F270" s="4"/>
      <c r="G270" s="80"/>
    </row>
    <row r="271" spans="1:7" ht="20.100000000000001" customHeight="1" x14ac:dyDescent="0.25">
      <c r="A271" s="102"/>
      <c r="B271" s="30"/>
      <c r="C271" s="16"/>
      <c r="D271" s="16"/>
      <c r="E271" s="17"/>
      <c r="F271" s="4"/>
      <c r="G271" s="80"/>
    </row>
    <row r="272" spans="1:7" ht="20.100000000000001" customHeight="1" x14ac:dyDescent="0.25">
      <c r="A272" s="102"/>
      <c r="B272" s="30"/>
      <c r="C272" s="16"/>
      <c r="D272" s="16"/>
      <c r="E272" s="17"/>
      <c r="F272" s="4"/>
      <c r="G272" s="80"/>
    </row>
    <row r="273" spans="1:7" ht="20.100000000000001" customHeight="1" x14ac:dyDescent="0.25">
      <c r="A273" s="102"/>
      <c r="B273" s="30"/>
      <c r="C273" s="16"/>
      <c r="D273" s="16"/>
      <c r="E273" s="17"/>
      <c r="F273" s="4"/>
      <c r="G273" s="80"/>
    </row>
    <row r="274" spans="1:7" ht="20.100000000000001" customHeight="1" x14ac:dyDescent="0.25">
      <c r="A274" s="102"/>
      <c r="B274" s="30"/>
      <c r="C274" s="16"/>
      <c r="D274" s="16"/>
      <c r="E274" s="17"/>
      <c r="F274" s="4"/>
      <c r="G274" s="80"/>
    </row>
    <row r="275" spans="1:7" ht="20.100000000000001" customHeight="1" x14ac:dyDescent="0.25">
      <c r="A275" s="102"/>
      <c r="B275" s="30"/>
      <c r="C275" s="16"/>
      <c r="D275" s="16"/>
      <c r="E275" s="17"/>
      <c r="F275" s="4"/>
      <c r="G275" s="80"/>
    </row>
    <row r="276" spans="1:7" ht="20.100000000000001" customHeight="1" x14ac:dyDescent="0.25">
      <c r="A276" s="102"/>
      <c r="B276" s="30"/>
      <c r="C276" s="16"/>
      <c r="D276" s="16"/>
      <c r="E276" s="17"/>
      <c r="F276" s="4"/>
      <c r="G276" s="80"/>
    </row>
    <row r="277" spans="1:7" ht="20.100000000000001" customHeight="1" x14ac:dyDescent="0.25">
      <c r="A277" s="102"/>
      <c r="B277" s="30"/>
      <c r="C277" s="16"/>
      <c r="D277" s="16"/>
      <c r="E277" s="17"/>
      <c r="F277" s="4"/>
      <c r="G277" s="80"/>
    </row>
    <row r="278" spans="1:7" ht="20.100000000000001" customHeight="1" x14ac:dyDescent="0.25">
      <c r="A278" s="102"/>
      <c r="B278" s="30"/>
      <c r="C278" s="16"/>
      <c r="D278" s="16"/>
      <c r="E278" s="17"/>
      <c r="F278" s="4"/>
      <c r="G278" s="80"/>
    </row>
    <row r="279" spans="1:7" ht="20.100000000000001" customHeight="1" x14ac:dyDescent="0.25">
      <c r="A279" s="102"/>
      <c r="B279" s="30"/>
      <c r="C279" s="16"/>
      <c r="D279" s="16"/>
      <c r="E279" s="17"/>
      <c r="F279" s="4"/>
      <c r="G279" s="80"/>
    </row>
    <row r="280" spans="1:7" ht="20.100000000000001" customHeight="1" x14ac:dyDescent="0.25">
      <c r="A280" s="102"/>
      <c r="B280" s="30"/>
      <c r="C280" s="16"/>
      <c r="D280" s="16"/>
      <c r="E280" s="17"/>
      <c r="F280" s="4"/>
      <c r="G280" s="80"/>
    </row>
    <row r="281" spans="1:7" ht="20.100000000000001" customHeight="1" x14ac:dyDescent="0.25">
      <c r="A281" s="102"/>
      <c r="B281" s="30"/>
      <c r="C281" s="16"/>
      <c r="D281" s="16"/>
      <c r="E281" s="17"/>
      <c r="F281" s="4"/>
      <c r="G281" s="80"/>
    </row>
    <row r="282" spans="1:7" ht="20.100000000000001" customHeight="1" x14ac:dyDescent="0.25">
      <c r="A282" s="102"/>
      <c r="B282" s="30"/>
      <c r="C282" s="16"/>
      <c r="D282" s="16"/>
      <c r="E282" s="17"/>
      <c r="F282" s="4"/>
      <c r="G282" s="80"/>
    </row>
    <row r="283" spans="1:7" ht="20.100000000000001" customHeight="1" x14ac:dyDescent="0.25">
      <c r="A283" s="102"/>
      <c r="B283" s="30"/>
      <c r="C283" s="16"/>
      <c r="D283" s="16"/>
      <c r="E283" s="17"/>
      <c r="F283" s="4"/>
      <c r="G283" s="80"/>
    </row>
    <row r="284" spans="1:7" ht="20.100000000000001" customHeight="1" x14ac:dyDescent="0.25">
      <c r="A284" s="102"/>
      <c r="B284" s="30"/>
      <c r="C284" s="16"/>
      <c r="D284" s="16"/>
      <c r="E284" s="17"/>
      <c r="F284" s="4"/>
      <c r="G284" s="80"/>
    </row>
    <row r="285" spans="1:7" ht="20.100000000000001" customHeight="1" x14ac:dyDescent="0.25">
      <c r="A285" s="102"/>
      <c r="B285" s="30"/>
      <c r="C285" s="16"/>
      <c r="D285" s="16"/>
      <c r="E285" s="17"/>
      <c r="F285" s="4"/>
      <c r="G285" s="80"/>
    </row>
    <row r="286" spans="1:7" ht="20.100000000000001" customHeight="1" x14ac:dyDescent="0.25">
      <c r="A286" s="102"/>
      <c r="B286" s="30"/>
      <c r="C286" s="16"/>
      <c r="D286" s="16"/>
      <c r="E286" s="17"/>
      <c r="F286" s="4"/>
      <c r="G286" s="80"/>
    </row>
    <row r="287" spans="1:7" ht="20.100000000000001" customHeight="1" x14ac:dyDescent="0.25">
      <c r="A287" s="102"/>
      <c r="B287" s="30"/>
      <c r="C287" s="16"/>
      <c r="D287" s="16"/>
      <c r="E287" s="17"/>
      <c r="F287" s="4"/>
      <c r="G287" s="80"/>
    </row>
    <row r="288" spans="1:7" ht="20.100000000000001" customHeight="1" x14ac:dyDescent="0.25">
      <c r="A288" s="102"/>
      <c r="B288" s="30"/>
      <c r="C288" s="16"/>
      <c r="D288" s="16"/>
      <c r="E288" s="17"/>
      <c r="F288" s="4"/>
      <c r="G288" s="80"/>
    </row>
    <row r="289" spans="1:7" ht="20.100000000000001" customHeight="1" x14ac:dyDescent="0.25">
      <c r="A289" s="102"/>
      <c r="B289" s="30"/>
      <c r="C289" s="16"/>
      <c r="D289" s="16"/>
      <c r="E289" s="17"/>
      <c r="F289" s="4"/>
      <c r="G289" s="80"/>
    </row>
    <row r="290" spans="1:7" ht="20.100000000000001" customHeight="1" x14ac:dyDescent="0.25">
      <c r="A290" s="102"/>
      <c r="B290" s="30"/>
      <c r="C290" s="16"/>
      <c r="D290" s="16"/>
      <c r="E290" s="17"/>
      <c r="F290" s="4"/>
      <c r="G290" s="80"/>
    </row>
    <row r="291" spans="1:7" ht="20.100000000000001" customHeight="1" x14ac:dyDescent="0.25">
      <c r="A291" s="102"/>
      <c r="B291" s="30"/>
      <c r="C291" s="16"/>
      <c r="D291" s="16"/>
      <c r="E291" s="17"/>
      <c r="F291" s="4"/>
      <c r="G291" s="80"/>
    </row>
    <row r="292" spans="1:7" ht="20.100000000000001" customHeight="1" x14ac:dyDescent="0.25">
      <c r="A292" s="102"/>
      <c r="B292" s="30"/>
      <c r="C292" s="16"/>
      <c r="D292" s="16"/>
      <c r="E292" s="17"/>
      <c r="F292" s="4"/>
      <c r="G292" s="80"/>
    </row>
    <row r="293" spans="1:7" ht="20.100000000000001" customHeight="1" x14ac:dyDescent="0.25">
      <c r="A293" s="102"/>
      <c r="B293" s="30"/>
      <c r="C293" s="16"/>
      <c r="D293" s="16"/>
      <c r="E293" s="17"/>
      <c r="F293" s="4"/>
      <c r="G293" s="80"/>
    </row>
    <row r="294" spans="1:7" ht="20.100000000000001" customHeight="1" x14ac:dyDescent="0.25">
      <c r="A294" s="102"/>
      <c r="B294" s="30"/>
      <c r="C294" s="16"/>
      <c r="D294" s="16"/>
      <c r="E294" s="17"/>
      <c r="F294" s="4"/>
      <c r="G294" s="80"/>
    </row>
    <row r="295" spans="1:7" ht="20.100000000000001" customHeight="1" x14ac:dyDescent="0.25">
      <c r="A295" s="102"/>
      <c r="B295" s="30"/>
      <c r="C295" s="16"/>
      <c r="D295" s="16"/>
      <c r="E295" s="17"/>
      <c r="F295" s="4"/>
      <c r="G295" s="80"/>
    </row>
    <row r="296" spans="1:7" ht="20.100000000000001" customHeight="1" x14ac:dyDescent="0.25">
      <c r="A296" s="102"/>
      <c r="B296" s="30"/>
      <c r="C296" s="16"/>
      <c r="D296" s="16"/>
      <c r="E296" s="17"/>
      <c r="F296" s="4"/>
      <c r="G296" s="80"/>
    </row>
    <row r="297" spans="1:7" ht="20.100000000000001" customHeight="1" x14ac:dyDescent="0.25">
      <c r="A297" s="102"/>
      <c r="B297" s="30"/>
      <c r="C297" s="16"/>
      <c r="D297" s="16"/>
      <c r="E297" s="17"/>
      <c r="F297" s="4"/>
      <c r="G297" s="80"/>
    </row>
    <row r="298" spans="1:7" ht="20.100000000000001" customHeight="1" x14ac:dyDescent="0.25">
      <c r="A298" s="102"/>
      <c r="B298" s="30"/>
      <c r="C298" s="16"/>
      <c r="D298" s="16"/>
      <c r="E298" s="17"/>
      <c r="F298" s="4"/>
      <c r="G298" s="80"/>
    </row>
    <row r="299" spans="1:7" ht="20.100000000000001" customHeight="1" x14ac:dyDescent="0.25">
      <c r="A299" s="102"/>
      <c r="B299" s="30"/>
      <c r="C299" s="16"/>
      <c r="D299" s="16"/>
      <c r="E299" s="17"/>
      <c r="F299" s="4"/>
      <c r="G299" s="80"/>
    </row>
    <row r="300" spans="1:7" ht="20.100000000000001" customHeight="1" x14ac:dyDescent="0.25">
      <c r="A300" s="102"/>
      <c r="B300" s="30"/>
      <c r="C300" s="16"/>
      <c r="D300" s="16"/>
      <c r="E300" s="17"/>
      <c r="F300" s="4"/>
      <c r="G300" s="80"/>
    </row>
    <row r="301" spans="1:7" ht="20.100000000000001" customHeight="1" x14ac:dyDescent="0.25">
      <c r="A301" s="102"/>
      <c r="B301" s="30"/>
      <c r="C301" s="16"/>
      <c r="D301" s="16"/>
      <c r="E301" s="17"/>
      <c r="F301" s="4"/>
      <c r="G301" s="80"/>
    </row>
    <row r="302" spans="1:7" ht="20.100000000000001" customHeight="1" x14ac:dyDescent="0.25">
      <c r="A302" s="102"/>
      <c r="B302" s="30"/>
      <c r="C302" s="16"/>
      <c r="D302" s="16"/>
      <c r="E302" s="17"/>
      <c r="F302" s="4"/>
      <c r="G302" s="80"/>
    </row>
    <row r="303" spans="1:7" ht="20.100000000000001" customHeight="1" x14ac:dyDescent="0.25">
      <c r="A303" s="102"/>
      <c r="B303" s="30"/>
      <c r="C303" s="16"/>
      <c r="D303" s="16"/>
      <c r="E303" s="17"/>
      <c r="F303" s="4"/>
      <c r="G303" s="80"/>
    </row>
    <row r="304" spans="1:7" ht="20.100000000000001" customHeight="1" x14ac:dyDescent="0.25">
      <c r="A304" s="102"/>
      <c r="B304" s="30"/>
      <c r="C304" s="16"/>
      <c r="D304" s="16"/>
      <c r="E304" s="17"/>
      <c r="F304" s="4"/>
      <c r="G304" s="80"/>
    </row>
    <row r="305" spans="1:7" ht="20.100000000000001" customHeight="1" x14ac:dyDescent="0.25">
      <c r="A305" s="102"/>
      <c r="B305" s="30"/>
      <c r="C305" s="16"/>
      <c r="D305" s="16"/>
      <c r="E305" s="17"/>
      <c r="F305" s="4"/>
      <c r="G305" s="80"/>
    </row>
    <row r="306" spans="1:7" ht="20.100000000000001" customHeight="1" x14ac:dyDescent="0.25">
      <c r="A306" s="102"/>
      <c r="B306" s="30"/>
      <c r="C306" s="16"/>
      <c r="D306" s="16"/>
      <c r="E306" s="17"/>
      <c r="F306" s="4"/>
      <c r="G306" s="80"/>
    </row>
    <row r="307" spans="1:7" ht="20.100000000000001" customHeight="1" x14ac:dyDescent="0.25">
      <c r="A307" s="102"/>
      <c r="B307" s="30"/>
      <c r="C307" s="16"/>
      <c r="D307" s="16"/>
      <c r="E307" s="17"/>
      <c r="F307" s="4"/>
      <c r="G307" s="80"/>
    </row>
    <row r="308" spans="1:7" ht="20.100000000000001" customHeight="1" x14ac:dyDescent="0.25">
      <c r="A308" s="102"/>
      <c r="B308" s="30"/>
      <c r="C308" s="16"/>
      <c r="D308" s="16"/>
      <c r="E308" s="17"/>
      <c r="F308" s="4"/>
      <c r="G308" s="80"/>
    </row>
    <row r="309" spans="1:7" ht="20.100000000000001" customHeight="1" x14ac:dyDescent="0.25">
      <c r="A309" s="102"/>
      <c r="B309" s="30"/>
      <c r="C309" s="16"/>
      <c r="D309" s="16"/>
      <c r="E309" s="17"/>
      <c r="F309" s="4"/>
      <c r="G309" s="80"/>
    </row>
    <row r="310" spans="1:7" ht="20.100000000000001" customHeight="1" x14ac:dyDescent="0.25">
      <c r="A310" s="102"/>
      <c r="B310" s="30"/>
      <c r="C310" s="16"/>
      <c r="D310" s="16"/>
      <c r="E310" s="17"/>
      <c r="F310" s="4"/>
      <c r="G310" s="80"/>
    </row>
    <row r="311" spans="1:7" ht="20.100000000000001" customHeight="1" x14ac:dyDescent="0.25">
      <c r="A311" s="102"/>
      <c r="B311" s="30"/>
      <c r="C311" s="16"/>
      <c r="D311" s="16"/>
      <c r="E311" s="17"/>
      <c r="F311" s="4"/>
      <c r="G311" s="80"/>
    </row>
    <row r="312" spans="1:7" ht="20.100000000000001" customHeight="1" x14ac:dyDescent="0.25">
      <c r="A312" s="102"/>
      <c r="B312" s="30"/>
      <c r="C312" s="16"/>
      <c r="D312" s="16"/>
      <c r="E312" s="17"/>
      <c r="F312" s="4"/>
      <c r="G312" s="80"/>
    </row>
    <row r="313" spans="1:7" ht="20.100000000000001" customHeight="1" x14ac:dyDescent="0.25">
      <c r="A313" s="102"/>
      <c r="B313" s="30"/>
      <c r="C313" s="16"/>
      <c r="D313" s="16"/>
      <c r="E313" s="17"/>
      <c r="F313" s="4"/>
      <c r="G313" s="80"/>
    </row>
    <row r="314" spans="1:7" ht="20.100000000000001" customHeight="1" x14ac:dyDescent="0.25">
      <c r="A314" s="102"/>
      <c r="B314" s="30"/>
      <c r="C314" s="16"/>
      <c r="D314" s="16"/>
      <c r="E314" s="17"/>
      <c r="F314" s="4"/>
      <c r="G314" s="80"/>
    </row>
    <row r="315" spans="1:7" ht="20.100000000000001" customHeight="1" x14ac:dyDescent="0.25">
      <c r="A315" s="102"/>
      <c r="B315" s="30"/>
      <c r="C315" s="16"/>
      <c r="D315" s="16"/>
      <c r="E315" s="17"/>
      <c r="F315" s="4"/>
      <c r="G315" s="80"/>
    </row>
    <row r="316" spans="1:7" ht="20.100000000000001" customHeight="1" x14ac:dyDescent="0.25">
      <c r="A316" s="102"/>
      <c r="B316" s="30"/>
      <c r="C316" s="16"/>
      <c r="D316" s="16"/>
      <c r="E316" s="17"/>
      <c r="F316" s="4"/>
      <c r="G316" s="80"/>
    </row>
    <row r="317" spans="1:7" ht="20.100000000000001" customHeight="1" x14ac:dyDescent="0.25">
      <c r="A317" s="102"/>
      <c r="B317" s="30"/>
      <c r="C317" s="16"/>
      <c r="D317" s="16"/>
      <c r="E317" s="17"/>
      <c r="F317" s="4"/>
      <c r="G317" s="80"/>
    </row>
    <row r="318" spans="1:7" ht="20.100000000000001" customHeight="1" x14ac:dyDescent="0.25">
      <c r="A318" s="102"/>
      <c r="B318" s="30"/>
      <c r="C318" s="16"/>
      <c r="D318" s="16"/>
      <c r="E318" s="17"/>
      <c r="F318" s="4"/>
      <c r="G318" s="80"/>
    </row>
    <row r="319" spans="1:7" ht="20.100000000000001" customHeight="1" x14ac:dyDescent="0.25">
      <c r="A319" s="102"/>
      <c r="B319" s="30"/>
      <c r="C319" s="16"/>
      <c r="D319" s="16"/>
      <c r="E319" s="17"/>
      <c r="F319" s="4"/>
      <c r="G319" s="80"/>
    </row>
    <row r="320" spans="1:7" ht="20.100000000000001" customHeight="1" x14ac:dyDescent="0.25">
      <c r="A320" s="102"/>
      <c r="B320" s="30"/>
      <c r="C320" s="16"/>
      <c r="D320" s="16"/>
      <c r="E320" s="17"/>
      <c r="F320" s="4"/>
      <c r="G320" s="80"/>
    </row>
    <row r="321" spans="1:7" ht="20.100000000000001" customHeight="1" x14ac:dyDescent="0.25">
      <c r="A321" s="102"/>
      <c r="B321" s="30"/>
      <c r="C321" s="16"/>
      <c r="D321" s="16"/>
      <c r="E321" s="17"/>
      <c r="F321" s="4"/>
      <c r="G321" s="80"/>
    </row>
    <row r="322" spans="1:7" ht="20.100000000000001" customHeight="1" x14ac:dyDescent="0.25">
      <c r="A322" s="102"/>
      <c r="B322" s="30"/>
      <c r="C322" s="16"/>
      <c r="D322" s="16"/>
      <c r="E322" s="17"/>
      <c r="F322" s="4"/>
      <c r="G322" s="80"/>
    </row>
    <row r="323" spans="1:7" ht="20.100000000000001" customHeight="1" x14ac:dyDescent="0.25">
      <c r="A323" s="102"/>
      <c r="B323" s="30"/>
      <c r="C323" s="16"/>
      <c r="D323" s="16"/>
      <c r="E323" s="17"/>
      <c r="F323" s="4"/>
      <c r="G323" s="80"/>
    </row>
    <row r="324" spans="1:7" ht="20.100000000000001" customHeight="1" x14ac:dyDescent="0.25">
      <c r="A324" s="102"/>
      <c r="B324" s="30"/>
      <c r="C324" s="16"/>
      <c r="D324" s="16"/>
      <c r="E324" s="17"/>
      <c r="F324" s="4"/>
      <c r="G324" s="80"/>
    </row>
    <row r="325" spans="1:7" ht="20.100000000000001" customHeight="1" x14ac:dyDescent="0.25">
      <c r="A325" s="102"/>
      <c r="B325" s="30"/>
      <c r="C325" s="16"/>
      <c r="D325" s="16"/>
      <c r="E325" s="17"/>
      <c r="F325" s="4"/>
      <c r="G325" s="80"/>
    </row>
    <row r="326" spans="1:7" ht="20.100000000000001" customHeight="1" x14ac:dyDescent="0.25">
      <c r="A326" s="102"/>
      <c r="B326" s="30"/>
      <c r="C326" s="16"/>
      <c r="D326" s="16"/>
      <c r="E326" s="17"/>
      <c r="F326" s="4"/>
      <c r="G326" s="80"/>
    </row>
    <row r="327" spans="1:7" ht="20.100000000000001" customHeight="1" x14ac:dyDescent="0.25">
      <c r="A327" s="102"/>
      <c r="B327" s="30"/>
      <c r="C327" s="16"/>
      <c r="D327" s="16"/>
      <c r="E327" s="17"/>
      <c r="F327" s="4"/>
      <c r="G327" s="80"/>
    </row>
    <row r="328" spans="1:7" ht="20.100000000000001" customHeight="1" x14ac:dyDescent="0.25">
      <c r="A328" s="102"/>
      <c r="B328" s="30"/>
      <c r="C328" s="16"/>
      <c r="D328" s="16"/>
      <c r="E328" s="17"/>
      <c r="F328" s="4"/>
      <c r="G328" s="80"/>
    </row>
    <row r="329" spans="1:7" ht="20.100000000000001" customHeight="1" x14ac:dyDescent="0.25">
      <c r="A329" s="102"/>
      <c r="B329" s="30"/>
      <c r="C329" s="16"/>
      <c r="D329" s="16"/>
      <c r="E329" s="17"/>
      <c r="F329" s="4"/>
      <c r="G329" s="80"/>
    </row>
    <row r="330" spans="1:7" ht="20.100000000000001" customHeight="1" x14ac:dyDescent="0.25">
      <c r="A330" s="102"/>
      <c r="B330" s="30"/>
      <c r="C330" s="16"/>
      <c r="D330" s="16"/>
      <c r="E330" s="17"/>
      <c r="F330" s="4"/>
      <c r="G330" s="80"/>
    </row>
    <row r="331" spans="1:7" ht="20.100000000000001" customHeight="1" x14ac:dyDescent="0.25">
      <c r="A331" s="102"/>
      <c r="B331" s="30"/>
      <c r="C331" s="16"/>
      <c r="D331" s="16"/>
      <c r="E331" s="17"/>
      <c r="F331" s="4"/>
      <c r="G331" s="80"/>
    </row>
    <row r="332" spans="1:7" ht="20.100000000000001" customHeight="1" x14ac:dyDescent="0.25">
      <c r="A332" s="102"/>
      <c r="B332" s="30"/>
      <c r="C332" s="16"/>
      <c r="D332" s="16"/>
      <c r="E332" s="17"/>
      <c r="F332" s="4"/>
      <c r="G332" s="80"/>
    </row>
    <row r="333" spans="1:7" ht="20.100000000000001" customHeight="1" x14ac:dyDescent="0.25">
      <c r="A333" s="102"/>
      <c r="B333" s="30"/>
      <c r="C333" s="16"/>
      <c r="D333" s="16"/>
      <c r="E333" s="17"/>
      <c r="F333" s="4"/>
      <c r="G333" s="80"/>
    </row>
    <row r="334" spans="1:7" ht="20.100000000000001" customHeight="1" x14ac:dyDescent="0.25">
      <c r="A334" s="102"/>
      <c r="B334" s="30"/>
      <c r="C334" s="16"/>
      <c r="D334" s="16"/>
      <c r="E334" s="17"/>
      <c r="F334" s="4"/>
      <c r="G334" s="80"/>
    </row>
    <row r="335" spans="1:7" ht="20.100000000000001" customHeight="1" x14ac:dyDescent="0.25">
      <c r="A335" s="102"/>
      <c r="B335" s="30"/>
      <c r="C335" s="16"/>
      <c r="D335" s="16"/>
      <c r="E335" s="17"/>
      <c r="F335" s="4"/>
      <c r="G335" s="80"/>
    </row>
    <row r="336" spans="1:7" ht="20.100000000000001" customHeight="1" x14ac:dyDescent="0.25">
      <c r="A336" s="102"/>
      <c r="B336" s="30"/>
      <c r="C336" s="16"/>
      <c r="D336" s="16"/>
      <c r="E336" s="17"/>
      <c r="F336" s="4"/>
      <c r="G336" s="80"/>
    </row>
    <row r="337" spans="1:7" ht="20.100000000000001" customHeight="1" x14ac:dyDescent="0.25">
      <c r="A337" s="102"/>
      <c r="G337" s="80"/>
    </row>
    <row r="338" spans="1:7" ht="20.100000000000001" customHeight="1" x14ac:dyDescent="0.25">
      <c r="A338" s="102"/>
      <c r="G338" s="80"/>
    </row>
    <row r="339" spans="1:7" ht="20.100000000000001" customHeight="1" x14ac:dyDescent="0.25">
      <c r="A339" s="102"/>
      <c r="G339" s="80"/>
    </row>
    <row r="340" spans="1:7" ht="20.100000000000001" customHeight="1" x14ac:dyDescent="0.25">
      <c r="A340" s="102"/>
      <c r="G340" s="80"/>
    </row>
    <row r="341" spans="1:7" ht="20.100000000000001" customHeight="1" x14ac:dyDescent="0.25">
      <c r="A341" s="102"/>
      <c r="G341" s="80"/>
    </row>
    <row r="342" spans="1:7" ht="20.100000000000001" customHeight="1" x14ac:dyDescent="0.25">
      <c r="A342" s="102"/>
      <c r="G342" s="80"/>
    </row>
    <row r="343" spans="1:7" ht="20.100000000000001" customHeight="1" x14ac:dyDescent="0.25">
      <c r="A343" s="102"/>
      <c r="G343" s="80"/>
    </row>
    <row r="344" spans="1:7" ht="20.100000000000001" customHeight="1" x14ac:dyDescent="0.25">
      <c r="A344" s="102"/>
      <c r="G344" s="80"/>
    </row>
    <row r="345" spans="1:7" ht="20.100000000000001" customHeight="1" x14ac:dyDescent="0.25">
      <c r="A345" s="102"/>
      <c r="G345" s="80"/>
    </row>
    <row r="346" spans="1:7" ht="20.100000000000001" customHeight="1" x14ac:dyDescent="0.25">
      <c r="A346" s="102"/>
      <c r="G346" s="80"/>
    </row>
    <row r="347" spans="1:7" ht="20.100000000000001" customHeight="1" x14ac:dyDescent="0.25">
      <c r="A347" s="102"/>
      <c r="G347" s="80"/>
    </row>
    <row r="348" spans="1:7" ht="20.100000000000001" customHeight="1" x14ac:dyDescent="0.25">
      <c r="A348" s="102"/>
      <c r="G348" s="80"/>
    </row>
    <row r="349" spans="1:7" ht="20.100000000000001" customHeight="1" x14ac:dyDescent="0.25">
      <c r="A349" s="102"/>
      <c r="G349" s="80"/>
    </row>
    <row r="350" spans="1:7" ht="20.100000000000001" customHeight="1" x14ac:dyDescent="0.25">
      <c r="A350" s="102"/>
      <c r="G350" s="80"/>
    </row>
    <row r="351" spans="1:7" ht="20.100000000000001" customHeight="1" x14ac:dyDescent="0.25">
      <c r="A351" s="102"/>
      <c r="G351" s="80"/>
    </row>
    <row r="352" spans="1:7" ht="20.100000000000001" customHeight="1" x14ac:dyDescent="0.25">
      <c r="A352" s="102"/>
      <c r="G352" s="80"/>
    </row>
    <row r="353" spans="1:7" ht="20.100000000000001" customHeight="1" x14ac:dyDescent="0.25">
      <c r="A353" s="102"/>
      <c r="G353" s="80"/>
    </row>
    <row r="354" spans="1:7" ht="20.100000000000001" customHeight="1" x14ac:dyDescent="0.25">
      <c r="A354" s="102"/>
      <c r="G354" s="80"/>
    </row>
    <row r="355" spans="1:7" ht="20.100000000000001" customHeight="1" x14ac:dyDescent="0.25">
      <c r="A355" s="102"/>
      <c r="G355" s="80"/>
    </row>
    <row r="356" spans="1:7" ht="20.100000000000001" customHeight="1" x14ac:dyDescent="0.25">
      <c r="A356" s="102"/>
      <c r="G356" s="80"/>
    </row>
    <row r="357" spans="1:7" ht="20.100000000000001" customHeight="1" x14ac:dyDescent="0.25">
      <c r="A357" s="102"/>
      <c r="G357" s="80"/>
    </row>
    <row r="358" spans="1:7" ht="20.100000000000001" customHeight="1" x14ac:dyDescent="0.25">
      <c r="A358" s="102"/>
      <c r="G358" s="80"/>
    </row>
    <row r="359" spans="1:7" ht="20.100000000000001" customHeight="1" x14ac:dyDescent="0.25">
      <c r="A359" s="102"/>
      <c r="G359" s="80"/>
    </row>
    <row r="360" spans="1:7" ht="20.100000000000001" customHeight="1" x14ac:dyDescent="0.25">
      <c r="A360" s="102"/>
      <c r="G360" s="80"/>
    </row>
    <row r="361" spans="1:7" ht="20.100000000000001" customHeight="1" x14ac:dyDescent="0.25">
      <c r="A361" s="102"/>
      <c r="G361" s="80"/>
    </row>
    <row r="362" spans="1:7" ht="20.100000000000001" customHeight="1" x14ac:dyDescent="0.25">
      <c r="A362" s="102"/>
      <c r="G362" s="80"/>
    </row>
    <row r="363" spans="1:7" ht="20.100000000000001" customHeight="1" x14ac:dyDescent="0.25">
      <c r="A363" s="102"/>
      <c r="G363" s="80"/>
    </row>
    <row r="364" spans="1:7" ht="20.100000000000001" customHeight="1" x14ac:dyDescent="0.25">
      <c r="A364" s="102"/>
      <c r="G364" s="80"/>
    </row>
    <row r="365" spans="1:7" ht="20.100000000000001" customHeight="1" x14ac:dyDescent="0.25">
      <c r="A365" s="102"/>
      <c r="G365" s="80"/>
    </row>
    <row r="366" spans="1:7" ht="20.100000000000001" customHeight="1" x14ac:dyDescent="0.25">
      <c r="A366" s="102"/>
      <c r="G366" s="80"/>
    </row>
    <row r="367" spans="1:7" ht="20.100000000000001" customHeight="1" x14ac:dyDescent="0.25">
      <c r="A367" s="102"/>
      <c r="G367" s="80"/>
    </row>
    <row r="368" spans="1:7" ht="20.100000000000001" customHeight="1" x14ac:dyDescent="0.25">
      <c r="A368" s="102"/>
      <c r="G368" s="80"/>
    </row>
    <row r="369" spans="1:7" ht="20.100000000000001" customHeight="1" x14ac:dyDescent="0.25">
      <c r="A369" s="102"/>
      <c r="G369" s="80"/>
    </row>
    <row r="370" spans="1:7" ht="20.100000000000001" customHeight="1" x14ac:dyDescent="0.25">
      <c r="A370" s="102"/>
      <c r="G370" s="80"/>
    </row>
    <row r="371" spans="1:7" ht="20.100000000000001" customHeight="1" x14ac:dyDescent="0.25">
      <c r="A371" s="102"/>
      <c r="G371" s="80"/>
    </row>
    <row r="372" spans="1:7" ht="20.100000000000001" customHeight="1" x14ac:dyDescent="0.25">
      <c r="A372" s="102"/>
      <c r="G372" s="80"/>
    </row>
    <row r="373" spans="1:7" ht="20.100000000000001" customHeight="1" x14ac:dyDescent="0.25">
      <c r="A373" s="102"/>
      <c r="G373" s="80"/>
    </row>
    <row r="374" spans="1:7" ht="20.100000000000001" customHeight="1" x14ac:dyDescent="0.25">
      <c r="A374" s="102"/>
      <c r="G374" s="80"/>
    </row>
    <row r="375" spans="1:7" ht="20.100000000000001" customHeight="1" x14ac:dyDescent="0.25">
      <c r="A375" s="102"/>
      <c r="G375" s="80"/>
    </row>
    <row r="376" spans="1:7" ht="20.100000000000001" customHeight="1" x14ac:dyDescent="0.25">
      <c r="A376" s="102"/>
      <c r="G376" s="80"/>
    </row>
    <row r="377" spans="1:7" ht="20.100000000000001" customHeight="1" x14ac:dyDescent="0.25">
      <c r="A377" s="102"/>
      <c r="G377" s="80"/>
    </row>
    <row r="378" spans="1:7" ht="20.100000000000001" customHeight="1" x14ac:dyDescent="0.25">
      <c r="A378" s="102"/>
      <c r="G378" s="80"/>
    </row>
    <row r="379" spans="1:7" ht="20.100000000000001" customHeight="1" x14ac:dyDescent="0.25">
      <c r="A379" s="102"/>
      <c r="G379" s="80"/>
    </row>
    <row r="380" spans="1:7" ht="20.100000000000001" customHeight="1" x14ac:dyDescent="0.25">
      <c r="A380" s="102"/>
      <c r="G380" s="80"/>
    </row>
    <row r="381" spans="1:7" ht="20.100000000000001" customHeight="1" x14ac:dyDescent="0.25">
      <c r="A381" s="102"/>
      <c r="G381" s="80"/>
    </row>
    <row r="382" spans="1:7" ht="20.100000000000001" customHeight="1" x14ac:dyDescent="0.25">
      <c r="A382" s="102"/>
      <c r="G382" s="80"/>
    </row>
    <row r="383" spans="1:7" ht="20.100000000000001" customHeight="1" x14ac:dyDescent="0.25">
      <c r="A383" s="102"/>
      <c r="G383" s="80"/>
    </row>
    <row r="384" spans="1:7" ht="20.100000000000001" customHeight="1" x14ac:dyDescent="0.25">
      <c r="A384" s="102"/>
      <c r="G384" s="80"/>
    </row>
    <row r="385" spans="1:7" ht="20.100000000000001" customHeight="1" x14ac:dyDescent="0.25">
      <c r="A385" s="102"/>
      <c r="G385" s="80"/>
    </row>
    <row r="386" spans="1:7" ht="20.100000000000001" customHeight="1" x14ac:dyDescent="0.25">
      <c r="A386" s="102"/>
      <c r="G386" s="80"/>
    </row>
    <row r="387" spans="1:7" ht="20.100000000000001" customHeight="1" x14ac:dyDescent="0.25">
      <c r="A387" s="102"/>
      <c r="G387" s="80"/>
    </row>
    <row r="388" spans="1:7" ht="20.100000000000001" customHeight="1" x14ac:dyDescent="0.25">
      <c r="A388" s="102"/>
      <c r="G388" s="80"/>
    </row>
    <row r="389" spans="1:7" ht="20.100000000000001" customHeight="1" x14ac:dyDescent="0.25">
      <c r="A389" s="102"/>
      <c r="G389" s="80"/>
    </row>
    <row r="390" spans="1:7" ht="20.100000000000001" customHeight="1" x14ac:dyDescent="0.25">
      <c r="A390" s="102"/>
      <c r="G390" s="80"/>
    </row>
    <row r="391" spans="1:7" ht="20.100000000000001" customHeight="1" x14ac:dyDescent="0.25">
      <c r="A391" s="102"/>
      <c r="G391" s="80"/>
    </row>
    <row r="392" spans="1:7" ht="20.100000000000001" customHeight="1" x14ac:dyDescent="0.25">
      <c r="A392" s="102"/>
      <c r="G392" s="80"/>
    </row>
    <row r="393" spans="1:7" ht="20.100000000000001" customHeight="1" x14ac:dyDescent="0.25">
      <c r="A393" s="102"/>
      <c r="G393" s="80"/>
    </row>
    <row r="394" spans="1:7" ht="20.100000000000001" customHeight="1" x14ac:dyDescent="0.25">
      <c r="A394" s="102"/>
      <c r="G394" s="80"/>
    </row>
    <row r="395" spans="1:7" ht="20.100000000000001" customHeight="1" x14ac:dyDescent="0.25">
      <c r="A395" s="102"/>
      <c r="G395" s="80"/>
    </row>
    <row r="396" spans="1:7" ht="20.100000000000001" customHeight="1" x14ac:dyDescent="0.25">
      <c r="A396" s="102"/>
      <c r="G396" s="80"/>
    </row>
    <row r="397" spans="1:7" ht="20.100000000000001" customHeight="1" x14ac:dyDescent="0.25">
      <c r="A397" s="102"/>
      <c r="G397" s="80"/>
    </row>
    <row r="398" spans="1:7" ht="20.100000000000001" customHeight="1" x14ac:dyDescent="0.25">
      <c r="A398" s="102"/>
      <c r="G398" s="80"/>
    </row>
    <row r="399" spans="1:7" ht="20.100000000000001" customHeight="1" x14ac:dyDescent="0.25">
      <c r="A399" s="102"/>
      <c r="G399" s="80"/>
    </row>
    <row r="400" spans="1:7" ht="20.100000000000001" customHeight="1" x14ac:dyDescent="0.25">
      <c r="A400" s="102"/>
      <c r="G400" s="80"/>
    </row>
    <row r="401" spans="1:7" ht="20.100000000000001" customHeight="1" x14ac:dyDescent="0.25">
      <c r="A401" s="102"/>
      <c r="G401" s="80"/>
    </row>
    <row r="402" spans="1:7" ht="20.100000000000001" customHeight="1" x14ac:dyDescent="0.25">
      <c r="A402" s="102"/>
      <c r="G402" s="80"/>
    </row>
    <row r="403" spans="1:7" ht="20.100000000000001" customHeight="1" x14ac:dyDescent="0.25">
      <c r="A403" s="102"/>
      <c r="G403" s="80"/>
    </row>
    <row r="404" spans="1:7" ht="20.100000000000001" customHeight="1" x14ac:dyDescent="0.25">
      <c r="A404" s="102"/>
      <c r="G404" s="80"/>
    </row>
    <row r="405" spans="1:7" ht="20.100000000000001" customHeight="1" x14ac:dyDescent="0.25">
      <c r="A405" s="102"/>
      <c r="G405" s="80"/>
    </row>
    <row r="406" spans="1:7" ht="20.100000000000001" customHeight="1" x14ac:dyDescent="0.25">
      <c r="A406" s="102"/>
      <c r="G406" s="80"/>
    </row>
    <row r="407" spans="1:7" ht="20.100000000000001" customHeight="1" x14ac:dyDescent="0.25">
      <c r="A407" s="102"/>
      <c r="G407" s="80"/>
    </row>
    <row r="408" spans="1:7" ht="20.100000000000001" customHeight="1" x14ac:dyDescent="0.25">
      <c r="A408" s="102"/>
      <c r="G408" s="80"/>
    </row>
    <row r="409" spans="1:7" ht="20.100000000000001" customHeight="1" x14ac:dyDescent="0.25">
      <c r="A409" s="102"/>
      <c r="G409" s="80"/>
    </row>
    <row r="410" spans="1:7" ht="20.100000000000001" customHeight="1" x14ac:dyDescent="0.25">
      <c r="A410" s="102"/>
      <c r="G410" s="80"/>
    </row>
    <row r="411" spans="1:7" ht="20.100000000000001" customHeight="1" x14ac:dyDescent="0.25">
      <c r="A411" s="102"/>
      <c r="G411" s="80"/>
    </row>
    <row r="412" spans="1:7" ht="20.100000000000001" customHeight="1" x14ac:dyDescent="0.25">
      <c r="A412" s="102"/>
      <c r="G412" s="80"/>
    </row>
    <row r="413" spans="1:7" ht="20.100000000000001" customHeight="1" x14ac:dyDescent="0.25">
      <c r="A413" s="102"/>
      <c r="G413" s="80"/>
    </row>
    <row r="414" spans="1:7" ht="20.100000000000001" customHeight="1" x14ac:dyDescent="0.25">
      <c r="A414" s="102"/>
      <c r="G414" s="80"/>
    </row>
    <row r="415" spans="1:7" ht="20.100000000000001" customHeight="1" x14ac:dyDescent="0.25">
      <c r="A415" s="102"/>
      <c r="G415" s="80"/>
    </row>
    <row r="416" spans="1:7" ht="20.100000000000001" customHeight="1" x14ac:dyDescent="0.25">
      <c r="A416" s="102"/>
      <c r="G416" s="80"/>
    </row>
    <row r="417" spans="1:7" ht="20.100000000000001" customHeight="1" x14ac:dyDescent="0.25">
      <c r="A417" s="102"/>
      <c r="G417" s="80"/>
    </row>
    <row r="418" spans="1:7" ht="20.100000000000001" customHeight="1" x14ac:dyDescent="0.25">
      <c r="A418" s="102"/>
      <c r="G418" s="80"/>
    </row>
    <row r="419" spans="1:7" ht="20.100000000000001" customHeight="1" x14ac:dyDescent="0.25">
      <c r="A419" s="102"/>
      <c r="G419" s="80"/>
    </row>
    <row r="420" spans="1:7" ht="20.100000000000001" customHeight="1" x14ac:dyDescent="0.25">
      <c r="A420" s="102"/>
      <c r="G420" s="80"/>
    </row>
    <row r="421" spans="1:7" ht="20.100000000000001" customHeight="1" x14ac:dyDescent="0.25">
      <c r="A421" s="102"/>
      <c r="G421" s="80"/>
    </row>
    <row r="422" spans="1:7" ht="20.100000000000001" customHeight="1" x14ac:dyDescent="0.25">
      <c r="A422" s="102"/>
      <c r="G422" s="80"/>
    </row>
    <row r="423" spans="1:7" ht="20.100000000000001" customHeight="1" x14ac:dyDescent="0.25">
      <c r="A423" s="102"/>
      <c r="G423" s="80"/>
    </row>
    <row r="424" spans="1:7" ht="20.100000000000001" customHeight="1" x14ac:dyDescent="0.25">
      <c r="A424" s="102"/>
      <c r="G424" s="80"/>
    </row>
    <row r="425" spans="1:7" ht="20.100000000000001" customHeight="1" x14ac:dyDescent="0.25">
      <c r="A425" s="102"/>
      <c r="G425" s="80"/>
    </row>
    <row r="426" spans="1:7" ht="20.100000000000001" customHeight="1" x14ac:dyDescent="0.25">
      <c r="A426" s="102"/>
      <c r="G426" s="80"/>
    </row>
    <row r="427" spans="1:7" ht="20.100000000000001" customHeight="1" x14ac:dyDescent="0.25">
      <c r="A427" s="102"/>
      <c r="G427" s="80"/>
    </row>
    <row r="428" spans="1:7" ht="20.100000000000001" customHeight="1" x14ac:dyDescent="0.25">
      <c r="A428" s="102"/>
      <c r="G428" s="80"/>
    </row>
    <row r="429" spans="1:7" ht="20.100000000000001" customHeight="1" x14ac:dyDescent="0.25">
      <c r="A429" s="102"/>
      <c r="G429" s="80"/>
    </row>
    <row r="430" spans="1:7" ht="20.100000000000001" customHeight="1" x14ac:dyDescent="0.25">
      <c r="A430" s="102"/>
      <c r="G430" s="80"/>
    </row>
    <row r="431" spans="1:7" ht="20.100000000000001" customHeight="1" x14ac:dyDescent="0.25">
      <c r="A431" s="102"/>
      <c r="G431" s="80"/>
    </row>
    <row r="432" spans="1:7" ht="20.100000000000001" customHeight="1" x14ac:dyDescent="0.25">
      <c r="A432" s="102"/>
      <c r="G432" s="80"/>
    </row>
    <row r="433" spans="1:7" ht="20.100000000000001" customHeight="1" x14ac:dyDescent="0.25">
      <c r="A433" s="102"/>
      <c r="G433" s="80"/>
    </row>
    <row r="434" spans="1:7" ht="20.100000000000001" customHeight="1" x14ac:dyDescent="0.25">
      <c r="A434" s="102"/>
      <c r="G434" s="80"/>
    </row>
    <row r="435" spans="1:7" ht="20.100000000000001" customHeight="1" x14ac:dyDescent="0.25">
      <c r="A435" s="102"/>
      <c r="G435" s="80"/>
    </row>
    <row r="436" spans="1:7" ht="20.100000000000001" customHeight="1" x14ac:dyDescent="0.25">
      <c r="A436" s="102"/>
      <c r="G436" s="80"/>
    </row>
    <row r="437" spans="1:7" ht="20.100000000000001" customHeight="1" x14ac:dyDescent="0.25">
      <c r="A437" s="102"/>
      <c r="G437" s="80"/>
    </row>
    <row r="438" spans="1:7" ht="20.100000000000001" customHeight="1" x14ac:dyDescent="0.25">
      <c r="A438" s="102"/>
      <c r="G438" s="80"/>
    </row>
    <row r="439" spans="1:7" ht="20.100000000000001" customHeight="1" x14ac:dyDescent="0.25">
      <c r="A439" s="102"/>
      <c r="G439" s="80"/>
    </row>
    <row r="440" spans="1:7" ht="20.100000000000001" customHeight="1" x14ac:dyDescent="0.25">
      <c r="A440" s="102"/>
      <c r="G440" s="80"/>
    </row>
    <row r="441" spans="1:7" ht="20.100000000000001" customHeight="1" x14ac:dyDescent="0.25">
      <c r="A441" s="102"/>
      <c r="G441" s="80"/>
    </row>
    <row r="442" spans="1:7" ht="20.100000000000001" customHeight="1" x14ac:dyDescent="0.25">
      <c r="A442" s="102"/>
      <c r="G442" s="80"/>
    </row>
    <row r="443" spans="1:7" ht="20.100000000000001" customHeight="1" x14ac:dyDescent="0.25">
      <c r="A443" s="102"/>
      <c r="G443" s="80"/>
    </row>
    <row r="444" spans="1:7" ht="20.100000000000001" customHeight="1" x14ac:dyDescent="0.25">
      <c r="A444" s="102"/>
      <c r="G444" s="80"/>
    </row>
    <row r="445" spans="1:7" ht="20.100000000000001" customHeight="1" x14ac:dyDescent="0.25">
      <c r="A445" s="102"/>
      <c r="G445" s="80"/>
    </row>
    <row r="446" spans="1:7" ht="20.100000000000001" customHeight="1" x14ac:dyDescent="0.25">
      <c r="A446" s="102"/>
      <c r="G446" s="80"/>
    </row>
    <row r="447" spans="1:7" ht="20.100000000000001" customHeight="1" x14ac:dyDescent="0.25">
      <c r="A447" s="102"/>
      <c r="G447" s="80"/>
    </row>
    <row r="448" spans="1:7" ht="20.100000000000001" customHeight="1" x14ac:dyDescent="0.25">
      <c r="A448" s="102"/>
      <c r="G448" s="80"/>
    </row>
    <row r="449" spans="1:7" ht="20.100000000000001" customHeight="1" x14ac:dyDescent="0.25">
      <c r="A449" s="102"/>
      <c r="G449" s="80"/>
    </row>
    <row r="450" spans="1:7" ht="20.100000000000001" customHeight="1" x14ac:dyDescent="0.25">
      <c r="A450" s="102"/>
      <c r="G450" s="80"/>
    </row>
    <row r="451" spans="1:7" ht="20.100000000000001" customHeight="1" x14ac:dyDescent="0.25">
      <c r="A451" s="102"/>
      <c r="G451" s="80"/>
    </row>
    <row r="452" spans="1:7" ht="20.100000000000001" customHeight="1" x14ac:dyDescent="0.25">
      <c r="A452" s="102"/>
      <c r="G452" s="80"/>
    </row>
    <row r="453" spans="1:7" ht="20.100000000000001" customHeight="1" x14ac:dyDescent="0.25">
      <c r="A453" s="102"/>
      <c r="G453" s="80"/>
    </row>
    <row r="454" spans="1:7" ht="20.100000000000001" customHeight="1" x14ac:dyDescent="0.25">
      <c r="A454" s="102"/>
      <c r="G454" s="80"/>
    </row>
    <row r="455" spans="1:7" ht="20.100000000000001" customHeight="1" x14ac:dyDescent="0.25">
      <c r="A455" s="102"/>
      <c r="G455" s="80"/>
    </row>
    <row r="456" spans="1:7" ht="20.100000000000001" customHeight="1" x14ac:dyDescent="0.25">
      <c r="A456" s="102"/>
      <c r="G456" s="80"/>
    </row>
    <row r="457" spans="1:7" ht="20.100000000000001" customHeight="1" x14ac:dyDescent="0.25">
      <c r="A457" s="102"/>
      <c r="G457" s="80"/>
    </row>
    <row r="458" spans="1:7" ht="20.100000000000001" customHeight="1" x14ac:dyDescent="0.25">
      <c r="A458" s="102"/>
      <c r="G458" s="80"/>
    </row>
    <row r="459" spans="1:7" ht="20.100000000000001" customHeight="1" x14ac:dyDescent="0.25">
      <c r="A459" s="102"/>
      <c r="G459" s="80"/>
    </row>
    <row r="460" spans="1:7" ht="20.100000000000001" customHeight="1" x14ac:dyDescent="0.25">
      <c r="A460" s="102"/>
      <c r="G460" s="80"/>
    </row>
    <row r="461" spans="1:7" ht="20.100000000000001" customHeight="1" x14ac:dyDescent="0.25">
      <c r="A461" s="102"/>
      <c r="G461" s="80"/>
    </row>
    <row r="462" spans="1:7" ht="20.100000000000001" customHeight="1" x14ac:dyDescent="0.25">
      <c r="A462" s="102"/>
      <c r="G462" s="80"/>
    </row>
    <row r="463" spans="1:7" ht="20.100000000000001" customHeight="1" x14ac:dyDescent="0.25">
      <c r="A463" s="102"/>
      <c r="G463" s="80"/>
    </row>
    <row r="464" spans="1:7" ht="20.100000000000001" customHeight="1" x14ac:dyDescent="0.25">
      <c r="A464" s="102"/>
      <c r="G464" s="80"/>
    </row>
    <row r="465" spans="1:7" ht="20.100000000000001" customHeight="1" x14ac:dyDescent="0.25">
      <c r="A465" s="102"/>
      <c r="G465" s="80"/>
    </row>
    <row r="466" spans="1:7" ht="20.100000000000001" customHeight="1" x14ac:dyDescent="0.25">
      <c r="A466" s="102"/>
      <c r="G466" s="80"/>
    </row>
    <row r="467" spans="1:7" ht="20.100000000000001" customHeight="1" x14ac:dyDescent="0.25">
      <c r="A467" s="102"/>
      <c r="G467" s="80"/>
    </row>
    <row r="468" spans="1:7" ht="20.100000000000001" customHeight="1" x14ac:dyDescent="0.25">
      <c r="A468" s="102"/>
      <c r="G468" s="80"/>
    </row>
    <row r="469" spans="1:7" ht="20.100000000000001" customHeight="1" x14ac:dyDescent="0.25">
      <c r="A469" s="102"/>
      <c r="G469" s="80"/>
    </row>
    <row r="470" spans="1:7" ht="20.100000000000001" customHeight="1" x14ac:dyDescent="0.25">
      <c r="A470" s="102"/>
      <c r="G470" s="80"/>
    </row>
    <row r="471" spans="1:7" ht="20.100000000000001" customHeight="1" x14ac:dyDescent="0.25">
      <c r="A471" s="102"/>
      <c r="G471" s="80"/>
    </row>
    <row r="472" spans="1:7" ht="20.100000000000001" customHeight="1" x14ac:dyDescent="0.25">
      <c r="A472" s="102"/>
      <c r="G472" s="80"/>
    </row>
    <row r="473" spans="1:7" ht="20.100000000000001" customHeight="1" x14ac:dyDescent="0.25">
      <c r="A473" s="102"/>
      <c r="G473" s="80"/>
    </row>
    <row r="474" spans="1:7" ht="20.100000000000001" customHeight="1" x14ac:dyDescent="0.25">
      <c r="A474" s="102"/>
      <c r="G474" s="80"/>
    </row>
    <row r="475" spans="1:7" ht="20.100000000000001" customHeight="1" x14ac:dyDescent="0.25">
      <c r="A475" s="102"/>
      <c r="G475" s="80"/>
    </row>
    <row r="476" spans="1:7" ht="20.100000000000001" customHeight="1" x14ac:dyDescent="0.25">
      <c r="A476" s="102"/>
      <c r="G476" s="80"/>
    </row>
    <row r="477" spans="1:7" ht="20.100000000000001" customHeight="1" x14ac:dyDescent="0.25">
      <c r="A477" s="102"/>
      <c r="G477" s="80"/>
    </row>
    <row r="478" spans="1:7" ht="20.100000000000001" customHeight="1" x14ac:dyDescent="0.25">
      <c r="A478" s="102"/>
      <c r="G478" s="80"/>
    </row>
    <row r="479" spans="1:7" ht="20.100000000000001" customHeight="1" x14ac:dyDescent="0.25">
      <c r="A479" s="102"/>
      <c r="G479" s="80"/>
    </row>
    <row r="480" spans="1:7" ht="20.100000000000001" customHeight="1" x14ac:dyDescent="0.25">
      <c r="A480" s="102"/>
      <c r="G480" s="80"/>
    </row>
    <row r="481" spans="1:7" ht="20.100000000000001" customHeight="1" x14ac:dyDescent="0.25">
      <c r="A481" s="102"/>
      <c r="G481" s="80"/>
    </row>
    <row r="482" spans="1:7" ht="20.100000000000001" customHeight="1" x14ac:dyDescent="0.25">
      <c r="A482" s="102"/>
      <c r="G482" s="80"/>
    </row>
    <row r="483" spans="1:7" ht="20.100000000000001" customHeight="1" x14ac:dyDescent="0.25">
      <c r="A483" s="102"/>
      <c r="G483" s="80"/>
    </row>
    <row r="484" spans="1:7" ht="20.100000000000001" customHeight="1" x14ac:dyDescent="0.25">
      <c r="A484" s="102"/>
      <c r="G484" s="80"/>
    </row>
    <row r="485" spans="1:7" ht="20.100000000000001" customHeight="1" x14ac:dyDescent="0.25">
      <c r="A485" s="102"/>
      <c r="G485" s="80"/>
    </row>
    <row r="486" spans="1:7" ht="20.100000000000001" customHeight="1" x14ac:dyDescent="0.25">
      <c r="A486" s="102"/>
      <c r="G486" s="80"/>
    </row>
    <row r="487" spans="1:7" ht="20.100000000000001" customHeight="1" x14ac:dyDescent="0.25">
      <c r="A487" s="102"/>
      <c r="G487" s="80"/>
    </row>
    <row r="488" spans="1:7" ht="20.100000000000001" customHeight="1" x14ac:dyDescent="0.25">
      <c r="A488" s="102"/>
      <c r="G488" s="80"/>
    </row>
    <row r="489" spans="1:7" ht="20.100000000000001" customHeight="1" x14ac:dyDescent="0.25">
      <c r="A489" s="102"/>
      <c r="G489" s="80"/>
    </row>
    <row r="490" spans="1:7" ht="20.100000000000001" customHeight="1" x14ac:dyDescent="0.25">
      <c r="A490" s="102"/>
      <c r="G490" s="80"/>
    </row>
    <row r="491" spans="1:7" ht="20.100000000000001" customHeight="1" x14ac:dyDescent="0.25">
      <c r="A491" s="102"/>
      <c r="G491" s="80"/>
    </row>
    <row r="492" spans="1:7" ht="20.100000000000001" customHeight="1" x14ac:dyDescent="0.25">
      <c r="A492" s="102"/>
      <c r="G492" s="80"/>
    </row>
    <row r="493" spans="1:7" ht="20.100000000000001" customHeight="1" x14ac:dyDescent="0.25">
      <c r="A493" s="102"/>
      <c r="G493" s="80"/>
    </row>
    <row r="494" spans="1:7" ht="20.100000000000001" customHeight="1" x14ac:dyDescent="0.25">
      <c r="A494" s="102"/>
      <c r="G494" s="80"/>
    </row>
    <row r="495" spans="1:7" ht="20.100000000000001" customHeight="1" x14ac:dyDescent="0.25">
      <c r="A495" s="102"/>
      <c r="G495" s="80"/>
    </row>
    <row r="496" spans="1:7" ht="20.100000000000001" customHeight="1" x14ac:dyDescent="0.25">
      <c r="A496" s="102"/>
      <c r="G496" s="80"/>
    </row>
    <row r="497" spans="1:7" ht="20.100000000000001" customHeight="1" x14ac:dyDescent="0.25">
      <c r="A497" s="102"/>
      <c r="G497" s="80"/>
    </row>
    <row r="498" spans="1:7" ht="20.100000000000001" customHeight="1" x14ac:dyDescent="0.25">
      <c r="A498" s="102"/>
      <c r="G498" s="80"/>
    </row>
    <row r="499" spans="1:7" ht="20.100000000000001" customHeight="1" x14ac:dyDescent="0.25">
      <c r="A499" s="102"/>
      <c r="G499" s="80"/>
    </row>
    <row r="500" spans="1:7" ht="20.100000000000001" customHeight="1" x14ac:dyDescent="0.25">
      <c r="A500" s="102"/>
      <c r="G500" s="80"/>
    </row>
    <row r="501" spans="1:7" ht="20.100000000000001" customHeight="1" x14ac:dyDescent="0.25">
      <c r="A501" s="102"/>
      <c r="G501" s="80"/>
    </row>
    <row r="502" spans="1:7" ht="20.100000000000001" customHeight="1" x14ac:dyDescent="0.25">
      <c r="A502" s="102"/>
      <c r="G502" s="80"/>
    </row>
    <row r="503" spans="1:7" ht="20.100000000000001" customHeight="1" x14ac:dyDescent="0.25">
      <c r="A503" s="102"/>
      <c r="G503" s="80"/>
    </row>
    <row r="504" spans="1:7" ht="20.100000000000001" customHeight="1" x14ac:dyDescent="0.25">
      <c r="A504" s="102"/>
      <c r="G504" s="80"/>
    </row>
    <row r="505" spans="1:7" ht="20.100000000000001" customHeight="1" x14ac:dyDescent="0.25">
      <c r="A505" s="102"/>
      <c r="G505" s="80"/>
    </row>
    <row r="506" spans="1:7" ht="20.100000000000001" customHeight="1" x14ac:dyDescent="0.25">
      <c r="A506" s="102"/>
      <c r="G506" s="80"/>
    </row>
    <row r="507" spans="1:7" ht="20.100000000000001" customHeight="1" x14ac:dyDescent="0.25">
      <c r="A507" s="102"/>
      <c r="G507" s="80"/>
    </row>
    <row r="508" spans="1:7" ht="20.100000000000001" customHeight="1" x14ac:dyDescent="0.25">
      <c r="A508" s="102"/>
      <c r="G508" s="80"/>
    </row>
    <row r="509" spans="1:7" ht="20.100000000000001" customHeight="1" x14ac:dyDescent="0.25">
      <c r="A509" s="102"/>
      <c r="G509" s="80"/>
    </row>
    <row r="510" spans="1:7" ht="20.100000000000001" customHeight="1" x14ac:dyDescent="0.25">
      <c r="A510" s="102"/>
      <c r="G510" s="80"/>
    </row>
    <row r="511" spans="1:7" ht="20.100000000000001" customHeight="1" x14ac:dyDescent="0.25">
      <c r="A511" s="102"/>
      <c r="G511" s="80"/>
    </row>
    <row r="512" spans="1:7" ht="20.100000000000001" customHeight="1" x14ac:dyDescent="0.25">
      <c r="A512" s="102"/>
      <c r="G512" s="80"/>
    </row>
    <row r="513" spans="1:7" ht="20.100000000000001" customHeight="1" x14ac:dyDescent="0.25">
      <c r="A513" s="102"/>
      <c r="G513" s="80"/>
    </row>
    <row r="514" spans="1:7" ht="20.100000000000001" customHeight="1" x14ac:dyDescent="0.25">
      <c r="A514" s="102"/>
      <c r="G514" s="80"/>
    </row>
    <row r="515" spans="1:7" ht="20.100000000000001" customHeight="1" x14ac:dyDescent="0.25">
      <c r="A515" s="102"/>
      <c r="G515" s="80"/>
    </row>
    <row r="516" spans="1:7" ht="20.100000000000001" customHeight="1" x14ac:dyDescent="0.25">
      <c r="A516" s="102"/>
      <c r="G516" s="80"/>
    </row>
    <row r="517" spans="1:7" ht="20.100000000000001" customHeight="1" x14ac:dyDescent="0.25">
      <c r="A517" s="102"/>
      <c r="G517" s="80"/>
    </row>
    <row r="518" spans="1:7" ht="20.100000000000001" customHeight="1" x14ac:dyDescent="0.25">
      <c r="A518" s="102"/>
      <c r="G518" s="80"/>
    </row>
    <row r="519" spans="1:7" ht="20.100000000000001" customHeight="1" x14ac:dyDescent="0.25">
      <c r="A519" s="102"/>
      <c r="G519" s="80"/>
    </row>
    <row r="520" spans="1:7" ht="20.100000000000001" customHeight="1" x14ac:dyDescent="0.25">
      <c r="A520" s="102"/>
      <c r="G520" s="80"/>
    </row>
    <row r="521" spans="1:7" ht="20.100000000000001" customHeight="1" x14ac:dyDescent="0.25">
      <c r="A521" s="102"/>
      <c r="G521" s="80"/>
    </row>
    <row r="522" spans="1:7" ht="20.100000000000001" customHeight="1" x14ac:dyDescent="0.25">
      <c r="A522" s="102"/>
      <c r="G522" s="80"/>
    </row>
    <row r="523" spans="1:7" ht="20.100000000000001" customHeight="1" x14ac:dyDescent="0.25">
      <c r="A523" s="102"/>
      <c r="G523" s="80"/>
    </row>
    <row r="524" spans="1:7" ht="20.100000000000001" customHeight="1" x14ac:dyDescent="0.25">
      <c r="A524" s="102"/>
      <c r="G524" s="80"/>
    </row>
    <row r="525" spans="1:7" ht="20.100000000000001" customHeight="1" x14ac:dyDescent="0.25">
      <c r="A525" s="102"/>
      <c r="G525" s="80"/>
    </row>
    <row r="526" spans="1:7" ht="20.100000000000001" customHeight="1" x14ac:dyDescent="0.25">
      <c r="A526" s="102"/>
      <c r="G526" s="80"/>
    </row>
    <row r="527" spans="1:7" ht="20.100000000000001" customHeight="1" x14ac:dyDescent="0.25">
      <c r="A527" s="102"/>
      <c r="G527" s="80"/>
    </row>
    <row r="528" spans="1:7" ht="20.100000000000001" customHeight="1" x14ac:dyDescent="0.25">
      <c r="A528" s="102"/>
      <c r="G528" s="80"/>
    </row>
    <row r="529" spans="1:7" ht="20.100000000000001" customHeight="1" x14ac:dyDescent="0.25">
      <c r="A529" s="102"/>
      <c r="G529" s="80"/>
    </row>
    <row r="530" spans="1:7" ht="20.100000000000001" customHeight="1" x14ac:dyDescent="0.25">
      <c r="A530" s="102"/>
      <c r="G530" s="80"/>
    </row>
    <row r="531" spans="1:7" ht="20.100000000000001" customHeight="1" x14ac:dyDescent="0.25">
      <c r="A531" s="102"/>
      <c r="G531" s="80"/>
    </row>
    <row r="532" spans="1:7" ht="20.100000000000001" customHeight="1" x14ac:dyDescent="0.25">
      <c r="A532" s="102"/>
      <c r="G532" s="80"/>
    </row>
    <row r="533" spans="1:7" ht="20.100000000000001" customHeight="1" x14ac:dyDescent="0.25">
      <c r="A533" s="102"/>
      <c r="G533" s="80"/>
    </row>
    <row r="534" spans="1:7" ht="20.100000000000001" customHeight="1" x14ac:dyDescent="0.25">
      <c r="A534" s="102"/>
      <c r="G534" s="80"/>
    </row>
    <row r="535" spans="1:7" ht="20.100000000000001" customHeight="1" x14ac:dyDescent="0.25">
      <c r="A535" s="102"/>
      <c r="G535" s="80"/>
    </row>
    <row r="536" spans="1:7" ht="20.100000000000001" customHeight="1" x14ac:dyDescent="0.25">
      <c r="A536" s="102"/>
      <c r="G536" s="80"/>
    </row>
    <row r="537" spans="1:7" ht="20.100000000000001" customHeight="1" x14ac:dyDescent="0.25">
      <c r="A537" s="102"/>
      <c r="G537" s="80"/>
    </row>
    <row r="538" spans="1:7" ht="20.100000000000001" customHeight="1" x14ac:dyDescent="0.25">
      <c r="A538" s="102"/>
      <c r="G538" s="80"/>
    </row>
    <row r="539" spans="1:7" ht="20.100000000000001" customHeight="1" x14ac:dyDescent="0.25">
      <c r="A539" s="102"/>
      <c r="G539" s="80"/>
    </row>
    <row r="540" spans="1:7" ht="20.100000000000001" customHeight="1" x14ac:dyDescent="0.25">
      <c r="A540" s="102"/>
      <c r="G540" s="80"/>
    </row>
    <row r="541" spans="1:7" ht="20.100000000000001" customHeight="1" x14ac:dyDescent="0.25">
      <c r="A541" s="102"/>
      <c r="G541" s="80"/>
    </row>
    <row r="542" spans="1:7" ht="20.100000000000001" customHeight="1" x14ac:dyDescent="0.25">
      <c r="A542" s="102"/>
      <c r="G542" s="80"/>
    </row>
    <row r="543" spans="1:7" ht="20.100000000000001" customHeight="1" x14ac:dyDescent="0.25">
      <c r="A543" s="102"/>
      <c r="G543" s="80"/>
    </row>
    <row r="544" spans="1:7" ht="20.100000000000001" customHeight="1" x14ac:dyDescent="0.25">
      <c r="A544" s="102"/>
      <c r="G544" s="80"/>
    </row>
    <row r="545" spans="1:7" ht="20.100000000000001" customHeight="1" x14ac:dyDescent="0.25">
      <c r="A545" s="102"/>
      <c r="G545" s="80"/>
    </row>
    <row r="546" spans="1:7" ht="20.100000000000001" customHeight="1" x14ac:dyDescent="0.25">
      <c r="A546" s="102"/>
      <c r="G546" s="80"/>
    </row>
    <row r="547" spans="1:7" ht="20.100000000000001" customHeight="1" x14ac:dyDescent="0.25">
      <c r="A547" s="102"/>
      <c r="G547" s="80"/>
    </row>
    <row r="548" spans="1:7" ht="20.100000000000001" customHeight="1" x14ac:dyDescent="0.25">
      <c r="A548" s="102"/>
      <c r="G548" s="80"/>
    </row>
    <row r="549" spans="1:7" ht="20.100000000000001" customHeight="1" x14ac:dyDescent="0.25">
      <c r="A549" s="102"/>
      <c r="G549" s="80"/>
    </row>
    <row r="550" spans="1:7" ht="20.100000000000001" customHeight="1" x14ac:dyDescent="0.25">
      <c r="A550" s="102"/>
      <c r="G550" s="80"/>
    </row>
    <row r="551" spans="1:7" ht="20.100000000000001" customHeight="1" x14ac:dyDescent="0.25">
      <c r="A551" s="102"/>
      <c r="G551" s="80"/>
    </row>
    <row r="552" spans="1:7" ht="20.100000000000001" customHeight="1" x14ac:dyDescent="0.25">
      <c r="A552" s="102"/>
      <c r="G552" s="80"/>
    </row>
    <row r="553" spans="1:7" ht="20.100000000000001" customHeight="1" x14ac:dyDescent="0.25">
      <c r="A553" s="102"/>
      <c r="G553" s="80"/>
    </row>
    <row r="554" spans="1:7" ht="20.100000000000001" customHeight="1" x14ac:dyDescent="0.25">
      <c r="A554" s="102"/>
      <c r="G554" s="80"/>
    </row>
    <row r="555" spans="1:7" ht="20.100000000000001" customHeight="1" x14ac:dyDescent="0.25">
      <c r="A555" s="102"/>
      <c r="G555" s="80"/>
    </row>
    <row r="556" spans="1:7" ht="20.100000000000001" customHeight="1" x14ac:dyDescent="0.25">
      <c r="A556" s="102"/>
      <c r="G556" s="80"/>
    </row>
    <row r="557" spans="1:7" ht="20.100000000000001" customHeight="1" x14ac:dyDescent="0.25">
      <c r="A557" s="102"/>
      <c r="G557" s="80"/>
    </row>
    <row r="558" spans="1:7" ht="20.100000000000001" customHeight="1" x14ac:dyDescent="0.25">
      <c r="A558" s="102"/>
      <c r="G558" s="80"/>
    </row>
    <row r="559" spans="1:7" ht="20.100000000000001" customHeight="1" x14ac:dyDescent="0.25">
      <c r="A559" s="102"/>
      <c r="G559" s="80"/>
    </row>
    <row r="560" spans="1:7" ht="20.100000000000001" customHeight="1" x14ac:dyDescent="0.25">
      <c r="A560" s="102"/>
      <c r="G560" s="80"/>
    </row>
    <row r="561" spans="1:7" ht="20.100000000000001" customHeight="1" x14ac:dyDescent="0.25">
      <c r="A561" s="102"/>
      <c r="G561" s="80"/>
    </row>
    <row r="562" spans="1:7" ht="20.100000000000001" customHeight="1" x14ac:dyDescent="0.25">
      <c r="A562" s="102"/>
      <c r="G562" s="80"/>
    </row>
    <row r="563" spans="1:7" ht="20.100000000000001" customHeight="1" x14ac:dyDescent="0.25">
      <c r="A563" s="102"/>
      <c r="G563" s="80"/>
    </row>
    <row r="564" spans="1:7" ht="20.100000000000001" customHeight="1" x14ac:dyDescent="0.25">
      <c r="A564" s="102"/>
      <c r="G564" s="80"/>
    </row>
    <row r="565" spans="1:7" ht="20.100000000000001" customHeight="1" x14ac:dyDescent="0.25">
      <c r="A565" s="102"/>
      <c r="G565" s="80"/>
    </row>
    <row r="566" spans="1:7" ht="20.100000000000001" customHeight="1" x14ac:dyDescent="0.25">
      <c r="A566" s="102"/>
      <c r="G566" s="80"/>
    </row>
    <row r="567" spans="1:7" ht="20.100000000000001" customHeight="1" x14ac:dyDescent="0.25">
      <c r="A567" s="102"/>
      <c r="G567" s="80"/>
    </row>
    <row r="568" spans="1:7" ht="20.100000000000001" customHeight="1" x14ac:dyDescent="0.25">
      <c r="A568" s="102"/>
      <c r="G568" s="80"/>
    </row>
    <row r="569" spans="1:7" ht="20.100000000000001" customHeight="1" x14ac:dyDescent="0.25">
      <c r="A569" s="102"/>
      <c r="G569" s="80"/>
    </row>
    <row r="570" spans="1:7" ht="20.100000000000001" customHeight="1" x14ac:dyDescent="0.25">
      <c r="A570" s="102"/>
      <c r="G570" s="80"/>
    </row>
    <row r="571" spans="1:7" ht="20.100000000000001" customHeight="1" x14ac:dyDescent="0.25">
      <c r="A571" s="102"/>
      <c r="G571" s="80"/>
    </row>
    <row r="572" spans="1:7" ht="20.100000000000001" customHeight="1" x14ac:dyDescent="0.25">
      <c r="A572" s="102"/>
      <c r="G572" s="80"/>
    </row>
    <row r="573" spans="1:7" ht="20.100000000000001" customHeight="1" x14ac:dyDescent="0.25">
      <c r="A573" s="102"/>
      <c r="G573" s="80"/>
    </row>
    <row r="574" spans="1:7" ht="20.100000000000001" customHeight="1" x14ac:dyDescent="0.25">
      <c r="A574" s="102"/>
      <c r="G574" s="80"/>
    </row>
    <row r="575" spans="1:7" ht="20.100000000000001" customHeight="1" x14ac:dyDescent="0.25">
      <c r="A575" s="102"/>
      <c r="G575" s="80"/>
    </row>
    <row r="576" spans="1:7" ht="20.100000000000001" customHeight="1" x14ac:dyDescent="0.25">
      <c r="A576" s="102"/>
      <c r="G576" s="80"/>
    </row>
    <row r="577" spans="1:7" ht="20.100000000000001" customHeight="1" x14ac:dyDescent="0.25">
      <c r="A577" s="102"/>
      <c r="G577" s="80"/>
    </row>
    <row r="578" spans="1:7" ht="20.100000000000001" customHeight="1" x14ac:dyDescent="0.25">
      <c r="A578" s="102"/>
      <c r="G578" s="80"/>
    </row>
    <row r="579" spans="1:7" ht="20.100000000000001" customHeight="1" x14ac:dyDescent="0.25">
      <c r="A579" s="102"/>
      <c r="G579" s="80"/>
    </row>
    <row r="580" spans="1:7" ht="20.100000000000001" customHeight="1" x14ac:dyDescent="0.25">
      <c r="A580" s="102"/>
      <c r="G580" s="80"/>
    </row>
    <row r="581" spans="1:7" ht="20.100000000000001" customHeight="1" x14ac:dyDescent="0.25">
      <c r="A581" s="102"/>
      <c r="G581" s="80"/>
    </row>
    <row r="582" spans="1:7" ht="20.100000000000001" customHeight="1" x14ac:dyDescent="0.25">
      <c r="A582" s="102"/>
      <c r="G582" s="80"/>
    </row>
    <row r="583" spans="1:7" ht="20.100000000000001" customHeight="1" x14ac:dyDescent="0.25">
      <c r="A583" s="102"/>
      <c r="G583" s="80"/>
    </row>
    <row r="584" spans="1:7" ht="20.100000000000001" customHeight="1" x14ac:dyDescent="0.25">
      <c r="A584" s="102"/>
      <c r="G584" s="80"/>
    </row>
    <row r="585" spans="1:7" ht="20.100000000000001" customHeight="1" x14ac:dyDescent="0.25">
      <c r="A585" s="102"/>
      <c r="G585" s="80"/>
    </row>
    <row r="586" spans="1:7" ht="20.100000000000001" customHeight="1" x14ac:dyDescent="0.25">
      <c r="A586" s="102"/>
      <c r="G586" s="80"/>
    </row>
    <row r="587" spans="1:7" ht="20.100000000000001" customHeight="1" x14ac:dyDescent="0.25">
      <c r="A587" s="102"/>
      <c r="G587" s="80"/>
    </row>
    <row r="588" spans="1:7" ht="20.100000000000001" customHeight="1" x14ac:dyDescent="0.25">
      <c r="A588" s="102"/>
      <c r="G588" s="80"/>
    </row>
    <row r="589" spans="1:7" ht="20.100000000000001" customHeight="1" x14ac:dyDescent="0.25">
      <c r="A589" s="102"/>
      <c r="G589" s="80"/>
    </row>
    <row r="590" spans="1:7" ht="20.100000000000001" customHeight="1" x14ac:dyDescent="0.25">
      <c r="A590" s="102"/>
      <c r="G590" s="80"/>
    </row>
    <row r="591" spans="1:7" ht="20.100000000000001" customHeight="1" x14ac:dyDescent="0.25">
      <c r="A591" s="102"/>
      <c r="G591" s="80"/>
    </row>
    <row r="592" spans="1:7" ht="20.100000000000001" customHeight="1" x14ac:dyDescent="0.25">
      <c r="A592" s="102"/>
      <c r="G592" s="80"/>
    </row>
    <row r="593" spans="1:7" ht="20.100000000000001" customHeight="1" x14ac:dyDescent="0.25">
      <c r="A593" s="102"/>
      <c r="G593" s="80"/>
    </row>
    <row r="594" spans="1:7" ht="20.100000000000001" customHeight="1" x14ac:dyDescent="0.25">
      <c r="A594" s="102"/>
      <c r="G594" s="80"/>
    </row>
    <row r="595" spans="1:7" ht="20.100000000000001" customHeight="1" x14ac:dyDescent="0.25">
      <c r="A595" s="102"/>
      <c r="G595" s="80"/>
    </row>
    <row r="596" spans="1:7" ht="20.100000000000001" customHeight="1" x14ac:dyDescent="0.25">
      <c r="A596" s="102"/>
      <c r="G596" s="80"/>
    </row>
    <row r="597" spans="1:7" ht="20.100000000000001" customHeight="1" x14ac:dyDescent="0.25">
      <c r="A597" s="102"/>
      <c r="G597" s="80"/>
    </row>
    <row r="598" spans="1:7" ht="20.100000000000001" customHeight="1" x14ac:dyDescent="0.25">
      <c r="A598" s="102"/>
      <c r="G598" s="80"/>
    </row>
    <row r="599" spans="1:7" ht="20.100000000000001" customHeight="1" x14ac:dyDescent="0.25">
      <c r="A599" s="102"/>
      <c r="G599" s="80"/>
    </row>
    <row r="600" spans="1:7" ht="20.100000000000001" customHeight="1" x14ac:dyDescent="0.25">
      <c r="A600" s="102"/>
      <c r="G600" s="80"/>
    </row>
    <row r="601" spans="1:7" ht="20.100000000000001" customHeight="1" x14ac:dyDescent="0.25">
      <c r="A601" s="102"/>
      <c r="G601" s="80"/>
    </row>
    <row r="602" spans="1:7" ht="20.100000000000001" customHeight="1" x14ac:dyDescent="0.25">
      <c r="A602" s="102"/>
      <c r="G602" s="80"/>
    </row>
    <row r="603" spans="1:7" ht="20.100000000000001" customHeight="1" x14ac:dyDescent="0.25">
      <c r="A603" s="102"/>
      <c r="G603" s="80"/>
    </row>
    <row r="604" spans="1:7" ht="20.100000000000001" customHeight="1" x14ac:dyDescent="0.25">
      <c r="A604" s="102"/>
      <c r="G604" s="80"/>
    </row>
    <row r="605" spans="1:7" ht="20.100000000000001" customHeight="1" x14ac:dyDescent="0.25">
      <c r="A605" s="102"/>
      <c r="G605" s="80"/>
    </row>
    <row r="606" spans="1:7" ht="20.100000000000001" customHeight="1" x14ac:dyDescent="0.25">
      <c r="A606" s="102"/>
      <c r="G606" s="80"/>
    </row>
    <row r="607" spans="1:7" ht="20.100000000000001" customHeight="1" x14ac:dyDescent="0.25">
      <c r="A607" s="102"/>
      <c r="G607" s="80"/>
    </row>
    <row r="608" spans="1:7" ht="20.100000000000001" customHeight="1" x14ac:dyDescent="0.25">
      <c r="A608" s="102"/>
      <c r="G608" s="80"/>
    </row>
    <row r="609" spans="1:7" ht="20.100000000000001" customHeight="1" x14ac:dyDescent="0.25">
      <c r="A609" s="102"/>
      <c r="G609" s="80"/>
    </row>
    <row r="610" spans="1:7" ht="20.100000000000001" customHeight="1" x14ac:dyDescent="0.25">
      <c r="A610" s="102"/>
      <c r="G610" s="80"/>
    </row>
    <row r="611" spans="1:7" ht="20.100000000000001" customHeight="1" x14ac:dyDescent="0.25">
      <c r="A611" s="102"/>
      <c r="G611" s="80"/>
    </row>
    <row r="612" spans="1:7" ht="20.100000000000001" customHeight="1" x14ac:dyDescent="0.25">
      <c r="A612" s="102"/>
      <c r="G612" s="80"/>
    </row>
    <row r="613" spans="1:7" ht="20.100000000000001" customHeight="1" x14ac:dyDescent="0.25">
      <c r="A613" s="102"/>
      <c r="G613" s="80"/>
    </row>
    <row r="614" spans="1:7" ht="20.100000000000001" customHeight="1" x14ac:dyDescent="0.25">
      <c r="A614" s="102"/>
      <c r="G614" s="80"/>
    </row>
    <row r="615" spans="1:7" ht="20.100000000000001" customHeight="1" x14ac:dyDescent="0.25">
      <c r="A615" s="102"/>
      <c r="G615" s="80"/>
    </row>
    <row r="616" spans="1:7" ht="20.100000000000001" customHeight="1" x14ac:dyDescent="0.25">
      <c r="A616" s="102"/>
      <c r="G616" s="80"/>
    </row>
    <row r="617" spans="1:7" ht="20.100000000000001" customHeight="1" x14ac:dyDescent="0.25">
      <c r="A617" s="102"/>
      <c r="G617" s="80"/>
    </row>
    <row r="618" spans="1:7" ht="20.100000000000001" customHeight="1" x14ac:dyDescent="0.25">
      <c r="A618" s="102"/>
      <c r="G618" s="80"/>
    </row>
    <row r="619" spans="1:7" ht="20.100000000000001" customHeight="1" x14ac:dyDescent="0.25">
      <c r="A619" s="102"/>
      <c r="G619" s="80"/>
    </row>
    <row r="620" spans="1:7" ht="20.100000000000001" customHeight="1" x14ac:dyDescent="0.25">
      <c r="A620" s="102"/>
      <c r="G620" s="80"/>
    </row>
    <row r="621" spans="1:7" ht="20.100000000000001" customHeight="1" x14ac:dyDescent="0.25">
      <c r="A621" s="102"/>
      <c r="G621" s="80"/>
    </row>
    <row r="622" spans="1:7" ht="20.100000000000001" customHeight="1" x14ac:dyDescent="0.25">
      <c r="A622" s="102"/>
      <c r="G622" s="80"/>
    </row>
    <row r="623" spans="1:7" ht="20.100000000000001" customHeight="1" x14ac:dyDescent="0.25">
      <c r="A623" s="102"/>
      <c r="G623" s="80"/>
    </row>
    <row r="624" spans="1:7" ht="20.100000000000001" customHeight="1" x14ac:dyDescent="0.25">
      <c r="A624" s="102"/>
      <c r="G624" s="80"/>
    </row>
    <row r="625" spans="1:7" ht="20.100000000000001" customHeight="1" x14ac:dyDescent="0.25">
      <c r="A625" s="102"/>
      <c r="G625" s="80"/>
    </row>
    <row r="626" spans="1:7" ht="20.100000000000001" customHeight="1" x14ac:dyDescent="0.25">
      <c r="A626" s="102"/>
      <c r="G626" s="80"/>
    </row>
    <row r="627" spans="1:7" ht="20.100000000000001" customHeight="1" x14ac:dyDescent="0.25">
      <c r="A627" s="102"/>
      <c r="G627" s="80"/>
    </row>
    <row r="628" spans="1:7" ht="20.100000000000001" customHeight="1" x14ac:dyDescent="0.25">
      <c r="A628" s="102"/>
      <c r="G628" s="80"/>
    </row>
    <row r="629" spans="1:7" ht="20.100000000000001" customHeight="1" x14ac:dyDescent="0.25">
      <c r="A629" s="102"/>
      <c r="G629" s="80"/>
    </row>
    <row r="630" spans="1:7" ht="20.100000000000001" customHeight="1" x14ac:dyDescent="0.25">
      <c r="A630" s="102"/>
      <c r="G630" s="80"/>
    </row>
    <row r="631" spans="1:7" ht="20.100000000000001" customHeight="1" x14ac:dyDescent="0.25">
      <c r="A631" s="102"/>
      <c r="G631" s="80"/>
    </row>
    <row r="632" spans="1:7" ht="20.100000000000001" customHeight="1" x14ac:dyDescent="0.25">
      <c r="A632" s="102"/>
      <c r="G632" s="80"/>
    </row>
    <row r="633" spans="1:7" ht="20.100000000000001" customHeight="1" x14ac:dyDescent="0.25">
      <c r="A633" s="102"/>
      <c r="G633" s="80"/>
    </row>
    <row r="634" spans="1:7" ht="20.100000000000001" customHeight="1" x14ac:dyDescent="0.25">
      <c r="A634" s="102"/>
      <c r="G634" s="80"/>
    </row>
    <row r="635" spans="1:7" ht="20.100000000000001" customHeight="1" x14ac:dyDescent="0.25">
      <c r="A635" s="102"/>
      <c r="G635" s="80"/>
    </row>
    <row r="636" spans="1:7" ht="20.100000000000001" customHeight="1" x14ac:dyDescent="0.25">
      <c r="A636" s="102"/>
      <c r="G636" s="80"/>
    </row>
    <row r="637" spans="1:7" ht="20.100000000000001" customHeight="1" x14ac:dyDescent="0.25">
      <c r="A637" s="102"/>
      <c r="G637" s="80"/>
    </row>
    <row r="638" spans="1:7" ht="20.100000000000001" customHeight="1" x14ac:dyDescent="0.25">
      <c r="A638" s="102"/>
      <c r="G638" s="80"/>
    </row>
    <row r="639" spans="1:7" ht="20.100000000000001" customHeight="1" x14ac:dyDescent="0.25">
      <c r="A639" s="102"/>
      <c r="G639" s="80"/>
    </row>
    <row r="640" spans="1:7" ht="20.100000000000001" customHeight="1" x14ac:dyDescent="0.25">
      <c r="A640" s="102"/>
      <c r="G640" s="80"/>
    </row>
    <row r="641" spans="1:7" ht="20.100000000000001" customHeight="1" x14ac:dyDescent="0.25">
      <c r="A641" s="102"/>
      <c r="G641" s="80"/>
    </row>
    <row r="642" spans="1:7" ht="20.100000000000001" customHeight="1" x14ac:dyDescent="0.25">
      <c r="A642" s="102"/>
      <c r="G642" s="80"/>
    </row>
    <row r="643" spans="1:7" ht="20.100000000000001" customHeight="1" x14ac:dyDescent="0.25">
      <c r="A643" s="102"/>
      <c r="G643" s="80"/>
    </row>
    <row r="644" spans="1:7" ht="20.100000000000001" customHeight="1" x14ac:dyDescent="0.25">
      <c r="A644" s="102"/>
      <c r="G644" s="80"/>
    </row>
    <row r="645" spans="1:7" ht="20.100000000000001" customHeight="1" x14ac:dyDescent="0.25">
      <c r="A645" s="102"/>
      <c r="G645" s="80"/>
    </row>
    <row r="646" spans="1:7" ht="20.100000000000001" customHeight="1" x14ac:dyDescent="0.25">
      <c r="A646" s="102"/>
      <c r="G646" s="80"/>
    </row>
    <row r="647" spans="1:7" ht="20.100000000000001" customHeight="1" x14ac:dyDescent="0.25">
      <c r="A647" s="102"/>
      <c r="G647" s="80"/>
    </row>
    <row r="648" spans="1:7" ht="20.100000000000001" customHeight="1" x14ac:dyDescent="0.25">
      <c r="A648" s="102"/>
      <c r="G648" s="80"/>
    </row>
    <row r="649" spans="1:7" ht="20.100000000000001" customHeight="1" x14ac:dyDescent="0.25">
      <c r="A649" s="102"/>
      <c r="G649" s="80"/>
    </row>
    <row r="650" spans="1:7" ht="20.100000000000001" customHeight="1" x14ac:dyDescent="0.25">
      <c r="A650" s="102"/>
      <c r="G650" s="80"/>
    </row>
    <row r="651" spans="1:7" ht="20.100000000000001" customHeight="1" x14ac:dyDescent="0.25">
      <c r="A651" s="102"/>
      <c r="G651" s="80"/>
    </row>
    <row r="652" spans="1:7" ht="20.100000000000001" customHeight="1" x14ac:dyDescent="0.25">
      <c r="A652" s="102"/>
      <c r="G652" s="80"/>
    </row>
    <row r="653" spans="1:7" ht="20.100000000000001" customHeight="1" x14ac:dyDescent="0.25">
      <c r="A653" s="102"/>
      <c r="G653" s="80"/>
    </row>
    <row r="654" spans="1:7" ht="20.100000000000001" customHeight="1" x14ac:dyDescent="0.25">
      <c r="A654" s="102"/>
      <c r="G654" s="80"/>
    </row>
    <row r="655" spans="1:7" ht="20.100000000000001" customHeight="1" x14ac:dyDescent="0.25">
      <c r="A655" s="102"/>
      <c r="G655" s="80"/>
    </row>
    <row r="656" spans="1:7" ht="20.100000000000001" customHeight="1" x14ac:dyDescent="0.25">
      <c r="A656" s="102"/>
      <c r="G656" s="80"/>
    </row>
    <row r="657" spans="1:7" ht="20.100000000000001" customHeight="1" x14ac:dyDescent="0.25">
      <c r="A657" s="102"/>
      <c r="G657" s="80"/>
    </row>
    <row r="658" spans="1:7" ht="20.100000000000001" customHeight="1" x14ac:dyDescent="0.25">
      <c r="A658" s="102"/>
      <c r="G658" s="80"/>
    </row>
    <row r="659" spans="1:7" ht="20.100000000000001" customHeight="1" x14ac:dyDescent="0.25">
      <c r="A659" s="102"/>
      <c r="G659" s="80"/>
    </row>
    <row r="660" spans="1:7" ht="20.100000000000001" customHeight="1" x14ac:dyDescent="0.25">
      <c r="A660" s="102"/>
      <c r="G660" s="80"/>
    </row>
    <row r="661" spans="1:7" ht="20.100000000000001" customHeight="1" x14ac:dyDescent="0.25">
      <c r="A661" s="102"/>
      <c r="G661" s="80"/>
    </row>
    <row r="662" spans="1:7" ht="20.100000000000001" customHeight="1" x14ac:dyDescent="0.25">
      <c r="A662" s="102"/>
      <c r="G662" s="80"/>
    </row>
    <row r="663" spans="1:7" ht="20.100000000000001" customHeight="1" x14ac:dyDescent="0.25">
      <c r="A663" s="102"/>
      <c r="G663" s="80"/>
    </row>
    <row r="664" spans="1:7" ht="20.100000000000001" customHeight="1" x14ac:dyDescent="0.25">
      <c r="A664" s="102"/>
      <c r="G664" s="80"/>
    </row>
    <row r="665" spans="1:7" ht="20.100000000000001" customHeight="1" x14ac:dyDescent="0.25">
      <c r="A665" s="102"/>
      <c r="G665" s="80"/>
    </row>
    <row r="666" spans="1:7" ht="20.100000000000001" customHeight="1" x14ac:dyDescent="0.25">
      <c r="A666" s="102"/>
      <c r="G666" s="80"/>
    </row>
    <row r="667" spans="1:7" ht="20.100000000000001" customHeight="1" x14ac:dyDescent="0.25">
      <c r="A667" s="102"/>
      <c r="G667" s="80"/>
    </row>
    <row r="668" spans="1:7" ht="20.100000000000001" customHeight="1" x14ac:dyDescent="0.25">
      <c r="A668" s="102"/>
      <c r="G668" s="80"/>
    </row>
    <row r="669" spans="1:7" ht="20.100000000000001" customHeight="1" x14ac:dyDescent="0.25">
      <c r="A669" s="102"/>
      <c r="G669" s="80"/>
    </row>
    <row r="670" spans="1:7" ht="20.100000000000001" customHeight="1" x14ac:dyDescent="0.25">
      <c r="A670" s="102"/>
      <c r="G670" s="80"/>
    </row>
    <row r="671" spans="1:7" ht="20.100000000000001" customHeight="1" x14ac:dyDescent="0.25">
      <c r="A671" s="102"/>
      <c r="G671" s="80"/>
    </row>
    <row r="672" spans="1:7" ht="20.100000000000001" customHeight="1" x14ac:dyDescent="0.25">
      <c r="A672" s="102"/>
      <c r="G672" s="80"/>
    </row>
    <row r="673" spans="1:7" ht="20.100000000000001" customHeight="1" x14ac:dyDescent="0.25">
      <c r="A673" s="102"/>
      <c r="G673" s="80"/>
    </row>
    <row r="674" spans="1:7" ht="20.100000000000001" customHeight="1" x14ac:dyDescent="0.25">
      <c r="A674" s="102"/>
      <c r="G674" s="80"/>
    </row>
    <row r="675" spans="1:7" ht="20.100000000000001" customHeight="1" x14ac:dyDescent="0.25">
      <c r="A675" s="102"/>
      <c r="G675" s="80"/>
    </row>
    <row r="676" spans="1:7" ht="20.100000000000001" customHeight="1" x14ac:dyDescent="0.25">
      <c r="A676" s="102"/>
      <c r="G676" s="80"/>
    </row>
    <row r="677" spans="1:7" ht="20.100000000000001" customHeight="1" x14ac:dyDescent="0.25">
      <c r="A677" s="102"/>
      <c r="G677" s="80"/>
    </row>
    <row r="678" spans="1:7" ht="20.100000000000001" customHeight="1" x14ac:dyDescent="0.25">
      <c r="A678" s="102"/>
      <c r="G678" s="80"/>
    </row>
    <row r="679" spans="1:7" ht="20.100000000000001" customHeight="1" x14ac:dyDescent="0.25">
      <c r="A679" s="102"/>
      <c r="G679" s="80"/>
    </row>
    <row r="680" spans="1:7" ht="20.100000000000001" customHeight="1" x14ac:dyDescent="0.25">
      <c r="A680" s="102"/>
      <c r="G680" s="80"/>
    </row>
    <row r="681" spans="1:7" ht="20.100000000000001" customHeight="1" x14ac:dyDescent="0.25">
      <c r="A681" s="102"/>
      <c r="G681" s="80"/>
    </row>
    <row r="682" spans="1:7" ht="20.100000000000001" customHeight="1" x14ac:dyDescent="0.25">
      <c r="A682" s="102"/>
      <c r="G682" s="80"/>
    </row>
    <row r="683" spans="1:7" ht="20.100000000000001" customHeight="1" x14ac:dyDescent="0.25">
      <c r="A683" s="102"/>
      <c r="G683" s="80"/>
    </row>
    <row r="684" spans="1:7" ht="20.100000000000001" customHeight="1" x14ac:dyDescent="0.25">
      <c r="A684" s="102"/>
      <c r="G684" s="80"/>
    </row>
    <row r="685" spans="1:7" ht="20.100000000000001" customHeight="1" x14ac:dyDescent="0.25">
      <c r="A685" s="102"/>
      <c r="G685" s="80"/>
    </row>
    <row r="686" spans="1:7" ht="20.100000000000001" customHeight="1" x14ac:dyDescent="0.25">
      <c r="A686" s="102"/>
      <c r="G686" s="80"/>
    </row>
    <row r="687" spans="1:7" ht="20.100000000000001" customHeight="1" x14ac:dyDescent="0.25">
      <c r="A687" s="102"/>
      <c r="G687" s="80"/>
    </row>
    <row r="688" spans="1:7" ht="20.100000000000001" customHeight="1" x14ac:dyDescent="0.25">
      <c r="A688" s="102"/>
      <c r="G688" s="80"/>
    </row>
    <row r="689" spans="1:7" ht="20.100000000000001" customHeight="1" x14ac:dyDescent="0.25">
      <c r="A689" s="102"/>
      <c r="G689" s="80"/>
    </row>
    <row r="690" spans="1:7" ht="20.100000000000001" customHeight="1" x14ac:dyDescent="0.25">
      <c r="A690" s="102"/>
      <c r="G690" s="80"/>
    </row>
    <row r="691" spans="1:7" ht="20.100000000000001" customHeight="1" x14ac:dyDescent="0.25">
      <c r="A691" s="102"/>
      <c r="G691" s="80"/>
    </row>
    <row r="692" spans="1:7" ht="20.100000000000001" customHeight="1" x14ac:dyDescent="0.25">
      <c r="A692" s="102"/>
      <c r="G692" s="80"/>
    </row>
    <row r="693" spans="1:7" ht="20.100000000000001" customHeight="1" x14ac:dyDescent="0.25">
      <c r="A693" s="102"/>
      <c r="G693" s="80"/>
    </row>
    <row r="694" spans="1:7" ht="20.100000000000001" customHeight="1" x14ac:dyDescent="0.25">
      <c r="A694" s="102"/>
      <c r="G694" s="80"/>
    </row>
    <row r="695" spans="1:7" ht="20.100000000000001" customHeight="1" x14ac:dyDescent="0.25">
      <c r="A695" s="102"/>
      <c r="G695" s="80"/>
    </row>
    <row r="696" spans="1:7" ht="20.100000000000001" customHeight="1" x14ac:dyDescent="0.25">
      <c r="A696" s="102"/>
      <c r="G696" s="80"/>
    </row>
    <row r="697" spans="1:7" ht="20.100000000000001" customHeight="1" x14ac:dyDescent="0.25">
      <c r="A697" s="102"/>
      <c r="G697" s="80"/>
    </row>
    <row r="698" spans="1:7" ht="20.100000000000001" customHeight="1" x14ac:dyDescent="0.25">
      <c r="A698" s="102"/>
      <c r="G698" s="80"/>
    </row>
    <row r="699" spans="1:7" ht="20.100000000000001" customHeight="1" x14ac:dyDescent="0.25">
      <c r="A699" s="102"/>
      <c r="G699" s="80"/>
    </row>
    <row r="700" spans="1:7" ht="20.100000000000001" customHeight="1" x14ac:dyDescent="0.25">
      <c r="A700" s="102"/>
      <c r="G700" s="80"/>
    </row>
    <row r="701" spans="1:7" ht="20.100000000000001" customHeight="1" x14ac:dyDescent="0.25">
      <c r="A701" s="102"/>
      <c r="G701" s="80"/>
    </row>
    <row r="702" spans="1:7" ht="20.100000000000001" customHeight="1" x14ac:dyDescent="0.25">
      <c r="A702" s="102"/>
      <c r="G702" s="80"/>
    </row>
    <row r="703" spans="1:7" ht="20.100000000000001" customHeight="1" x14ac:dyDescent="0.25">
      <c r="A703" s="102"/>
      <c r="G703" s="80"/>
    </row>
    <row r="704" spans="1:7" ht="20.100000000000001" customHeight="1" x14ac:dyDescent="0.25">
      <c r="A704" s="102"/>
      <c r="G704" s="80"/>
    </row>
    <row r="705" spans="1:7" ht="20.100000000000001" customHeight="1" x14ac:dyDescent="0.25">
      <c r="A705" s="102"/>
      <c r="G705" s="80"/>
    </row>
    <row r="706" spans="1:7" ht="20.100000000000001" customHeight="1" x14ac:dyDescent="0.25">
      <c r="A706" s="102"/>
      <c r="G706" s="80"/>
    </row>
    <row r="707" spans="1:7" ht="20.100000000000001" customHeight="1" x14ac:dyDescent="0.25">
      <c r="A707" s="102"/>
      <c r="G707" s="80"/>
    </row>
    <row r="708" spans="1:7" ht="20.100000000000001" customHeight="1" x14ac:dyDescent="0.25">
      <c r="A708" s="102"/>
      <c r="G708" s="80"/>
    </row>
    <row r="709" spans="1:7" ht="20.100000000000001" customHeight="1" x14ac:dyDescent="0.25">
      <c r="A709" s="102"/>
      <c r="G709" s="80"/>
    </row>
    <row r="710" spans="1:7" ht="20.100000000000001" customHeight="1" x14ac:dyDescent="0.25">
      <c r="A710" s="102"/>
      <c r="G710" s="80"/>
    </row>
    <row r="711" spans="1:7" ht="20.100000000000001" customHeight="1" x14ac:dyDescent="0.25">
      <c r="A711" s="102"/>
      <c r="G711" s="80"/>
    </row>
    <row r="712" spans="1:7" ht="20.100000000000001" customHeight="1" x14ac:dyDescent="0.25">
      <c r="A712" s="102"/>
      <c r="G712" s="80"/>
    </row>
    <row r="713" spans="1:7" ht="20.100000000000001" customHeight="1" x14ac:dyDescent="0.25">
      <c r="A713" s="102"/>
      <c r="G713" s="80"/>
    </row>
    <row r="714" spans="1:7" ht="20.100000000000001" customHeight="1" x14ac:dyDescent="0.25">
      <c r="A714" s="102"/>
      <c r="G714" s="80"/>
    </row>
    <row r="715" spans="1:7" ht="20.100000000000001" customHeight="1" x14ac:dyDescent="0.25">
      <c r="A715" s="102"/>
      <c r="G715" s="80"/>
    </row>
    <row r="716" spans="1:7" ht="20.100000000000001" customHeight="1" x14ac:dyDescent="0.25">
      <c r="A716" s="102"/>
      <c r="G716" s="80"/>
    </row>
    <row r="717" spans="1:7" ht="20.100000000000001" customHeight="1" x14ac:dyDescent="0.25">
      <c r="A717" s="102"/>
      <c r="G717" s="80"/>
    </row>
    <row r="718" spans="1:7" ht="20.100000000000001" customHeight="1" x14ac:dyDescent="0.25">
      <c r="A718" s="102"/>
      <c r="G718" s="80"/>
    </row>
    <row r="719" spans="1:7" ht="20.100000000000001" customHeight="1" x14ac:dyDescent="0.25">
      <c r="A719" s="102"/>
      <c r="G719" s="80"/>
    </row>
    <row r="720" spans="1:7" ht="20.100000000000001" customHeight="1" x14ac:dyDescent="0.25">
      <c r="A720" s="102"/>
      <c r="G720" s="80"/>
    </row>
    <row r="721" spans="1:7" ht="20.100000000000001" customHeight="1" x14ac:dyDescent="0.25">
      <c r="A721" s="102"/>
      <c r="G721" s="80"/>
    </row>
    <row r="722" spans="1:7" ht="20.100000000000001" customHeight="1" x14ac:dyDescent="0.25">
      <c r="A722" s="102"/>
      <c r="G722" s="80"/>
    </row>
    <row r="723" spans="1:7" ht="20.100000000000001" customHeight="1" x14ac:dyDescent="0.25">
      <c r="A723" s="102"/>
      <c r="G723" s="80"/>
    </row>
    <row r="724" spans="1:7" ht="20.100000000000001" customHeight="1" x14ac:dyDescent="0.25"/>
    <row r="725" spans="1:7" ht="20.100000000000001" customHeight="1" x14ac:dyDescent="0.25"/>
    <row r="726" spans="1:7" ht="20.100000000000001" customHeight="1" x14ac:dyDescent="0.25"/>
  </sheetData>
  <conditionalFormatting sqref="A6:XFD6">
    <cfRule type="timePeriod" dxfId="239" priority="147" timePeriod="yesterday">
      <formula>FLOOR(A6,1)=TODAY()-1</formula>
    </cfRule>
    <cfRule type="timePeriod" dxfId="238" priority="190" timePeriod="tomorrow">
      <formula>FLOOR(A6,1)=TODAY()+1</formula>
    </cfRule>
    <cfRule type="timePeriod" dxfId="237" priority="191" timePeriod="yesterday">
      <formula>FLOOR(A6,1)=TODAY()-1</formula>
    </cfRule>
    <cfRule type="timePeriod" dxfId="236" priority="192" timePeriod="yesterday">
      <formula>FLOOR(A6,1)=TODAY()-1</formula>
    </cfRule>
    <cfRule type="timePeriod" dxfId="235" priority="193" timePeriod="today">
      <formula>FLOOR(A6,1)=TODAY()</formula>
    </cfRule>
  </conditionalFormatting>
  <conditionalFormatting sqref="F9:F333">
    <cfRule type="colorScale" priority="184">
      <colorScale>
        <cfvo type="num" val="0"/>
        <cfvo type="num" val="0.5"/>
        <cfvo type="num" val="1"/>
        <color rgb="FFFF3300"/>
        <color rgb="FFFFC000"/>
        <color rgb="FF92D050"/>
      </colorScale>
    </cfRule>
  </conditionalFormatting>
  <conditionalFormatting sqref="F1:F2 F4:F1048576">
    <cfRule type="colorScale" priority="183">
      <colorScale>
        <cfvo type="num" val="0"/>
        <cfvo type="num" val="0.5"/>
        <cfvo type="num" val="1"/>
        <color rgb="FFF8696B"/>
        <color rgb="FFFFEB84"/>
        <color rgb="FF63BE7B"/>
      </colorScale>
    </cfRule>
  </conditionalFormatting>
  <conditionalFormatting sqref="E1:E8 E334:E1048576">
    <cfRule type="cellIs" priority="179" operator="lessThan">
      <formula>TODAY()</formula>
    </cfRule>
  </conditionalFormatting>
  <conditionalFormatting sqref="E8:E333">
    <cfRule type="cellIs" dxfId="234" priority="173" operator="lessThanOrEqual">
      <formula>TODAY()</formula>
    </cfRule>
    <cfRule type="cellIs" dxfId="233" priority="174" operator="greaterThan">
      <formula>TODAY()</formula>
    </cfRule>
  </conditionalFormatting>
  <conditionalFormatting sqref="E8:E333">
    <cfRule type="expression" dxfId="232" priority="157">
      <formula>ISBLANK(INDIRECT("E"&amp;ROW()))</formula>
    </cfRule>
  </conditionalFormatting>
  <conditionalFormatting sqref="B9:D333">
    <cfRule type="expression" dxfId="231" priority="149">
      <formula>ISBLANK(INDIRECT("E"&amp;ROW()))*ISBLANK(INDIRECT("F"&amp;ROW()))</formula>
    </cfRule>
    <cfRule type="expression" dxfId="230" priority="150">
      <formula>INDIRECT("F"&amp;ROW()) &gt;= 0.9</formula>
    </cfRule>
    <cfRule type="expression" dxfId="229" priority="151">
      <formula>INDIRECT("F"&amp;ROW())&lt;0.9</formula>
    </cfRule>
    <cfRule type="expression" dxfId="228" priority="152">
      <formula>INDIRECT("E"&amp;ROW())&lt;TODAY() * NOT(ISBLANK(INDIRECT("E"&amp;ROW())))</formula>
    </cfRule>
  </conditionalFormatting>
  <conditionalFormatting sqref="B1:D1048576">
    <cfRule type="expression" dxfId="227" priority="143">
      <formula xml:space="preserve"> (INDIRECT("F" &amp; ROW()) &lt; 0.9) * (INDIRECT("E" &amp; ROW()) &gt; TODAY())</formula>
    </cfRule>
  </conditionalFormatting>
  <conditionalFormatting sqref="I7:DZ8 H9:DZ723">
    <cfRule type="expression" dxfId="226" priority="141">
      <formula xml:space="preserve"> INDIRECT(SUBSTITUTE(ADDRESS(1,COLUMN(),4),1,"") &amp; 6) = TODAY()</formula>
    </cfRule>
  </conditionalFormatting>
  <conditionalFormatting sqref="I7:XFD8 A30:XFD30 A38:XFD38 A5:XFD6 A4:T4 V4:XFD4 A1:XFD3 A48:XFD48 A55:XFD55 A59:XFD1048576 B25:XFD29 B31:XFD37 B49:XFD54 B56:XFD58 B39:XFD47 A9:XFD24 D16:E25 A7:G8">
    <cfRule type="expression" dxfId="225" priority="92">
      <formula xml:space="preserve"> NOT(ISBLANK(INDIRECT("D"&amp;ROW()))) * NOT(ISODD(ROW())) *NOT(ISBLANK(INDIRECT("E"&amp;ROW())))*(INDIRECT(SUBSTITUTE(ADDRESS(1,COLUMN(),4),1,"") &amp; 6) &lt;= INDIRECT("E" &amp; ROW()))*(INDIRECT(SUBSTITUTE(ADDRESS(1,COLUMN(),4),1,"") &amp; 6) &gt;= INDIRECT("D" &amp; ROW()))</formula>
    </cfRule>
    <cfRule type="expression" dxfId="224" priority="114">
      <formula xml:space="preserve"> NOT(ISBLANK(INDIRECT("D"&amp;ROW()))) * ISODD(ROW()) *NOT(ISBLANK(INDIRECT("E"&amp;ROW())))*(INDIRECT(SUBSTITUTE(ADDRESS(1,COLUMN(),4),1,"") &amp; 6) &lt;= INDIRECT("E" &amp; ROW()))*(INDIRECT(SUBSTITUTE(ADDRESS(1,COLUMN(),4),1,"") &amp; 6) &gt;= INDIRECT("D" &amp; ROW()))</formula>
    </cfRule>
  </conditionalFormatting>
  <conditionalFormatting sqref="S9:S21">
    <cfRule type="expression" dxfId="223" priority="130">
      <formula>"'NOT(ISBLANK(INDIRECT(""E"" &amp; ROW()))) * NOT (ISBLANK(INDIRECT(""D"" &amp; ROW() ))) * (INDIRECT(""E"" &amp; ROW()) &lt; TODAY()) * INDIRECT(SUBSTITUTE(ADDRESS(1,COLUMN(),4),1,"""") &amp; 6) &gt; INDIRECT(""E"" &amp; ROW()) "</formula>
    </cfRule>
  </conditionalFormatting>
  <conditionalFormatting sqref="B9:D721">
    <cfRule type="expression" dxfId="222" priority="1">
      <formula xml:space="preserve"> INDIRECT("F" &amp; ROW()) &gt; 0.99</formula>
    </cfRule>
    <cfRule type="expression" dxfId="221" priority="137">
      <formula xml:space="preserve"> NOT(ISBLANK(INDIRECT("F" &amp; ROW()))) *( INDIRECT("D" &amp; ROW()) &gt; TODAY()) * INDIRECT("F"&amp;ROW()) &gt; 0.01 * NOT(INDIRECT("F" &amp; ROW()) &gt; 0.99)</formula>
    </cfRule>
    <cfRule type="expression" dxfId="220" priority="138">
      <formula>INDIRECT("D" &amp; ROW()) &gt; TODAY()</formula>
    </cfRule>
  </conditionalFormatting>
  <conditionalFormatting sqref="E22:E25 E28:E813">
    <cfRule type="expression" dxfId="219" priority="93">
      <formula xml:space="preserve"> INDIRECT("D" &amp; ROW()) &gt; TODAY()</formula>
    </cfRule>
  </conditionalFormatting>
  <conditionalFormatting sqref="A25:A29">
    <cfRule type="expression" dxfId="218" priority="63">
      <formula xml:space="preserve"> NOT(ISBLANK(INDIRECT("D"&amp;ROW()))) * NOT(ISODD(ROW())) *NOT(ISBLANK(INDIRECT("E"&amp;ROW())))*(INDIRECT(SUBSTITUTE(ADDRESS(1,COLUMN(),4),1,"") &amp; 6) &lt;= INDIRECT("E" &amp; ROW()))*(INDIRECT(SUBSTITUTE(ADDRESS(1,COLUMN(),4),1,"") &amp; 6) &gt;= INDIRECT("D" &amp; ROW()))</formula>
    </cfRule>
    <cfRule type="expression" dxfId="217" priority="64">
      <formula xml:space="preserve"> NOT(ISBLANK(INDIRECT("D"&amp;ROW()))) * ISODD(ROW()) *NOT(ISBLANK(INDIRECT("E"&amp;ROW())))*(INDIRECT(SUBSTITUTE(ADDRESS(1,COLUMN(),4),1,"") &amp; 6) &lt;= INDIRECT("E" &amp; ROW()))*(INDIRECT(SUBSTITUTE(ADDRESS(1,COLUMN(),4),1,"") &amp; 6) &gt;= INDIRECT("D" &amp; ROW()))</formula>
    </cfRule>
  </conditionalFormatting>
  <conditionalFormatting sqref="A31:A37">
    <cfRule type="expression" dxfId="216" priority="55">
      <formula xml:space="preserve"> NOT(ISBLANK(INDIRECT("D"&amp;ROW()))) * NOT(ISODD(ROW())) *NOT(ISBLANK(INDIRECT("E"&amp;ROW())))*(INDIRECT(SUBSTITUTE(ADDRESS(1,COLUMN(),4),1,"") &amp; 6) &lt;= INDIRECT("E" &amp; ROW()))*(INDIRECT(SUBSTITUTE(ADDRESS(1,COLUMN(),4),1,"") &amp; 6) &gt;= INDIRECT("D" &amp; ROW()))</formula>
    </cfRule>
    <cfRule type="expression" dxfId="215" priority="56">
      <formula xml:space="preserve"> NOT(ISBLANK(INDIRECT("D"&amp;ROW()))) * ISODD(ROW()) *NOT(ISBLANK(INDIRECT("E"&amp;ROW())))*(INDIRECT(SUBSTITUTE(ADDRESS(1,COLUMN(),4),1,"") &amp; 6) &lt;= INDIRECT("E" &amp; ROW()))*(INDIRECT(SUBSTITUTE(ADDRESS(1,COLUMN(),4),1,"") &amp; 6) &gt;= INDIRECT("D" &amp; ROW()))</formula>
    </cfRule>
  </conditionalFormatting>
  <conditionalFormatting sqref="A39:A47">
    <cfRule type="expression" dxfId="214" priority="20">
      <formula xml:space="preserve"> NOT(ISBLANK(INDIRECT("D"&amp;ROW()))) * NOT(ISODD(ROW())) *NOT(ISBLANK(INDIRECT("E"&amp;ROW())))*(INDIRECT(SUBSTITUTE(ADDRESS(1,COLUMN(),4),1,"") &amp; 6) &lt;= INDIRECT("E" &amp; ROW()))*(INDIRECT(SUBSTITUTE(ADDRESS(1,COLUMN(),4),1,"") &amp; 6) &gt;= INDIRECT("D" &amp; ROW()))</formula>
    </cfRule>
    <cfRule type="expression" dxfId="213" priority="21">
      <formula xml:space="preserve"> NOT(ISBLANK(INDIRECT("D"&amp;ROW()))) * ISODD(ROW()) *NOT(ISBLANK(INDIRECT("E"&amp;ROW())))*(INDIRECT(SUBSTITUTE(ADDRESS(1,COLUMN(),4),1,"") &amp; 6) &lt;= INDIRECT("E" &amp; ROW()))*(INDIRECT(SUBSTITUTE(ADDRESS(1,COLUMN(),4),1,"") &amp; 6) &gt;= INDIRECT("D" &amp; ROW()))</formula>
    </cfRule>
  </conditionalFormatting>
  <conditionalFormatting sqref="A49:A54">
    <cfRule type="expression" dxfId="212" priority="12">
      <formula xml:space="preserve"> NOT(ISBLANK(INDIRECT("D"&amp;ROW()))) * NOT(ISODD(ROW())) *NOT(ISBLANK(INDIRECT("E"&amp;ROW())))*(INDIRECT(SUBSTITUTE(ADDRESS(1,COLUMN(),4),1,"") &amp; 6) &lt;= INDIRECT("E" &amp; ROW()))*(INDIRECT(SUBSTITUTE(ADDRESS(1,COLUMN(),4),1,"") &amp; 6) &gt;= INDIRECT("D" &amp; ROW()))</formula>
    </cfRule>
    <cfRule type="expression" dxfId="211" priority="13">
      <formula xml:space="preserve"> NOT(ISBLANK(INDIRECT("D"&amp;ROW()))) * ISODD(ROW()) *NOT(ISBLANK(INDIRECT("E"&amp;ROW())))*(INDIRECT(SUBSTITUTE(ADDRESS(1,COLUMN(),4),1,"") &amp; 6) &lt;= INDIRECT("E" &amp; ROW()))*(INDIRECT(SUBSTITUTE(ADDRESS(1,COLUMN(),4),1,"") &amp; 6) &gt;= INDIRECT("D" &amp; ROW()))</formula>
    </cfRule>
  </conditionalFormatting>
  <conditionalFormatting sqref="A56:A58">
    <cfRule type="expression" dxfId="210" priority="4">
      <formula xml:space="preserve"> NOT(ISBLANK(INDIRECT("D"&amp;ROW()))) * NOT(ISODD(ROW())) *NOT(ISBLANK(INDIRECT("E"&amp;ROW())))*(INDIRECT(SUBSTITUTE(ADDRESS(1,COLUMN(),4),1,"") &amp; 6) &lt;= INDIRECT("E" &amp; ROW()))*(INDIRECT(SUBSTITUTE(ADDRESS(1,COLUMN(),4),1,"") &amp; 6) &gt;= INDIRECT("D" &amp; ROW()))</formula>
    </cfRule>
    <cfRule type="expression" dxfId="209" priority="5">
      <formula xml:space="preserve"> NOT(ISBLANK(INDIRECT("D"&amp;ROW()))) * ISODD(ROW()) *NOT(ISBLANK(INDIRECT("E"&amp;ROW())))*(INDIRECT(SUBSTITUTE(ADDRESS(1,COLUMN(),4),1,"") &amp; 6) &lt;= INDIRECT("E" &amp; ROW()))*(INDIRECT(SUBSTITUTE(ADDRESS(1,COLUMN(),4),1,"") &amp; 6) &gt;= INDIRECT("D" &amp; ROW()))</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85725</xdr:colOff>
                    <xdr:row>0</xdr:row>
                    <xdr:rowOff>76200</xdr:rowOff>
                  </from>
                  <to>
                    <xdr:col>23</xdr:col>
                    <xdr:colOff>190500</xdr:colOff>
                    <xdr:row>1</xdr:row>
                    <xdr:rowOff>104775</xdr:rowOff>
                  </to>
                </anchor>
              </controlPr>
            </control>
          </mc:Choice>
        </mc:AlternateContent>
        <mc:AlternateContent xmlns:mc="http://schemas.openxmlformats.org/markup-compatibility/2006">
          <mc:Choice Requires="x14">
            <control shapeId="1031" r:id="rId5" name="Scroll Bar 7">
              <controlPr defaultSize="0" autoPict="0">
                <anchor moveWithCells="1">
                  <from>
                    <xdr:col>6</xdr:col>
                    <xdr:colOff>114300</xdr:colOff>
                    <xdr:row>2</xdr:row>
                    <xdr:rowOff>85725</xdr:rowOff>
                  </from>
                  <to>
                    <xdr:col>11</xdr:col>
                    <xdr:colOff>533400</xdr:colOff>
                    <xdr:row>2</xdr:row>
                    <xdr:rowOff>371475</xdr:rowOff>
                  </to>
                </anchor>
              </controlPr>
            </control>
          </mc:Choice>
        </mc:AlternateContent>
      </controls>
    </mc:Choice>
  </mc:AlternateContent>
  <tableParts count="1">
    <tablePart r:id="rId6"/>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Sheet1</vt:lpstr>
      <vt:lpstr>Life Planner</vt:lpstr>
      <vt:lpstr>Journal</vt:lpstr>
      <vt:lpstr>Life Map</vt:lpstr>
      <vt:lpstr>Revision Planning</vt:lpstr>
      <vt:lpstr>Life Planne</vt:lpstr>
      <vt:lpstr>Current Tasks</vt:lpstr>
      <vt:lpstr>GAANT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Ajay Venkat</cp:lastModifiedBy>
  <dcterms:created xsi:type="dcterms:W3CDTF">2018-01-27T08:15:38Z</dcterms:created>
  <dcterms:modified xsi:type="dcterms:W3CDTF">2018-07-25T00:55:54Z</dcterms:modified>
</cp:coreProperties>
</file>