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A2" i="11"/>
  <c r="A1" i="11"/>
  <c r="A2" i="9"/>
  <c r="A1" i="9"/>
  <c r="H4" i="1"/>
  <c r="W6" i="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<sst xmlns="http://schemas.openxmlformats.org/spreadsheetml/2006/main" count="785" uniqueCount="668">
  <si>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</si>
  <si>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</si>
  <si>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</si>
  <si>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</si>
  <si>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</si>
  <si>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</si>
  <si>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</si>
  <si>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</si>
  <si>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</si>
  <si>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</si>
  <si>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</si>
  <si>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</si>
  <si>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</si>
  <si>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</si>
  <si>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</si>
  <si>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</si>
  <si>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</si>
  <si>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</si>
  <si>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</si>
  <si>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</si>
  <si>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</si>
  <si>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</si>
  <si>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</si>
  <si>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</si>
  <si>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</si>
  <si>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</si>
  <si>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</si>
  <si>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</si>
  <si>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</si>
  <si>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</si>
  <si>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</si>
  <si>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</si>
  <si>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</si>
  <si>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</si>
  <si>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</si>
  <si>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</si>
  <si>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</si>
  <si>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</si>
  <si>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</si>
  <si>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</si>
  <si>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</si>
  <si>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</si>
  <si>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</si>
  <si>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</si>
  <si>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</si>
  <si>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</si>
  <si>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</si>
  <si>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</si>
  <si>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</si>
  <si>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</si>
  <si>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</si>
  <si>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</si>
  <si>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</si>
  <si>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</si>
  <si>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</si>
  <si>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</si>
  <si>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</si>
  <si>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</si>
  <si>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</si>
  <si>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</si>
  <si>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</si>
  <si>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</si>
  <si>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</si>
  <si>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</si>
  <si>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</si>
  <si>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</si>
  <si>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</si>
  <si>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</si>
  <si>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</si>
  <si>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</si>
  <si>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</si>
  <si>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</si>
  <si>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</si>
  <si>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</si>
  <si>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</si>
  <si>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</si>
  <si>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</si>
  <si>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</si>
  <si>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</si>
  <si>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</si>
  <si>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</si>
  <si>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</si>
  <si>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</si>
  <si>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</si>
  <si>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</si>
  <si>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</si>
  <si>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</si>
  <si>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</si>
  <si>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</si>
  <si>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</si>
  <si>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</si>
  <si>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</si>
  <si>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</si>
  <si>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</si>
  <si>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</si>
  <si>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</si>
  <si>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</si>
  <si>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</si>
  <si>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</si>
  <si>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</si>
  <si>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</si>
  <si>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</si>
  <si>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</si>
  <si>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</si>
  <si>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</si>
  <si>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</si>
  <si>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</si>
  <si>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</si>
  <si>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</si>
  <si>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</si>
  <si>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</si>
  <si>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</si>
  <si>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</si>
  <si>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</si>
  <si>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</si>
  <si>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</si>
  <si>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</si>
  <si>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</si>
  <si>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</si>
  <si>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</si>
  <si>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</si>
  <si>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</si>
  <si>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</si>
  <si>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</si>
  <si>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</si>
  <si>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</si>
  <si>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</si>
  <si>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</si>
  <si>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</si>
  <si>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</si>
  <si>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</si>
  <si>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</si>
  <si>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</si>
  <si>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</si>
  <si>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</si>
  <si>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</si>
  <si>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</si>
  <si>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</si>
  <si>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</si>
  <si>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</si>
  <si>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</si>
  <si>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</si>
  <si>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</si>
  <si>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</si>
  <si>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</si>
  <si>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</si>
  <si>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</si>
  <si>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</si>
  <si>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</si>
  <si>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</si>
  <si>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</si>
  <si>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</si>
  <si>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</si>
  <si>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</si>
  <si>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</si>
  <si>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</si>
  <si>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</si>
  <si>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</si>
  <si>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</si>
  <si>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</si>
  <si>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</si>
  <si>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</si>
  <si>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</si>
  <si>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</si>
  <si>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</si>
  <si>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</si>
  <si>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</si>
  <si>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</si>
  <si>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</si>
  <si>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</si>
  <si>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</si>
  <si>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</si>
  <si>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</si>
  <si>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</si>
  <si>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</si>
  <si>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</si>
  <si>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</si>
  <si>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</si>
  <si>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</si>
  <si>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</si>
  <si>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</si>
  <si>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</si>
  <si>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</si>
  <si>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</si>
  <si>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</si>
  <si>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</si>
  <si>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</si>
  <si>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</si>
  <si>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</si>
  <si>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</si>
  <si>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</si>
  <si>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</si>
  <si>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</si>
  <si>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</si>
  <si>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</si>
  <si>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</si>
  <si>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</si>
  <si>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</si>
  <si>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</si>
  <si>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</si>
  <si>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</si>
  <si>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</si>
  <si>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</si>
  <si>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</si>
  <si>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</si>
  <si>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</si>
  <si>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</si>
  <si>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</si>
  <si>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</si>
  <si>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</si>
  <si>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</si>
  <si>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</si>
  <si>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</si>
  <si>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</si>
  <si>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</si>
  <si>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</si>
  <si>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</si>
  <si>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</si>
  <si>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</si>
  <si>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</si>
  <si>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</si>
  <si>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</si>
  <si>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</si>
  <si>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</si>
  <si>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</si>
  <si>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</si>
  <si>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</si>
  <si>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</si>
  <si>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</si>
  <si>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</si>
  <si>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</si>
  <si>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</si>
  <si>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</si>
  <si>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</si>
  <si>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</si>
  <si>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</si>
  <si>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</si>
  <si>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</si>
  <si>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</si>
  <si>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</si>
  <si>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</si>
  <si>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</si>
  <si>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</si>
  <si>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</si>
  <si>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</si>
  <si>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</si>
  <si>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</si>
  <si>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</si>
  <si>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</si>
  <si>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</si>
  <si>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</si>
  <si>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</si>
  <si>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</si>
  <si>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</si>
  <si>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</si>
  <si>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</si>
  <si>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</si>
  <si>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</si>
  <si>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</si>
  <si>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</si>
  <si>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</si>
  <si>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</si>
  <si>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</si>
  <si>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</si>
  <si>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</si>
  <si>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</si>
  <si>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</si>
  <si>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</si>
  <si>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</si>
  <si>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</si>
  <si>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</si>
  <si>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</si>
  <si>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</si>
  <si>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</si>
  <si>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</si>
  <si>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</si>
  <si>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</si>
  <si>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</si>
  <si>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</si>
  <si>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</si>
  <si>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</si>
  <si>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</si>
  <si>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</si>
  <si>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</si>
  <si>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</si>
  <si>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</si>
  <si>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</si>
  <si>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</si>
  <si>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</si>
  <si>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</si>
  <si>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</si>
  <si>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</si>
  <si>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</si>
  <si>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</si>
  <si>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</si>
  <si>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</si>
  <si>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</si>
  <si>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</si>
  <si>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</si>
  <si>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</si>
  <si>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</si>
  <si>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</si>
  <si>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</si>
  <si>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</si>
  <si>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</si>
  <si>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</si>
  <si>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</si>
  <si>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</si>
  <si>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</si>
  <si>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</si>
  <si>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</si>
  <si>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</si>
  <si>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</si>
  <si>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</si>
  <si>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</si>
  <si>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</si>
  <si>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</si>
  <si>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</si>
  <si>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</si>
  <si>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</si>
  <si>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</si>
  <si>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</si>
  <si>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</si>
  <si>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</si>
  <si>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</si>
  <si>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</si>
  <si>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</si>
  <si>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</si>
  <si>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</si>
  <si>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</si>
  <si>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</si>
  <si>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</si>
  <si>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</si>
  <si>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</si>
  <si>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</si>
  <si>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</si>
  <si>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</si>
  <si>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</si>
  <si>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</si>
  <si>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</si>
  <si>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</si>
  <si>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</si>
  <si>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</si>
  <si>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</si>
  <si>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</si>
  <si>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</si>
  <si>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</si>
  <si>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</si>
  <si>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</si>
  <si>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</si>
  <si>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</si>
  <si>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</si>
  <si>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</si>
  <si>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</si>
  <si>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</si>
  <si>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</si>
  <si>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</si>
  <si>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</si>
  <si>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</si>
  <si>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</si>
  <si>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</si>
  <si>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</si>
  <si>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</si>
  <si>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</si>
  <si>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</si>
  <si>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</si>
  <si>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</si>
  <si>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</si>
  <si>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</si>
  <si>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</si>
  <si>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</si>
  <si>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</si>
  <si>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</si>
  <si>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</si>
  <si>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</si>
  <si>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</si>
  <si>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</si>
  <si>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</si>
  <si>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</si>
  <si>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</si>
  <si>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</si>
  <si>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</si>
  <si>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</si>
  <si>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</si>
  <si>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</si>
  <si>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</si>
  <si>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</si>
  <si>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</si>
  <si>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</si>
  <si>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</si>
  <si>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</si>
  <si>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</si>
  <si>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</si>
  <si>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</si>
  <si>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</si>
  <si>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</si>
  <si>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</si>
  <si>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</si>
  <si>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</si>
  <si>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</si>
  <si>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</si>
  <si>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</si>
  <si>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</si>
  <si>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</si>
  <si>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</si>
  <si>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</si>
  <si>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</si>
  <si>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</si>
  <si>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</si>
  <si>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</si>
  <si>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</si>
  <si>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</si>
  <si>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</si>
  <si>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</si>
  <si>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</si>
  <si>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</si>
  <si>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</si>
  <si>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</si>
  <si>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</si>
  <si>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</si>
  <si>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</si>
  <si>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</si>
  <si>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</si>
  <si>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</si>
  <si>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</si>
  <si>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</si>
  <si>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</si>
  <si>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</si>
  <si>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</si>
  <si>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</si>
  <si>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</si>
  <si>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</si>
  <si>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</si>
  <si>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</si>
  <si>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</si>
  <si>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</si>
  <si>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</si>
  <si>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</si>
  <si>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</si>
  <si>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</si>
  <si>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</si>
  <si>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</si>
  <si>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</si>
  <si>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</si>
  <si>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</si>
  <si>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</si>
  <si>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</si>
  <si>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</si>
  <si>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</si>
  <si>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</si>
  <si>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</si>
  <si>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</si>
  <si>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</si>
  <si>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</si>
  <si>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</si>
  <si>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</si>
  <si>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</si>
  <si>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</si>
  <si>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</si>
  <si>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</si>
  <si>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</si>
  <si>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</si>
  <si>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</si>
  <si>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</si>
  <si>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</si>
  <si>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</si>
  <si>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</si>
  <si>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</si>
  <si>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</si>
  <si>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</si>
  <si>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</si>
  <si>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</si>
  <si>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</si>
  <si>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</si>
  <si>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</si>
  <si>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</si>
  <si>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</si>
  <si>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</si>
  <si>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</si>
  <si>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</si>
  <si>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</si>
  <si>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</si>
  <si>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</si>
  <si>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</si>
  <si>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</si>
  <si>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</si>
  <si>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</si>
  <si>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</si>
  <si>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</si>
  <si>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</si>
  <si>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</si>
  <si>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</si>
  <si>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</si>
  <si>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</si>
  <si>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</si>
  <si>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</si>
  <si>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</si>
  <si>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</si>
  <si>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</si>
  <si>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</si>
  <si>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</si>
  <si>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</si>
  <si>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</si>
  <si>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</si>
  <si>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</si>
  <si>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</si>
  <si>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</si>
  <si>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</si>
  <si>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</si>
  <si>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</si>
  <si>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</si>
  <si>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</si>
  <si>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</si>
  <si>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</si>
  <si>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</si>
  <si>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</si>
  <si>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</si>
  <si>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</si>
  <si>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</si>
  <si>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</si>
  <si>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</si>
  <si>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</si>
  <si>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</si>
  <si>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</si>
  <si>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</si>
  <si>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</si>
  <si>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</si>
  <si>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</si>
  <si>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</si>
  <si>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</si>
  <si>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</si>
  <si>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</si>
  <si>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</si>
  <si>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</si>
  <si>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</si>
  <si>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</si>
  <si>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</si>
  <si>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</si>
  <si>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</si>
  <si>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</si>
  <si>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</si>
  <si>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</si>
  <si>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</si>
  <si>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</si>
  <si>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</si>
  <si>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</si>
  <si>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</si>
  <si>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</si>
  <si>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</si>
  <si>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</si>
  <si>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</si>
  <si>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</si>
  <si>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</si>
  <si>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</si>
  <si>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</si>
  <si>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</si>
  <si>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5</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</si>
  <si>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</si>
  <si>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</si>
  <si>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</si>
  <si>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</si>
  <si>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</si>
  <si>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</si>
  <si>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</si>
  <si>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</si>
  <si>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</si>
  <si>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</si>
  <si>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</si>
  <si>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</si>
  <si>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</si>
  <si>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</si>
  <si>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</si>
  <si>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</si>
  <si>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</si>
  <si>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</si>
  <si>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READ 1984 from START</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</si>
  <si>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</si>
  <si>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</si>
  <si>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</si>
  <si>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</si>
  <si>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</si>
  <si>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</si>
  <si>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</si>
  <si>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</si>
  <si>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 xml:space="preserve">MATHS REVISION AGAIN
- UNIT CIRCLE
- 3D PROBLEM SOLVING (PYTHAGORAS) </t>
  </si>
  <si>
    <t>It's at times like this when you are super overwhelmed that your reveal your true self and the hardworker in you and you can really shine. I love your work ethic when you're under pressure. Keep it up ;)</t>
  </si>
  <si>
    <t>CAKE FOR DENNIS</t>
  </si>
  <si>
    <t>SPANISH SHET</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</si>
  <si>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</si>
  <si>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</si>
  <si>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</si>
  <si>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</si>
  <si>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PLAYER CONTROLLER</t>
  </si>
  <si>
    <t>Plan for YouTube</t>
  </si>
  <si>
    <t>Design</t>
  </si>
  <si>
    <t>PROBLEM SOLVING / BEARINGS / CONCEPTS (ONLINE)</t>
  </si>
  <si>
    <t>Apply Physics</t>
  </si>
  <si>
    <t>Should do English Homework at least 3</t>
  </si>
  <si>
    <t>Spanish Revision</t>
  </si>
  <si>
    <t>4 HOURS</t>
  </si>
  <si>
    <t>PROBLEM SOLVING )</t>
  </si>
  <si>
    <t>ASK UNIT CIRCLE
ASK BEARING 
ASK COMMON TANGENT (BREAKTIME WITH MNG)</t>
  </si>
  <si>
    <t>From now on I am going to use the teachers, as they are the ones that will actually help as they are getting paid to do very that!!!</t>
  </si>
  <si>
    <t>Collect Footage</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</si>
  <si>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</si>
  <si>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MAKE SURE YOU WASH THE CLOTHES</t>
  </si>
  <si>
    <t>Physiccs</t>
  </si>
  <si>
    <t>Computer Science</t>
  </si>
  <si>
    <t>PHSYCIS maybe</t>
  </si>
  <si>
    <t>Two words : Wake up</t>
  </si>
  <si>
    <t>ENGLISH HOMEWORK (2)</t>
  </si>
  <si>
    <t>Spanish Exam</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</si>
  <si>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</si>
  <si>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</si>
  <si>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t>RELAXA FF</t>
  </si>
  <si>
    <t>Finishing the Player Controller</t>
  </si>
  <si>
    <t>Finailising the plan for the game (agile)</t>
  </si>
  <si>
    <t>Think of a design for akira and marketing tips/strats</t>
  </si>
  <si>
    <t>Look at YICT and try off angle projections again</t>
  </si>
  <si>
    <t>RECALLIBRATE</t>
  </si>
  <si>
    <t>EX</t>
  </si>
  <si>
    <t>PLAYA CONTROLLER</t>
  </si>
  <si>
    <t>YICT</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</si>
  <si>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</si>
  <si>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Game Story Completion</t>
  </si>
  <si>
    <t>WORK ON PLAYER CONTROLLER</t>
  </si>
  <si>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</si>
  <si>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</si>
  <si>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GAME DOCUMENT</t>
  </si>
  <si>
    <t>SLOPE</t>
  </si>
  <si>
    <t>PLAN</t>
  </si>
  <si>
    <t>PYTHON INSTALL</t>
  </si>
  <si>
    <t>LEDGE BEGIN</t>
  </si>
  <si>
    <t>MMAT</t>
  </si>
  <si>
    <t>Today, let's try minimal distractions. It is possible you must believe…</t>
  </si>
  <si>
    <t>GO COLLECT THE PENCIL CASE FROM REFECT</t>
  </si>
  <si>
    <t>BUSINESS + MATHEMATICS REVISION + LEARNING NEW</t>
  </si>
  <si>
    <t>DOC</t>
  </si>
  <si>
    <t>REST/EX</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</si>
  <si>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</si>
  <si>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PLAYER DESIGN</t>
  </si>
  <si>
    <t>WORKING ON BUSINESS</t>
  </si>
  <si>
    <t>BUSINESS / PLANNING PLAYER CONTROLLER</t>
  </si>
  <si>
    <t>CONTROLLER PLANNING COMPLEX</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</si>
  <si>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</si>
  <si>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ANIMATING STATES</t>
  </si>
  <si>
    <t>ATTACHING MECANIM</t>
  </si>
  <si>
    <t>CONTROLLER</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</si>
  <si>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</si>
  <si>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 xml:space="preserve">ENGLISH </t>
  </si>
  <si>
    <t>Putting them in a blend tree and mixing them up</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</si>
  <si>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</si>
  <si>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</si>
  <si>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Animating all the movement points</t>
  </si>
  <si>
    <t>Finish the walking with animatinos</t>
  </si>
  <si>
    <t xml:space="preserve">Making that animation system dynamic… </t>
  </si>
  <si>
    <t>Add masks to the arms and enable and disable them when needed or use a separate animations for them</t>
  </si>
  <si>
    <t>Finish the walking with animatinos with the velocity of the player</t>
  </si>
  <si>
    <t>Finish the Animation System by adding jumping and dropping animation and faling animation</t>
  </si>
  <si>
    <t>If you will use tomorrow wisely then stay at home… dcabf</t>
  </si>
  <si>
    <t>PHYSICS WORK</t>
  </si>
  <si>
    <t>BUSINESS REVISION</t>
  </si>
  <si>
    <t>MATH REVISION</t>
  </si>
  <si>
    <t>EXERCISE NEEDED</t>
  </si>
  <si>
    <t>3D MODELLING</t>
  </si>
  <si>
    <t>Look today you need to work, full displine okay. You gave up a super fun day for this and you better use it right</t>
  </si>
  <si>
    <t>CAMERA SYSTEM</t>
  </si>
  <si>
    <t>Holy shit I just realised something, I don't have a definite goal that I am working towards. I need a goal and I need it now. I need a SMART goal. Why, where, how, what, and from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</si>
</sst>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b/>
      <sz val="12"/>
      <color theme="1"/>
      <name val="Calibri"/>
      <family val="2"/>
      <scheme val="minor"/>
    </font>
    <font>
      <sz val="11"/>
      <color theme="1"/>
      <name val="Calibri"/>
      <scheme val="minor"/>
    </font>
    <font>
      <sz val="12"/>
      <color theme="1"/>
      <name val="Calibri"/>
      <family val="2"/>
      <scheme val="minor"/>
    </font>
    <font>
      <sz val="12"/>
      <name val="Calibri"/>
      <family val="2"/>
      <scheme val="minor"/>
    </font>
    <font>
      <b/>
      <sz val="11"/>
      <color theme="0"/>
      <name val="Calibri"/>
      <family val="2"/>
      <scheme val="minor"/>
    </font>
  </fonts>
  <fills count="3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00B0F0"/>
        <bgColor indexed="64"/>
      </patternFill>
    </fill>
    <fill>
      <patternFill patternType="solid">
        <fgColor theme="3" tint="-0.249977111117893"/>
        <bgColor indexed="64"/>
      </patternFill>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bgColor indexed="64"/>
      </patternFill>
    </fill>
    <fill>
      <patternFill patternType="solid">
        <fgColor theme="9" tint="-0.249977111117893"/>
        <bgColor indexed="64"/>
      </patternFill>
    </fill>
    <fill>
      <patternFill patternType="solid">
        <fgColor rgb="FFFF3B3B"/>
        <bgColor indexed="64"/>
      </patternFill>
    </fill>
    <fill>
      <patternFill patternType="solid">
        <fgColor rgb="FF7030A0"/>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0" fillId="9"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4" fillId="2" borderId="0" xfId="1" applyNumberFormat="1" applyFont="1" applyAlignment="1">
      <alignment horizontal="center" vertical="center" wrapText="1"/>
    </xf>
    <xf numFmtId="2" fontId="40" fillId="22" borderId="0" xfId="0" applyNumberFormat="1" applyFont="1" applyFill="1" applyAlignment="1">
      <alignment horizontal="center" vertical="center" wrapText="1"/>
    </xf>
    <xf numFmtId="2" fontId="0" fillId="5"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xf numFmtId="2" fontId="40" fillId="24"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166" fontId="41" fillId="13"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42" fillId="8"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40" fillId="28" borderId="0" xfId="0" applyNumberFormat="1" applyFont="1" applyFill="1" applyAlignment="1">
      <alignment horizontal="center" vertical="center" wrapText="1"/>
    </xf>
    <xf numFmtId="2" fontId="40" fillId="29"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xf>
    <xf numFmtId="2" fontId="0" fillId="10" borderId="0" xfId="0" applyNumberFormat="1" applyFont="1" applyFill="1" applyAlignment="1">
      <alignment horizontal="center" vertical="center" wrapText="1"/>
    </xf>
    <xf numFmtId="2" fontId="17" fillId="25" borderId="0" xfId="0" applyNumberFormat="1" applyFont="1" applyFill="1" applyAlignment="1">
      <alignment horizontal="center" vertical="center" wrapText="1"/>
    </xf>
    <xf numFmtId="2" fontId="43" fillId="3" borderId="0" xfId="0" applyNumberFormat="1" applyFont="1" applyFill="1" applyAlignment="1">
      <alignment horizontal="center" vertical="center" wrapText="1"/>
    </xf>
    <xf numFmtId="2" fontId="44" fillId="0" borderId="0" xfId="0" applyNumberFormat="1" applyFont="1" applyFill="1" applyAlignment="1">
      <alignment horizontal="center" vertical="center" wrapText="1"/>
    </xf>
    <xf numFmtId="2" fontId="1" fillId="25" borderId="0" xfId="1" applyNumberFormat="1" applyFill="1" applyAlignment="1">
      <alignment horizontal="center" vertical="center" wrapText="1"/>
    </xf>
    <xf numFmtId="2" fontId="45" fillId="30"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88">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2929"/>
      <color rgb="FFFF3B3B"/>
      <color rgb="FFFF5050"/>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X31" totalsRowCount="1" headerRowDxfId="580" dataDxfId="579" totalsRowDxfId="578">
  <autoFilter ref="C3:IX30"/>
  <tableColumns count="256">
    <tableColumn id="98" name="Sunday88" totalsRowFunction="custom" dataDxfId="577" totalsRowDxfId="576">
      <totalsRowFormula>SUM(C7:C30)</totalsRowFormula>
    </tableColumn>
    <tableColumn id="99" name="Monday89" totalsRowFunction="custom" dataDxfId="575" totalsRowDxfId="574">
      <totalsRowFormula>SUM(D7:D30)</totalsRowFormula>
    </tableColumn>
    <tableColumn id="100" name="Tuesday90" totalsRowFunction="custom" dataDxfId="573" totalsRowDxfId="572">
      <totalsRowFormula>SUM(E7:E30)</totalsRowFormula>
    </tableColumn>
    <tableColumn id="101" name="Wednesday91" totalsRowFunction="custom" dataDxfId="571" totalsRowDxfId="570">
      <totalsRowFormula>SUM(F7:F30)</totalsRowFormula>
    </tableColumn>
    <tableColumn id="102" name="Thursday92" totalsRowFunction="custom" dataDxfId="569" totalsRowDxfId="568">
      <totalsRowFormula>SUM(G7:G30)</totalsRowFormula>
    </tableColumn>
    <tableColumn id="103" name="Friday93" totalsRowFunction="custom" dataDxfId="567" totalsRowDxfId="566">
      <totalsRowFormula>SUM(H7:H30)</totalsRowFormula>
    </tableColumn>
    <tableColumn id="104" name="Saturday94" totalsRowFunction="custom" dataDxfId="565" totalsRowDxfId="564">
      <totalsRowFormula>SUM(I7:I30)</totalsRowFormula>
    </tableColumn>
    <tableColumn id="105" name="Sunday95" totalsRowFunction="custom" dataDxfId="563" totalsRowDxfId="562">
      <totalsRowFormula>SUM(J7:J30)</totalsRowFormula>
    </tableColumn>
    <tableColumn id="106" name="Monday96" totalsRowFunction="custom" dataDxfId="561" totalsRowDxfId="560">
      <totalsRowFormula>SUM(K7:K30)</totalsRowFormula>
    </tableColumn>
    <tableColumn id="107" name="Tuesday97" totalsRowFunction="custom" dataDxfId="559" totalsRowDxfId="558">
      <totalsRowFormula>SUM(L7:L30)</totalsRowFormula>
    </tableColumn>
    <tableColumn id="108" name="Wednesday98" totalsRowFunction="custom" dataDxfId="557" totalsRowDxfId="556">
      <totalsRowFormula>SUM(M7:M30)</totalsRowFormula>
    </tableColumn>
    <tableColumn id="109" name="Thursday99" totalsRowFunction="custom" dataDxfId="555" totalsRowDxfId="554">
      <totalsRowFormula>SUM(N7:N30)</totalsRowFormula>
    </tableColumn>
    <tableColumn id="110" name="Friday100" totalsRowFunction="custom" dataDxfId="553" totalsRowDxfId="552">
      <totalsRowFormula>SUM(O7:O30)</totalsRowFormula>
    </tableColumn>
    <tableColumn id="111" name="Saturday101" totalsRowFunction="custom" dataDxfId="551" totalsRowDxfId="550">
      <totalsRowFormula>SUM(P7:P30)</totalsRowFormula>
    </tableColumn>
    <tableColumn id="112" name="Sunday102" totalsRowFunction="custom" dataDxfId="549" totalsRowDxfId="548">
      <totalsRowFormula>SUM(Q7:Q30)</totalsRowFormula>
    </tableColumn>
    <tableColumn id="113" name="Monday103" totalsRowFunction="custom" dataDxfId="547" totalsRowDxfId="546">
      <totalsRowFormula>SUM(R7:R30)</totalsRowFormula>
    </tableColumn>
    <tableColumn id="114" name="Tuesday104" totalsRowFunction="custom" dataDxfId="545" totalsRowDxfId="544">
      <totalsRowFormula>SUM(S7:S30)</totalsRowFormula>
    </tableColumn>
    <tableColumn id="115" name="Wednesday105" totalsRowFunction="custom" dataDxfId="543" totalsRowDxfId="542">
      <totalsRowFormula>SUM(T7:T30)</totalsRowFormula>
    </tableColumn>
    <tableColumn id="116" name="Thursday106" totalsRowFunction="custom" dataDxfId="541" totalsRowDxfId="540">
      <totalsRowFormula>SUM(U7:U30)</totalsRowFormula>
    </tableColumn>
    <tableColumn id="117" name="Friday107" totalsRowFunction="custom" dataDxfId="539" totalsRowDxfId="538">
      <totalsRowFormula>SUM(V7:V30)</totalsRowFormula>
    </tableColumn>
    <tableColumn id="118" name="Saturday108" totalsRowFunction="custom" dataDxfId="537" totalsRowDxfId="536">
      <totalsRowFormula>SUM(W7:W30)</totalsRowFormula>
    </tableColumn>
    <tableColumn id="119" name="Sunday109" totalsRowFunction="custom" dataDxfId="535" totalsRowDxfId="534">
      <totalsRowFormula>SUM(X7:X30)</totalsRowFormula>
    </tableColumn>
    <tableColumn id="120" name="Monday110" totalsRowFunction="custom" dataDxfId="533" totalsRowDxfId="532">
      <totalsRowFormula>SUM(Y7:Y30)</totalsRowFormula>
    </tableColumn>
    <tableColumn id="121" name="Tuesday111" totalsRowFunction="custom" dataDxfId="531" totalsRowDxfId="530">
      <totalsRowFormula>SUM(Z7:Z30)</totalsRowFormula>
    </tableColumn>
    <tableColumn id="122" name="Wednesday112" totalsRowFunction="custom" dataDxfId="529" totalsRowDxfId="528">
      <totalsRowFormula>SUM(AA7:AA30)</totalsRowFormula>
    </tableColumn>
    <tableColumn id="123" name="Thursday113" totalsRowFunction="custom" dataDxfId="527" totalsRowDxfId="526">
      <totalsRowFormula>SUM(AB7:AB30)</totalsRowFormula>
    </tableColumn>
    <tableColumn id="124" name="Friday114" totalsRowFunction="custom" dataDxfId="525" totalsRowDxfId="524">
      <totalsRowFormula>SUM(AC7:AC30)</totalsRowFormula>
    </tableColumn>
    <tableColumn id="125" name="Saturday115" totalsRowFunction="custom" dataDxfId="523" totalsRowDxfId="522">
      <totalsRowFormula>SUM(AD7:AD30)</totalsRowFormula>
    </tableColumn>
    <tableColumn id="126" name="Sunday116" totalsRowFunction="custom" dataDxfId="521" totalsRowDxfId="520">
      <totalsRowFormula>SUM(AE7:AE30)</totalsRowFormula>
    </tableColumn>
    <tableColumn id="127" name="Monday117" totalsRowFunction="custom" dataDxfId="519" totalsRowDxfId="518">
      <totalsRowFormula>SUM(AF7:AF30)</totalsRowFormula>
    </tableColumn>
    <tableColumn id="128" name="Tuesday118" totalsRowFunction="custom" dataDxfId="517" totalsRowDxfId="516">
      <totalsRowFormula>SUM(AG7:AG30)</totalsRowFormula>
    </tableColumn>
    <tableColumn id="129" name="Wednesday119" totalsRowFunction="custom" dataDxfId="515" totalsRowDxfId="514">
      <totalsRowFormula>SUM(AH7:AH30)</totalsRowFormula>
    </tableColumn>
    <tableColumn id="130" name="Thursday120" totalsRowFunction="custom" dataDxfId="513" totalsRowDxfId="512">
      <totalsRowFormula>SUM(AI7:AI30)</totalsRowFormula>
    </tableColumn>
    <tableColumn id="131" name="Friday121" totalsRowFunction="custom" dataDxfId="511" totalsRowDxfId="510">
      <totalsRowFormula>SUM(AJ7:AJ30)</totalsRowFormula>
    </tableColumn>
    <tableColumn id="132" name="Saturday122" totalsRowFunction="custom" dataDxfId="509" totalsRowDxfId="508">
      <totalsRowFormula>SUM(AK7:AK30)</totalsRowFormula>
    </tableColumn>
    <tableColumn id="133" name="Sunday123" totalsRowFunction="custom" dataDxfId="507" totalsRowDxfId="506">
      <totalsRowFormula>SUM(AL7:AL30)</totalsRowFormula>
    </tableColumn>
    <tableColumn id="134" name="Monday124" totalsRowFunction="custom" dataDxfId="505" totalsRowDxfId="504">
      <totalsRowFormula>SUM(AM7:AM30)</totalsRowFormula>
    </tableColumn>
    <tableColumn id="135" name="Tuesday125" totalsRowFunction="custom" dataDxfId="503" totalsRowDxfId="502">
      <totalsRowFormula>SUM(AN7:AN30)</totalsRowFormula>
    </tableColumn>
    <tableColumn id="136" name="Wednesday126" totalsRowFunction="custom" dataDxfId="501" totalsRowDxfId="500">
      <totalsRowFormula>SUM(AO7:AO30)</totalsRowFormula>
    </tableColumn>
    <tableColumn id="137" name="Thursday127" totalsRowFunction="custom" dataDxfId="499" totalsRowDxfId="498">
      <totalsRowFormula>SUM(AP7:AP30)</totalsRowFormula>
    </tableColumn>
    <tableColumn id="138" name="Friday128" totalsRowFunction="custom" dataDxfId="497" totalsRowDxfId="496">
      <totalsRowFormula>SUM(AQ7:AQ30)</totalsRowFormula>
    </tableColumn>
    <tableColumn id="139" name="Saturday129" totalsRowFunction="custom" dataDxfId="495" totalsRowDxfId="494">
      <totalsRowFormula>SUM(AR7:AR30)</totalsRowFormula>
    </tableColumn>
    <tableColumn id="140" name="Sunday130" totalsRowFunction="custom" dataDxfId="493" totalsRowDxfId="492">
      <totalsRowFormula>SUM(AS7:AS30)</totalsRowFormula>
    </tableColumn>
    <tableColumn id="141" name="Monday131" totalsRowFunction="custom" dataDxfId="491" totalsRowDxfId="490">
      <totalsRowFormula>SUM(AT7:AT30)</totalsRowFormula>
    </tableColumn>
    <tableColumn id="142" name="Tuesday132" totalsRowFunction="custom" dataDxfId="489" totalsRowDxfId="488">
      <totalsRowFormula>SUM(AU7:AU30)</totalsRowFormula>
    </tableColumn>
    <tableColumn id="143" name="Wednesday133" totalsRowFunction="custom" dataDxfId="487" totalsRowDxfId="486">
      <totalsRowFormula>SUM(AV7:AV30)</totalsRowFormula>
    </tableColumn>
    <tableColumn id="144" name="Thursday134" totalsRowFunction="custom" dataDxfId="485" totalsRowDxfId="484">
      <totalsRowFormula>SUM(AW7:AW30)</totalsRowFormula>
    </tableColumn>
    <tableColumn id="145" name="Friday135" totalsRowFunction="custom" dataDxfId="483" totalsRowDxfId="482">
      <totalsRowFormula>SUM(AX7:AX30)</totalsRowFormula>
    </tableColumn>
    <tableColumn id="146" name="Saturday136" totalsRowFunction="custom" dataDxfId="481" totalsRowDxfId="480">
      <totalsRowFormula>SUM(AY7:AY30)</totalsRowFormula>
    </tableColumn>
    <tableColumn id="147" name="Sunday137" totalsRowFunction="custom" dataDxfId="479" totalsRowDxfId="478">
      <totalsRowFormula>SUM(AZ7:AZ30)</totalsRowFormula>
    </tableColumn>
    <tableColumn id="148" name="Monday138" totalsRowFunction="custom" dataDxfId="477" totalsRowDxfId="476">
      <totalsRowFormula>SUM(BA7:BA30)</totalsRowFormula>
    </tableColumn>
    <tableColumn id="149" name="Tuesday139" totalsRowFunction="custom" dataDxfId="475" totalsRowDxfId="474">
      <totalsRowFormula>SUM(BB7:BB30)</totalsRowFormula>
    </tableColumn>
    <tableColumn id="150" name="Wednesday140" totalsRowFunction="custom" dataDxfId="473" totalsRowDxfId="472">
      <totalsRowFormula>SUM(BC7:BC30)</totalsRowFormula>
    </tableColumn>
    <tableColumn id="151" name="Thursday141" totalsRowFunction="custom" dataDxfId="471" totalsRowDxfId="470">
      <totalsRowFormula>SUM(BD7:BD30)</totalsRowFormula>
    </tableColumn>
    <tableColumn id="152" name="Friday142" totalsRowFunction="custom" dataDxfId="469" totalsRowDxfId="468">
      <totalsRowFormula>SUM(BE7:BE30)</totalsRowFormula>
    </tableColumn>
    <tableColumn id="153" name="Saturday143" totalsRowFunction="custom" dataDxfId="467" totalsRowDxfId="466">
      <totalsRowFormula>SUM(BF7:BF30)</totalsRowFormula>
    </tableColumn>
    <tableColumn id="154" name="Sunday144" totalsRowFunction="custom" dataDxfId="465" totalsRowDxfId="464">
      <totalsRowFormula>SUM(BG7:BG30)</totalsRowFormula>
    </tableColumn>
    <tableColumn id="155" name="Monday145" totalsRowFunction="custom" dataDxfId="463" totalsRowDxfId="462">
      <totalsRowFormula>SUM(BH7:BH30)</totalsRowFormula>
    </tableColumn>
    <tableColumn id="156" name="Tuesday146" totalsRowFunction="custom" dataDxfId="461" totalsRowDxfId="460">
      <totalsRowFormula>SUM(BI7:BI30)</totalsRowFormula>
    </tableColumn>
    <tableColumn id="157" name="Wednesday147" totalsRowFunction="custom" dataDxfId="459" totalsRowDxfId="458">
      <totalsRowFormula>SUM(BJ7:BJ30)</totalsRowFormula>
    </tableColumn>
    <tableColumn id="158" name="Thursday148" totalsRowFunction="custom" dataDxfId="457" totalsRowDxfId="456">
      <totalsRowFormula>SUM(BK7:BK30)</totalsRowFormula>
    </tableColumn>
    <tableColumn id="159" name="Friday149" totalsRowFunction="custom" dataDxfId="455" totalsRowDxfId="454">
      <totalsRowFormula>SUM(BL7:BL30)</totalsRowFormula>
    </tableColumn>
    <tableColumn id="160" name="Saturday150" totalsRowFunction="custom" dataDxfId="453" totalsRowDxfId="452">
      <totalsRowFormula>SUM(BM7:BM30)</totalsRowFormula>
    </tableColumn>
    <tableColumn id="161" name="Sunday151" totalsRowFunction="custom" dataDxfId="451" totalsRowDxfId="450">
      <totalsRowFormula>SUM(BN7:BN30)</totalsRowFormula>
    </tableColumn>
    <tableColumn id="162" name="Monday152" totalsRowFunction="custom" dataDxfId="449" totalsRowDxfId="448">
      <totalsRowFormula>SUM(BO7:BO30)</totalsRowFormula>
    </tableColumn>
    <tableColumn id="163" name="Tuesday153" totalsRowFunction="custom" dataDxfId="447" totalsRowDxfId="446">
      <totalsRowFormula>SUM(BP7:BP30)</totalsRowFormula>
    </tableColumn>
    <tableColumn id="164" name="Wednesday154" totalsRowFunction="custom" dataDxfId="445" totalsRowDxfId="444">
      <totalsRowFormula>SUM(BQ7:BQ30)</totalsRowFormula>
    </tableColumn>
    <tableColumn id="165" name="Thursday155" totalsRowFunction="custom" dataDxfId="443" totalsRowDxfId="442">
      <totalsRowFormula>SUM(BR7:BR30)</totalsRowFormula>
    </tableColumn>
    <tableColumn id="166" name="Friday156" totalsRowFunction="custom" dataDxfId="441" totalsRowDxfId="440">
      <totalsRowFormula>SUM(BS7:BS30)</totalsRowFormula>
    </tableColumn>
    <tableColumn id="167" name="Saturday157" totalsRowFunction="custom" dataDxfId="439" totalsRowDxfId="438">
      <totalsRowFormula>SUM(BT7:BT30)</totalsRowFormula>
    </tableColumn>
    <tableColumn id="168" name="Sunday158" totalsRowFunction="custom" dataDxfId="437" totalsRowDxfId="436">
      <totalsRowFormula>SUM(BU7:BU30)</totalsRowFormula>
    </tableColumn>
    <tableColumn id="169" name="Monday159" totalsRowFunction="custom" dataDxfId="435" totalsRowDxfId="434">
      <totalsRowFormula>SUM(BV7:BV30)</totalsRowFormula>
    </tableColumn>
    <tableColumn id="170" name="Tuesday160" totalsRowFunction="custom" dataDxfId="433" totalsRowDxfId="432">
      <totalsRowFormula>SUM(BW7:BW30)</totalsRowFormula>
    </tableColumn>
    <tableColumn id="171" name="Wednesday161" totalsRowFunction="custom" dataDxfId="431" totalsRowDxfId="430">
      <totalsRowFormula>SUM(BX7:BX30)</totalsRowFormula>
    </tableColumn>
    <tableColumn id="172" name="Thursday162" totalsRowFunction="custom" dataDxfId="429" totalsRowDxfId="428">
      <totalsRowFormula>SUM(BY7:BY30)</totalsRowFormula>
    </tableColumn>
    <tableColumn id="173" name="Friday163" totalsRowFunction="custom" dataDxfId="427" totalsRowDxfId="426">
      <totalsRowFormula>SUM(BZ7:BZ30)</totalsRowFormula>
    </tableColumn>
    <tableColumn id="174" name="Saturday164" totalsRowFunction="custom" dataDxfId="425" totalsRowDxfId="424">
      <totalsRowFormula>SUM(CA7:CA30)</totalsRowFormula>
    </tableColumn>
    <tableColumn id="175" name="Sunday165" totalsRowFunction="custom" dataDxfId="423" totalsRowDxfId="422">
      <totalsRowFormula>SUM(CB7:CB30)</totalsRowFormula>
    </tableColumn>
    <tableColumn id="176" name="Monday166" totalsRowFunction="custom" dataDxfId="421" totalsRowDxfId="420">
      <totalsRowFormula>SUM(CC7:CC30)</totalsRowFormula>
    </tableColumn>
    <tableColumn id="177" name="Tuesday167" totalsRowFunction="custom" dataDxfId="419" totalsRowDxfId="418">
      <totalsRowFormula>SUM(CD7:CD30)</totalsRowFormula>
    </tableColumn>
    <tableColumn id="178" name="Wednesday168" totalsRowFunction="custom" dataDxfId="417" totalsRowDxfId="416">
      <totalsRowFormula>SUM(CE7:CE30)</totalsRowFormula>
    </tableColumn>
    <tableColumn id="179" name="Thursday169" totalsRowFunction="custom" dataDxfId="415" totalsRowDxfId="414">
      <totalsRowFormula>SUM(CF7:CF30)</totalsRowFormula>
    </tableColumn>
    <tableColumn id="180" name="Friday170" totalsRowFunction="custom" dataDxfId="413" totalsRowDxfId="412">
      <totalsRowFormula>SUM(CG7:CG30)</totalsRowFormula>
    </tableColumn>
    <tableColumn id="181" name="Saturday171" totalsRowFunction="custom" dataDxfId="411" totalsRowDxfId="410">
      <totalsRowFormula>SUM(CH7:CH30)</totalsRowFormula>
    </tableColumn>
    <tableColumn id="182" name="Sunday172" totalsRowFunction="custom" dataDxfId="409" totalsRowDxfId="408">
      <totalsRowFormula>SUM(CI7:CI30)</totalsRowFormula>
    </tableColumn>
    <tableColumn id="183" name="Monday173" totalsRowFunction="custom" dataDxfId="407" totalsRowDxfId="406">
      <totalsRowFormula>SUM(CJ7:CJ30)</totalsRowFormula>
    </tableColumn>
    <tableColumn id="184" name="Tuesday174" totalsRowFunction="custom" dataDxfId="405" totalsRowDxfId="404">
      <totalsRowFormula>SUM(CK7:CK30)</totalsRowFormula>
    </tableColumn>
    <tableColumn id="185" name="Wednesday175" totalsRowFunction="custom" dataDxfId="403" totalsRowDxfId="402">
      <totalsRowFormula>SUM(CL7:CL30)</totalsRowFormula>
    </tableColumn>
    <tableColumn id="186" name="Thursday176" totalsRowFunction="custom" dataDxfId="401" totalsRowDxfId="400">
      <totalsRowFormula>SUM(CM7:CM30)</totalsRowFormula>
    </tableColumn>
    <tableColumn id="187" name="Friday177" totalsRowFunction="custom" dataDxfId="399" totalsRowDxfId="398">
      <totalsRowFormula>SUM(CN7:CN30)</totalsRowFormula>
    </tableColumn>
    <tableColumn id="188" name="Saturday178" totalsRowFunction="custom" dataDxfId="397" totalsRowDxfId="396">
      <totalsRowFormula>SUM(CO7:CO30)</totalsRowFormula>
    </tableColumn>
    <tableColumn id="189" name="Sunday179" totalsRowFunction="custom" dataDxfId="395" totalsRowDxfId="394">
      <totalsRowFormula>SUM(CP7:CP30)</totalsRowFormula>
    </tableColumn>
    <tableColumn id="190" name="Monday180" totalsRowFunction="custom" dataDxfId="393" totalsRowDxfId="392">
      <totalsRowFormula>SUM(CQ7:CQ30)</totalsRowFormula>
    </tableColumn>
    <tableColumn id="191" name="Tuesday181" totalsRowFunction="custom" dataDxfId="391" totalsRowDxfId="390">
      <totalsRowFormula>SUM(CR7:CR30)</totalsRowFormula>
    </tableColumn>
    <tableColumn id="192" name="Wednesday182" totalsRowFunction="custom" dataDxfId="389" totalsRowDxfId="388">
      <totalsRowFormula>SUM(CS7:CS30)</totalsRowFormula>
    </tableColumn>
    <tableColumn id="193" name="Thursday183" totalsRowFunction="custom" dataDxfId="387" totalsRowDxfId="386">
      <totalsRowFormula>SUM(CT7:CT30)</totalsRowFormula>
    </tableColumn>
    <tableColumn id="194" name="Friday184" totalsRowFunction="custom" dataDxfId="385" totalsRowDxfId="384">
      <totalsRowFormula>SUM(CU7:CU30)</totalsRowFormula>
    </tableColumn>
    <tableColumn id="195" name="Saturday185" totalsRowFunction="custom" dataDxfId="383" totalsRowDxfId="382">
      <totalsRowFormula>SUM(CV7:CV30)</totalsRowFormula>
    </tableColumn>
    <tableColumn id="196" name="Sunday186" totalsRowFunction="custom" dataDxfId="381" totalsRowDxfId="380">
      <totalsRowFormula>SUM(CW7:CW30)</totalsRowFormula>
    </tableColumn>
    <tableColumn id="197" name="Monday187" totalsRowFunction="custom" dataDxfId="379" totalsRowDxfId="378">
      <totalsRowFormula>SUM(CX7:CX30)</totalsRowFormula>
    </tableColumn>
    <tableColumn id="198" name="Tuesday188" totalsRowFunction="custom" dataDxfId="377" totalsRowDxfId="376">
      <totalsRowFormula>SUM(CY7:CY30)</totalsRowFormula>
    </tableColumn>
    <tableColumn id="199" name="Wednesday189" totalsRowFunction="custom" dataDxfId="375" totalsRowDxfId="374">
      <totalsRowFormula>SUM(CZ7:CZ30)</totalsRowFormula>
    </tableColumn>
    <tableColumn id="200" name="Thursday190" totalsRowFunction="custom" dataDxfId="373" totalsRowDxfId="372">
      <totalsRowFormula>SUM(DA7:DA30)</totalsRowFormula>
    </tableColumn>
    <tableColumn id="201" name="Friday191" totalsRowFunction="custom" dataDxfId="371" totalsRowDxfId="370">
      <totalsRowFormula>SUM(DB7:DB30)</totalsRowFormula>
    </tableColumn>
    <tableColumn id="202" name="Saturday192" totalsRowFunction="custom" dataDxfId="369" totalsRowDxfId="368">
      <totalsRowFormula>SUM(DC7:DC30)</totalsRowFormula>
    </tableColumn>
    <tableColumn id="203" name="Sunday193" totalsRowFunction="custom" dataDxfId="367" totalsRowDxfId="366">
      <totalsRowFormula>SUM(DD7:DD30)</totalsRowFormula>
    </tableColumn>
    <tableColumn id="204" name="Monday194" totalsRowFunction="custom" dataDxfId="365" totalsRowDxfId="364">
      <totalsRowFormula>SUM(DE7:DE30)</totalsRowFormula>
    </tableColumn>
    <tableColumn id="205" name="Tuesday195" totalsRowFunction="custom" dataDxfId="363" totalsRowDxfId="362">
      <totalsRowFormula>SUM(DF7:DF30)</totalsRowFormula>
    </tableColumn>
    <tableColumn id="206" name="Wednesday196" totalsRowFunction="custom" dataDxfId="361" totalsRowDxfId="360">
      <totalsRowFormula>SUM(DG7:DG30)</totalsRowFormula>
    </tableColumn>
    <tableColumn id="207" name="Thursday197" totalsRowFunction="custom" dataDxfId="359" totalsRowDxfId="358">
      <totalsRowFormula>SUM(DH7:DH30)</totalsRowFormula>
    </tableColumn>
    <tableColumn id="208" name="Friday198" totalsRowFunction="custom" dataDxfId="357" totalsRowDxfId="356">
      <totalsRowFormula>SUM(DI7:DI30)</totalsRowFormula>
    </tableColumn>
    <tableColumn id="209" name="Saturday199" totalsRowFunction="custom" dataDxfId="355" totalsRowDxfId="354">
      <totalsRowFormula>SUM(DJ7:DJ30)</totalsRowFormula>
    </tableColumn>
    <tableColumn id="210" name="Sunday200" totalsRowFunction="custom" dataDxfId="353" totalsRowDxfId="352">
      <totalsRowFormula>SUM(DK7:DK30)</totalsRowFormula>
    </tableColumn>
    <tableColumn id="211" name="Monday201" totalsRowFunction="custom" dataDxfId="351" totalsRowDxfId="350">
      <totalsRowFormula>SUM(DL7:DL30)</totalsRowFormula>
    </tableColumn>
    <tableColumn id="212" name="Tuesday202" totalsRowFunction="custom" dataDxfId="349" totalsRowDxfId="348">
      <totalsRowFormula>SUM(DM7:DM30)</totalsRowFormula>
    </tableColumn>
    <tableColumn id="213" name="Wednesday203" totalsRowFunction="custom" dataDxfId="347" totalsRowDxfId="346">
      <totalsRowFormula>SUM(DN7:DN30)</totalsRowFormula>
    </tableColumn>
    <tableColumn id="214" name="Thursday204" totalsRowFunction="custom" dataDxfId="345" totalsRowDxfId="344">
      <totalsRowFormula>SUM(DO7:DO30)</totalsRowFormula>
    </tableColumn>
    <tableColumn id="215" name="Friday205" totalsRowFunction="custom" dataDxfId="343" totalsRowDxfId="342">
      <totalsRowFormula>SUM(DP7:DP30)</totalsRowFormula>
    </tableColumn>
    <tableColumn id="216" name="Saturday206" totalsRowFunction="custom" dataDxfId="341" totalsRowDxfId="340">
      <totalsRowFormula>SUM(DQ7:DQ30)</totalsRowFormula>
    </tableColumn>
    <tableColumn id="217" name="Sunday207" totalsRowFunction="custom" dataDxfId="339" totalsRowDxfId="338">
      <totalsRowFormula>SUM(DR7:DR30)</totalsRowFormula>
    </tableColumn>
    <tableColumn id="218" name="Monday208" totalsRowFunction="custom" dataDxfId="337" totalsRowDxfId="336">
      <totalsRowFormula>SUM(DS7:DS30)</totalsRowFormula>
    </tableColumn>
    <tableColumn id="219" name="Tuesday209" totalsRowFunction="custom" dataDxfId="335" totalsRowDxfId="334">
      <totalsRowFormula>SUM(DT7:DT30)</totalsRowFormula>
    </tableColumn>
    <tableColumn id="220" name="Wednesday210" totalsRowFunction="custom" dataDxfId="333" totalsRowDxfId="332">
      <totalsRowFormula>SUM(DU7:DU30)</totalsRowFormula>
    </tableColumn>
    <tableColumn id="221" name="Thursday211" totalsRowFunction="custom" dataDxfId="331" totalsRowDxfId="330">
      <totalsRowFormula>SUM(DV7:DV30)</totalsRowFormula>
    </tableColumn>
    <tableColumn id="222" name="Friday212" dataDxfId="329" totalsRowDxfId="328"/>
    <tableColumn id="223" name="Saturday213" dataDxfId="327" totalsRowDxfId="326"/>
    <tableColumn id="224" name="Sunday214" dataDxfId="325" totalsRowDxfId="324"/>
    <tableColumn id="225" name="Monday215" dataDxfId="323" totalsRowDxfId="322"/>
    <tableColumn id="226" name="Tuesday216" dataDxfId="321" totalsRowDxfId="320"/>
    <tableColumn id="227" name="Wednesday217" dataDxfId="319" totalsRowDxfId="318"/>
    <tableColumn id="228" name="Thursday218" dataDxfId="317" totalsRowDxfId="316"/>
    <tableColumn id="229" name="Friday219" dataDxfId="315" totalsRowDxfId="314"/>
    <tableColumn id="230" name="Saturday220" dataDxfId="313" totalsRowDxfId="312"/>
    <tableColumn id="231" name="Sunday221" dataDxfId="311" totalsRowDxfId="310"/>
    <tableColumn id="232" name="Monday222" dataDxfId="309" totalsRowDxfId="308"/>
    <tableColumn id="233" name="Tuesday223" dataDxfId="307" totalsRowDxfId="306"/>
    <tableColumn id="234" name="Wednesday224" dataDxfId="305" totalsRowDxfId="304"/>
    <tableColumn id="235" name="Thursday225" dataDxfId="303" totalsRowDxfId="302"/>
    <tableColumn id="236" name="Friday226" dataDxfId="301" totalsRowDxfId="300"/>
    <tableColumn id="237" name="Saturday227" dataDxfId="299" totalsRowDxfId="298"/>
    <tableColumn id="238" name="Sunday228" dataDxfId="297" totalsRowDxfId="296"/>
    <tableColumn id="239" name="Monday229" dataDxfId="295" totalsRowDxfId="294"/>
    <tableColumn id="240" name="Tuesday230" dataDxfId="293" totalsRowDxfId="292"/>
    <tableColumn id="241" name="Wednesday231" dataDxfId="291" totalsRowDxfId="290"/>
    <tableColumn id="242" name="Thursday232" dataDxfId="289" totalsRowDxfId="288"/>
    <tableColumn id="243" name="Friday233" dataDxfId="287" totalsRowDxfId="286"/>
    <tableColumn id="244" name="Saturday234" dataDxfId="285" totalsRowDxfId="284"/>
    <tableColumn id="245" name="Sunday235" dataDxfId="283" totalsRowDxfId="282"/>
    <tableColumn id="246" name="Monday236" dataDxfId="281" totalsRowDxfId="280"/>
    <tableColumn id="247" name="Tuesday237" dataDxfId="279" totalsRowDxfId="278"/>
    <tableColumn id="248" name="Wednesday238" dataDxfId="277" totalsRowDxfId="276"/>
    <tableColumn id="249" name="Thursday239" dataDxfId="275" totalsRowDxfId="274"/>
    <tableColumn id="250" name="Friday240" dataDxfId="273" totalsRowDxfId="272"/>
    <tableColumn id="251" name="Saturday241" dataDxfId="271" totalsRowDxfId="270"/>
    <tableColumn id="252" name="Sunday242" dataDxfId="269" totalsRowDxfId="268"/>
    <tableColumn id="253" name="Monday243" dataDxfId="267" totalsRowDxfId="266"/>
    <tableColumn id="254" name="Tuesday244" dataDxfId="265" totalsRowDxfId="264"/>
    <tableColumn id="255" name="Wednesday245" dataDxfId="263" totalsRowDxfId="262"/>
    <tableColumn id="256" name="Thursday246" dataDxfId="261" totalsRowDxfId="260"/>
    <tableColumn id="257" name="Friday247" dataDxfId="259" totalsRowDxfId="258"/>
    <tableColumn id="258" name="Saturday248" dataDxfId="257" totalsRowDxfId="256"/>
    <tableColumn id="259" name="Sunday249" dataDxfId="255" totalsRowDxfId="254"/>
    <tableColumn id="260" name="Monday250" dataDxfId="253" totalsRowDxfId="252"/>
    <tableColumn id="261" name="Tuesday251" dataDxfId="251" totalsRowDxfId="250"/>
    <tableColumn id="262" name="Wednesday252" dataDxfId="249" totalsRowDxfId="248"/>
    <tableColumn id="263" name="Thursday253" dataDxfId="247" totalsRowDxfId="246"/>
    <tableColumn id="264" name="Friday254" dataDxfId="245" totalsRowDxfId="244"/>
    <tableColumn id="265" name="Saturday255" dataDxfId="243" totalsRowDxfId="242"/>
    <tableColumn id="266" name="Sunday256" dataDxfId="241" totalsRowDxfId="240"/>
    <tableColumn id="267" name="Monday257" dataDxfId="239" totalsRowDxfId="238"/>
    <tableColumn id="268" name="Tuesday258" dataDxfId="237" totalsRowDxfId="236"/>
    <tableColumn id="269" name="Wednesday259" dataDxfId="235" totalsRowDxfId="234"/>
    <tableColumn id="270" name="Thursday260" dataDxfId="233" totalsRowDxfId="232"/>
    <tableColumn id="271" name="Friday261" dataDxfId="231" totalsRowDxfId="230"/>
    <tableColumn id="272" name="Saturday262" dataDxfId="229" totalsRowDxfId="228"/>
    <tableColumn id="273" name="Sunday263" dataDxfId="227" totalsRowDxfId="226"/>
    <tableColumn id="274" name="Monday264" dataDxfId="225" totalsRowDxfId="224"/>
    <tableColumn id="275" name="Tuesday265" dataDxfId="223" totalsRowDxfId="222"/>
    <tableColumn id="276" name="Wednesday266" dataDxfId="221" totalsRowDxfId="220"/>
    <tableColumn id="277" name="Thursday267" dataDxfId="219" totalsRowDxfId="218"/>
    <tableColumn id="278" name="Friday268" dataDxfId="217" totalsRowDxfId="216"/>
    <tableColumn id="279" name="Saturday269" dataDxfId="215" totalsRowDxfId="214"/>
    <tableColumn id="280" name="Sunday270" dataDxfId="213" totalsRowDxfId="212"/>
    <tableColumn id="281" name="Monday271" dataDxfId="211" totalsRowDxfId="210"/>
    <tableColumn id="282" name="Tuesday272" dataDxfId="209" totalsRowDxfId="208"/>
    <tableColumn id="283" name="Wednesday273" dataDxfId="207" totalsRowDxfId="206"/>
    <tableColumn id="284" name="Thursday274" dataDxfId="205" totalsRowDxfId="204"/>
    <tableColumn id="285" name="Friday275" dataDxfId="203" totalsRowDxfId="202"/>
    <tableColumn id="286" name="Saturday276" dataDxfId="201" totalsRowDxfId="200"/>
    <tableColumn id="287" name="Sunday277" dataDxfId="199" totalsRowDxfId="198"/>
    <tableColumn id="288" name="Monday278" dataDxfId="197" totalsRowDxfId="196"/>
    <tableColumn id="289" name="Tuesday279" dataDxfId="195" totalsRowDxfId="194"/>
    <tableColumn id="290" name="Wednesday280" dataDxfId="193" totalsRowDxfId="192"/>
    <tableColumn id="291" name="Thursday281" dataDxfId="191" totalsRowDxfId="190"/>
    <tableColumn id="292" name="Friday282" dataDxfId="189" totalsRowDxfId="188"/>
    <tableColumn id="293" name="Saturday283" dataDxfId="187" totalsRowDxfId="186"/>
    <tableColumn id="294" name="Sunday284" dataDxfId="185" totalsRowDxfId="184"/>
    <tableColumn id="295" name="Monday285" dataDxfId="183" totalsRowDxfId="182"/>
    <tableColumn id="296" name="Tuesday286" dataDxfId="181" totalsRowDxfId="180"/>
    <tableColumn id="297" name="Wednesday287" dataDxfId="179" totalsRowDxfId="178"/>
    <tableColumn id="298" name="Thursday288" dataDxfId="177" totalsRowDxfId="176"/>
    <tableColumn id="299" name="Friday289" dataDxfId="175" totalsRowDxfId="174"/>
    <tableColumn id="300" name="Saturday290" dataDxfId="173" totalsRowDxfId="172"/>
    <tableColumn id="301" name="Sunday291" dataDxfId="171" totalsRowDxfId="170"/>
    <tableColumn id="302" name="Monday292" dataDxfId="169" totalsRowDxfId="168"/>
    <tableColumn id="303" name="Tuesday293" dataDxfId="167" totalsRowDxfId="166"/>
    <tableColumn id="304" name="Wednesday294" dataDxfId="165" totalsRowDxfId="164"/>
    <tableColumn id="305" name="Thursday295" dataDxfId="163" totalsRowDxfId="162"/>
    <tableColumn id="306" name="Friday296" dataDxfId="161" totalsRowDxfId="160"/>
    <tableColumn id="307" name="Saturday297" dataDxfId="159" totalsRowDxfId="158"/>
    <tableColumn id="308" name="Sunday298" dataDxfId="157" totalsRowDxfId="156"/>
    <tableColumn id="309" name="Monday299" dataDxfId="155" totalsRowDxfId="154"/>
    <tableColumn id="310" name="Tuesday300" dataDxfId="153" totalsRowDxfId="152"/>
    <tableColumn id="311" name="Wednesday301" dataDxfId="151" totalsRowDxfId="150"/>
    <tableColumn id="312" name="Thursday302" dataDxfId="149" totalsRowDxfId="148"/>
    <tableColumn id="313" name="Friday303" dataDxfId="147" totalsRowDxfId="146"/>
    <tableColumn id="314" name="Saturday304" dataDxfId="145" totalsRowDxfId="144"/>
    <tableColumn id="315" name="Sunday305" dataDxfId="143" totalsRowDxfId="142"/>
    <tableColumn id="316" name="Monday306" dataDxfId="141" totalsRowDxfId="140"/>
    <tableColumn id="317" name="Tuesday307" dataDxfId="139" totalsRowDxfId="138"/>
    <tableColumn id="318" name="Wednesday308" dataDxfId="137" totalsRowDxfId="136"/>
    <tableColumn id="319" name="Thursday309" dataDxfId="135" totalsRowDxfId="134"/>
    <tableColumn id="320" name="Friday310" dataDxfId="133" totalsRowDxfId="132"/>
    <tableColumn id="321" name="Saturday311" dataDxfId="131" totalsRowDxfId="130"/>
    <tableColumn id="322" name="Sunday312" dataDxfId="129" totalsRowDxfId="128"/>
    <tableColumn id="323" name="Monday313" dataDxfId="127" totalsRowDxfId="126"/>
    <tableColumn id="324" name="Tuesday314" dataDxfId="125" totalsRowDxfId="124"/>
    <tableColumn id="325" name="Wednesday315" dataDxfId="123" totalsRowDxfId="122"/>
    <tableColumn id="326" name="Thursday316" dataDxfId="121" totalsRowDxfId="120"/>
    <tableColumn id="327" name="Friday317" dataDxfId="119" totalsRowDxfId="118"/>
    <tableColumn id="328" name="Saturday318" dataDxfId="117" totalsRowDxfId="116"/>
    <tableColumn id="329" name="Sunday319" dataDxfId="115" totalsRowDxfId="114"/>
    <tableColumn id="330" name="Monday320" dataDxfId="113" totalsRowDxfId="112"/>
    <tableColumn id="331" name="Tuesday321" dataDxfId="111" totalsRowDxfId="110"/>
    <tableColumn id="332" name="Wednesday322" dataDxfId="109" totalsRowDxfId="108"/>
    <tableColumn id="333" name="Thursday323" dataDxfId="107" totalsRowDxfId="106"/>
    <tableColumn id="334" name="Friday324" dataDxfId="105" totalsRowDxfId="104"/>
    <tableColumn id="335" name="Saturday325" dataDxfId="103" totalsRowDxfId="102"/>
    <tableColumn id="336" name="Sunday326" dataDxfId="101" totalsRowDxfId="100"/>
    <tableColumn id="337" name="Monday327" dataDxfId="99" totalsRowDxfId="98"/>
    <tableColumn id="338" name="Tuesday328" dataDxfId="97" totalsRowDxfId="96"/>
    <tableColumn id="339" name="Wednesday329" dataDxfId="95" totalsRowDxfId="94"/>
    <tableColumn id="340" name="Thursday330" dataDxfId="93" totalsRowDxfId="92"/>
    <tableColumn id="341" name="Friday331" dataDxfId="91" totalsRowDxfId="90"/>
    <tableColumn id="342" name="Saturday332" dataDxfId="89" totalsRowDxfId="88"/>
    <tableColumn id="343" name="Sunday333" dataDxfId="87" totalsRowDxfId="86"/>
    <tableColumn id="344" name="Monday334" dataDxfId="85" totalsRowDxfId="84"/>
    <tableColumn id="345" name="Tuesday335" dataDxfId="83" totalsRowDxfId="82"/>
    <tableColumn id="346" name="Wednesday336" dataDxfId="81" totalsRowDxfId="80"/>
    <tableColumn id="347" name="Thursday337" dataDxfId="79" totalsRowDxfId="78"/>
    <tableColumn id="348" name="Friday338" dataDxfId="77" totalsRowDxfId="76"/>
    <tableColumn id="349" name="Saturday339" dataDxfId="75" totalsRowDxfId="74"/>
    <tableColumn id="350" name="Sunday340" dataDxfId="73" totalsRowDxfId="72"/>
    <tableColumn id="351" name="Monday341" dataDxfId="71" totalsRowDxfId="70"/>
    <tableColumn id="352" name="Tuesday342" dataDxfId="69" totalsRowDxfId="68"/>
    <tableColumn id="353" name="Wednesday343" dataDxfId="67" totalsRowDxfId="66"/>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63" dataDxfId="62">
  <autoFilter ref="C15:G120"/>
  <tableColumns count="5">
    <tableColumn id="1" name="Task" dataDxfId="61"/>
    <tableColumn id="2" name="TODO" dataDxfId="60"/>
    <tableColumn id="3" name="Percentage" dataDxfId="59"/>
    <tableColumn id="4" name="Due" dataDxfId="58"/>
    <tableColumn id="5" name="Side Notes" dataDxfId="57"/>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X41"/>
  <sheetViews>
    <sheetView topLeftCell="A25" zoomScale="81" zoomScaleNormal="85" workbookViewId="0">
      <selection activeCell="M23" sqref="M23"/>
    </sheetView>
  </sheetViews>
  <sheetFormatPr defaultColWidth="8.85546875" defaultRowHeight="15" x14ac:dyDescent="0.25"/>
  <cols>
    <col min="1" max="1" width="25.85546875" style="66" customWidth="1"/>
    <col min="2" max="2" width="21.85546875" style="69" customWidth="1"/>
    <col min="3" max="276" width="20.7109375" style="74" customWidth="1"/>
    <col min="277" max="16384" width="8.85546875" style="74"/>
  </cols>
  <sheetData>
    <row r="1" spans="1:258" s="67" customFormat="1" x14ac:dyDescent="0.25">
      <c r="A1" s="68">
        <f ca="1">TODAY()</f>
        <v>43257</v>
      </c>
    </row>
    <row r="2" spans="1:258" s="98" customFormat="1" ht="66.75" customHeight="1" x14ac:dyDescent="0.25">
      <c r="A2" s="97">
        <f ca="1">NOW()</f>
        <v>43257.552331250001</v>
      </c>
      <c r="B2" s="99">
        <v>43157</v>
      </c>
      <c r="C2" s="99" t="s">
        <v>556</v>
      </c>
      <c r="D2" s="99" t="s">
        <v>556</v>
      </c>
      <c r="E2" s="99" t="s">
        <v>556</v>
      </c>
      <c r="F2" s="99" t="s">
        <v>556</v>
      </c>
      <c r="G2" s="99" t="s">
        <v>557</v>
      </c>
      <c r="H2" s="99" t="s">
        <v>557</v>
      </c>
      <c r="I2" s="99" t="s">
        <v>557</v>
      </c>
      <c r="J2" s="99" t="s">
        <v>557</v>
      </c>
      <c r="K2" s="99" t="s">
        <v>557</v>
      </c>
      <c r="L2" s="99" t="s">
        <v>557</v>
      </c>
      <c r="M2" s="99" t="s">
        <v>557</v>
      </c>
      <c r="N2" s="99" t="s">
        <v>558</v>
      </c>
      <c r="O2" s="99" t="s">
        <v>558</v>
      </c>
      <c r="P2" s="99" t="s">
        <v>558</v>
      </c>
      <c r="Q2" s="99" t="s">
        <v>558</v>
      </c>
      <c r="R2" s="99" t="s">
        <v>558</v>
      </c>
      <c r="S2" s="99" t="s">
        <v>558</v>
      </c>
      <c r="T2" s="99" t="s">
        <v>558</v>
      </c>
    </row>
    <row r="3" spans="1:258" s="128" customFormat="1" ht="33" customHeight="1" x14ac:dyDescent="0.25">
      <c r="A3" s="100">
        <f ca="1">HOUR(A2)</f>
        <v>13</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row>
    <row r="4" spans="1:258" s="71" customFormat="1" ht="32.25" customHeight="1" x14ac:dyDescent="0.25">
      <c r="A4" s="70"/>
      <c r="C4" s="72">
        <v>43247</v>
      </c>
      <c r="D4" s="72">
        <v>43248</v>
      </c>
      <c r="E4" s="72">
        <v>43249</v>
      </c>
      <c r="F4" s="72">
        <v>43250</v>
      </c>
      <c r="G4" s="72">
        <v>43251</v>
      </c>
      <c r="H4" s="72">
        <v>43252</v>
      </c>
      <c r="I4" s="72">
        <v>43253</v>
      </c>
      <c r="J4" s="72">
        <v>43254</v>
      </c>
      <c r="K4" s="72">
        <v>43255</v>
      </c>
      <c r="L4" s="72">
        <v>43256</v>
      </c>
      <c r="M4" s="72">
        <v>43257</v>
      </c>
      <c r="N4" s="72">
        <v>43258</v>
      </c>
      <c r="O4" s="72">
        <v>43259</v>
      </c>
      <c r="P4" s="72">
        <v>43260</v>
      </c>
      <c r="Q4" s="72">
        <v>43261</v>
      </c>
      <c r="R4" s="72">
        <v>43262</v>
      </c>
      <c r="S4" s="72">
        <v>43263</v>
      </c>
      <c r="T4" s="72">
        <v>43264</v>
      </c>
      <c r="U4" s="72">
        <v>43265</v>
      </c>
      <c r="V4" s="72">
        <v>43266</v>
      </c>
      <c r="W4" s="72">
        <v>43267</v>
      </c>
      <c r="X4" s="72">
        <v>43268</v>
      </c>
      <c r="Y4" s="72">
        <v>43269</v>
      </c>
      <c r="Z4" s="72">
        <v>43270</v>
      </c>
      <c r="AA4" s="72">
        <v>43271</v>
      </c>
      <c r="AB4" s="72">
        <v>43272</v>
      </c>
      <c r="AC4" s="72">
        <v>43273</v>
      </c>
      <c r="AD4" s="72">
        <v>43274</v>
      </c>
      <c r="AE4" s="72">
        <v>43275</v>
      </c>
      <c r="AF4" s="72">
        <v>43276</v>
      </c>
      <c r="AG4" s="72">
        <v>43277</v>
      </c>
      <c r="AH4" s="72">
        <v>43278</v>
      </c>
      <c r="AI4" s="72">
        <v>43279</v>
      </c>
      <c r="AJ4" s="72">
        <v>43280</v>
      </c>
      <c r="AK4" s="72">
        <v>43281</v>
      </c>
      <c r="AL4" s="72">
        <v>43282</v>
      </c>
      <c r="AM4" s="72">
        <v>43283</v>
      </c>
      <c r="AN4" s="72">
        <v>43284</v>
      </c>
      <c r="AO4" s="72">
        <v>43285</v>
      </c>
      <c r="AP4" s="72">
        <v>43286</v>
      </c>
      <c r="AQ4" s="72">
        <v>43287</v>
      </c>
      <c r="AR4" s="72">
        <v>43288</v>
      </c>
      <c r="AS4" s="72">
        <v>43289</v>
      </c>
      <c r="AT4" s="72">
        <v>43290</v>
      </c>
      <c r="AU4" s="72">
        <v>43291</v>
      </c>
      <c r="AV4" s="72">
        <v>43292</v>
      </c>
      <c r="AW4" s="72">
        <v>43293</v>
      </c>
      <c r="AX4" s="72">
        <v>43294</v>
      </c>
      <c r="AY4" s="72">
        <v>43295</v>
      </c>
      <c r="AZ4" s="72">
        <v>43296</v>
      </c>
      <c r="BA4" s="72">
        <v>43297</v>
      </c>
      <c r="BB4" s="72">
        <v>43298</v>
      </c>
      <c r="BC4" s="72">
        <v>43299</v>
      </c>
      <c r="BD4" s="72">
        <v>43300</v>
      </c>
      <c r="BE4" s="72">
        <v>43301</v>
      </c>
      <c r="BF4" s="72">
        <v>43302</v>
      </c>
      <c r="BG4" s="72">
        <v>43303</v>
      </c>
      <c r="BH4" s="72">
        <v>43304</v>
      </c>
      <c r="BI4" s="72">
        <v>43305</v>
      </c>
      <c r="BJ4" s="72">
        <v>43306</v>
      </c>
      <c r="BK4" s="72">
        <v>43307</v>
      </c>
      <c r="BL4" s="72">
        <v>43308</v>
      </c>
      <c r="BM4" s="72">
        <v>43309</v>
      </c>
      <c r="BN4" s="72">
        <v>43310</v>
      </c>
      <c r="BO4" s="72">
        <v>43311</v>
      </c>
      <c r="BP4" s="72">
        <v>43312</v>
      </c>
      <c r="BQ4" s="72">
        <v>43313</v>
      </c>
      <c r="BR4" s="72">
        <v>43314</v>
      </c>
      <c r="BS4" s="72">
        <v>43315</v>
      </c>
      <c r="BT4" s="72">
        <v>43316</v>
      </c>
      <c r="BU4" s="72">
        <v>43317</v>
      </c>
      <c r="BV4" s="72">
        <v>43318</v>
      </c>
      <c r="BW4" s="72">
        <v>43319</v>
      </c>
      <c r="BX4" s="72">
        <v>43320</v>
      </c>
      <c r="BY4" s="72">
        <v>43321</v>
      </c>
      <c r="BZ4" s="72">
        <v>43322</v>
      </c>
      <c r="CA4" s="72">
        <v>43323</v>
      </c>
      <c r="CB4" s="72">
        <v>43324</v>
      </c>
      <c r="CC4" s="72">
        <v>43325</v>
      </c>
      <c r="CD4" s="72">
        <v>43326</v>
      </c>
      <c r="CE4" s="72">
        <v>43327</v>
      </c>
      <c r="CF4" s="72">
        <v>43328</v>
      </c>
      <c r="CG4" s="72">
        <v>43329</v>
      </c>
      <c r="CH4" s="72">
        <v>43330</v>
      </c>
      <c r="CI4" s="72">
        <v>43331</v>
      </c>
      <c r="CJ4" s="72">
        <v>43332</v>
      </c>
      <c r="CK4" s="72">
        <v>43333</v>
      </c>
      <c r="CL4" s="72">
        <v>43334</v>
      </c>
      <c r="CM4" s="72">
        <v>43335</v>
      </c>
      <c r="CN4" s="72">
        <v>43336</v>
      </c>
      <c r="CO4" s="72">
        <v>43337</v>
      </c>
      <c r="CP4" s="72">
        <v>43338</v>
      </c>
      <c r="CQ4" s="72">
        <v>43339</v>
      </c>
      <c r="CR4" s="72">
        <v>43340</v>
      </c>
      <c r="CS4" s="72">
        <v>43341</v>
      </c>
      <c r="CT4" s="72">
        <v>43342</v>
      </c>
      <c r="CU4" s="72">
        <v>43343</v>
      </c>
      <c r="CV4" s="72">
        <v>43344</v>
      </c>
      <c r="CW4" s="72">
        <v>43345</v>
      </c>
      <c r="CX4" s="72">
        <v>43346</v>
      </c>
      <c r="CY4" s="72">
        <v>43347</v>
      </c>
      <c r="CZ4" s="72">
        <v>43348</v>
      </c>
      <c r="DA4" s="72">
        <v>43349</v>
      </c>
      <c r="DB4" s="72">
        <v>43350</v>
      </c>
      <c r="DC4" s="72">
        <v>43351</v>
      </c>
      <c r="DD4" s="72">
        <v>43352</v>
      </c>
      <c r="DE4" s="72">
        <v>43353</v>
      </c>
      <c r="DF4" s="72">
        <v>43354</v>
      </c>
      <c r="DG4" s="72">
        <v>43355</v>
      </c>
      <c r="DH4" s="72">
        <v>43356</v>
      </c>
      <c r="DI4" s="72">
        <v>43357</v>
      </c>
      <c r="DJ4" s="72">
        <v>43358</v>
      </c>
      <c r="DK4" s="72">
        <v>43359</v>
      </c>
      <c r="DL4" s="72">
        <v>43360</v>
      </c>
      <c r="DM4" s="72">
        <v>43361</v>
      </c>
      <c r="DN4" s="72">
        <v>43362</v>
      </c>
      <c r="DO4" s="72">
        <v>43363</v>
      </c>
      <c r="DP4" s="72">
        <v>43364</v>
      </c>
      <c r="DQ4" s="72">
        <v>43365</v>
      </c>
      <c r="DR4" s="72">
        <v>43366</v>
      </c>
      <c r="DS4" s="72">
        <v>43367</v>
      </c>
      <c r="DT4" s="72">
        <v>43368</v>
      </c>
      <c r="DU4" s="72">
        <v>43369</v>
      </c>
      <c r="DV4" s="72">
        <v>43370</v>
      </c>
      <c r="DW4" s="72">
        <v>43371</v>
      </c>
      <c r="DX4" s="72">
        <v>43372</v>
      </c>
      <c r="DY4" s="72">
        <v>43373</v>
      </c>
      <c r="DZ4" s="72">
        <v>43374</v>
      </c>
      <c r="EA4" s="72">
        <v>43375</v>
      </c>
      <c r="EB4" s="72">
        <v>43376</v>
      </c>
      <c r="EC4" s="72">
        <v>43377</v>
      </c>
      <c r="ED4" s="72">
        <v>43378</v>
      </c>
      <c r="EE4" s="72">
        <v>43379</v>
      </c>
      <c r="EF4" s="72">
        <v>43380</v>
      </c>
      <c r="EG4" s="72">
        <v>43381</v>
      </c>
      <c r="EH4" s="72">
        <v>43382</v>
      </c>
      <c r="EI4" s="72">
        <v>43383</v>
      </c>
      <c r="EJ4" s="72">
        <v>43384</v>
      </c>
      <c r="EK4" s="72">
        <v>43385</v>
      </c>
      <c r="EL4" s="72">
        <v>43386</v>
      </c>
      <c r="EM4" s="72">
        <v>43387</v>
      </c>
      <c r="EN4" s="72">
        <v>43388</v>
      </c>
      <c r="EO4" s="72">
        <v>43389</v>
      </c>
      <c r="EP4" s="72">
        <v>43390</v>
      </c>
      <c r="EQ4" s="72">
        <v>43391</v>
      </c>
      <c r="ER4" s="72">
        <v>43392</v>
      </c>
      <c r="ES4" s="72">
        <v>43393</v>
      </c>
      <c r="ET4" s="72">
        <v>43394</v>
      </c>
      <c r="EU4" s="72">
        <v>43395</v>
      </c>
      <c r="EV4" s="72">
        <v>43396</v>
      </c>
      <c r="EW4" s="72">
        <v>43397</v>
      </c>
      <c r="EX4" s="72">
        <v>43398</v>
      </c>
      <c r="EY4" s="72">
        <v>43399</v>
      </c>
      <c r="EZ4" s="72">
        <v>43400</v>
      </c>
      <c r="FA4" s="72">
        <v>43401</v>
      </c>
      <c r="FB4" s="72">
        <v>43402</v>
      </c>
      <c r="FC4" s="72">
        <v>43403</v>
      </c>
      <c r="FD4" s="72">
        <v>43404</v>
      </c>
      <c r="FE4" s="72">
        <v>43405</v>
      </c>
      <c r="FF4" s="72">
        <v>43406</v>
      </c>
      <c r="FG4" s="72">
        <v>43407</v>
      </c>
      <c r="FH4" s="72">
        <v>43408</v>
      </c>
      <c r="FI4" s="72">
        <v>43409</v>
      </c>
      <c r="FJ4" s="72">
        <v>43410</v>
      </c>
      <c r="FK4" s="72">
        <v>43411</v>
      </c>
      <c r="FL4" s="72">
        <v>43412</v>
      </c>
      <c r="FM4" s="72">
        <v>43413</v>
      </c>
      <c r="FN4" s="72">
        <v>43414</v>
      </c>
      <c r="FO4" s="72">
        <v>43415</v>
      </c>
      <c r="FP4" s="72">
        <v>43416</v>
      </c>
      <c r="FQ4" s="72">
        <v>43417</v>
      </c>
      <c r="FR4" s="72">
        <v>43418</v>
      </c>
      <c r="FS4" s="72">
        <v>43419</v>
      </c>
      <c r="FT4" s="72">
        <v>43420</v>
      </c>
      <c r="FU4" s="72">
        <v>43421</v>
      </c>
      <c r="FV4" s="72">
        <v>43422</v>
      </c>
      <c r="FW4" s="72">
        <v>43423</v>
      </c>
      <c r="FX4" s="72">
        <v>43424</v>
      </c>
      <c r="FY4" s="72">
        <v>43425</v>
      </c>
      <c r="FZ4" s="72">
        <v>43426</v>
      </c>
      <c r="GA4" s="72">
        <v>43427</v>
      </c>
      <c r="GB4" s="72">
        <v>43428</v>
      </c>
      <c r="GC4" s="72">
        <v>43429</v>
      </c>
      <c r="GD4" s="72">
        <v>43430</v>
      </c>
      <c r="GE4" s="72">
        <v>43431</v>
      </c>
      <c r="GF4" s="72">
        <v>43432</v>
      </c>
      <c r="GG4" s="72">
        <v>43433</v>
      </c>
      <c r="GH4" s="72">
        <v>43434</v>
      </c>
      <c r="GI4" s="72">
        <v>43435</v>
      </c>
      <c r="GJ4" s="72">
        <v>43436</v>
      </c>
      <c r="GK4" s="72">
        <v>43437</v>
      </c>
      <c r="GL4" s="72">
        <v>43438</v>
      </c>
      <c r="GM4" s="72">
        <v>43439</v>
      </c>
      <c r="GN4" s="72">
        <v>43440</v>
      </c>
      <c r="GO4" s="72">
        <v>43441</v>
      </c>
      <c r="GP4" s="72">
        <v>43442</v>
      </c>
      <c r="GQ4" s="72">
        <v>43443</v>
      </c>
      <c r="GR4" s="72">
        <v>43444</v>
      </c>
      <c r="GS4" s="72">
        <v>43445</v>
      </c>
      <c r="GT4" s="72">
        <v>43446</v>
      </c>
      <c r="GU4" s="72">
        <v>43447</v>
      </c>
      <c r="GV4" s="72">
        <v>43448</v>
      </c>
      <c r="GW4" s="72">
        <v>43449</v>
      </c>
      <c r="GX4" s="72">
        <v>43450</v>
      </c>
      <c r="GY4" s="72">
        <v>43451</v>
      </c>
      <c r="GZ4" s="72">
        <v>43452</v>
      </c>
      <c r="HA4" s="72">
        <v>43453</v>
      </c>
      <c r="HB4" s="72">
        <v>43454</v>
      </c>
      <c r="HC4" s="72">
        <v>43455</v>
      </c>
      <c r="HD4" s="72">
        <v>43456</v>
      </c>
      <c r="HE4" s="72">
        <v>43457</v>
      </c>
      <c r="HF4" s="72">
        <v>43458</v>
      </c>
      <c r="HG4" s="72">
        <v>43459</v>
      </c>
      <c r="HH4" s="72">
        <v>43460</v>
      </c>
      <c r="HI4" s="72">
        <v>43461</v>
      </c>
      <c r="HJ4" s="72">
        <v>43462</v>
      </c>
      <c r="HK4" s="72">
        <v>43463</v>
      </c>
      <c r="HL4" s="72">
        <v>43464</v>
      </c>
      <c r="HM4" s="72">
        <v>43465</v>
      </c>
      <c r="HN4" s="72">
        <v>43466</v>
      </c>
      <c r="HO4" s="72">
        <v>43467</v>
      </c>
      <c r="HP4" s="72">
        <v>43468</v>
      </c>
      <c r="HQ4" s="72">
        <v>43469</v>
      </c>
      <c r="HR4" s="72">
        <v>43470</v>
      </c>
      <c r="HS4" s="72">
        <v>43471</v>
      </c>
      <c r="HT4" s="72">
        <v>43472</v>
      </c>
      <c r="HU4" s="72">
        <v>43473</v>
      </c>
      <c r="HV4" s="72">
        <v>43474</v>
      </c>
      <c r="HW4" s="72">
        <v>43475</v>
      </c>
      <c r="HX4" s="72">
        <v>43476</v>
      </c>
      <c r="HY4" s="72">
        <v>43477</v>
      </c>
      <c r="HZ4" s="72">
        <v>43478</v>
      </c>
      <c r="IA4" s="72">
        <v>43479</v>
      </c>
      <c r="IB4" s="72">
        <v>43480</v>
      </c>
      <c r="IC4" s="72">
        <v>43481</v>
      </c>
      <c r="ID4" s="72">
        <v>43482</v>
      </c>
      <c r="IE4" s="72">
        <v>43483</v>
      </c>
      <c r="IF4" s="72">
        <v>43484</v>
      </c>
      <c r="IG4" s="72">
        <v>43485</v>
      </c>
      <c r="IH4" s="72">
        <v>43486</v>
      </c>
      <c r="II4" s="72">
        <v>43487</v>
      </c>
      <c r="IJ4" s="72">
        <v>43488</v>
      </c>
      <c r="IK4" s="72">
        <v>43489</v>
      </c>
      <c r="IL4" s="72">
        <v>43490</v>
      </c>
      <c r="IM4" s="72">
        <v>43491</v>
      </c>
      <c r="IN4" s="72">
        <v>43492</v>
      </c>
      <c r="IO4" s="72">
        <v>43493</v>
      </c>
      <c r="IP4" s="72">
        <v>43494</v>
      </c>
      <c r="IQ4" s="72">
        <v>43495</v>
      </c>
      <c r="IR4" s="72">
        <v>43496</v>
      </c>
      <c r="IS4" s="72">
        <v>43497</v>
      </c>
      <c r="IT4" s="72">
        <v>43498</v>
      </c>
      <c r="IU4" s="72">
        <v>43499</v>
      </c>
      <c r="IV4" s="72">
        <v>43500</v>
      </c>
      <c r="IW4" s="72">
        <v>43501</v>
      </c>
      <c r="IX4" s="72">
        <v>43502</v>
      </c>
    </row>
    <row r="5" spans="1:258" s="71" customFormat="1" ht="32.25" customHeight="1" x14ac:dyDescent="0.25">
      <c r="A5" s="70"/>
      <c r="B5" s="142" t="s">
        <v>389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row>
    <row r="6" spans="1:258" s="146" customFormat="1" ht="51.75" customHeight="1" thickBot="1" x14ac:dyDescent="0.3">
      <c r="A6" s="144"/>
      <c r="B6" s="142" t="s">
        <v>390</v>
      </c>
      <c r="C6" s="145"/>
      <c r="D6" s="145"/>
      <c r="E6" s="145"/>
      <c r="F6" s="145"/>
      <c r="G6" s="145"/>
      <c r="H6" s="221" t="s">
        <v>611</v>
      </c>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row>
    <row r="7" spans="1:258" ht="20.100000000000001" customHeight="1" thickTop="1" x14ac:dyDescent="0.25">
      <c r="A7" s="77">
        <f>HOUR(B7)</f>
        <v>0</v>
      </c>
      <c r="B7" s="73">
        <v>0</v>
      </c>
      <c r="C7" s="147"/>
      <c r="D7" s="147"/>
      <c r="E7" s="147"/>
      <c r="F7" s="147"/>
      <c r="G7" s="147" t="s">
        <v>496</v>
      </c>
      <c r="H7" s="147"/>
      <c r="I7" s="222"/>
      <c r="J7" s="147"/>
      <c r="K7" s="147"/>
      <c r="L7" s="215" t="s">
        <v>586</v>
      </c>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row>
    <row r="8" spans="1:258" ht="20.100000000000001" customHeight="1" x14ac:dyDescent="0.25">
      <c r="A8" s="77">
        <f>HOUR(B8)</f>
        <v>1</v>
      </c>
      <c r="B8" s="73">
        <v>4.1666666666666699E-2</v>
      </c>
      <c r="C8" s="147"/>
      <c r="D8" s="147"/>
      <c r="E8" s="147"/>
      <c r="F8" s="147"/>
      <c r="G8" s="147" t="s">
        <v>598</v>
      </c>
      <c r="H8" s="147"/>
      <c r="I8" s="222"/>
      <c r="J8" s="147"/>
      <c r="K8" s="147"/>
      <c r="L8" s="60"/>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row>
    <row r="9" spans="1:258" ht="27" customHeight="1" x14ac:dyDescent="0.25">
      <c r="A9" s="77">
        <f t="shared" ref="A9:A30" si="0">HOUR(B9)</f>
        <v>2</v>
      </c>
      <c r="B9" s="73">
        <v>8.3333333333333301E-2</v>
      </c>
      <c r="C9" s="147"/>
      <c r="D9" s="147"/>
      <c r="E9" s="147"/>
      <c r="F9" s="147"/>
      <c r="G9" s="147" t="s">
        <v>598</v>
      </c>
      <c r="H9" s="147"/>
      <c r="I9" s="222"/>
      <c r="J9" s="222" t="s">
        <v>619</v>
      </c>
      <c r="K9" s="147"/>
      <c r="L9" s="232"/>
      <c r="M9" s="232"/>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row>
    <row r="10" spans="1:258" s="69" customFormat="1" ht="15.75" x14ac:dyDescent="0.25">
      <c r="A10" s="77">
        <f t="shared" si="0"/>
        <v>3</v>
      </c>
      <c r="B10" s="73">
        <v>0.125</v>
      </c>
      <c r="C10" s="213"/>
      <c r="D10" s="213" t="s">
        <v>603</v>
      </c>
      <c r="E10" s="213" t="s">
        <v>603</v>
      </c>
      <c r="F10" s="213" t="s">
        <v>603</v>
      </c>
      <c r="G10" s="218" t="s">
        <v>592</v>
      </c>
      <c r="H10" s="148"/>
      <c r="I10" s="222"/>
      <c r="J10" s="222" t="s">
        <v>629</v>
      </c>
      <c r="K10" s="230" t="s">
        <v>645</v>
      </c>
      <c r="L10" s="232"/>
      <c r="M10" s="147"/>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row>
    <row r="11" spans="1:258" ht="27.75" customHeight="1" x14ac:dyDescent="0.25">
      <c r="A11" s="77">
        <f t="shared" si="0"/>
        <v>4</v>
      </c>
      <c r="B11" s="73">
        <v>0.16666666666666699</v>
      </c>
      <c r="C11" s="213"/>
      <c r="D11" s="218" t="s">
        <v>592</v>
      </c>
      <c r="E11" s="218" t="s">
        <v>592</v>
      </c>
      <c r="F11" s="213" t="s">
        <v>603</v>
      </c>
      <c r="G11" s="218" t="s">
        <v>592</v>
      </c>
      <c r="H11" s="220" t="s">
        <v>486</v>
      </c>
      <c r="I11" s="222"/>
      <c r="J11" s="224" t="s">
        <v>621</v>
      </c>
      <c r="K11" s="231" t="s">
        <v>646</v>
      </c>
      <c r="L11" s="232"/>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row>
    <row r="12" spans="1:258" ht="34.5" customHeight="1" x14ac:dyDescent="0.25">
      <c r="A12" s="77">
        <f t="shared" si="0"/>
        <v>5</v>
      </c>
      <c r="B12" s="73">
        <v>0.20833333333333301</v>
      </c>
      <c r="C12" s="213"/>
      <c r="D12" s="218" t="s">
        <v>592</v>
      </c>
      <c r="E12" s="218" t="s">
        <v>592</v>
      </c>
      <c r="F12" s="218" t="s">
        <v>592</v>
      </c>
      <c r="G12" s="218" t="s">
        <v>592</v>
      </c>
      <c r="H12" s="220" t="s">
        <v>486</v>
      </c>
      <c r="I12" s="222"/>
      <c r="J12" s="224" t="s">
        <v>621</v>
      </c>
      <c r="K12" s="147" t="s">
        <v>647</v>
      </c>
      <c r="L12" s="60"/>
      <c r="M12" s="233"/>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row>
    <row r="13" spans="1:258" ht="36.75" customHeight="1" x14ac:dyDescent="0.25">
      <c r="A13" s="77">
        <f t="shared" si="0"/>
        <v>6</v>
      </c>
      <c r="B13" s="73">
        <v>0.25</v>
      </c>
      <c r="C13" s="213" t="s">
        <v>592</v>
      </c>
      <c r="D13" s="147"/>
      <c r="E13" s="147"/>
      <c r="F13" s="147"/>
      <c r="G13" s="147"/>
      <c r="H13" s="147"/>
      <c r="I13" s="222"/>
      <c r="J13" s="225" t="s">
        <v>638</v>
      </c>
      <c r="K13" s="147"/>
      <c r="L13" s="60"/>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row>
    <row r="14" spans="1:258" ht="60" x14ac:dyDescent="0.25">
      <c r="A14" s="77">
        <f t="shared" si="0"/>
        <v>7</v>
      </c>
      <c r="B14" s="73">
        <v>0.29166666666666702</v>
      </c>
      <c r="C14" s="213" t="s">
        <v>592</v>
      </c>
      <c r="D14" s="147"/>
      <c r="E14" s="147"/>
      <c r="F14" s="147"/>
      <c r="G14" s="147"/>
      <c r="H14" s="147"/>
      <c r="I14" s="222"/>
      <c r="J14" s="225" t="s">
        <v>620</v>
      </c>
      <c r="K14" s="147"/>
      <c r="L14" s="60"/>
      <c r="M14" s="147" t="s">
        <v>657</v>
      </c>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row>
    <row r="15" spans="1:258" ht="49.5" customHeight="1" x14ac:dyDescent="0.25">
      <c r="A15" s="77">
        <f t="shared" si="0"/>
        <v>8</v>
      </c>
      <c r="B15" s="73">
        <v>0.33333333333333298</v>
      </c>
      <c r="C15" s="212" t="s">
        <v>584</v>
      </c>
      <c r="D15" s="147" t="s">
        <v>601</v>
      </c>
      <c r="E15" s="147"/>
      <c r="F15" s="147"/>
      <c r="G15" s="147"/>
      <c r="H15" s="147"/>
      <c r="I15" s="222"/>
      <c r="J15" s="226" t="s">
        <v>636</v>
      </c>
      <c r="K15" s="147"/>
      <c r="L15" s="60"/>
      <c r="M15" s="147" t="s">
        <v>654</v>
      </c>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row>
    <row r="16" spans="1:258" ht="49.5" customHeight="1" x14ac:dyDescent="0.25">
      <c r="A16" s="77">
        <f t="shared" si="0"/>
        <v>9</v>
      </c>
      <c r="B16" s="73">
        <v>0.375</v>
      </c>
      <c r="C16" s="213" t="s">
        <v>593</v>
      </c>
      <c r="D16" s="147"/>
      <c r="E16" s="147"/>
      <c r="F16" s="147"/>
      <c r="G16" s="147"/>
      <c r="H16" s="147"/>
      <c r="I16" s="147"/>
      <c r="J16" s="226" t="s">
        <v>633</v>
      </c>
      <c r="K16" s="147"/>
      <c r="L16" s="60"/>
      <c r="M16" s="147" t="s">
        <v>654</v>
      </c>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row>
    <row r="17" spans="1:258" ht="45" x14ac:dyDescent="0.25">
      <c r="A17" s="77">
        <f t="shared" si="0"/>
        <v>10</v>
      </c>
      <c r="B17" s="73">
        <v>0.41666666666666702</v>
      </c>
      <c r="C17" s="213" t="s">
        <v>593</v>
      </c>
      <c r="D17" s="147"/>
      <c r="E17" s="147"/>
      <c r="F17" s="147"/>
      <c r="G17" s="147"/>
      <c r="H17" s="147"/>
      <c r="I17" s="147"/>
      <c r="J17" s="227" t="s">
        <v>622</v>
      </c>
      <c r="K17" s="147"/>
      <c r="L17" s="60"/>
      <c r="M17" s="147" t="s">
        <v>655</v>
      </c>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row>
    <row r="18" spans="1:258" ht="90" x14ac:dyDescent="0.25">
      <c r="A18" s="77">
        <f t="shared" si="0"/>
        <v>11</v>
      </c>
      <c r="B18" s="73">
        <v>0.45833333333333298</v>
      </c>
      <c r="C18" s="213" t="s">
        <v>593</v>
      </c>
      <c r="D18" s="147"/>
      <c r="E18" s="147"/>
      <c r="F18" s="147"/>
      <c r="G18" s="147"/>
      <c r="H18" s="147"/>
      <c r="I18" s="147" t="s">
        <v>624</v>
      </c>
      <c r="J18" s="227" t="s">
        <v>630</v>
      </c>
      <c r="K18" s="147"/>
      <c r="L18" s="60"/>
      <c r="M18" s="147" t="s">
        <v>656</v>
      </c>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row>
    <row r="19" spans="1:258" ht="93.75" customHeight="1" x14ac:dyDescent="0.25">
      <c r="A19" s="77">
        <f t="shared" si="0"/>
        <v>12</v>
      </c>
      <c r="B19" s="73">
        <v>0.5</v>
      </c>
      <c r="C19" s="214" t="s">
        <v>587</v>
      </c>
      <c r="D19" s="147"/>
      <c r="E19" s="147"/>
      <c r="F19" s="147"/>
      <c r="G19" s="147"/>
      <c r="H19" s="147"/>
      <c r="I19" s="147" t="s">
        <v>615</v>
      </c>
      <c r="J19" s="228" t="s">
        <v>631</v>
      </c>
      <c r="K19" s="147"/>
      <c r="L19" s="60"/>
      <c r="M19" s="147" t="s">
        <v>658</v>
      </c>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row>
    <row r="20" spans="1:258" ht="37.5" customHeight="1" x14ac:dyDescent="0.25">
      <c r="A20" s="77">
        <f t="shared" si="0"/>
        <v>13</v>
      </c>
      <c r="B20" s="73">
        <v>0.54166666666666696</v>
      </c>
      <c r="C20" s="212" t="s">
        <v>600</v>
      </c>
      <c r="D20" s="147"/>
      <c r="E20" s="147"/>
      <c r="F20" s="147"/>
      <c r="G20" s="147"/>
      <c r="H20" s="147"/>
      <c r="I20" s="147" t="s">
        <v>625</v>
      </c>
      <c r="J20" s="222" t="s">
        <v>640</v>
      </c>
      <c r="K20" s="147"/>
      <c r="L20" s="60"/>
      <c r="M20" s="233" t="s">
        <v>663</v>
      </c>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row>
    <row r="21" spans="1:258" ht="45" x14ac:dyDescent="0.25">
      <c r="A21" s="77">
        <f t="shared" si="0"/>
        <v>14</v>
      </c>
      <c r="B21" s="73">
        <v>0.58333333333333304</v>
      </c>
      <c r="C21" s="216" t="s">
        <v>594</v>
      </c>
      <c r="D21" s="147"/>
      <c r="E21" s="147"/>
      <c r="F21" s="147"/>
      <c r="G21" s="147"/>
      <c r="H21" s="147"/>
      <c r="I21" s="147" t="s">
        <v>618</v>
      </c>
      <c r="J21" s="222" t="s">
        <v>632</v>
      </c>
      <c r="K21" s="147"/>
      <c r="L21" s="60"/>
      <c r="M21" s="147" t="s">
        <v>666</v>
      </c>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row>
    <row r="22" spans="1:258" ht="56.25" x14ac:dyDescent="0.25">
      <c r="A22" s="77">
        <f t="shared" si="0"/>
        <v>15</v>
      </c>
      <c r="B22" s="73">
        <v>0.625</v>
      </c>
      <c r="C22" s="216" t="s">
        <v>594</v>
      </c>
      <c r="D22" s="147"/>
      <c r="E22" s="147"/>
      <c r="F22" s="147"/>
      <c r="G22" s="147"/>
      <c r="H22" s="147"/>
      <c r="I22" s="147" t="s">
        <v>618</v>
      </c>
      <c r="J22" s="222" t="s">
        <v>637</v>
      </c>
      <c r="K22" s="229" t="s">
        <v>635</v>
      </c>
      <c r="L22" s="60"/>
      <c r="M22" s="147" t="s">
        <v>666</v>
      </c>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row>
    <row r="23" spans="1:258" ht="45" x14ac:dyDescent="0.25">
      <c r="A23" s="77">
        <f t="shared" si="0"/>
        <v>16</v>
      </c>
      <c r="B23" s="73">
        <v>0.66666666666666696</v>
      </c>
      <c r="C23" s="212" t="s">
        <v>595</v>
      </c>
      <c r="D23" s="147"/>
      <c r="E23" s="147" t="s">
        <v>605</v>
      </c>
      <c r="F23" s="147"/>
      <c r="G23" s="147" t="s">
        <v>496</v>
      </c>
      <c r="H23" s="147" t="s">
        <v>614</v>
      </c>
      <c r="I23" s="220"/>
      <c r="J23" s="222" t="s">
        <v>641</v>
      </c>
      <c r="K23" s="147"/>
      <c r="L23" s="60"/>
      <c r="M23" s="147" t="s">
        <v>660</v>
      </c>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row>
    <row r="24" spans="1:258" ht="29.25" customHeight="1" x14ac:dyDescent="0.25">
      <c r="A24" s="77">
        <f t="shared" si="0"/>
        <v>17</v>
      </c>
      <c r="B24" s="73">
        <v>0.70833333333333304</v>
      </c>
      <c r="C24" s="213" t="s">
        <v>593</v>
      </c>
      <c r="D24" s="147" t="s">
        <v>596</v>
      </c>
      <c r="E24" s="147" t="s">
        <v>496</v>
      </c>
      <c r="F24" s="147" t="s">
        <v>496</v>
      </c>
      <c r="G24" s="147" t="s">
        <v>496</v>
      </c>
      <c r="H24" s="147" t="s">
        <v>615</v>
      </c>
      <c r="I24" s="147"/>
      <c r="J24" s="222" t="s">
        <v>642</v>
      </c>
      <c r="K24" s="147"/>
      <c r="L24" s="60"/>
      <c r="M24" s="147" t="s">
        <v>661</v>
      </c>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row>
    <row r="25" spans="1:258" ht="45" x14ac:dyDescent="0.25">
      <c r="A25" s="77">
        <f t="shared" si="0"/>
        <v>18</v>
      </c>
      <c r="B25" s="73">
        <v>0.75</v>
      </c>
      <c r="C25" s="213" t="s">
        <v>603</v>
      </c>
      <c r="D25" s="147" t="s">
        <v>597</v>
      </c>
      <c r="E25" s="147" t="s">
        <v>606</v>
      </c>
      <c r="F25" s="147" t="s">
        <v>496</v>
      </c>
      <c r="G25" s="147" t="s">
        <v>496</v>
      </c>
      <c r="H25" s="147" t="s">
        <v>616</v>
      </c>
      <c r="I25" s="147"/>
      <c r="J25" s="222" t="s">
        <v>643</v>
      </c>
      <c r="K25" s="147" t="s">
        <v>649</v>
      </c>
      <c r="L25" s="232" t="s">
        <v>650</v>
      </c>
      <c r="M25" s="147" t="s">
        <v>661</v>
      </c>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row>
    <row r="26" spans="1:258" ht="45" x14ac:dyDescent="0.25">
      <c r="A26" s="77">
        <f t="shared" si="0"/>
        <v>19</v>
      </c>
      <c r="B26" s="73">
        <v>0.79166666666666696</v>
      </c>
      <c r="C26" s="213" t="s">
        <v>603</v>
      </c>
      <c r="D26" s="147" t="s">
        <v>598</v>
      </c>
      <c r="E26" s="147" t="s">
        <v>607</v>
      </c>
      <c r="F26" s="147" t="s">
        <v>486</v>
      </c>
      <c r="G26" s="147" t="s">
        <v>496</v>
      </c>
      <c r="H26" s="147" t="s">
        <v>617</v>
      </c>
      <c r="I26" s="147"/>
      <c r="J26" s="222"/>
      <c r="K26" s="230"/>
      <c r="L26" s="147" t="s">
        <v>653</v>
      </c>
      <c r="M26" s="147" t="s">
        <v>662</v>
      </c>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row>
    <row r="27" spans="1:258" ht="45" x14ac:dyDescent="0.25">
      <c r="A27" s="77">
        <f t="shared" si="0"/>
        <v>20</v>
      </c>
      <c r="B27" s="73">
        <v>0.83333333333333304</v>
      </c>
      <c r="C27" s="211" t="s">
        <v>575</v>
      </c>
      <c r="D27" s="147" t="s">
        <v>598</v>
      </c>
      <c r="E27" s="147" t="s">
        <v>607</v>
      </c>
      <c r="F27" s="147" t="s">
        <v>496</v>
      </c>
      <c r="G27" s="147" t="s">
        <v>496</v>
      </c>
      <c r="H27" s="147" t="s">
        <v>618</v>
      </c>
      <c r="I27" s="147" t="s">
        <v>628</v>
      </c>
      <c r="J27" s="222"/>
      <c r="K27" s="230"/>
      <c r="L27" s="147" t="s">
        <v>664</v>
      </c>
      <c r="M27" s="60" t="s">
        <v>492</v>
      </c>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row>
    <row r="28" spans="1:258" s="69" customFormat="1" ht="31.5" x14ac:dyDescent="0.25">
      <c r="A28" s="77">
        <f t="shared" si="0"/>
        <v>21</v>
      </c>
      <c r="B28" s="73">
        <v>0.875</v>
      </c>
      <c r="C28" s="148"/>
      <c r="D28" s="219" t="s">
        <v>593</v>
      </c>
      <c r="E28" s="217" t="s">
        <v>608</v>
      </c>
      <c r="F28" s="217" t="s">
        <v>610</v>
      </c>
      <c r="G28" s="147" t="s">
        <v>496</v>
      </c>
      <c r="H28" s="148" t="s">
        <v>615</v>
      </c>
      <c r="I28" s="147" t="s">
        <v>628</v>
      </c>
      <c r="J28" s="222"/>
      <c r="K28" s="231" t="s">
        <v>646</v>
      </c>
      <c r="L28" s="147"/>
      <c r="M28" s="60" t="s">
        <v>492</v>
      </c>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row>
    <row r="29" spans="1:258" ht="30" x14ac:dyDescent="0.25">
      <c r="A29" s="77">
        <f t="shared" si="0"/>
        <v>22</v>
      </c>
      <c r="B29" s="73">
        <v>0.91666666666666696</v>
      </c>
      <c r="C29" s="147"/>
      <c r="D29" s="217" t="s">
        <v>599</v>
      </c>
      <c r="E29" s="217" t="s">
        <v>599</v>
      </c>
      <c r="F29" s="147" t="s">
        <v>496</v>
      </c>
      <c r="G29" s="147" t="s">
        <v>486</v>
      </c>
      <c r="H29" s="147" t="s">
        <v>615</v>
      </c>
      <c r="I29" s="147" t="s">
        <v>628</v>
      </c>
      <c r="J29" s="222" t="s">
        <v>7</v>
      </c>
      <c r="K29" s="147" t="s">
        <v>647</v>
      </c>
      <c r="L29" s="60"/>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row>
    <row r="30" spans="1:258" ht="20.100000000000001" customHeight="1" x14ac:dyDescent="0.25">
      <c r="A30" s="77">
        <f t="shared" si="0"/>
        <v>23</v>
      </c>
      <c r="B30" s="73">
        <v>0.95833333333333304</v>
      </c>
      <c r="C30" s="147"/>
      <c r="D30" s="147"/>
      <c r="E30" s="147"/>
      <c r="F30" s="147" t="s">
        <v>496</v>
      </c>
      <c r="G30" s="147"/>
      <c r="H30" s="147"/>
      <c r="I30" s="147"/>
      <c r="J30" s="147"/>
      <c r="K30" s="230" t="s">
        <v>645</v>
      </c>
      <c r="L30" s="60"/>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row>
    <row r="31" spans="1:258" s="76" customFormat="1" ht="37.5" customHeight="1" x14ac:dyDescent="0.25">
      <c r="B31" s="149" t="s">
        <v>396</v>
      </c>
      <c r="C31" s="223">
        <f>SUM(C7:C30)</f>
        <v>0</v>
      </c>
      <c r="D31" s="223">
        <f>SUM(D7:D30)</f>
        <v>0</v>
      </c>
      <c r="E31" s="223">
        <f>SUM(E7:E30)</f>
        <v>0</v>
      </c>
      <c r="F31" s="223">
        <f>SUM(F7:F30)</f>
        <v>0</v>
      </c>
      <c r="G31" s="223">
        <f>SUM(G7:G30)</f>
        <v>0</v>
      </c>
      <c r="H31" s="223">
        <f t="shared" ref="H31:AM31" si="1">SUM(H7:H30)</f>
        <v>0</v>
      </c>
      <c r="I31" s="223">
        <f t="shared" si="1"/>
        <v>0</v>
      </c>
      <c r="J31" s="223">
        <f t="shared" si="1"/>
        <v>0</v>
      </c>
      <c r="K31" s="223">
        <f t="shared" si="1"/>
        <v>0</v>
      </c>
      <c r="L31" s="223">
        <f t="shared" si="1"/>
        <v>0</v>
      </c>
      <c r="M31" s="223">
        <f t="shared" si="1"/>
        <v>0</v>
      </c>
      <c r="N31" s="223">
        <f t="shared" si="1"/>
        <v>0</v>
      </c>
      <c r="O31" s="223">
        <f t="shared" si="1"/>
        <v>0</v>
      </c>
      <c r="P31" s="223">
        <f t="shared" si="1"/>
        <v>0</v>
      </c>
      <c r="Q31" s="223">
        <f t="shared" si="1"/>
        <v>0</v>
      </c>
      <c r="R31" s="223">
        <f t="shared" si="1"/>
        <v>0</v>
      </c>
      <c r="S31" s="223">
        <f t="shared" si="1"/>
        <v>0</v>
      </c>
      <c r="T31" s="223">
        <f t="shared" si="1"/>
        <v>0</v>
      </c>
      <c r="U31" s="223">
        <f t="shared" si="1"/>
        <v>0</v>
      </c>
      <c r="V31" s="223">
        <f t="shared" si="1"/>
        <v>0</v>
      </c>
      <c r="W31" s="223">
        <f t="shared" si="1"/>
        <v>0</v>
      </c>
      <c r="X31" s="223">
        <f t="shared" si="1"/>
        <v>0</v>
      </c>
      <c r="Y31" s="223">
        <f t="shared" si="1"/>
        <v>0</v>
      </c>
      <c r="Z31" s="223">
        <f t="shared" si="1"/>
        <v>0</v>
      </c>
      <c r="AA31" s="223">
        <f t="shared" si="1"/>
        <v>0</v>
      </c>
      <c r="AB31" s="223">
        <f t="shared" si="1"/>
        <v>0</v>
      </c>
      <c r="AC31" s="223">
        <f t="shared" si="1"/>
        <v>0</v>
      </c>
      <c r="AD31" s="223">
        <f t="shared" si="1"/>
        <v>0</v>
      </c>
      <c r="AE31" s="223">
        <f t="shared" si="1"/>
        <v>0</v>
      </c>
      <c r="AF31" s="223">
        <f t="shared" si="1"/>
        <v>0</v>
      </c>
      <c r="AG31" s="223">
        <f t="shared" si="1"/>
        <v>0</v>
      </c>
      <c r="AH31" s="223">
        <f t="shared" si="1"/>
        <v>0</v>
      </c>
      <c r="AI31" s="223">
        <f t="shared" si="1"/>
        <v>0</v>
      </c>
      <c r="AJ31" s="223">
        <f t="shared" si="1"/>
        <v>0</v>
      </c>
      <c r="AK31" s="223">
        <f t="shared" si="1"/>
        <v>0</v>
      </c>
      <c r="AL31" s="223">
        <f t="shared" si="1"/>
        <v>0</v>
      </c>
      <c r="AM31" s="223">
        <f t="shared" si="1"/>
        <v>0</v>
      </c>
      <c r="AN31" s="223">
        <f t="shared" ref="AN31:BS31" si="2">SUM(AN7:AN30)</f>
        <v>0</v>
      </c>
      <c r="AO31" s="223">
        <f t="shared" si="2"/>
        <v>0</v>
      </c>
      <c r="AP31" s="223">
        <f t="shared" si="2"/>
        <v>0</v>
      </c>
      <c r="AQ31" s="223">
        <f t="shared" si="2"/>
        <v>0</v>
      </c>
      <c r="AR31" s="223">
        <f t="shared" si="2"/>
        <v>0</v>
      </c>
      <c r="AS31" s="223">
        <f t="shared" si="2"/>
        <v>0</v>
      </c>
      <c r="AT31" s="223">
        <f t="shared" si="2"/>
        <v>0</v>
      </c>
      <c r="AU31" s="223">
        <f t="shared" si="2"/>
        <v>0</v>
      </c>
      <c r="AV31" s="223">
        <f t="shared" si="2"/>
        <v>0</v>
      </c>
      <c r="AW31" s="223">
        <f t="shared" si="2"/>
        <v>0</v>
      </c>
      <c r="AX31" s="223">
        <f t="shared" si="2"/>
        <v>0</v>
      </c>
      <c r="AY31" s="223">
        <f t="shared" si="2"/>
        <v>0</v>
      </c>
      <c r="AZ31" s="223">
        <f t="shared" si="2"/>
        <v>0</v>
      </c>
      <c r="BA31" s="223">
        <f t="shared" si="2"/>
        <v>0</v>
      </c>
      <c r="BB31" s="223">
        <f t="shared" si="2"/>
        <v>0</v>
      </c>
      <c r="BC31" s="223">
        <f t="shared" si="2"/>
        <v>0</v>
      </c>
      <c r="BD31" s="223">
        <f t="shared" si="2"/>
        <v>0</v>
      </c>
      <c r="BE31" s="223">
        <f t="shared" si="2"/>
        <v>0</v>
      </c>
      <c r="BF31" s="223">
        <f t="shared" si="2"/>
        <v>0</v>
      </c>
      <c r="BG31" s="223">
        <f t="shared" si="2"/>
        <v>0</v>
      </c>
      <c r="BH31" s="223">
        <f t="shared" si="2"/>
        <v>0</v>
      </c>
      <c r="BI31" s="223">
        <f t="shared" si="2"/>
        <v>0</v>
      </c>
      <c r="BJ31" s="223">
        <f t="shared" si="2"/>
        <v>0</v>
      </c>
      <c r="BK31" s="223">
        <f t="shared" si="2"/>
        <v>0</v>
      </c>
      <c r="BL31" s="223">
        <f t="shared" si="2"/>
        <v>0</v>
      </c>
      <c r="BM31" s="223">
        <f t="shared" si="2"/>
        <v>0</v>
      </c>
      <c r="BN31" s="223">
        <f t="shared" si="2"/>
        <v>0</v>
      </c>
      <c r="BO31" s="223">
        <f t="shared" si="2"/>
        <v>0</v>
      </c>
      <c r="BP31" s="223">
        <f t="shared" si="2"/>
        <v>0</v>
      </c>
      <c r="BQ31" s="223">
        <f t="shared" si="2"/>
        <v>0</v>
      </c>
      <c r="BR31" s="223">
        <f t="shared" si="2"/>
        <v>0</v>
      </c>
      <c r="BS31" s="223">
        <f t="shared" si="2"/>
        <v>0</v>
      </c>
      <c r="BT31" s="223">
        <f t="shared" ref="BT31:CY31" si="3">SUM(BT7:BT30)</f>
        <v>0</v>
      </c>
      <c r="BU31" s="223">
        <f t="shared" si="3"/>
        <v>0</v>
      </c>
      <c r="BV31" s="223">
        <f t="shared" si="3"/>
        <v>0</v>
      </c>
      <c r="BW31" s="223">
        <f t="shared" si="3"/>
        <v>0</v>
      </c>
      <c r="BX31" s="223">
        <f t="shared" si="3"/>
        <v>0</v>
      </c>
      <c r="BY31" s="223">
        <f t="shared" si="3"/>
        <v>0</v>
      </c>
      <c r="BZ31" s="223">
        <f t="shared" si="3"/>
        <v>0</v>
      </c>
      <c r="CA31" s="223">
        <f t="shared" si="3"/>
        <v>0</v>
      </c>
      <c r="CB31" s="223">
        <f t="shared" si="3"/>
        <v>0</v>
      </c>
      <c r="CC31" s="223">
        <f t="shared" si="3"/>
        <v>0</v>
      </c>
      <c r="CD31" s="223">
        <f t="shared" si="3"/>
        <v>0</v>
      </c>
      <c r="CE31" s="223">
        <f t="shared" si="3"/>
        <v>0</v>
      </c>
      <c r="CF31" s="223">
        <f t="shared" si="3"/>
        <v>0</v>
      </c>
      <c r="CG31" s="223">
        <f t="shared" si="3"/>
        <v>0</v>
      </c>
      <c r="CH31" s="223">
        <f t="shared" si="3"/>
        <v>0</v>
      </c>
      <c r="CI31" s="223">
        <f t="shared" si="3"/>
        <v>0</v>
      </c>
      <c r="CJ31" s="223">
        <f t="shared" si="3"/>
        <v>0</v>
      </c>
      <c r="CK31" s="223">
        <f t="shared" si="3"/>
        <v>0</v>
      </c>
      <c r="CL31" s="223">
        <f t="shared" si="3"/>
        <v>0</v>
      </c>
      <c r="CM31" s="223">
        <f t="shared" si="3"/>
        <v>0</v>
      </c>
      <c r="CN31" s="223">
        <f t="shared" si="3"/>
        <v>0</v>
      </c>
      <c r="CO31" s="223">
        <f t="shared" si="3"/>
        <v>0</v>
      </c>
      <c r="CP31" s="223">
        <f t="shared" si="3"/>
        <v>0</v>
      </c>
      <c r="CQ31" s="223">
        <f t="shared" si="3"/>
        <v>0</v>
      </c>
      <c r="CR31" s="223">
        <f t="shared" si="3"/>
        <v>0</v>
      </c>
      <c r="CS31" s="223">
        <f t="shared" si="3"/>
        <v>0</v>
      </c>
      <c r="CT31" s="223">
        <f t="shared" si="3"/>
        <v>0</v>
      </c>
      <c r="CU31" s="223">
        <f t="shared" si="3"/>
        <v>0</v>
      </c>
      <c r="CV31" s="223">
        <f t="shared" si="3"/>
        <v>0</v>
      </c>
      <c r="CW31" s="223">
        <f t="shared" si="3"/>
        <v>0</v>
      </c>
      <c r="CX31" s="223">
        <f t="shared" si="3"/>
        <v>0</v>
      </c>
      <c r="CY31" s="223">
        <f t="shared" si="3"/>
        <v>0</v>
      </c>
      <c r="CZ31" s="223">
        <f t="shared" ref="CZ31:DV31" si="4">SUM(CZ7:CZ30)</f>
        <v>0</v>
      </c>
      <c r="DA31" s="223">
        <f t="shared" si="4"/>
        <v>0</v>
      </c>
      <c r="DB31" s="223">
        <f t="shared" si="4"/>
        <v>0</v>
      </c>
      <c r="DC31" s="223">
        <f t="shared" si="4"/>
        <v>0</v>
      </c>
      <c r="DD31" s="223">
        <f t="shared" si="4"/>
        <v>0</v>
      </c>
      <c r="DE31" s="223">
        <f t="shared" si="4"/>
        <v>0</v>
      </c>
      <c r="DF31" s="223">
        <f t="shared" si="4"/>
        <v>0</v>
      </c>
      <c r="DG31" s="223">
        <f t="shared" si="4"/>
        <v>0</v>
      </c>
      <c r="DH31" s="223">
        <f t="shared" si="4"/>
        <v>0</v>
      </c>
      <c r="DI31" s="223">
        <f t="shared" si="4"/>
        <v>0</v>
      </c>
      <c r="DJ31" s="223">
        <f t="shared" si="4"/>
        <v>0</v>
      </c>
      <c r="DK31" s="223">
        <f t="shared" si="4"/>
        <v>0</v>
      </c>
      <c r="DL31" s="223">
        <f t="shared" si="4"/>
        <v>0</v>
      </c>
      <c r="DM31" s="223">
        <f t="shared" si="4"/>
        <v>0</v>
      </c>
      <c r="DN31" s="223">
        <f t="shared" si="4"/>
        <v>0</v>
      </c>
      <c r="DO31" s="223">
        <f t="shared" si="4"/>
        <v>0</v>
      </c>
      <c r="DP31" s="223">
        <f t="shared" si="4"/>
        <v>0</v>
      </c>
      <c r="DQ31" s="223">
        <f t="shared" si="4"/>
        <v>0</v>
      </c>
      <c r="DR31" s="223">
        <f t="shared" si="4"/>
        <v>0</v>
      </c>
      <c r="DS31" s="223">
        <f t="shared" si="4"/>
        <v>0</v>
      </c>
      <c r="DT31" s="223">
        <f t="shared" si="4"/>
        <v>0</v>
      </c>
      <c r="DU31" s="223">
        <f t="shared" si="4"/>
        <v>0</v>
      </c>
      <c r="DV31" s="223">
        <f t="shared" si="4"/>
        <v>0</v>
      </c>
      <c r="DW31" s="223"/>
      <c r="DX31" s="223"/>
      <c r="DY31" s="223"/>
      <c r="DZ31" s="223"/>
      <c r="EA31" s="223"/>
      <c r="EB31" s="223"/>
      <c r="EC31" s="223"/>
      <c r="ED31" s="223"/>
      <c r="EE31" s="223"/>
      <c r="EF31" s="223"/>
      <c r="EG31" s="223"/>
      <c r="EH31" s="223"/>
      <c r="EI31" s="223"/>
      <c r="EJ31" s="223"/>
      <c r="EK31" s="223"/>
      <c r="EL31" s="223"/>
      <c r="EM31" s="223"/>
      <c r="EN31" s="223"/>
      <c r="EO31" s="223"/>
      <c r="EP31" s="223"/>
      <c r="EQ31" s="223"/>
      <c r="ER31" s="223"/>
      <c r="ES31" s="223"/>
      <c r="ET31" s="223"/>
      <c r="EU31" s="223"/>
      <c r="EV31" s="223"/>
      <c r="EW31" s="223"/>
      <c r="EX31" s="223"/>
      <c r="EY31" s="223"/>
      <c r="EZ31" s="223"/>
      <c r="FA31" s="223"/>
      <c r="FB31" s="223"/>
      <c r="FC31" s="223"/>
      <c r="FD31" s="223"/>
      <c r="FE31" s="223"/>
      <c r="FF31" s="223"/>
      <c r="FG31" s="223"/>
      <c r="FH31" s="223"/>
      <c r="FI31" s="223"/>
      <c r="FJ31" s="223"/>
      <c r="FK31" s="223"/>
      <c r="FL31" s="223"/>
      <c r="FM31" s="223"/>
      <c r="FN31" s="223"/>
      <c r="FO31" s="223"/>
      <c r="FP31" s="223"/>
      <c r="FQ31" s="223"/>
      <c r="FR31" s="223"/>
      <c r="FS31" s="223"/>
      <c r="FT31" s="223"/>
      <c r="FU31" s="223"/>
      <c r="FV31" s="223"/>
      <c r="FW31" s="223"/>
      <c r="FX31" s="223"/>
      <c r="FY31" s="223"/>
      <c r="FZ31" s="223"/>
      <c r="GA31" s="223"/>
      <c r="GB31" s="223"/>
      <c r="GC31" s="223"/>
      <c r="GD31" s="223"/>
      <c r="GE31" s="223"/>
      <c r="GF31" s="223"/>
      <c r="GG31" s="223"/>
      <c r="GH31" s="223"/>
      <c r="GI31" s="223"/>
      <c r="GJ31" s="223"/>
      <c r="GK31" s="223"/>
      <c r="GL31" s="223"/>
      <c r="GM31" s="223"/>
      <c r="GN31" s="223"/>
      <c r="GO31" s="223"/>
      <c r="GP31" s="223"/>
      <c r="GQ31" s="223"/>
      <c r="GR31" s="223"/>
      <c r="GS31" s="223"/>
      <c r="GT31" s="223"/>
      <c r="GU31" s="223"/>
      <c r="GV31" s="223"/>
      <c r="GW31" s="223"/>
      <c r="GX31" s="223"/>
      <c r="GY31" s="223"/>
      <c r="GZ31" s="223"/>
      <c r="HA31" s="223"/>
      <c r="HB31" s="223"/>
      <c r="HC31" s="223"/>
      <c r="HD31" s="223"/>
      <c r="HE31" s="223"/>
      <c r="HF31" s="223"/>
      <c r="HG31" s="223"/>
      <c r="HH31" s="223"/>
      <c r="HI31" s="223"/>
      <c r="HJ31" s="223"/>
      <c r="HK31" s="223"/>
      <c r="HL31" s="223"/>
      <c r="HM31" s="223"/>
      <c r="HN31" s="223"/>
      <c r="HO31" s="223"/>
      <c r="HP31" s="223"/>
      <c r="HQ31" s="223"/>
      <c r="HR31" s="223"/>
      <c r="HS31" s="223"/>
      <c r="HT31" s="223"/>
      <c r="HU31" s="223"/>
      <c r="HV31" s="223"/>
      <c r="HW31" s="223"/>
      <c r="HX31" s="223"/>
      <c r="HY31" s="223"/>
      <c r="HZ31" s="223"/>
      <c r="IA31" s="223"/>
      <c r="IB31" s="223"/>
      <c r="IC31" s="223"/>
      <c r="ID31" s="223"/>
      <c r="IE31" s="223"/>
      <c r="IF31" s="223"/>
      <c r="IG31" s="223"/>
      <c r="IH31" s="223"/>
      <c r="II31" s="223"/>
      <c r="IJ31" s="223"/>
      <c r="IK31" s="223"/>
      <c r="IL31" s="223"/>
      <c r="IM31" s="223"/>
      <c r="IN31" s="223"/>
      <c r="IO31" s="223"/>
      <c r="IP31" s="223"/>
      <c r="IQ31" s="223"/>
      <c r="IR31" s="223"/>
      <c r="IS31" s="223"/>
      <c r="IT31" s="223"/>
      <c r="IU31" s="223"/>
      <c r="IV31" s="223"/>
      <c r="IW31" s="223"/>
      <c r="IX31" s="223"/>
    </row>
    <row r="32" spans="1:258"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Q30">
    <cfRule type="expression" dxfId="587" priority="1184">
      <formula xml:space="preserve"> INDIRECT(CHAR(COLUMN()+96) &amp; 4) = TODAY() * NOT(ISBLANK(INDIRECT(CHAR(COLUMN()+96) &amp; ROW())))</formula>
    </cfRule>
    <cfRule type="expression" dxfId="586" priority="1187">
      <formula xml:space="preserve"> INDIRECT(CHAR(COLUMN()+96) &amp; 4) = TODAY() * ISBLANK(INDIRECT(CHAR(COLUMN()+96) &amp; ROW()))</formula>
    </cfRule>
  </conditionalFormatting>
  <conditionalFormatting sqref="A4:XFD6">
    <cfRule type="timePeriod" dxfId="585" priority="1190" timePeriod="today">
      <formula>FLOOR(A4,1)=TODAY()</formula>
    </cfRule>
    <cfRule type="timePeriod" dxfId="584" priority="1191" timePeriod="tomorrow">
      <formula>FLOOR(A4,1)=TODAY()+1</formula>
    </cfRule>
    <cfRule type="timePeriod" dxfId="583" priority="1192" timePeriod="yesterday">
      <formula>FLOOR(A4,1)=TODAY()-1</formula>
    </cfRule>
  </conditionalFormatting>
  <conditionalFormatting sqref="A7:IX30">
    <cfRule type="expression" dxfId="582" priority="1163">
      <formula>INDIRECT("A"&amp;3) = INDIRECT("A"&amp;ROW())</formula>
    </cfRule>
  </conditionalFormatting>
  <conditionalFormatting sqref="A2:A3 A1:XFD1 B2:XFD2">
    <cfRule type="expression" dxfId="581" priority="1164">
      <formula xml:space="preserve"> INDIRECT(CHAR(COLUMN()+96) &amp; 4) = TODAY() * ISBLANK(INDIRECT(CHAR(COLUMN()+96) &amp; ROW()))</formula>
    </cfRule>
  </conditionalFormatting>
  <conditionalFormatting sqref="A31:XFD31 C7:IW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128" zoomScaleNormal="100" workbookViewId="0">
      <selection activeCell="D134" sqref="D134"/>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329</v>
      </c>
      <c r="D31" s="87" t="s">
        <v>331</v>
      </c>
      <c r="E31" s="87" t="s">
        <v>330</v>
      </c>
      <c r="F31" s="92">
        <v>16</v>
      </c>
      <c r="G31" s="93"/>
      <c r="H31" s="93"/>
      <c r="I31" s="93"/>
      <c r="J31" s="94"/>
    </row>
    <row r="32" spans="1:10" ht="162.75" customHeight="1" x14ac:dyDescent="0.25">
      <c r="A32" s="42">
        <v>24</v>
      </c>
      <c r="B32" s="81">
        <v>43156</v>
      </c>
      <c r="C32" s="91" t="s">
        <v>332</v>
      </c>
      <c r="D32" s="87" t="s">
        <v>334</v>
      </c>
      <c r="E32" s="87" t="s">
        <v>333</v>
      </c>
      <c r="F32" s="92"/>
      <c r="G32" s="93"/>
      <c r="H32" s="93"/>
      <c r="I32" s="93"/>
      <c r="J32" s="94"/>
    </row>
    <row r="33" spans="1:10" ht="108" x14ac:dyDescent="0.25">
      <c r="A33" s="42">
        <v>25</v>
      </c>
      <c r="B33" s="81">
        <v>43157</v>
      </c>
      <c r="C33" s="91"/>
      <c r="D33" s="87" t="s">
        <v>343</v>
      </c>
      <c r="E33" s="87"/>
      <c r="F33" s="92"/>
      <c r="G33" s="93"/>
      <c r="H33" s="93"/>
      <c r="I33" s="93"/>
      <c r="J33" s="94"/>
    </row>
    <row r="34" spans="1:10" ht="161.25" customHeight="1" x14ac:dyDescent="0.25">
      <c r="A34" s="42">
        <v>26</v>
      </c>
      <c r="B34" s="81">
        <v>43158</v>
      </c>
      <c r="C34" s="91"/>
      <c r="D34" s="87" t="s">
        <v>347</v>
      </c>
      <c r="E34" s="87" t="s">
        <v>348</v>
      </c>
      <c r="F34" s="92"/>
      <c r="G34" s="93"/>
      <c r="H34" s="93"/>
      <c r="I34" s="93"/>
      <c r="J34" s="94"/>
    </row>
    <row r="35" spans="1:10" ht="129" customHeight="1" x14ac:dyDescent="0.25">
      <c r="A35" s="42">
        <v>27</v>
      </c>
      <c r="B35" s="81">
        <v>43159</v>
      </c>
      <c r="C35" s="91"/>
      <c r="D35" s="87" t="s">
        <v>349</v>
      </c>
      <c r="E35" s="87" t="s">
        <v>350</v>
      </c>
      <c r="F35" s="92"/>
      <c r="G35" s="93"/>
      <c r="H35" s="93"/>
      <c r="I35" s="93"/>
      <c r="J35" s="94"/>
    </row>
    <row r="36" spans="1:10" ht="171.2" customHeight="1" x14ac:dyDescent="0.25">
      <c r="A36" s="42">
        <v>28</v>
      </c>
      <c r="B36" s="81">
        <v>43160</v>
      </c>
      <c r="C36" s="91"/>
      <c r="D36" s="87" t="s">
        <v>352</v>
      </c>
      <c r="E36" s="87" t="s">
        <v>351</v>
      </c>
      <c r="F36" s="92"/>
      <c r="G36" s="93"/>
      <c r="H36" s="93"/>
      <c r="I36" s="93"/>
      <c r="J36" s="94"/>
    </row>
    <row r="37" spans="1:10" ht="36" x14ac:dyDescent="0.25">
      <c r="A37" s="42">
        <v>29</v>
      </c>
      <c r="B37" s="81">
        <v>43161</v>
      </c>
      <c r="C37" s="91"/>
      <c r="D37" s="87" t="s">
        <v>353</v>
      </c>
      <c r="E37" s="87"/>
      <c r="F37" s="92"/>
      <c r="G37" s="93"/>
      <c r="H37" s="93"/>
      <c r="I37" s="93"/>
      <c r="J37" s="94"/>
    </row>
    <row r="38" spans="1:10" ht="114" customHeight="1" x14ac:dyDescent="0.25">
      <c r="A38" s="42">
        <v>30</v>
      </c>
      <c r="B38" s="81">
        <v>43162</v>
      </c>
      <c r="C38" s="91" t="s">
        <v>356</v>
      </c>
      <c r="D38" s="87" t="s">
        <v>354</v>
      </c>
      <c r="E38" s="96" t="s">
        <v>355</v>
      </c>
      <c r="F38" s="92"/>
      <c r="G38" s="93"/>
      <c r="H38" s="93"/>
      <c r="I38" s="93"/>
      <c r="J38" s="94"/>
    </row>
    <row r="39" spans="1:10" ht="189.95" customHeight="1" x14ac:dyDescent="0.25">
      <c r="A39" s="42">
        <v>31</v>
      </c>
      <c r="B39" s="81">
        <v>43163</v>
      </c>
      <c r="C39" s="91"/>
      <c r="D39" s="87" t="s">
        <v>357</v>
      </c>
      <c r="E39" s="96" t="s">
        <v>358</v>
      </c>
      <c r="F39" s="92"/>
      <c r="G39" s="93"/>
      <c r="H39" s="93"/>
      <c r="I39" s="93"/>
      <c r="J39" s="94"/>
    </row>
    <row r="40" spans="1:10" ht="209.45" customHeight="1" x14ac:dyDescent="0.25">
      <c r="A40" s="42">
        <v>32</v>
      </c>
      <c r="B40" s="81">
        <v>43164</v>
      </c>
      <c r="C40" s="91"/>
      <c r="D40" s="87" t="s">
        <v>359</v>
      </c>
      <c r="E40" s="96" t="s">
        <v>358</v>
      </c>
      <c r="F40" s="92"/>
      <c r="G40" s="93"/>
      <c r="H40" s="93"/>
      <c r="I40" s="93"/>
      <c r="J40" s="94"/>
    </row>
    <row r="41" spans="1:10" ht="123.75" customHeight="1" x14ac:dyDescent="0.25">
      <c r="A41" s="42">
        <v>33</v>
      </c>
      <c r="B41" s="81">
        <v>43165</v>
      </c>
      <c r="C41" s="91"/>
      <c r="D41" s="87" t="s">
        <v>381</v>
      </c>
      <c r="E41" s="96" t="s">
        <v>358</v>
      </c>
      <c r="F41" s="92"/>
      <c r="G41" s="93"/>
      <c r="H41" s="93"/>
      <c r="I41" s="93"/>
      <c r="J41" s="94"/>
    </row>
    <row r="42" spans="1:10" ht="60" customHeight="1" x14ac:dyDescent="0.25">
      <c r="A42" s="42">
        <v>34</v>
      </c>
      <c r="B42" s="81">
        <v>43166</v>
      </c>
      <c r="C42" s="91"/>
      <c r="D42" s="87" t="s">
        <v>382</v>
      </c>
      <c r="E42" s="96" t="s">
        <v>358</v>
      </c>
      <c r="F42" s="92"/>
      <c r="G42" s="93"/>
      <c r="H42" s="93"/>
      <c r="I42" s="93"/>
      <c r="J42" s="94"/>
    </row>
    <row r="43" spans="1:10" x14ac:dyDescent="0.25">
      <c r="A43" s="42">
        <v>35</v>
      </c>
      <c r="B43" s="81">
        <v>43167</v>
      </c>
      <c r="C43" s="91"/>
      <c r="D43" s="87" t="s">
        <v>387</v>
      </c>
      <c r="E43" s="96" t="s">
        <v>358</v>
      </c>
      <c r="F43" s="92"/>
      <c r="G43" s="93"/>
      <c r="H43" s="93"/>
      <c r="I43" s="93"/>
      <c r="J43" s="94"/>
    </row>
    <row r="44" spans="1:10" ht="85.5" customHeight="1" x14ac:dyDescent="0.25">
      <c r="A44" s="42">
        <v>36</v>
      </c>
      <c r="B44" s="81">
        <v>43168</v>
      </c>
      <c r="C44" s="91"/>
      <c r="D44" s="87" t="s">
        <v>388</v>
      </c>
      <c r="E44" s="96" t="s">
        <v>358</v>
      </c>
      <c r="F44" s="92"/>
      <c r="G44" s="93"/>
      <c r="H44" s="93"/>
      <c r="I44" s="93"/>
      <c r="J44" s="94"/>
    </row>
    <row r="45" spans="1:10" ht="120" x14ac:dyDescent="0.25">
      <c r="A45" s="42">
        <v>37</v>
      </c>
      <c r="B45" s="81">
        <v>43169</v>
      </c>
      <c r="C45" s="91"/>
      <c r="D45" s="87" t="s">
        <v>391</v>
      </c>
      <c r="E45" s="96" t="s">
        <v>358</v>
      </c>
      <c r="F45" s="92"/>
      <c r="G45" s="93"/>
      <c r="H45" s="93"/>
      <c r="I45" s="93"/>
      <c r="J45" s="94"/>
    </row>
    <row r="46" spans="1:10" ht="85.5" customHeight="1" x14ac:dyDescent="0.25">
      <c r="A46" s="42">
        <v>38</v>
      </c>
      <c r="B46" s="81">
        <v>43170</v>
      </c>
      <c r="C46" s="91"/>
      <c r="D46" s="87" t="s">
        <v>392</v>
      </c>
      <c r="E46" s="96" t="s">
        <v>393</v>
      </c>
      <c r="F46" s="92"/>
      <c r="G46" s="93"/>
      <c r="H46" s="93"/>
      <c r="I46" s="93"/>
      <c r="J46" s="94"/>
    </row>
    <row r="47" spans="1:10" ht="102.2" customHeight="1" x14ac:dyDescent="0.25">
      <c r="A47" s="42">
        <v>39</v>
      </c>
      <c r="B47" s="81">
        <v>43171</v>
      </c>
      <c r="C47" s="91"/>
      <c r="D47" s="87" t="s">
        <v>394</v>
      </c>
      <c r="E47" s="87"/>
      <c r="F47" s="92"/>
      <c r="G47" s="93"/>
      <c r="H47" s="93"/>
      <c r="I47" s="93"/>
      <c r="J47" s="94"/>
    </row>
    <row r="48" spans="1:10" ht="183" customHeight="1" x14ac:dyDescent="0.25">
      <c r="A48" s="42">
        <v>40</v>
      </c>
      <c r="B48" s="81">
        <v>43172</v>
      </c>
      <c r="C48" s="91"/>
      <c r="D48" s="87" t="s">
        <v>397</v>
      </c>
      <c r="E48" s="87" t="s">
        <v>395</v>
      </c>
      <c r="F48" s="92"/>
      <c r="G48" s="93"/>
      <c r="H48" s="93"/>
      <c r="I48" s="93"/>
      <c r="J48" s="94"/>
    </row>
    <row r="49" spans="1:10" ht="69" customHeight="1" x14ac:dyDescent="0.25">
      <c r="A49" s="42">
        <v>41</v>
      </c>
      <c r="B49" s="81">
        <v>43173</v>
      </c>
      <c r="C49" s="91"/>
      <c r="D49" s="87" t="s">
        <v>398</v>
      </c>
      <c r="E49" s="87"/>
      <c r="F49" s="92"/>
      <c r="G49" s="93"/>
      <c r="H49" s="93"/>
      <c r="I49" s="93"/>
      <c r="J49" s="94"/>
    </row>
    <row r="50" spans="1:10" s="198" customFormat="1" ht="174.75" customHeight="1" x14ac:dyDescent="0.25">
      <c r="A50" s="42">
        <v>42</v>
      </c>
      <c r="B50" s="199">
        <v>43174</v>
      </c>
      <c r="C50" s="200"/>
      <c r="D50" s="201" t="s">
        <v>399</v>
      </c>
      <c r="E50" s="205" t="s">
        <v>519</v>
      </c>
      <c r="F50" s="202"/>
      <c r="G50" s="203"/>
      <c r="H50" s="203"/>
      <c r="I50" s="203"/>
      <c r="J50" s="204"/>
    </row>
    <row r="51" spans="1:10" ht="108" customHeight="1" x14ac:dyDescent="0.25">
      <c r="A51" s="42">
        <v>43</v>
      </c>
      <c r="B51" s="81">
        <v>43175</v>
      </c>
      <c r="C51" s="91"/>
      <c r="D51" s="87" t="s">
        <v>400</v>
      </c>
      <c r="E51" s="87"/>
      <c r="F51" s="92"/>
      <c r="G51" s="93"/>
      <c r="H51" s="93"/>
      <c r="I51" s="93"/>
      <c r="J51" s="94"/>
    </row>
    <row r="52" spans="1:10" ht="120.2" customHeight="1" x14ac:dyDescent="0.25">
      <c r="A52" s="42">
        <v>44</v>
      </c>
      <c r="B52" s="81">
        <v>43176</v>
      </c>
      <c r="C52" s="91"/>
      <c r="D52" s="87" t="s">
        <v>423</v>
      </c>
      <c r="E52" s="87"/>
      <c r="F52" s="92"/>
      <c r="G52" s="93"/>
      <c r="H52" s="93"/>
      <c r="I52" s="93"/>
      <c r="J52" s="94"/>
    </row>
    <row r="53" spans="1:10" ht="139.5" customHeight="1" x14ac:dyDescent="0.25">
      <c r="A53" s="42">
        <v>45</v>
      </c>
      <c r="B53" s="81">
        <v>43177</v>
      </c>
      <c r="C53" s="91"/>
      <c r="D53" s="87" t="s">
        <v>424</v>
      </c>
      <c r="E53" s="87"/>
      <c r="F53" s="92"/>
      <c r="G53" s="93"/>
      <c r="H53" s="93"/>
      <c r="I53" s="93"/>
      <c r="J53" s="94"/>
    </row>
    <row r="54" spans="1:10" ht="24" x14ac:dyDescent="0.25">
      <c r="A54" s="42">
        <v>46</v>
      </c>
      <c r="B54" s="81">
        <v>43178</v>
      </c>
      <c r="C54" s="91"/>
      <c r="D54" s="87" t="s">
        <v>433</v>
      </c>
      <c r="E54" s="87"/>
      <c r="F54" s="92"/>
      <c r="G54" s="93"/>
      <c r="H54" s="93"/>
      <c r="I54" s="93"/>
      <c r="J54" s="94"/>
    </row>
    <row r="55" spans="1:10" ht="132" x14ac:dyDescent="0.25">
      <c r="A55" s="42">
        <v>47</v>
      </c>
      <c r="B55" s="81">
        <v>43179</v>
      </c>
      <c r="C55" s="91"/>
      <c r="D55" s="87" t="s">
        <v>434</v>
      </c>
      <c r="E55" s="87" t="s">
        <v>435</v>
      </c>
      <c r="F55" s="92"/>
      <c r="G55" s="93"/>
      <c r="H55" s="93"/>
      <c r="I55" s="93"/>
      <c r="J55" s="94"/>
    </row>
    <row r="56" spans="1:10" ht="227.45" customHeight="1" x14ac:dyDescent="0.25">
      <c r="A56" s="42">
        <v>48</v>
      </c>
      <c r="B56" s="81">
        <v>43180</v>
      </c>
      <c r="C56" s="91"/>
      <c r="D56" s="87" t="s">
        <v>436</v>
      </c>
      <c r="E56" s="87" t="s">
        <v>437</v>
      </c>
      <c r="F56" s="92"/>
      <c r="G56" s="93"/>
      <c r="H56" s="93"/>
      <c r="I56" s="93"/>
      <c r="J56" s="94"/>
    </row>
    <row r="57" spans="1:10" ht="151.5" customHeight="1" x14ac:dyDescent="0.25">
      <c r="A57" s="42">
        <v>49</v>
      </c>
      <c r="B57" s="81">
        <v>43181</v>
      </c>
      <c r="C57" s="91"/>
      <c r="D57" s="87" t="s">
        <v>438</v>
      </c>
      <c r="E57" s="87" t="s">
        <v>439</v>
      </c>
      <c r="F57" s="92"/>
      <c r="G57" s="93"/>
      <c r="H57" s="93"/>
      <c r="I57" s="93"/>
      <c r="J57" s="94"/>
    </row>
    <row r="58" spans="1:10" ht="409.5" customHeight="1" x14ac:dyDescent="0.25">
      <c r="A58" s="42">
        <v>50</v>
      </c>
      <c r="B58" s="81">
        <v>43182</v>
      </c>
      <c r="C58" s="91"/>
      <c r="D58" s="87" t="s">
        <v>440</v>
      </c>
      <c r="E58" s="87" t="s">
        <v>441</v>
      </c>
      <c r="F58" s="92"/>
      <c r="G58" s="93"/>
      <c r="H58" s="93"/>
      <c r="I58" s="93"/>
      <c r="J58" s="94"/>
    </row>
    <row r="59" spans="1:10" ht="146.25" customHeight="1" x14ac:dyDescent="0.25">
      <c r="A59" s="42">
        <v>51</v>
      </c>
      <c r="B59" s="81">
        <v>43183</v>
      </c>
      <c r="C59" s="91"/>
      <c r="D59" s="87" t="s">
        <v>453</v>
      </c>
      <c r="E59" s="87" t="s">
        <v>454</v>
      </c>
      <c r="F59" s="92"/>
      <c r="G59" s="93"/>
      <c r="H59" s="93"/>
      <c r="I59" s="93"/>
      <c r="J59" s="94"/>
    </row>
    <row r="60" spans="1:10" ht="147.75" customHeight="1" x14ac:dyDescent="0.25">
      <c r="A60" s="42">
        <v>52</v>
      </c>
      <c r="B60" s="81">
        <v>43184</v>
      </c>
      <c r="C60" s="91"/>
      <c r="D60" s="87" t="s">
        <v>463</v>
      </c>
      <c r="E60" s="87" t="s">
        <v>455</v>
      </c>
      <c r="F60" s="92"/>
      <c r="G60" s="93"/>
      <c r="H60" s="93"/>
      <c r="I60" s="93"/>
      <c r="J60" s="94"/>
    </row>
    <row r="61" spans="1:10" ht="63.2" customHeight="1" x14ac:dyDescent="0.25">
      <c r="A61" s="42">
        <v>53</v>
      </c>
      <c r="B61" s="81">
        <v>43185</v>
      </c>
      <c r="C61" s="91"/>
      <c r="D61" s="87" t="s">
        <v>456</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465</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457</v>
      </c>
      <c r="E65" s="87"/>
      <c r="F65" s="92"/>
      <c r="G65" s="93"/>
      <c r="H65" s="93"/>
      <c r="I65" s="93"/>
      <c r="J65" s="94"/>
    </row>
    <row r="66" spans="1:10" ht="181.5" customHeight="1" x14ac:dyDescent="0.25">
      <c r="A66" s="42">
        <v>58</v>
      </c>
      <c r="B66" s="81">
        <v>43190</v>
      </c>
      <c r="C66" s="91" t="s">
        <v>460</v>
      </c>
      <c r="D66" s="87" t="s">
        <v>458</v>
      </c>
      <c r="E66" s="87" t="s">
        <v>459</v>
      </c>
      <c r="F66" s="92"/>
      <c r="G66" s="93"/>
      <c r="H66" s="93"/>
      <c r="I66" s="93"/>
      <c r="J66" s="94"/>
    </row>
    <row r="67" spans="1:10" ht="299.45" customHeight="1" x14ac:dyDescent="0.25">
      <c r="A67" s="42">
        <v>59</v>
      </c>
      <c r="B67" s="81">
        <v>43191</v>
      </c>
      <c r="C67" s="91" t="s">
        <v>461</v>
      </c>
      <c r="D67" s="87" t="s">
        <v>462</v>
      </c>
      <c r="E67" s="87" t="s">
        <v>464</v>
      </c>
      <c r="F67" s="92"/>
      <c r="G67" s="93"/>
      <c r="H67" s="93"/>
      <c r="I67" s="93"/>
      <c r="J67" s="94"/>
    </row>
    <row r="68" spans="1:10" ht="24" x14ac:dyDescent="0.25">
      <c r="A68" s="42">
        <v>60</v>
      </c>
      <c r="B68" s="81">
        <v>43192</v>
      </c>
      <c r="C68" s="91"/>
      <c r="D68" s="87" t="s">
        <v>466</v>
      </c>
      <c r="E68" s="87"/>
      <c r="F68" s="92"/>
      <c r="G68" s="93"/>
      <c r="H68" s="93"/>
      <c r="I68" s="93"/>
      <c r="J68" s="94"/>
    </row>
    <row r="69" spans="1:10" ht="201.75" customHeight="1" x14ac:dyDescent="0.25">
      <c r="A69" s="42">
        <v>61</v>
      </c>
      <c r="B69" s="81">
        <v>43193</v>
      </c>
      <c r="C69" s="91" t="s">
        <v>469</v>
      </c>
      <c r="D69" s="87" t="s">
        <v>467</v>
      </c>
      <c r="E69" s="87" t="s">
        <v>468</v>
      </c>
      <c r="F69" s="92"/>
      <c r="G69" s="93"/>
      <c r="H69" s="93"/>
      <c r="I69" s="93"/>
      <c r="J69" s="94"/>
    </row>
    <row r="70" spans="1:10" ht="96" x14ac:dyDescent="0.25">
      <c r="A70" s="42">
        <v>62</v>
      </c>
      <c r="B70" s="81">
        <v>43194</v>
      </c>
      <c r="C70" s="91"/>
      <c r="D70" s="87"/>
      <c r="E70" s="87" t="s">
        <v>470</v>
      </c>
      <c r="F70" s="92"/>
      <c r="G70" s="93"/>
      <c r="H70" s="93"/>
      <c r="I70" s="93"/>
      <c r="J70" s="94"/>
    </row>
    <row r="71" spans="1:10" ht="48" x14ac:dyDescent="0.25">
      <c r="A71" s="42">
        <v>63</v>
      </c>
      <c r="B71" s="81">
        <v>43195</v>
      </c>
      <c r="C71" s="91"/>
      <c r="D71" s="87" t="s">
        <v>471</v>
      </c>
      <c r="E71" s="87"/>
      <c r="F71" s="92"/>
      <c r="G71" s="93"/>
      <c r="H71" s="93"/>
      <c r="I71" s="93"/>
      <c r="J71" s="94"/>
    </row>
    <row r="72" spans="1:10" ht="24" x14ac:dyDescent="0.25">
      <c r="A72" s="42">
        <v>64</v>
      </c>
      <c r="B72" s="81">
        <v>43196</v>
      </c>
      <c r="C72" s="91"/>
      <c r="D72" s="87" t="s">
        <v>472</v>
      </c>
      <c r="E72" s="87"/>
      <c r="F72" s="92"/>
      <c r="G72" s="93"/>
      <c r="H72" s="93"/>
      <c r="I72" s="93"/>
      <c r="J72" s="94"/>
    </row>
    <row r="73" spans="1:10" ht="36" x14ac:dyDescent="0.25">
      <c r="A73" s="42">
        <v>65</v>
      </c>
      <c r="B73" s="81">
        <v>43197</v>
      </c>
      <c r="C73" s="91"/>
      <c r="D73" s="87" t="s">
        <v>473</v>
      </c>
      <c r="E73" s="87"/>
      <c r="F73" s="92"/>
      <c r="G73" s="93"/>
      <c r="H73" s="93"/>
      <c r="I73" s="93"/>
      <c r="J73" s="94"/>
    </row>
    <row r="74" spans="1:10" ht="96" x14ac:dyDescent="0.25">
      <c r="A74" s="42">
        <v>66</v>
      </c>
      <c r="B74" s="81">
        <v>43198</v>
      </c>
      <c r="C74" s="91"/>
      <c r="D74" s="87" t="s">
        <v>474</v>
      </c>
      <c r="E74" s="87"/>
      <c r="F74" s="92"/>
      <c r="G74" s="93"/>
      <c r="H74" s="93"/>
      <c r="I74" s="93"/>
      <c r="J74" s="94"/>
    </row>
    <row r="75" spans="1:10" ht="408" x14ac:dyDescent="0.25">
      <c r="A75" s="42">
        <v>67</v>
      </c>
      <c r="B75" s="81">
        <v>43199</v>
      </c>
      <c r="C75" s="91" t="s">
        <v>475</v>
      </c>
      <c r="D75" s="87" t="s">
        <v>476</v>
      </c>
      <c r="E75" s="87" t="s">
        <v>477</v>
      </c>
      <c r="F75" s="92"/>
      <c r="G75" s="93"/>
      <c r="H75" s="93"/>
      <c r="I75" s="93"/>
      <c r="J75" s="94"/>
    </row>
    <row r="76" spans="1:10" ht="48" x14ac:dyDescent="0.25">
      <c r="A76" s="42">
        <v>68</v>
      </c>
      <c r="B76" s="81">
        <v>43200</v>
      </c>
      <c r="C76" s="91"/>
      <c r="D76" s="87" t="s">
        <v>478</v>
      </c>
      <c r="E76" s="87"/>
      <c r="F76" s="92"/>
      <c r="G76" s="93"/>
      <c r="H76" s="93"/>
      <c r="I76" s="93"/>
      <c r="J76" s="94"/>
    </row>
    <row r="77" spans="1:10" ht="132" x14ac:dyDescent="0.25">
      <c r="A77" s="42">
        <v>69</v>
      </c>
      <c r="B77" s="81">
        <v>43201</v>
      </c>
      <c r="C77" s="91"/>
      <c r="D77" s="87" t="s">
        <v>479</v>
      </c>
      <c r="E77" s="87" t="s">
        <v>480</v>
      </c>
      <c r="F77" s="92"/>
      <c r="G77" s="93"/>
      <c r="H77" s="93"/>
      <c r="I77" s="93"/>
      <c r="J77" s="94"/>
    </row>
    <row r="78" spans="1:10" ht="72" x14ac:dyDescent="0.25">
      <c r="A78" s="42">
        <v>70</v>
      </c>
      <c r="B78" s="81">
        <v>43202</v>
      </c>
      <c r="C78" s="91"/>
      <c r="D78" s="87" t="s">
        <v>481</v>
      </c>
      <c r="E78" s="87" t="s">
        <v>482</v>
      </c>
      <c r="F78" s="92"/>
      <c r="G78" s="93"/>
      <c r="H78" s="93"/>
      <c r="I78" s="93"/>
      <c r="J78" s="94"/>
    </row>
    <row r="79" spans="1:10" x14ac:dyDescent="0.25">
      <c r="A79" s="42">
        <v>71</v>
      </c>
      <c r="B79" s="81">
        <v>43203</v>
      </c>
      <c r="C79" s="91"/>
      <c r="D79" s="87"/>
      <c r="E79" s="87" t="s">
        <v>483</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484</v>
      </c>
      <c r="F81" s="92"/>
      <c r="G81" s="93"/>
      <c r="H81" s="93"/>
      <c r="I81" s="93"/>
      <c r="J81" s="94"/>
    </row>
    <row r="82" spans="1:10" ht="24" x14ac:dyDescent="0.25">
      <c r="A82" s="42">
        <v>74</v>
      </c>
      <c r="B82" s="81">
        <v>43206</v>
      </c>
      <c r="C82" s="91"/>
      <c r="D82" s="87"/>
      <c r="E82" s="87" t="s">
        <v>485</v>
      </c>
      <c r="F82" s="92"/>
      <c r="G82" s="93"/>
      <c r="H82" s="93"/>
      <c r="I82" s="93"/>
      <c r="J82" s="94"/>
    </row>
    <row r="83" spans="1:10" ht="162.6" customHeight="1" x14ac:dyDescent="0.25">
      <c r="A83" s="42">
        <v>75</v>
      </c>
      <c r="B83" s="81">
        <v>43207</v>
      </c>
      <c r="C83" s="91" t="s">
        <v>490</v>
      </c>
      <c r="D83" s="87" t="s">
        <v>488</v>
      </c>
      <c r="E83" s="87"/>
      <c r="F83" s="92"/>
      <c r="G83" s="93"/>
      <c r="H83" s="93"/>
      <c r="I83" s="93"/>
      <c r="J83" s="94"/>
    </row>
    <row r="84" spans="1:10" x14ac:dyDescent="0.25">
      <c r="A84" s="42">
        <v>76</v>
      </c>
      <c r="B84" s="81">
        <v>43208</v>
      </c>
      <c r="C84" s="91"/>
      <c r="D84" s="87" t="s">
        <v>495</v>
      </c>
      <c r="E84" s="87"/>
      <c r="F84" s="92"/>
      <c r="G84" s="93"/>
      <c r="H84" s="93"/>
      <c r="I84" s="93"/>
      <c r="J84" s="94"/>
    </row>
    <row r="85" spans="1:10" ht="96" x14ac:dyDescent="0.25">
      <c r="A85" s="42">
        <v>77</v>
      </c>
      <c r="B85" s="81">
        <v>43209</v>
      </c>
      <c r="C85" s="91" t="s">
        <v>497</v>
      </c>
      <c r="D85" s="87" t="s">
        <v>499</v>
      </c>
      <c r="E85" s="87" t="s">
        <v>498</v>
      </c>
      <c r="F85" s="92"/>
      <c r="G85" s="93"/>
      <c r="H85" s="93"/>
      <c r="I85" s="93"/>
      <c r="J85" s="94"/>
    </row>
    <row r="86" spans="1:10" ht="144" x14ac:dyDescent="0.25">
      <c r="A86" s="42">
        <v>78</v>
      </c>
      <c r="B86" s="81">
        <v>43210</v>
      </c>
      <c r="C86" s="91" t="s">
        <v>502</v>
      </c>
      <c r="D86" s="87" t="s">
        <v>500</v>
      </c>
      <c r="E86" s="87" t="s">
        <v>501</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503</v>
      </c>
      <c r="F89" s="92"/>
      <c r="G89" s="93"/>
      <c r="H89" s="93"/>
      <c r="I89" s="93"/>
      <c r="J89" s="94"/>
    </row>
    <row r="90" spans="1:10" ht="409.5" x14ac:dyDescent="0.25">
      <c r="A90" s="42">
        <v>82</v>
      </c>
      <c r="B90" s="81">
        <v>43214</v>
      </c>
      <c r="C90" s="91" t="s">
        <v>505</v>
      </c>
      <c r="D90" s="87" t="s">
        <v>504</v>
      </c>
      <c r="E90" s="87" t="s">
        <v>506</v>
      </c>
      <c r="F90" s="92"/>
      <c r="G90" s="93"/>
      <c r="H90" s="93"/>
      <c r="I90" s="93"/>
      <c r="J90" s="94"/>
    </row>
    <row r="91" spans="1:10" ht="36" x14ac:dyDescent="0.25">
      <c r="A91" s="42">
        <v>83</v>
      </c>
      <c r="B91" s="81">
        <v>43215</v>
      </c>
      <c r="C91" s="91"/>
      <c r="D91" s="87"/>
      <c r="E91" s="87" t="s">
        <v>514</v>
      </c>
      <c r="F91" s="92"/>
      <c r="G91" s="93"/>
      <c r="H91" s="93"/>
      <c r="I91" s="93"/>
      <c r="J91" s="94"/>
    </row>
    <row r="92" spans="1:10" ht="74.25" customHeight="1" x14ac:dyDescent="0.25">
      <c r="A92" s="42">
        <v>84</v>
      </c>
      <c r="B92" s="81">
        <v>43216</v>
      </c>
      <c r="C92" s="91" t="s">
        <v>517</v>
      </c>
      <c r="D92" s="87" t="s">
        <v>516</v>
      </c>
      <c r="E92" s="87" t="s">
        <v>515</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518</v>
      </c>
      <c r="E94" s="87"/>
      <c r="F94" s="92"/>
      <c r="G94" s="93"/>
      <c r="H94" s="93"/>
      <c r="I94" s="93"/>
      <c r="J94" s="94"/>
    </row>
    <row r="95" spans="1:10" ht="144" x14ac:dyDescent="0.25">
      <c r="A95" s="42">
        <v>87</v>
      </c>
      <c r="B95" s="81">
        <v>43219</v>
      </c>
      <c r="C95" s="91"/>
      <c r="D95" s="87" t="s">
        <v>520</v>
      </c>
      <c r="E95" s="87" t="s">
        <v>521</v>
      </c>
      <c r="F95" s="92"/>
      <c r="G95" s="93"/>
      <c r="H95" s="93"/>
      <c r="I95" s="93"/>
      <c r="J95" s="94"/>
    </row>
    <row r="96" spans="1:10" ht="60" x14ac:dyDescent="0.25">
      <c r="A96" s="42">
        <v>88</v>
      </c>
      <c r="B96" s="81">
        <v>43220</v>
      </c>
      <c r="C96" s="91"/>
      <c r="D96" s="87" t="s">
        <v>522</v>
      </c>
      <c r="E96" s="87"/>
      <c r="F96" s="92"/>
      <c r="G96" s="93"/>
      <c r="H96" s="93"/>
      <c r="I96" s="93"/>
      <c r="J96" s="94"/>
    </row>
    <row r="97" spans="1:10" ht="48" x14ac:dyDescent="0.25">
      <c r="A97" s="42">
        <v>89</v>
      </c>
      <c r="B97" s="81">
        <v>43221</v>
      </c>
      <c r="C97" s="91"/>
      <c r="D97" s="87" t="s">
        <v>523</v>
      </c>
      <c r="E97" s="206" t="s">
        <v>524</v>
      </c>
      <c r="F97" s="92"/>
      <c r="G97" s="93"/>
      <c r="H97" s="93"/>
      <c r="I97" s="93"/>
      <c r="J97" s="94"/>
    </row>
    <row r="98" spans="1:10" ht="36" x14ac:dyDescent="0.25">
      <c r="A98" s="42">
        <v>90</v>
      </c>
      <c r="B98" s="81">
        <v>43222</v>
      </c>
      <c r="C98" s="91"/>
      <c r="D98" s="87" t="s">
        <v>525</v>
      </c>
      <c r="E98" s="87" t="s">
        <v>526</v>
      </c>
      <c r="F98" s="92"/>
      <c r="G98" s="93"/>
      <c r="H98" s="93"/>
      <c r="I98" s="93"/>
      <c r="J98" s="94"/>
    </row>
    <row r="99" spans="1:10" x14ac:dyDescent="0.25">
      <c r="A99" s="42">
        <v>91</v>
      </c>
      <c r="B99" s="81">
        <v>43223</v>
      </c>
      <c r="C99" s="91"/>
      <c r="D99" s="87" t="s">
        <v>527</v>
      </c>
      <c r="E99" s="87"/>
      <c r="F99" s="92"/>
      <c r="G99" s="93"/>
      <c r="H99" s="93"/>
      <c r="I99" s="93"/>
      <c r="J99" s="94"/>
    </row>
    <row r="100" spans="1:10" ht="36" x14ac:dyDescent="0.25">
      <c r="A100" s="42">
        <v>92</v>
      </c>
      <c r="B100" s="81">
        <v>43224</v>
      </c>
      <c r="C100" s="91"/>
      <c r="D100" s="87" t="s">
        <v>528</v>
      </c>
      <c r="E100" s="87"/>
      <c r="F100" s="92"/>
      <c r="G100" s="93"/>
      <c r="H100" s="93"/>
      <c r="I100" s="93"/>
      <c r="J100" s="94"/>
    </row>
    <row r="101" spans="1:10" ht="36" x14ac:dyDescent="0.25">
      <c r="A101" s="42">
        <v>93</v>
      </c>
      <c r="B101" s="81">
        <v>43225</v>
      </c>
      <c r="C101" s="91"/>
      <c r="D101" s="87" t="s">
        <v>529</v>
      </c>
      <c r="E101" s="87"/>
      <c r="F101" s="92"/>
      <c r="G101" s="93"/>
      <c r="H101" s="93"/>
      <c r="I101" s="93"/>
      <c r="J101" s="94"/>
    </row>
    <row r="102" spans="1:10" ht="240" x14ac:dyDescent="0.25">
      <c r="A102" s="42">
        <v>94</v>
      </c>
      <c r="B102" s="81">
        <v>43226</v>
      </c>
      <c r="C102" s="91" t="s">
        <v>532</v>
      </c>
      <c r="D102" s="87" t="s">
        <v>530</v>
      </c>
      <c r="E102" s="87" t="s">
        <v>531</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534</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535</v>
      </c>
      <c r="E108" s="87" t="s">
        <v>536</v>
      </c>
      <c r="F108" s="92"/>
      <c r="G108" s="93"/>
      <c r="H108" s="93"/>
      <c r="I108" s="93"/>
      <c r="J108" s="94"/>
    </row>
    <row r="109" spans="1:10" ht="240" x14ac:dyDescent="0.25">
      <c r="A109" s="42">
        <v>101</v>
      </c>
      <c r="B109" s="81">
        <v>43233</v>
      </c>
      <c r="C109" s="91" t="s">
        <v>538</v>
      </c>
      <c r="D109" s="87" t="s">
        <v>537</v>
      </c>
      <c r="E109" s="87" t="s">
        <v>539</v>
      </c>
      <c r="F109" s="92"/>
      <c r="G109" s="93"/>
      <c r="H109" s="93"/>
      <c r="I109" s="93"/>
      <c r="J109" s="94"/>
    </row>
    <row r="110" spans="1:10" ht="36" x14ac:dyDescent="0.25">
      <c r="A110" s="42">
        <v>102</v>
      </c>
      <c r="B110" s="81">
        <v>43234</v>
      </c>
      <c r="C110" s="91"/>
      <c r="D110" s="87" t="s">
        <v>555</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560</v>
      </c>
      <c r="D112" s="87" t="s">
        <v>559</v>
      </c>
      <c r="E112" s="87"/>
      <c r="F112" s="92"/>
      <c r="G112" s="93"/>
      <c r="H112" s="93"/>
      <c r="I112" s="93"/>
      <c r="J112" s="94"/>
    </row>
    <row r="113" spans="1:10" ht="72" x14ac:dyDescent="0.25">
      <c r="A113" s="42">
        <v>105</v>
      </c>
      <c r="B113" s="81">
        <v>43237</v>
      </c>
      <c r="C113" s="91"/>
      <c r="D113" s="87" t="s">
        <v>561</v>
      </c>
      <c r="E113" s="87" t="s">
        <v>562</v>
      </c>
      <c r="F113" s="92"/>
      <c r="G113" s="93"/>
      <c r="H113" s="93"/>
      <c r="I113" s="93"/>
      <c r="J113" s="94"/>
    </row>
    <row r="114" spans="1:10" ht="144" x14ac:dyDescent="0.25">
      <c r="A114" s="42">
        <v>106</v>
      </c>
      <c r="B114" s="81">
        <v>43238</v>
      </c>
      <c r="C114" s="91" t="s">
        <v>564</v>
      </c>
      <c r="D114" s="87" t="s">
        <v>563</v>
      </c>
      <c r="E114" s="87" t="s">
        <v>565</v>
      </c>
      <c r="F114" s="92" t="s">
        <v>566</v>
      </c>
      <c r="G114" s="93"/>
      <c r="H114" s="93"/>
      <c r="I114" s="93"/>
      <c r="J114" s="94"/>
    </row>
    <row r="115" spans="1:10" ht="132" x14ac:dyDescent="0.25">
      <c r="A115" s="42">
        <v>107</v>
      </c>
      <c r="B115" s="81">
        <v>43239</v>
      </c>
      <c r="C115" s="91"/>
      <c r="D115" s="87" t="s">
        <v>567</v>
      </c>
      <c r="E115" s="87" t="s">
        <v>568</v>
      </c>
      <c r="F115" s="92"/>
      <c r="G115" s="93"/>
      <c r="H115" s="93"/>
      <c r="I115" s="93"/>
      <c r="J115" s="94"/>
    </row>
    <row r="116" spans="1:10" ht="409.5" customHeight="1" x14ac:dyDescent="0.25">
      <c r="A116" s="42">
        <v>108</v>
      </c>
      <c r="B116" s="81">
        <v>43240</v>
      </c>
      <c r="C116" s="91" t="s">
        <v>571</v>
      </c>
      <c r="D116" s="87" t="s">
        <v>570</v>
      </c>
      <c r="E116" s="87" t="s">
        <v>569</v>
      </c>
      <c r="F116" s="92"/>
      <c r="G116" s="93"/>
      <c r="H116" s="93"/>
      <c r="I116" s="93"/>
      <c r="J116" s="94"/>
    </row>
    <row r="117" spans="1:10" x14ac:dyDescent="0.25">
      <c r="A117" s="42">
        <v>109</v>
      </c>
      <c r="B117" s="81">
        <v>43241</v>
      </c>
      <c r="C117" s="91"/>
      <c r="D117" s="87" t="s">
        <v>572</v>
      </c>
      <c r="E117" s="87"/>
      <c r="F117" s="92"/>
      <c r="G117" s="93"/>
      <c r="H117" s="93"/>
      <c r="I117" s="93"/>
      <c r="J117" s="94"/>
    </row>
    <row r="118" spans="1:10" ht="60" x14ac:dyDescent="0.25">
      <c r="A118" s="42">
        <v>110</v>
      </c>
      <c r="B118" s="81">
        <v>43242</v>
      </c>
      <c r="C118" s="91"/>
      <c r="D118" s="87" t="s">
        <v>573</v>
      </c>
      <c r="E118" s="87"/>
      <c r="F118" s="92"/>
      <c r="G118" s="93"/>
      <c r="H118" s="93"/>
      <c r="I118" s="93"/>
      <c r="J118" s="94"/>
    </row>
    <row r="119" spans="1:10" ht="24" x14ac:dyDescent="0.25">
      <c r="A119" s="42">
        <v>111</v>
      </c>
      <c r="B119" s="81">
        <v>43243</v>
      </c>
      <c r="C119" s="91"/>
      <c r="D119" s="87" t="s">
        <v>574</v>
      </c>
      <c r="E119" s="87" t="s">
        <v>576</v>
      </c>
      <c r="F119" s="92"/>
      <c r="G119" s="93"/>
      <c r="H119" s="93"/>
      <c r="I119" s="93"/>
      <c r="J119" s="94"/>
    </row>
    <row r="120" spans="1:10" ht="36" x14ac:dyDescent="0.25">
      <c r="A120" s="42">
        <v>112</v>
      </c>
      <c r="B120" s="81">
        <v>43244</v>
      </c>
      <c r="C120" s="91"/>
      <c r="D120" s="87"/>
      <c r="E120" s="87" t="s">
        <v>585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590</v>
      </c>
      <c r="D122" s="87" t="s">
        <v>589</v>
      </c>
      <c r="E122" s="87" t="s">
        <v>588</v>
      </c>
      <c r="F122" s="92"/>
      <c r="G122" s="93"/>
      <c r="H122" s="93"/>
      <c r="I122" s="93"/>
      <c r="J122" s="94"/>
    </row>
    <row r="123" spans="1:10" ht="24" x14ac:dyDescent="0.25">
      <c r="A123" s="42">
        <v>115</v>
      </c>
      <c r="B123" s="81">
        <v>43247</v>
      </c>
      <c r="C123" s="91" t="s">
        <v>591</v>
      </c>
      <c r="D123" s="87" t="s">
        <v>602</v>
      </c>
      <c r="E123" s="87"/>
      <c r="F123" s="92"/>
      <c r="G123" s="93"/>
      <c r="H123" s="93"/>
      <c r="I123" s="93"/>
      <c r="J123" s="94"/>
    </row>
    <row r="124" spans="1:10" x14ac:dyDescent="0.25">
      <c r="A124" s="42">
        <v>116</v>
      </c>
      <c r="B124" s="81">
        <v>43248</v>
      </c>
      <c r="C124" s="91"/>
      <c r="D124" s="87"/>
      <c r="E124" s="87"/>
      <c r="F124" s="92"/>
      <c r="G124" s="93"/>
      <c r="H124" s="93"/>
      <c r="I124" s="93"/>
      <c r="J124" s="94"/>
    </row>
    <row r="125" spans="1:10" ht="48" x14ac:dyDescent="0.25">
      <c r="A125" s="42">
        <v>117</v>
      </c>
      <c r="B125" s="81">
        <v>43249</v>
      </c>
      <c r="C125" s="91"/>
      <c r="D125" s="87" t="s">
        <v>604</v>
      </c>
      <c r="E125" s="87" t="s">
        <v>609</v>
      </c>
      <c r="F125" s="92"/>
      <c r="G125" s="93"/>
      <c r="H125" s="93"/>
      <c r="I125" s="93"/>
      <c r="J125" s="94"/>
    </row>
    <row r="126" spans="1:10" x14ac:dyDescent="0.25">
      <c r="A126" s="42">
        <v>118</v>
      </c>
      <c r="B126" s="81">
        <v>43250</v>
      </c>
      <c r="C126" s="91"/>
      <c r="D126" s="87"/>
      <c r="E126" s="87"/>
      <c r="F126" s="92"/>
      <c r="G126" s="93"/>
      <c r="H126" s="93"/>
      <c r="I126" s="93"/>
      <c r="J126" s="94"/>
    </row>
    <row r="127" spans="1:10" ht="36" x14ac:dyDescent="0.25">
      <c r="A127" s="42">
        <v>119</v>
      </c>
      <c r="B127" s="81">
        <v>43251</v>
      </c>
      <c r="C127" s="91" t="s">
        <v>612</v>
      </c>
      <c r="D127" s="87" t="s">
        <v>613</v>
      </c>
      <c r="E127" s="87"/>
      <c r="F127" s="92"/>
      <c r="G127" s="93"/>
      <c r="H127" s="93"/>
      <c r="I127" s="93"/>
      <c r="J127" s="94"/>
    </row>
    <row r="128" spans="1:10" x14ac:dyDescent="0.25">
      <c r="A128" s="42">
        <v>120</v>
      </c>
      <c r="B128" s="81">
        <v>43252</v>
      </c>
      <c r="C128" s="91"/>
      <c r="D128" s="87"/>
      <c r="E128" s="87"/>
      <c r="F128" s="92"/>
      <c r="G128" s="93"/>
      <c r="H128" s="93"/>
      <c r="I128" s="93"/>
      <c r="J128" s="94"/>
    </row>
    <row r="129" spans="1:10" ht="96" x14ac:dyDescent="0.25">
      <c r="A129" s="42">
        <v>121</v>
      </c>
      <c r="B129" s="81">
        <v>43253</v>
      </c>
      <c r="C129" s="91" t="s">
        <v>626</v>
      </c>
      <c r="D129" s="87" t="s">
        <v>623</v>
      </c>
      <c r="E129" s="87" t="s">
        <v>627</v>
      </c>
      <c r="F129" s="92"/>
      <c r="G129" s="93"/>
      <c r="H129" s="93"/>
      <c r="I129" s="93"/>
      <c r="J129" s="94"/>
    </row>
    <row r="130" spans="1:10" ht="72" x14ac:dyDescent="0.25">
      <c r="A130" s="42">
        <v>122</v>
      </c>
      <c r="B130" s="81">
        <v>43254</v>
      </c>
      <c r="C130" s="91" t="s">
        <v>639</v>
      </c>
      <c r="D130" s="87" t="s">
        <v>634</v>
      </c>
      <c r="E130" s="87" t="s">
        <v>644</v>
      </c>
      <c r="F130" s="92"/>
      <c r="G130" s="93"/>
      <c r="H130" s="93"/>
      <c r="I130" s="93"/>
      <c r="J130" s="94"/>
    </row>
    <row r="131" spans="1:10" ht="36" x14ac:dyDescent="0.25">
      <c r="A131" s="42">
        <v>123</v>
      </c>
      <c r="B131" s="81">
        <v>43255</v>
      </c>
      <c r="C131" s="91"/>
      <c r="D131" s="87" t="s">
        <v>648</v>
      </c>
      <c r="E131" s="87"/>
      <c r="F131" s="92"/>
      <c r="G131" s="93"/>
      <c r="H131" s="93"/>
      <c r="I131" s="93"/>
      <c r="J131" s="94"/>
    </row>
    <row r="132" spans="1:10" ht="36" x14ac:dyDescent="0.25">
      <c r="A132" s="42">
        <v>124</v>
      </c>
      <c r="B132" s="81">
        <v>43256</v>
      </c>
      <c r="C132" s="91" t="s">
        <v>651</v>
      </c>
      <c r="D132" s="87" t="s">
        <v>652</v>
      </c>
      <c r="E132" s="87" t="s">
        <v>659</v>
      </c>
      <c r="F132" s="92"/>
      <c r="G132" s="93"/>
      <c r="H132" s="93"/>
      <c r="I132" s="93"/>
      <c r="J132" s="94"/>
    </row>
    <row r="133" spans="1:10" ht="24" x14ac:dyDescent="0.25">
      <c r="A133" s="42">
        <v>125</v>
      </c>
      <c r="B133" s="81">
        <v>43257</v>
      </c>
      <c r="C133" s="91"/>
      <c r="D133" s="87" t="s">
        <v>667</v>
      </c>
      <c r="E133" s="87" t="s">
        <v>665</v>
      </c>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65" priority="6">
      <formula>INDIRECT("B"&amp;ROW())=TODAY()</formula>
    </cfRule>
  </conditionalFormatting>
  <conditionalFormatting sqref="B9:B427">
    <cfRule type="timePeriod" dxfId="64"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D23" sqref="D23"/>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540</v>
      </c>
      <c r="J3" s="42" t="s">
        <v>548</v>
      </c>
    </row>
    <row r="5" spans="2:16" ht="20.25" customHeight="1" x14ac:dyDescent="0.25">
      <c r="C5" s="1" t="s">
        <v>547</v>
      </c>
      <c r="D5" s="1" t="s">
        <v>541</v>
      </c>
      <c r="E5" s="1" t="s">
        <v>542</v>
      </c>
      <c r="F5" s="1" t="s">
        <v>543</v>
      </c>
      <c r="G5" s="1" t="s">
        <v>544</v>
      </c>
      <c r="H5" s="1" t="s">
        <v>545</v>
      </c>
      <c r="I5" s="1" t="s">
        <v>546</v>
      </c>
      <c r="J5" s="1" t="s">
        <v>547</v>
      </c>
      <c r="K5" s="1" t="s">
        <v>541</v>
      </c>
      <c r="L5" s="1" t="s">
        <v>542</v>
      </c>
      <c r="M5" s="1" t="s">
        <v>543</v>
      </c>
      <c r="N5" s="1" t="s">
        <v>544</v>
      </c>
      <c r="O5" s="1" t="s">
        <v>545</v>
      </c>
      <c r="P5" s="1" t="s">
        <v>546</v>
      </c>
    </row>
    <row r="6" spans="2:16" ht="21.75" customHeight="1" x14ac:dyDescent="0.25">
      <c r="B6" s="207" t="s">
        <v>549</v>
      </c>
      <c r="C6" s="42" t="s">
        <v>551</v>
      </c>
      <c r="E6" s="42" t="s">
        <v>551</v>
      </c>
      <c r="G6" s="42" t="s">
        <v>551</v>
      </c>
      <c r="I6" s="42" t="s">
        <v>551</v>
      </c>
      <c r="K6" s="42" t="s">
        <v>551</v>
      </c>
      <c r="M6" s="42" t="s">
        <v>551</v>
      </c>
      <c r="O6" s="42" t="s">
        <v>551</v>
      </c>
    </row>
    <row r="7" spans="2:16" ht="25.5" customHeight="1" x14ac:dyDescent="0.25">
      <c r="B7" s="207" t="s">
        <v>550</v>
      </c>
      <c r="C7" s="208" t="s">
        <v>552</v>
      </c>
      <c r="D7" s="209" t="s">
        <v>553</v>
      </c>
      <c r="E7" s="209" t="s">
        <v>553</v>
      </c>
      <c r="F7" s="209" t="s">
        <v>553</v>
      </c>
      <c r="G7" s="209" t="s">
        <v>553</v>
      </c>
      <c r="H7" s="209" t="s">
        <v>553</v>
      </c>
      <c r="I7" s="209" t="s">
        <v>553</v>
      </c>
      <c r="J7" s="210" t="s">
        <v>554</v>
      </c>
      <c r="K7" s="209" t="s">
        <v>553</v>
      </c>
      <c r="L7" s="209" t="s">
        <v>553</v>
      </c>
      <c r="M7" s="209" t="s">
        <v>553</v>
      </c>
      <c r="N7" s="209" t="s">
        <v>553</v>
      </c>
      <c r="O7" s="209" t="s">
        <v>553</v>
      </c>
      <c r="P7" s="208" t="s">
        <v>552</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43257</v>
      </c>
      <c r="B1" s="68"/>
    </row>
    <row r="2" spans="1:12" s="98" customFormat="1" ht="33.75" customHeight="1" x14ac:dyDescent="0.25">
      <c r="A2" s="97">
        <f ca="1">NOW()</f>
        <v>43257.552331250001</v>
      </c>
      <c r="B2" s="97"/>
      <c r="E2" s="99" t="s">
        <v>336</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360</v>
      </c>
      <c r="D7" s="136"/>
      <c r="E7" s="136"/>
      <c r="F7" s="136"/>
      <c r="G7" s="136"/>
      <c r="H7" s="136"/>
      <c r="I7" s="136" t="s">
        <v>52</v>
      </c>
      <c r="J7" s="135"/>
    </row>
    <row r="8" spans="1:12" x14ac:dyDescent="0.25">
      <c r="C8" s="135"/>
      <c r="D8" s="137" t="s">
        <v>361</v>
      </c>
      <c r="E8" s="137"/>
      <c r="F8" s="137"/>
      <c r="G8" s="137"/>
      <c r="H8" s="137" t="s">
        <v>362</v>
      </c>
      <c r="I8" s="135"/>
      <c r="J8" s="135"/>
    </row>
    <row r="9" spans="1:12" x14ac:dyDescent="0.25">
      <c r="C9" s="135"/>
      <c r="D9" s="135"/>
      <c r="E9" s="136" t="s">
        <v>363</v>
      </c>
      <c r="F9" s="136"/>
      <c r="G9" s="136" t="s">
        <v>364</v>
      </c>
      <c r="H9" s="135"/>
      <c r="I9" s="135"/>
      <c r="J9" s="135"/>
    </row>
    <row r="10" spans="1:12" x14ac:dyDescent="0.25">
      <c r="C10" s="135"/>
      <c r="D10" s="135"/>
      <c r="E10" s="135"/>
      <c r="F10" s="137"/>
      <c r="G10" s="135"/>
      <c r="H10" s="135"/>
      <c r="I10" s="135"/>
      <c r="J10" s="135"/>
    </row>
    <row r="11" spans="1:12" x14ac:dyDescent="0.25">
      <c r="C11" s="135"/>
      <c r="D11" s="135"/>
      <c r="E11" s="135"/>
      <c r="F11" s="137" t="s">
        <v>365</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371</v>
      </c>
      <c r="D15" s="78" t="s">
        <v>9</v>
      </c>
      <c r="E15" s="78" t="s">
        <v>366</v>
      </c>
      <c r="F15" s="134" t="s">
        <v>368</v>
      </c>
      <c r="G15" s="78" t="s">
        <v>376</v>
      </c>
    </row>
    <row r="16" spans="1:12" ht="58.5" customHeight="1" x14ac:dyDescent="0.25">
      <c r="C16" s="78" t="s">
        <v>383</v>
      </c>
      <c r="D16" s="79" t="s">
        <v>384</v>
      </c>
      <c r="E16" s="138">
        <v>0</v>
      </c>
      <c r="F16" s="139"/>
      <c r="G16" s="139"/>
    </row>
    <row r="17" spans="3:7" ht="58.5" customHeight="1" x14ac:dyDescent="0.25">
      <c r="C17" s="134" t="s">
        <v>385</v>
      </c>
      <c r="D17" s="79" t="s">
        <v>386</v>
      </c>
      <c r="E17" s="141">
        <v>0.1</v>
      </c>
      <c r="F17" s="139"/>
      <c r="G17" s="139"/>
    </row>
    <row r="18" spans="3:7" ht="136.69999999999999" customHeight="1" x14ac:dyDescent="0.25">
      <c r="C18" s="78" t="s">
        <v>360</v>
      </c>
      <c r="D18" s="79" t="s">
        <v>367</v>
      </c>
      <c r="E18" s="138">
        <v>0.1</v>
      </c>
      <c r="F18" s="139">
        <v>43226</v>
      </c>
      <c r="G18" s="139"/>
    </row>
    <row r="19" spans="3:7" ht="39" customHeight="1" x14ac:dyDescent="0.25">
      <c r="C19" s="78" t="s">
        <v>361</v>
      </c>
      <c r="D19" s="79" t="s">
        <v>369</v>
      </c>
      <c r="E19" s="138">
        <v>0.05</v>
      </c>
    </row>
    <row r="20" spans="3:7" ht="47.45" customHeight="1" x14ac:dyDescent="0.25">
      <c r="C20" s="78" t="s">
        <v>363</v>
      </c>
      <c r="D20" s="79" t="s">
        <v>370</v>
      </c>
      <c r="E20" s="138">
        <v>0.01</v>
      </c>
    </row>
    <row r="21" spans="3:7" ht="105" customHeight="1" x14ac:dyDescent="0.25">
      <c r="C21" s="78" t="s">
        <v>364</v>
      </c>
      <c r="D21" s="79" t="s">
        <v>372</v>
      </c>
      <c r="E21" s="138">
        <v>1.4999999999999999E-2</v>
      </c>
    </row>
    <row r="22" spans="3:7" ht="64.7" customHeight="1" x14ac:dyDescent="0.25">
      <c r="C22" s="78" t="s">
        <v>52</v>
      </c>
      <c r="D22" s="79" t="s">
        <v>373</v>
      </c>
      <c r="E22" s="138">
        <v>0.1</v>
      </c>
      <c r="F22" s="139">
        <v>43261</v>
      </c>
      <c r="G22" s="139"/>
    </row>
    <row r="23" spans="3:7" ht="84.2" customHeight="1" x14ac:dyDescent="0.25">
      <c r="C23" s="78" t="s">
        <v>374</v>
      </c>
      <c r="D23" s="79" t="s">
        <v>375</v>
      </c>
      <c r="E23" s="138">
        <v>0.02</v>
      </c>
      <c r="F23" s="140">
        <v>43558</v>
      </c>
      <c r="G23" s="140"/>
    </row>
    <row r="24" spans="3:7" ht="119.45" customHeight="1" x14ac:dyDescent="0.25">
      <c r="C24" s="134" t="s">
        <v>377</v>
      </c>
      <c r="D24" s="78" t="s">
        <v>379</v>
      </c>
      <c r="E24" s="138">
        <v>0.2</v>
      </c>
    </row>
    <row r="25" spans="3:7" ht="117.2" customHeight="1" x14ac:dyDescent="0.25">
      <c r="C25" s="134" t="s">
        <v>378</v>
      </c>
      <c r="D25" s="78" t="s">
        <v>380</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43257</v>
      </c>
      <c r="B1" s="68"/>
      <c r="C1" s="68"/>
    </row>
    <row r="2" spans="1:46" s="98" customFormat="1" ht="26.25" customHeight="1" x14ac:dyDescent="0.25">
      <c r="A2" s="97">
        <f ca="1">NOW()</f>
        <v>43257.552331250001</v>
      </c>
      <c r="B2" s="97"/>
      <c r="C2" s="97" t="s">
        <v>494</v>
      </c>
      <c r="F2" s="99" t="s">
        <v>336</v>
      </c>
      <c r="G2" s="99"/>
      <c r="J2" s="99"/>
      <c r="K2" s="99"/>
      <c r="L2" s="99"/>
      <c r="M2" s="99"/>
      <c r="N2" s="99"/>
    </row>
    <row r="3" spans="1:46" s="113" customFormat="1" x14ac:dyDescent="0.25">
      <c r="A3" s="119"/>
      <c r="B3" s="130" t="s">
        <v>340</v>
      </c>
      <c r="H3" s="118"/>
      <c r="I3" s="118"/>
    </row>
    <row r="4" spans="1:46" s="112" customFormat="1" x14ac:dyDescent="0.25">
      <c r="A4" s="110"/>
      <c r="B4" s="111" t="s">
        <v>40</v>
      </c>
      <c r="C4" s="111" t="s">
        <v>493</v>
      </c>
      <c r="D4" s="112" t="s">
        <v>21</v>
      </c>
      <c r="E4" s="112" t="s">
        <v>344</v>
      </c>
      <c r="F4" s="112" t="s">
        <v>346</v>
      </c>
      <c r="G4" s="112" t="s">
        <v>338</v>
      </c>
      <c r="H4" s="112" t="s">
        <v>337</v>
      </c>
      <c r="I4" s="112" t="s">
        <v>341</v>
      </c>
      <c r="J4" s="112" t="s">
        <v>339</v>
      </c>
      <c r="K4" s="112" t="s">
        <v>345</v>
      </c>
    </row>
    <row r="5" spans="1:46" ht="67.5" customHeight="1" x14ac:dyDescent="0.25">
      <c r="B5" s="109">
        <v>20</v>
      </c>
      <c r="C5" s="109" t="s">
        <v>533</v>
      </c>
      <c r="D5" s="2" t="s">
        <v>486</v>
      </c>
      <c r="F5" s="132" t="s">
        <v>583</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487</v>
      </c>
      <c r="F6" s="132" t="s">
        <v>582</v>
      </c>
      <c r="G6" s="126"/>
      <c r="H6" s="114"/>
      <c r="I6" s="51"/>
      <c r="K6" s="116"/>
    </row>
    <row r="7" spans="1:46" ht="61.7" customHeight="1" x14ac:dyDescent="0.25">
      <c r="B7" s="109">
        <v>0</v>
      </c>
      <c r="D7" s="2" t="s">
        <v>489</v>
      </c>
      <c r="F7" s="131" t="s">
        <v>581</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491</v>
      </c>
      <c r="E8" s="1" t="s">
        <v>580</v>
      </c>
      <c r="F8" s="131" t="s">
        <v>579</v>
      </c>
      <c r="G8" s="2"/>
      <c r="H8" s="114"/>
      <c r="I8" s="51"/>
      <c r="K8" s="117"/>
    </row>
    <row r="9" spans="1:46" ht="106.5" customHeight="1" x14ac:dyDescent="0.25">
      <c r="B9" s="109">
        <v>0</v>
      </c>
      <c r="D9" s="120" t="s">
        <v>492</v>
      </c>
      <c r="F9" s="131" t="s">
        <v>578</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496</v>
      </c>
      <c r="F10" s="115" t="s">
        <v>577</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342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43257</v>
      </c>
      <c r="C1" s="152"/>
      <c r="D1" s="158"/>
      <c r="E1" s="152"/>
      <c r="F1" s="163"/>
      <c r="G1" s="163"/>
      <c r="H1" s="163"/>
      <c r="J1" s="163"/>
    </row>
    <row r="2" spans="1:46" s="156" customFormat="1" ht="46.7" customHeight="1" x14ac:dyDescent="0.25">
      <c r="A2" s="153">
        <f ca="1">NOW()</f>
        <v>43257.552331250001</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13</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419</v>
      </c>
      <c r="B5" s="169" t="s">
        <v>402</v>
      </c>
      <c r="C5" s="170" t="s">
        <v>401</v>
      </c>
      <c r="D5" s="170" t="s">
        <v>417</v>
      </c>
      <c r="E5" s="170" t="s">
        <v>415</v>
      </c>
      <c r="F5" s="171" t="s">
        <v>403</v>
      </c>
      <c r="G5" s="171" t="s">
        <v>404</v>
      </c>
      <c r="H5" s="171" t="s">
        <v>405</v>
      </c>
      <c r="I5" s="169" t="s">
        <v>413</v>
      </c>
      <c r="J5" s="171" t="s">
        <v>406</v>
      </c>
      <c r="K5" s="169" t="s">
        <v>407</v>
      </c>
    </row>
    <row r="6" spans="1:46" ht="148.5" customHeight="1" x14ac:dyDescent="0.25">
      <c r="A6" s="152" t="s">
        <v>420</v>
      </c>
      <c r="B6" s="166">
        <v>0</v>
      </c>
      <c r="C6" s="178">
        <v>43176</v>
      </c>
      <c r="D6" s="186" t="s">
        <v>418</v>
      </c>
      <c r="E6" s="178" t="s">
        <v>416</v>
      </c>
      <c r="F6" s="181" t="s">
        <v>408</v>
      </c>
      <c r="G6" s="179" t="s">
        <v>409</v>
      </c>
      <c r="H6" s="181" t="s">
        <v>411</v>
      </c>
      <c r="I6" s="180" t="s">
        <v>414</v>
      </c>
      <c r="J6" s="181" t="s">
        <v>412</v>
      </c>
      <c r="K6" s="180" t="s">
        <v>410</v>
      </c>
    </row>
    <row r="7" spans="1:46" ht="68.25" customHeight="1" x14ac:dyDescent="0.25">
      <c r="A7" s="158" t="s">
        <v>422</v>
      </c>
      <c r="B7" s="166">
        <f>IF(NOT(ISBLANK(C7)),(C7-C6),0)</f>
        <v>1</v>
      </c>
      <c r="C7" s="172">
        <v>43177</v>
      </c>
      <c r="D7" s="189" t="s">
        <v>418</v>
      </c>
      <c r="E7" s="172" t="s">
        <v>426</v>
      </c>
      <c r="F7" s="165" t="s">
        <v>427</v>
      </c>
      <c r="G7" s="173" t="s">
        <v>428</v>
      </c>
      <c r="H7" s="165" t="s">
        <v>429</v>
      </c>
      <c r="I7" s="174" t="s">
        <v>430</v>
      </c>
      <c r="J7" s="165" t="s">
        <v>431</v>
      </c>
      <c r="K7" s="174" t="s">
        <v>432</v>
      </c>
    </row>
    <row r="8" spans="1:46" ht="72.75" customHeight="1" x14ac:dyDescent="0.25">
      <c r="A8" s="159"/>
      <c r="B8" s="166">
        <f t="shared" ref="B8:B71" si="0">IF(NOT(ISBLANK(C8)),(C8-C7),0)</f>
        <v>5</v>
      </c>
      <c r="C8" s="178">
        <v>43182</v>
      </c>
      <c r="D8" s="186" t="s">
        <v>418</v>
      </c>
      <c r="E8" s="178" t="s">
        <v>416</v>
      </c>
      <c r="F8" s="181" t="s">
        <v>442</v>
      </c>
      <c r="G8" s="179" t="s">
        <v>443</v>
      </c>
      <c r="H8" s="181" t="s">
        <v>444</v>
      </c>
      <c r="I8" s="180" t="s">
        <v>447</v>
      </c>
      <c r="J8" s="181" t="s">
        <v>445</v>
      </c>
      <c r="K8" s="180" t="s">
        <v>446</v>
      </c>
    </row>
    <row r="9" spans="1:46" ht="129.75" customHeight="1" x14ac:dyDescent="0.25">
      <c r="A9" s="159"/>
      <c r="B9" s="166">
        <f t="shared" si="0"/>
        <v>1</v>
      </c>
      <c r="C9" s="172">
        <v>43183</v>
      </c>
      <c r="D9" s="189" t="s">
        <v>450</v>
      </c>
      <c r="E9" s="172" t="s">
        <v>451</v>
      </c>
      <c r="F9" s="165" t="s">
        <v>448</v>
      </c>
      <c r="G9" s="173" t="s">
        <v>449</v>
      </c>
      <c r="H9" s="165"/>
      <c r="I9" s="174"/>
      <c r="J9" s="165"/>
      <c r="K9" s="174" t="s">
        <v>452</v>
      </c>
    </row>
    <row r="10" spans="1:46" ht="65.45" customHeight="1" x14ac:dyDescent="0.25">
      <c r="A10" s="159"/>
      <c r="B10" s="166">
        <v>15</v>
      </c>
      <c r="C10" s="172">
        <v>43215</v>
      </c>
      <c r="D10" s="189" t="s">
        <v>450</v>
      </c>
      <c r="E10" s="172" t="s">
        <v>507</v>
      </c>
      <c r="F10" s="165" t="s">
        <v>512</v>
      </c>
      <c r="G10" s="173" t="s">
        <v>510</v>
      </c>
      <c r="H10" s="165" t="s">
        <v>509</v>
      </c>
      <c r="I10" s="174"/>
      <c r="J10" s="165" t="s">
        <v>511</v>
      </c>
      <c r="K10" s="174" t="s">
        <v>508</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513</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421</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43257</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43241</v>
      </c>
      <c r="I6" s="14">
        <f t="shared" ca="1" si="0"/>
        <v>43243</v>
      </c>
      <c r="J6" s="14">
        <f t="shared" ca="1" si="0"/>
        <v>43245</v>
      </c>
      <c r="K6" s="14">
        <f t="shared" ca="1" si="0"/>
        <v>43247</v>
      </c>
      <c r="L6" s="14">
        <f t="shared" ca="1" si="0"/>
        <v>43249</v>
      </c>
      <c r="M6" s="14">
        <f t="shared" ca="1" si="0"/>
        <v>43251</v>
      </c>
      <c r="N6" s="14">
        <f t="shared" ca="1" si="0"/>
        <v>43253</v>
      </c>
      <c r="O6" s="14">
        <f t="shared" ref="O6:BZ6" ca="1" si="1">TODAY()+((COLUMN()-$H$4)*$N$3)</f>
        <v>43255</v>
      </c>
      <c r="P6" s="14">
        <f t="shared" ca="1" si="1"/>
        <v>43257</v>
      </c>
      <c r="Q6" s="14">
        <f t="shared" ca="1" si="1"/>
        <v>43259</v>
      </c>
      <c r="R6" s="14">
        <f t="shared" ca="1" si="1"/>
        <v>43261</v>
      </c>
      <c r="S6" s="14">
        <f t="shared" ca="1" si="1"/>
        <v>43263</v>
      </c>
      <c r="T6" s="14">
        <f ca="1">TODAY()+((COLUMN()-$H$4)*$N$3)</f>
        <v>43265</v>
      </c>
      <c r="U6" s="14">
        <f t="shared" ca="1" si="1"/>
        <v>43267</v>
      </c>
      <c r="V6" s="14">
        <f t="shared" ca="1" si="1"/>
        <v>43269</v>
      </c>
      <c r="W6" s="14">
        <f t="shared" ca="1" si="1"/>
        <v>43271</v>
      </c>
      <c r="X6" s="14">
        <f t="shared" ca="1" si="1"/>
        <v>43273</v>
      </c>
      <c r="Y6" s="14">
        <f t="shared" ca="1" si="1"/>
        <v>43275</v>
      </c>
      <c r="Z6" s="14">
        <f t="shared" ca="1" si="1"/>
        <v>43277</v>
      </c>
      <c r="AA6" s="14">
        <f t="shared" ca="1" si="1"/>
        <v>43279</v>
      </c>
      <c r="AB6" s="14">
        <f t="shared" ca="1" si="1"/>
        <v>43281</v>
      </c>
      <c r="AC6" s="14">
        <f t="shared" ca="1" si="1"/>
        <v>43283</v>
      </c>
      <c r="AD6" s="14">
        <f t="shared" ca="1" si="1"/>
        <v>43285</v>
      </c>
      <c r="AE6" s="14">
        <f t="shared" ca="1" si="1"/>
        <v>43287</v>
      </c>
      <c r="AF6" s="14">
        <f t="shared" ca="1" si="1"/>
        <v>43289</v>
      </c>
      <c r="AG6" s="14">
        <f t="shared" ca="1" si="1"/>
        <v>43291</v>
      </c>
      <c r="AH6" s="14">
        <f t="shared" ca="1" si="1"/>
        <v>43293</v>
      </c>
      <c r="AI6" s="14">
        <f t="shared" ca="1" si="1"/>
        <v>43295</v>
      </c>
      <c r="AJ6" s="14">
        <f t="shared" ca="1" si="1"/>
        <v>43297</v>
      </c>
      <c r="AK6" s="14">
        <f t="shared" ca="1" si="1"/>
        <v>43299</v>
      </c>
      <c r="AL6" s="14">
        <f t="shared" ca="1" si="1"/>
        <v>43301</v>
      </c>
      <c r="AM6" s="14">
        <f t="shared" ca="1" si="1"/>
        <v>43303</v>
      </c>
      <c r="AN6" s="14">
        <f t="shared" ca="1" si="1"/>
        <v>43305</v>
      </c>
      <c r="AO6" s="14">
        <f t="shared" ca="1" si="1"/>
        <v>43307</v>
      </c>
      <c r="AP6" s="14">
        <f t="shared" ca="1" si="1"/>
        <v>43309</v>
      </c>
      <c r="AQ6" s="14">
        <f t="shared" ca="1" si="1"/>
        <v>43311</v>
      </c>
      <c r="AR6" s="14">
        <f t="shared" ca="1" si="1"/>
        <v>43313</v>
      </c>
      <c r="AS6" s="14">
        <f t="shared" ca="1" si="1"/>
        <v>43315</v>
      </c>
      <c r="AT6" s="14">
        <f t="shared" ca="1" si="1"/>
        <v>43317</v>
      </c>
      <c r="AU6" s="14">
        <f t="shared" ca="1" si="1"/>
        <v>43319</v>
      </c>
      <c r="AV6" s="14">
        <f t="shared" ca="1" si="1"/>
        <v>43321</v>
      </c>
      <c r="AW6" s="14">
        <f t="shared" ca="1" si="1"/>
        <v>43323</v>
      </c>
      <c r="AX6" s="14">
        <f t="shared" ca="1" si="1"/>
        <v>43325</v>
      </c>
      <c r="AY6" s="14">
        <f t="shared" ca="1" si="1"/>
        <v>43327</v>
      </c>
      <c r="AZ6" s="14">
        <f t="shared" ca="1" si="1"/>
        <v>43329</v>
      </c>
      <c r="BA6" s="14">
        <f t="shared" ca="1" si="1"/>
        <v>43331</v>
      </c>
      <c r="BB6" s="14">
        <f t="shared" ca="1" si="1"/>
        <v>43333</v>
      </c>
      <c r="BC6" s="14">
        <f t="shared" ca="1" si="1"/>
        <v>43335</v>
      </c>
      <c r="BD6" s="14">
        <f t="shared" ca="1" si="1"/>
        <v>43337</v>
      </c>
      <c r="BE6" s="14">
        <f t="shared" ca="1" si="1"/>
        <v>43339</v>
      </c>
      <c r="BF6" s="14">
        <f t="shared" ca="1" si="1"/>
        <v>43341</v>
      </c>
      <c r="BG6" s="14">
        <f t="shared" ca="1" si="1"/>
        <v>43343</v>
      </c>
      <c r="BH6" s="14">
        <f t="shared" ca="1" si="1"/>
        <v>43345</v>
      </c>
      <c r="BI6" s="14">
        <f t="shared" ca="1" si="1"/>
        <v>43347</v>
      </c>
      <c r="BJ6" s="14">
        <f t="shared" ca="1" si="1"/>
        <v>43349</v>
      </c>
      <c r="BK6" s="14">
        <f t="shared" ca="1" si="1"/>
        <v>43351</v>
      </c>
      <c r="BL6" s="14">
        <f t="shared" ca="1" si="1"/>
        <v>43353</v>
      </c>
      <c r="BM6" s="14">
        <f t="shared" ca="1" si="1"/>
        <v>43355</v>
      </c>
      <c r="BN6" s="14">
        <f t="shared" ca="1" si="1"/>
        <v>43357</v>
      </c>
      <c r="BO6" s="14">
        <f t="shared" ca="1" si="1"/>
        <v>43359</v>
      </c>
      <c r="BP6" s="14">
        <f t="shared" ca="1" si="1"/>
        <v>43361</v>
      </c>
      <c r="BQ6" s="14">
        <f t="shared" ca="1" si="1"/>
        <v>43363</v>
      </c>
      <c r="BR6" s="14">
        <f t="shared" ca="1" si="1"/>
        <v>43365</v>
      </c>
      <c r="BS6" s="14">
        <f t="shared" ca="1" si="1"/>
        <v>43367</v>
      </c>
      <c r="BT6" s="14">
        <f t="shared" ca="1" si="1"/>
        <v>43369</v>
      </c>
      <c r="BU6" s="14">
        <f t="shared" ca="1" si="1"/>
        <v>43371</v>
      </c>
      <c r="BV6" s="14">
        <f t="shared" ca="1" si="1"/>
        <v>43373</v>
      </c>
      <c r="BW6" s="14">
        <f t="shared" ca="1" si="1"/>
        <v>43375</v>
      </c>
      <c r="BX6" s="14">
        <f t="shared" ca="1" si="1"/>
        <v>43377</v>
      </c>
      <c r="BY6" s="14">
        <f t="shared" ca="1" si="1"/>
        <v>43379</v>
      </c>
      <c r="BZ6" s="14">
        <f t="shared" ca="1" si="1"/>
        <v>43381</v>
      </c>
      <c r="CA6" s="14">
        <f t="shared" ref="CA6:EL6" ca="1" si="2">TODAY()+((COLUMN()-$H$4)*$N$3)</f>
        <v>43383</v>
      </c>
      <c r="CB6" s="14">
        <f t="shared" ca="1" si="2"/>
        <v>43385</v>
      </c>
      <c r="CC6" s="14">
        <f t="shared" ca="1" si="2"/>
        <v>43387</v>
      </c>
      <c r="CD6" s="14">
        <f t="shared" ca="1" si="2"/>
        <v>43389</v>
      </c>
      <c r="CE6" s="14">
        <f t="shared" ca="1" si="2"/>
        <v>43391</v>
      </c>
      <c r="CF6" s="14">
        <f t="shared" ca="1" si="2"/>
        <v>43393</v>
      </c>
      <c r="CG6" s="14">
        <f t="shared" ca="1" si="2"/>
        <v>43395</v>
      </c>
      <c r="CH6" s="14">
        <f t="shared" ca="1" si="2"/>
        <v>43397</v>
      </c>
      <c r="CI6" s="14">
        <f t="shared" ca="1" si="2"/>
        <v>43399</v>
      </c>
      <c r="CJ6" s="14">
        <f t="shared" ca="1" si="2"/>
        <v>43401</v>
      </c>
      <c r="CK6" s="14">
        <f t="shared" ca="1" si="2"/>
        <v>43403</v>
      </c>
      <c r="CL6" s="14">
        <f t="shared" ca="1" si="2"/>
        <v>43405</v>
      </c>
      <c r="CM6" s="14">
        <f t="shared" ca="1" si="2"/>
        <v>43407</v>
      </c>
      <c r="CN6" s="14">
        <f t="shared" ca="1" si="2"/>
        <v>43409</v>
      </c>
      <c r="CO6" s="14">
        <f t="shared" ca="1" si="2"/>
        <v>43411</v>
      </c>
      <c r="CP6" s="14">
        <f t="shared" ca="1" si="2"/>
        <v>43413</v>
      </c>
      <c r="CQ6" s="14">
        <f t="shared" ca="1" si="2"/>
        <v>43415</v>
      </c>
      <c r="CR6" s="14">
        <f t="shared" ca="1" si="2"/>
        <v>43417</v>
      </c>
      <c r="CS6" s="14">
        <f t="shared" ca="1" si="2"/>
        <v>43419</v>
      </c>
      <c r="CT6" s="14">
        <f t="shared" ca="1" si="2"/>
        <v>43421</v>
      </c>
      <c r="CU6" s="14">
        <f t="shared" ca="1" si="2"/>
        <v>43423</v>
      </c>
      <c r="CV6" s="14">
        <f t="shared" ca="1" si="2"/>
        <v>43425</v>
      </c>
      <c r="CW6" s="14">
        <f t="shared" ca="1" si="2"/>
        <v>43427</v>
      </c>
      <c r="CX6" s="14">
        <f t="shared" ca="1" si="2"/>
        <v>43429</v>
      </c>
      <c r="CY6" s="14">
        <f t="shared" ca="1" si="2"/>
        <v>43431</v>
      </c>
      <c r="CZ6" s="14">
        <f t="shared" ca="1" si="2"/>
        <v>43433</v>
      </c>
      <c r="DA6" s="14">
        <f t="shared" ca="1" si="2"/>
        <v>43435</v>
      </c>
      <c r="DB6" s="14">
        <f t="shared" ca="1" si="2"/>
        <v>43437</v>
      </c>
      <c r="DC6" s="14">
        <f t="shared" ca="1" si="2"/>
        <v>43439</v>
      </c>
      <c r="DD6" s="14">
        <f t="shared" ca="1" si="2"/>
        <v>43441</v>
      </c>
      <c r="DE6" s="14">
        <f t="shared" ca="1" si="2"/>
        <v>43443</v>
      </c>
      <c r="DF6" s="14">
        <f t="shared" ca="1" si="2"/>
        <v>43445</v>
      </c>
      <c r="DG6" s="14">
        <f t="shared" ca="1" si="2"/>
        <v>43447</v>
      </c>
      <c r="DH6" s="14">
        <f t="shared" ca="1" si="2"/>
        <v>43449</v>
      </c>
      <c r="DI6" s="14">
        <f t="shared" ca="1" si="2"/>
        <v>43451</v>
      </c>
      <c r="DJ6" s="14">
        <f t="shared" ca="1" si="2"/>
        <v>43453</v>
      </c>
      <c r="DK6" s="14">
        <f t="shared" ca="1" si="2"/>
        <v>43455</v>
      </c>
      <c r="DL6" s="14">
        <f t="shared" ca="1" si="2"/>
        <v>43457</v>
      </c>
      <c r="DM6" s="14">
        <f t="shared" ca="1" si="2"/>
        <v>43459</v>
      </c>
      <c r="DN6" s="14">
        <f t="shared" ca="1" si="2"/>
        <v>43461</v>
      </c>
      <c r="DO6" s="14">
        <f t="shared" ca="1" si="2"/>
        <v>43463</v>
      </c>
      <c r="DP6" s="14">
        <f t="shared" ca="1" si="2"/>
        <v>43465</v>
      </c>
      <c r="DQ6" s="14">
        <f t="shared" ca="1" si="2"/>
        <v>43467</v>
      </c>
      <c r="DR6" s="14">
        <f t="shared" ca="1" si="2"/>
        <v>43469</v>
      </c>
      <c r="DS6" s="14">
        <f t="shared" ca="1" si="2"/>
        <v>43471</v>
      </c>
      <c r="DT6" s="14">
        <f t="shared" ca="1" si="2"/>
        <v>43473</v>
      </c>
      <c r="DU6" s="14">
        <f t="shared" ca="1" si="2"/>
        <v>43475</v>
      </c>
      <c r="DV6" s="14">
        <f t="shared" ca="1" si="2"/>
        <v>43477</v>
      </c>
      <c r="DW6" s="14">
        <f t="shared" ca="1" si="2"/>
        <v>43479</v>
      </c>
      <c r="DX6" s="14">
        <f t="shared" ca="1" si="2"/>
        <v>43481</v>
      </c>
      <c r="DY6" s="14">
        <f t="shared" ca="1" si="2"/>
        <v>43483</v>
      </c>
      <c r="DZ6" s="14">
        <f t="shared" ca="1" si="2"/>
        <v>43485</v>
      </c>
      <c r="EA6" s="14">
        <f t="shared" ca="1" si="2"/>
        <v>43487</v>
      </c>
      <c r="EB6" s="14">
        <f t="shared" ca="1" si="2"/>
        <v>43489</v>
      </c>
      <c r="EC6" s="14">
        <f t="shared" ca="1" si="2"/>
        <v>43491</v>
      </c>
      <c r="ED6" s="14">
        <f t="shared" ca="1" si="2"/>
        <v>43493</v>
      </c>
      <c r="EE6" s="14">
        <f t="shared" ca="1" si="2"/>
        <v>43495</v>
      </c>
      <c r="EF6" s="14">
        <f t="shared" ca="1" si="2"/>
        <v>43497</v>
      </c>
      <c r="EG6" s="14">
        <f t="shared" ca="1" si="2"/>
        <v>43499</v>
      </c>
      <c r="EH6" s="14">
        <f t="shared" ca="1" si="2"/>
        <v>43501</v>
      </c>
      <c r="EI6" s="14">
        <f t="shared" ca="1" si="2"/>
        <v>43503</v>
      </c>
      <c r="EJ6" s="14">
        <f t="shared" ca="1" si="2"/>
        <v>43505</v>
      </c>
      <c r="EK6" s="14">
        <f t="shared" ca="1" si="2"/>
        <v>43507</v>
      </c>
      <c r="EL6" s="14">
        <f t="shared" ca="1" si="2"/>
        <v>43509</v>
      </c>
      <c r="EM6" s="14">
        <f t="shared" ref="EM6:GX6" ca="1" si="3">TODAY()+((COLUMN()-$H$4)*$N$3)</f>
        <v>43511</v>
      </c>
      <c r="EN6" s="14">
        <f t="shared" ca="1" si="3"/>
        <v>43513</v>
      </c>
      <c r="EO6" s="14">
        <f t="shared" ca="1" si="3"/>
        <v>43515</v>
      </c>
      <c r="EP6" s="14">
        <f t="shared" ca="1" si="3"/>
        <v>43517</v>
      </c>
      <c r="EQ6" s="14">
        <f t="shared" ca="1" si="3"/>
        <v>43519</v>
      </c>
      <c r="ER6" s="14">
        <f t="shared" ca="1" si="3"/>
        <v>43521</v>
      </c>
      <c r="ES6" s="14">
        <f t="shared" ca="1" si="3"/>
        <v>43523</v>
      </c>
      <c r="ET6" s="14">
        <f t="shared" ca="1" si="3"/>
        <v>43525</v>
      </c>
      <c r="EU6" s="14">
        <f t="shared" ca="1" si="3"/>
        <v>43527</v>
      </c>
      <c r="EV6" s="14">
        <f t="shared" ca="1" si="3"/>
        <v>43529</v>
      </c>
      <c r="EW6" s="14">
        <f t="shared" ca="1" si="3"/>
        <v>43531</v>
      </c>
      <c r="EX6" s="14">
        <f t="shared" ca="1" si="3"/>
        <v>43533</v>
      </c>
      <c r="EY6" s="14">
        <f t="shared" ca="1" si="3"/>
        <v>43535</v>
      </c>
      <c r="EZ6" s="14">
        <f t="shared" ca="1" si="3"/>
        <v>43537</v>
      </c>
      <c r="FA6" s="14">
        <f t="shared" ca="1" si="3"/>
        <v>43539</v>
      </c>
      <c r="FB6" s="14">
        <f t="shared" ca="1" si="3"/>
        <v>43541</v>
      </c>
      <c r="FC6" s="14">
        <f t="shared" ca="1" si="3"/>
        <v>43543</v>
      </c>
      <c r="FD6" s="14">
        <f t="shared" ca="1" si="3"/>
        <v>43545</v>
      </c>
      <c r="FE6" s="14">
        <f t="shared" ca="1" si="3"/>
        <v>43547</v>
      </c>
      <c r="FF6" s="14">
        <f t="shared" ca="1" si="3"/>
        <v>43549</v>
      </c>
      <c r="FG6" s="14">
        <f t="shared" ca="1" si="3"/>
        <v>43551</v>
      </c>
      <c r="FH6" s="14">
        <f t="shared" ca="1" si="3"/>
        <v>43553</v>
      </c>
      <c r="FI6" s="14">
        <f t="shared" ca="1" si="3"/>
        <v>43555</v>
      </c>
      <c r="FJ6" s="14">
        <f t="shared" ca="1" si="3"/>
        <v>43557</v>
      </c>
      <c r="FK6" s="14">
        <f t="shared" ca="1" si="3"/>
        <v>43559</v>
      </c>
      <c r="FL6" s="14">
        <f t="shared" ca="1" si="3"/>
        <v>43561</v>
      </c>
      <c r="FM6" s="14">
        <f t="shared" ca="1" si="3"/>
        <v>43563</v>
      </c>
      <c r="FN6" s="14">
        <f t="shared" ca="1" si="3"/>
        <v>43565</v>
      </c>
      <c r="FO6" s="14">
        <f t="shared" ca="1" si="3"/>
        <v>43567</v>
      </c>
      <c r="FP6" s="14">
        <f t="shared" ca="1" si="3"/>
        <v>43569</v>
      </c>
      <c r="FQ6" s="14">
        <f t="shared" ca="1" si="3"/>
        <v>43571</v>
      </c>
      <c r="FR6" s="14">
        <f t="shared" ca="1" si="3"/>
        <v>43573</v>
      </c>
      <c r="FS6" s="14">
        <f t="shared" ca="1" si="3"/>
        <v>43575</v>
      </c>
      <c r="FT6" s="14">
        <f t="shared" ca="1" si="3"/>
        <v>43577</v>
      </c>
      <c r="FU6" s="14">
        <f t="shared" ca="1" si="3"/>
        <v>43579</v>
      </c>
      <c r="FV6" s="14">
        <f t="shared" ca="1" si="3"/>
        <v>43581</v>
      </c>
      <c r="FW6" s="14">
        <f t="shared" ca="1" si="3"/>
        <v>43583</v>
      </c>
      <c r="FX6" s="14">
        <f t="shared" ca="1" si="3"/>
        <v>43585</v>
      </c>
      <c r="FY6" s="14">
        <f t="shared" ca="1" si="3"/>
        <v>43587</v>
      </c>
      <c r="FZ6" s="14">
        <f t="shared" ca="1" si="3"/>
        <v>43589</v>
      </c>
      <c r="GA6" s="14">
        <f t="shared" ca="1" si="3"/>
        <v>43591</v>
      </c>
      <c r="GB6" s="14">
        <f t="shared" ca="1" si="3"/>
        <v>43593</v>
      </c>
      <c r="GC6" s="14">
        <f t="shared" ca="1" si="3"/>
        <v>43595</v>
      </c>
      <c r="GD6" s="14">
        <f t="shared" ca="1" si="3"/>
        <v>43597</v>
      </c>
      <c r="GE6" s="14">
        <f t="shared" ca="1" si="3"/>
        <v>43599</v>
      </c>
      <c r="GF6" s="14">
        <f t="shared" ca="1" si="3"/>
        <v>43601</v>
      </c>
      <c r="GG6" s="14">
        <f t="shared" ca="1" si="3"/>
        <v>43603</v>
      </c>
      <c r="GH6" s="14">
        <f t="shared" ca="1" si="3"/>
        <v>43605</v>
      </c>
      <c r="GI6" s="14">
        <f t="shared" ca="1" si="3"/>
        <v>43607</v>
      </c>
      <c r="GJ6" s="14">
        <f t="shared" ca="1" si="3"/>
        <v>43609</v>
      </c>
      <c r="GK6" s="14">
        <f t="shared" ca="1" si="3"/>
        <v>43611</v>
      </c>
      <c r="GL6" s="14">
        <f t="shared" ca="1" si="3"/>
        <v>43613</v>
      </c>
      <c r="GM6" s="14">
        <f t="shared" ca="1" si="3"/>
        <v>43615</v>
      </c>
      <c r="GN6" s="14">
        <f t="shared" ca="1" si="3"/>
        <v>43617</v>
      </c>
      <c r="GO6" s="14">
        <f t="shared" ca="1" si="3"/>
        <v>43619</v>
      </c>
      <c r="GP6" s="14">
        <f t="shared" ca="1" si="3"/>
        <v>43621</v>
      </c>
      <c r="GQ6" s="14">
        <f t="shared" ca="1" si="3"/>
        <v>43623</v>
      </c>
      <c r="GR6" s="14">
        <f t="shared" ca="1" si="3"/>
        <v>43625</v>
      </c>
      <c r="GS6" s="14">
        <f t="shared" ca="1" si="3"/>
        <v>43627</v>
      </c>
      <c r="GT6" s="14">
        <f t="shared" ca="1" si="3"/>
        <v>43629</v>
      </c>
      <c r="GU6" s="14">
        <f t="shared" ca="1" si="3"/>
        <v>43631</v>
      </c>
      <c r="GV6" s="14">
        <f t="shared" ca="1" si="3"/>
        <v>43633</v>
      </c>
      <c r="GW6" s="14">
        <f t="shared" ca="1" si="3"/>
        <v>43635</v>
      </c>
      <c r="GX6" s="14">
        <f t="shared" ca="1" si="3"/>
        <v>43637</v>
      </c>
      <c r="GY6" s="14">
        <f t="shared" ref="GY6:JJ6" ca="1" si="4">TODAY()+((COLUMN()-$H$4)*$N$3)</f>
        <v>43639</v>
      </c>
      <c r="GZ6" s="14">
        <f t="shared" ca="1" si="4"/>
        <v>43641</v>
      </c>
      <c r="HA6" s="14">
        <f t="shared" ca="1" si="4"/>
        <v>43643</v>
      </c>
      <c r="HB6" s="14">
        <f t="shared" ca="1" si="4"/>
        <v>43645</v>
      </c>
      <c r="HC6" s="14">
        <f t="shared" ca="1" si="4"/>
        <v>43647</v>
      </c>
      <c r="HD6" s="14">
        <f t="shared" ca="1" si="4"/>
        <v>43649</v>
      </c>
      <c r="HE6" s="14">
        <f t="shared" ca="1" si="4"/>
        <v>43651</v>
      </c>
      <c r="HF6" s="14">
        <f t="shared" ca="1" si="4"/>
        <v>43653</v>
      </c>
      <c r="HG6" s="14">
        <f t="shared" ca="1" si="4"/>
        <v>43655</v>
      </c>
      <c r="HH6" s="14">
        <f t="shared" ca="1" si="4"/>
        <v>43657</v>
      </c>
      <c r="HI6" s="14">
        <f t="shared" ca="1" si="4"/>
        <v>43659</v>
      </c>
      <c r="HJ6" s="14">
        <f t="shared" ca="1" si="4"/>
        <v>43661</v>
      </c>
      <c r="HK6" s="14">
        <f t="shared" ca="1" si="4"/>
        <v>43663</v>
      </c>
      <c r="HL6" s="14">
        <f t="shared" ca="1" si="4"/>
        <v>43665</v>
      </c>
      <c r="HM6" s="14">
        <f t="shared" ca="1" si="4"/>
        <v>43667</v>
      </c>
      <c r="HN6" s="14">
        <f t="shared" ca="1" si="4"/>
        <v>43669</v>
      </c>
      <c r="HO6" s="14">
        <f t="shared" ca="1" si="4"/>
        <v>43671</v>
      </c>
      <c r="HP6" s="14">
        <f t="shared" ca="1" si="4"/>
        <v>43673</v>
      </c>
      <c r="HQ6" s="14">
        <f t="shared" ca="1" si="4"/>
        <v>43675</v>
      </c>
      <c r="HR6" s="14">
        <f t="shared" ca="1" si="4"/>
        <v>43677</v>
      </c>
      <c r="HS6" s="14">
        <f t="shared" ca="1" si="4"/>
        <v>43679</v>
      </c>
      <c r="HT6" s="14">
        <f t="shared" ca="1" si="4"/>
        <v>43681</v>
      </c>
      <c r="HU6" s="14">
        <f t="shared" ca="1" si="4"/>
        <v>43683</v>
      </c>
      <c r="HV6" s="14">
        <f t="shared" ca="1" si="4"/>
        <v>43685</v>
      </c>
      <c r="HW6" s="14">
        <f t="shared" ca="1" si="4"/>
        <v>43687</v>
      </c>
      <c r="HX6" s="14">
        <f t="shared" ca="1" si="4"/>
        <v>43689</v>
      </c>
      <c r="HY6" s="14">
        <f t="shared" ca="1" si="4"/>
        <v>43691</v>
      </c>
      <c r="HZ6" s="14">
        <f t="shared" ca="1" si="4"/>
        <v>43693</v>
      </c>
      <c r="IA6" s="14">
        <f t="shared" ca="1" si="4"/>
        <v>43695</v>
      </c>
      <c r="IB6" s="14">
        <f t="shared" ca="1" si="4"/>
        <v>43697</v>
      </c>
      <c r="IC6" s="14">
        <f t="shared" ca="1" si="4"/>
        <v>43699</v>
      </c>
      <c r="ID6" s="14">
        <f t="shared" ca="1" si="4"/>
        <v>43701</v>
      </c>
      <c r="IE6" s="14">
        <f t="shared" ca="1" si="4"/>
        <v>43703</v>
      </c>
      <c r="IF6" s="14">
        <f t="shared" ca="1" si="4"/>
        <v>43705</v>
      </c>
      <c r="IG6" s="14">
        <f t="shared" ca="1" si="4"/>
        <v>43707</v>
      </c>
      <c r="IH6" s="14">
        <f t="shared" ca="1" si="4"/>
        <v>43709</v>
      </c>
      <c r="II6" s="14">
        <f t="shared" ca="1" si="4"/>
        <v>43711</v>
      </c>
      <c r="IJ6" s="14">
        <f t="shared" ca="1" si="4"/>
        <v>43713</v>
      </c>
      <c r="IK6" s="14">
        <f t="shared" ca="1" si="4"/>
        <v>43715</v>
      </c>
      <c r="IL6" s="14">
        <f t="shared" ca="1" si="4"/>
        <v>43717</v>
      </c>
      <c r="IM6" s="14">
        <f t="shared" ca="1" si="4"/>
        <v>43719</v>
      </c>
      <c r="IN6" s="14">
        <f t="shared" ca="1" si="4"/>
        <v>43721</v>
      </c>
      <c r="IO6" s="14">
        <f t="shared" ca="1" si="4"/>
        <v>43723</v>
      </c>
      <c r="IP6" s="14">
        <f t="shared" ca="1" si="4"/>
        <v>43725</v>
      </c>
      <c r="IQ6" s="14">
        <f t="shared" ca="1" si="4"/>
        <v>43727</v>
      </c>
      <c r="IR6" s="14">
        <f t="shared" ca="1" si="4"/>
        <v>43729</v>
      </c>
      <c r="IS6" s="14">
        <f t="shared" ca="1" si="4"/>
        <v>43731</v>
      </c>
      <c r="IT6" s="14">
        <f t="shared" ca="1" si="4"/>
        <v>43733</v>
      </c>
      <c r="IU6" s="14">
        <f t="shared" ca="1" si="4"/>
        <v>43735</v>
      </c>
      <c r="IV6" s="14">
        <f t="shared" ca="1" si="4"/>
        <v>43737</v>
      </c>
      <c r="IW6" s="14">
        <f t="shared" ca="1" si="4"/>
        <v>43739</v>
      </c>
      <c r="IX6" s="14">
        <f t="shared" ca="1" si="4"/>
        <v>43741</v>
      </c>
      <c r="IY6" s="14">
        <f t="shared" ca="1" si="4"/>
        <v>43743</v>
      </c>
      <c r="IZ6" s="14">
        <f t="shared" ca="1" si="4"/>
        <v>43745</v>
      </c>
      <c r="JA6" s="14">
        <f t="shared" ca="1" si="4"/>
        <v>43747</v>
      </c>
      <c r="JB6" s="14">
        <f t="shared" ca="1" si="4"/>
        <v>43749</v>
      </c>
      <c r="JC6" s="14">
        <f t="shared" ca="1" si="4"/>
        <v>43751</v>
      </c>
      <c r="JD6" s="14">
        <f t="shared" ca="1" si="4"/>
        <v>43753</v>
      </c>
      <c r="JE6" s="14">
        <f t="shared" ca="1" si="4"/>
        <v>43755</v>
      </c>
      <c r="JF6" s="14">
        <f t="shared" ca="1" si="4"/>
        <v>43757</v>
      </c>
      <c r="JG6" s="14">
        <f t="shared" ca="1" si="4"/>
        <v>43759</v>
      </c>
      <c r="JH6" s="14">
        <f t="shared" ca="1" si="4"/>
        <v>43761</v>
      </c>
      <c r="JI6" s="14">
        <f t="shared" ca="1" si="4"/>
        <v>43763</v>
      </c>
      <c r="JJ6" s="14">
        <f t="shared" ca="1" si="4"/>
        <v>43765</v>
      </c>
      <c r="JK6" s="14">
        <f t="shared" ref="JK6:LV6" ca="1" si="5">TODAY()+((COLUMN()-$H$4)*$N$3)</f>
        <v>43767</v>
      </c>
      <c r="JL6" s="14">
        <f t="shared" ca="1" si="5"/>
        <v>43769</v>
      </c>
      <c r="JM6" s="14">
        <f t="shared" ca="1" si="5"/>
        <v>43771</v>
      </c>
      <c r="JN6" s="14">
        <f t="shared" ca="1" si="5"/>
        <v>43773</v>
      </c>
      <c r="JO6" s="14">
        <f t="shared" ca="1" si="5"/>
        <v>43775</v>
      </c>
      <c r="JP6" s="14">
        <f t="shared" ca="1" si="5"/>
        <v>43777</v>
      </c>
      <c r="JQ6" s="14">
        <f t="shared" ca="1" si="5"/>
        <v>43779</v>
      </c>
      <c r="JR6" s="14">
        <f t="shared" ca="1" si="5"/>
        <v>43781</v>
      </c>
      <c r="JS6" s="14">
        <f t="shared" ca="1" si="5"/>
        <v>43783</v>
      </c>
      <c r="JT6" s="14">
        <f t="shared" ca="1" si="5"/>
        <v>43785</v>
      </c>
      <c r="JU6" s="14">
        <f t="shared" ca="1" si="5"/>
        <v>43787</v>
      </c>
      <c r="JV6" s="14">
        <f t="shared" ca="1" si="5"/>
        <v>43789</v>
      </c>
      <c r="JW6" s="14">
        <f t="shared" ca="1" si="5"/>
        <v>43791</v>
      </c>
      <c r="JX6" s="14">
        <f t="shared" ca="1" si="5"/>
        <v>43793</v>
      </c>
      <c r="JY6" s="14">
        <f t="shared" ca="1" si="5"/>
        <v>43795</v>
      </c>
      <c r="JZ6" s="14">
        <f t="shared" ca="1" si="5"/>
        <v>43797</v>
      </c>
      <c r="KA6" s="14">
        <f t="shared" ca="1" si="5"/>
        <v>43799</v>
      </c>
      <c r="KB6" s="14">
        <f t="shared" ca="1" si="5"/>
        <v>43801</v>
      </c>
      <c r="KC6" s="14">
        <f t="shared" ca="1" si="5"/>
        <v>43803</v>
      </c>
      <c r="KD6" s="14">
        <f t="shared" ca="1" si="5"/>
        <v>43805</v>
      </c>
      <c r="KE6" s="14">
        <f t="shared" ca="1" si="5"/>
        <v>43807</v>
      </c>
      <c r="KF6" s="14">
        <f t="shared" ca="1" si="5"/>
        <v>43809</v>
      </c>
      <c r="KG6" s="14">
        <f t="shared" ca="1" si="5"/>
        <v>43811</v>
      </c>
      <c r="KH6" s="14">
        <f t="shared" ca="1" si="5"/>
        <v>43813</v>
      </c>
      <c r="KI6" s="14">
        <f t="shared" ca="1" si="5"/>
        <v>43815</v>
      </c>
      <c r="KJ6" s="14">
        <f t="shared" ca="1" si="5"/>
        <v>43817</v>
      </c>
      <c r="KK6" s="14">
        <f t="shared" ca="1" si="5"/>
        <v>43819</v>
      </c>
      <c r="KL6" s="14">
        <f t="shared" ca="1" si="5"/>
        <v>43821</v>
      </c>
      <c r="KM6" s="14">
        <f t="shared" ca="1" si="5"/>
        <v>43823</v>
      </c>
      <c r="KN6" s="14">
        <f t="shared" ca="1" si="5"/>
        <v>43825</v>
      </c>
      <c r="KO6" s="14">
        <f t="shared" ca="1" si="5"/>
        <v>43827</v>
      </c>
      <c r="KP6" s="14">
        <f t="shared" ca="1" si="5"/>
        <v>43829</v>
      </c>
      <c r="KQ6" s="14">
        <f t="shared" ca="1" si="5"/>
        <v>43831</v>
      </c>
      <c r="KR6" s="14">
        <f t="shared" ca="1" si="5"/>
        <v>43833</v>
      </c>
      <c r="KS6" s="14">
        <f t="shared" ca="1" si="5"/>
        <v>43835</v>
      </c>
      <c r="KT6" s="14">
        <f t="shared" ca="1" si="5"/>
        <v>43837</v>
      </c>
      <c r="KU6" s="14">
        <f t="shared" ca="1" si="5"/>
        <v>43839</v>
      </c>
      <c r="KV6" s="14">
        <f t="shared" ca="1" si="5"/>
        <v>43841</v>
      </c>
      <c r="KW6" s="14">
        <f t="shared" ca="1" si="5"/>
        <v>43843</v>
      </c>
      <c r="KX6" s="14">
        <f t="shared" ca="1" si="5"/>
        <v>43845</v>
      </c>
      <c r="KY6" s="14">
        <f t="shared" ca="1" si="5"/>
        <v>43847</v>
      </c>
      <c r="KZ6" s="14">
        <f t="shared" ca="1" si="5"/>
        <v>43849</v>
      </c>
      <c r="LA6" s="14">
        <f t="shared" ca="1" si="5"/>
        <v>43851</v>
      </c>
      <c r="LB6" s="14">
        <f t="shared" ca="1" si="5"/>
        <v>43853</v>
      </c>
      <c r="LC6" s="14">
        <f t="shared" ca="1" si="5"/>
        <v>43855</v>
      </c>
      <c r="LD6" s="14">
        <f t="shared" ca="1" si="5"/>
        <v>43857</v>
      </c>
      <c r="LE6" s="14">
        <f t="shared" ca="1" si="5"/>
        <v>43859</v>
      </c>
      <c r="LF6" s="14">
        <f t="shared" ca="1" si="5"/>
        <v>43861</v>
      </c>
      <c r="LG6" s="14">
        <f t="shared" ca="1" si="5"/>
        <v>43863</v>
      </c>
      <c r="LH6" s="14">
        <f t="shared" ca="1" si="5"/>
        <v>43865</v>
      </c>
      <c r="LI6" s="14">
        <f t="shared" ca="1" si="5"/>
        <v>43867</v>
      </c>
      <c r="LJ6" s="14">
        <f t="shared" ca="1" si="5"/>
        <v>43869</v>
      </c>
      <c r="LK6" s="14">
        <f t="shared" ca="1" si="5"/>
        <v>43871</v>
      </c>
      <c r="LL6" s="14">
        <f t="shared" ca="1" si="5"/>
        <v>43873</v>
      </c>
      <c r="LM6" s="14">
        <f t="shared" ca="1" si="5"/>
        <v>43875</v>
      </c>
      <c r="LN6" s="14">
        <f t="shared" ca="1" si="5"/>
        <v>43877</v>
      </c>
      <c r="LO6" s="14">
        <f t="shared" ca="1" si="5"/>
        <v>43879</v>
      </c>
      <c r="LP6" s="14">
        <f t="shared" ca="1" si="5"/>
        <v>43881</v>
      </c>
      <c r="LQ6" s="14">
        <f t="shared" ca="1" si="5"/>
        <v>43883</v>
      </c>
      <c r="LR6" s="14">
        <f t="shared" ca="1" si="5"/>
        <v>43885</v>
      </c>
      <c r="LS6" s="14">
        <f t="shared" ca="1" si="5"/>
        <v>43887</v>
      </c>
      <c r="LT6" s="14">
        <f t="shared" ca="1" si="5"/>
        <v>43889</v>
      </c>
      <c r="LU6" s="14">
        <f t="shared" ca="1" si="5"/>
        <v>43891</v>
      </c>
      <c r="LV6" s="14">
        <f t="shared" ca="1" si="5"/>
        <v>43893</v>
      </c>
      <c r="LW6" s="14">
        <f t="shared" ref="LW6:NA6" ca="1" si="6">TODAY()+((COLUMN()-$H$4)*$N$3)</f>
        <v>43895</v>
      </c>
      <c r="LX6" s="14">
        <f t="shared" ca="1" si="6"/>
        <v>43897</v>
      </c>
      <c r="LY6" s="14">
        <f t="shared" ca="1" si="6"/>
        <v>43899</v>
      </c>
      <c r="LZ6" s="14">
        <f t="shared" ca="1" si="6"/>
        <v>43901</v>
      </c>
      <c r="MA6" s="14">
        <f t="shared" ca="1" si="6"/>
        <v>43903</v>
      </c>
      <c r="MB6" s="14">
        <f t="shared" ca="1" si="6"/>
        <v>43905</v>
      </c>
      <c r="MC6" s="14">
        <f t="shared" ca="1" si="6"/>
        <v>43907</v>
      </c>
      <c r="MD6" s="14">
        <f t="shared" ca="1" si="6"/>
        <v>43909</v>
      </c>
      <c r="ME6" s="14">
        <f t="shared" ca="1" si="6"/>
        <v>43911</v>
      </c>
      <c r="MF6" s="14">
        <f t="shared" ca="1" si="6"/>
        <v>43913</v>
      </c>
      <c r="MG6" s="14">
        <f t="shared" ca="1" si="6"/>
        <v>43915</v>
      </c>
      <c r="MH6" s="14">
        <f t="shared" ca="1" si="6"/>
        <v>43917</v>
      </c>
      <c r="MI6" s="14">
        <f t="shared" ca="1" si="6"/>
        <v>43919</v>
      </c>
      <c r="MJ6" s="14">
        <f t="shared" ca="1" si="6"/>
        <v>43921</v>
      </c>
      <c r="MK6" s="14">
        <f t="shared" ca="1" si="6"/>
        <v>43923</v>
      </c>
      <c r="ML6" s="14">
        <f t="shared" ca="1" si="6"/>
        <v>43925</v>
      </c>
      <c r="MM6" s="14">
        <f t="shared" ca="1" si="6"/>
        <v>43927</v>
      </c>
      <c r="MN6" s="14">
        <f t="shared" ca="1" si="6"/>
        <v>43929</v>
      </c>
      <c r="MO6" s="14">
        <f t="shared" ca="1" si="6"/>
        <v>43931</v>
      </c>
      <c r="MP6" s="14">
        <f t="shared" ca="1" si="6"/>
        <v>43933</v>
      </c>
      <c r="MQ6" s="14">
        <f t="shared" ca="1" si="6"/>
        <v>43935</v>
      </c>
      <c r="MR6" s="14">
        <f t="shared" ca="1" si="6"/>
        <v>43937</v>
      </c>
      <c r="MS6" s="14">
        <f t="shared" ca="1" si="6"/>
        <v>43939</v>
      </c>
      <c r="MT6" s="14">
        <f t="shared" ca="1" si="6"/>
        <v>43941</v>
      </c>
      <c r="MU6" s="14">
        <f t="shared" ca="1" si="6"/>
        <v>43943</v>
      </c>
      <c r="MV6" s="14">
        <f t="shared" ca="1" si="6"/>
        <v>43945</v>
      </c>
      <c r="MW6" s="14">
        <f t="shared" ca="1" si="6"/>
        <v>43947</v>
      </c>
      <c r="MX6" s="14">
        <f t="shared" ca="1" si="6"/>
        <v>43949</v>
      </c>
      <c r="MY6" s="14">
        <f t="shared" ca="1" si="6"/>
        <v>43951</v>
      </c>
      <c r="MZ6" s="14">
        <f t="shared" ca="1" si="6"/>
        <v>43953</v>
      </c>
      <c r="NA6" s="14">
        <f t="shared" ca="1" si="6"/>
        <v>43955</v>
      </c>
    </row>
    <row r="7" spans="1:367" s="2" customFormat="1" ht="24" customHeight="1" x14ac:dyDescent="0.25">
      <c r="A7" s="103" t="s">
        <v>328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425</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335</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2018-06-06T03:20:56Z</dcterms:modified>
</cp:coreProperties>
</file>