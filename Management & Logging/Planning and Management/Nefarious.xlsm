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6520" yWindow="-5140" windowWidth="33420" windowHeight="21040" tabRatio="540" activeTab="1"/>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C1" i="6"/>
  <c r="C1" i="5"/>
  <c r="G6" i="3"/>
  <c r="E10" i="2"/>
  <c r="J4" i="2"/>
  <c r="C4" i="1"/>
  <c r="G36" i="2"/>
  <c r="E36" i="2"/>
</calcChain>
</file>

<file path=xl/sharedStrings.xml><?xml version="1.0" encoding="utf-8"?>
<sst xmlns="http://schemas.openxmlformats.org/spreadsheetml/2006/main" count="516" uniqueCount="309">
  <si>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</si>
  <si>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</si>
  <si>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</si>
  <si>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</si>
  <si>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</si>
  <si>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</si>
  <si>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</si>
  <si>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</si>
  <si>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</si>
  <si>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</si>
  <si>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</si>
  <si>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</si>
  <si>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</si>
  <si>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</si>
  <si>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</si>
  <si>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</si>
  <si>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</si>
  <si>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</si>
  <si>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</si>
  <si>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</si>
  <si>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</si>
  <si>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</si>
  <si>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</si>
  <si>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</si>
  <si>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</si>
  <si>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</si>
  <si>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</si>
  <si>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</si>
  <si>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</si>
  <si>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</si>
  <si>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</si>
  <si>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</si>
  <si>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</si>
  <si>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</si>
  <si>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</si>
  <si>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</si>
  <si>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</si>
  <si>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</si>
  <si>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</si>
  <si>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</si>
  <si>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</si>
  <si>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</si>
  <si>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</si>
  <si>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</si>
  <si>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</si>
  <si>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</si>
  <si>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</si>
  <si>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</si>
  <si>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</si>
  <si>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</si>
  <si>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</si>
  <si>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</si>
  <si>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</si>
  <si>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</si>
  <si>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</si>
  <si>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</si>
  <si>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</si>
  <si>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</si>
  <si>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</si>
  <si>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</si>
  <si>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</si>
  <si>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</si>
  <si>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</si>
  <si>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</si>
  <si>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</si>
  <si>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</si>
  <si>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</si>
  <si>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</si>
  <si>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</si>
  <si>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</si>
  <si>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</si>
  <si>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</si>
  <si>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</si>
  <si>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</si>
  <si>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</si>
  <si>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</si>
  <si>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</si>
  <si>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</si>
  <si>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</si>
  <si>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</si>
  <si>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</si>
  <si>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</si>
  <si>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</si>
  <si>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</si>
  <si>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</si>
  <si>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</si>
  <si>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</si>
  <si>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</si>
  <si>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</si>
  <si>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</si>
  <si>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</si>
  <si>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</si>
  <si>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</si>
  <si>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</si>
  <si>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</si>
  <si>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</si>
  <si>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</si>
  <si>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</si>
  <si>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</si>
  <si>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</si>
  <si>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</si>
  <si>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</si>
  <si>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</si>
  <si>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</si>
  <si>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</si>
  <si>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</si>
  <si>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</si>
  <si>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</si>
  <si>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</si>
  <si>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</si>
  <si>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</si>
  <si>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</si>
  <si>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</si>
  <si>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</si>
  <si>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</si>
  <si>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</si>
  <si>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</si>
  <si>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</si>
  <si>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</si>
  <si>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</si>
  <si>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</si>
  <si>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</si>
  <si>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</si>
  <si>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</si>
  <si>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</si>
  <si>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</si>
  <si>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</si>
  <si>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</si>
  <si>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</si>
  <si>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</si>
  <si>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</si>
  <si>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</si>
  <si>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</si>
  <si>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</si>
  <si>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</si>
  <si>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</si>
  <si>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</si>
  <si>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</si>
  <si>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</si>
  <si>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</si>
  <si>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</si>
  <si>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</si>
  <si>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</si>
  <si>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</si>
  <si>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</si>
  <si>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</si>
  <si>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</si>
  <si>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</si>
  <si>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</si>
  <si>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</si>
  <si>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</si>
  <si>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</si>
  <si>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</si>
  <si>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</si>
  <si>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</si>
  <si>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</si>
  <si>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</si>
  <si>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</si>
  <si>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</si>
  <si>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</si>
  <si>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</si>
  <si>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</si>
  <si>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</si>
  <si>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</si>
  <si>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</si>
  <si>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</si>
  <si>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</si>
  <si>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</si>
  <si>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</si>
  <si>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</si>
  <si>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</si>
  <si>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</si>
  <si>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</si>
  <si>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</si>
  <si>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</si>
  <si>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</si>
  <si>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</si>
  <si>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</si>
  <si>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</si>
  <si>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</si>
  <si>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</si>
  <si>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</si>
  <si>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</si>
  <si>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</si>
  <si>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</si>
  <si>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</si>
  <si>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</si>
  <si>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</si>
  <si>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</si>
  <si>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</si>
  <si>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</si>
  <si>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</si>
  <si>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</si>
  <si>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</si>
  <si>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</si>
  <si>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</si>
  <si>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</si>
  <si>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</si>
  <si>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</si>
  <si>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</si>
  <si>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</si>
  <si>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</si>
  <si>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</si>
  <si>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</si>
  <si>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</si>
  <si>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</si>
  <si>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</si>
  <si>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</si>
  <si>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</si>
  <si>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</si>
  <si>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</si>
  <si>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</si>
  <si>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</si>
  <si>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</si>
  <si>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</si>
  <si>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</si>
  <si>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</si>
  <si>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</si>
  <si>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</si>
  <si>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</si>
  <si>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</si>
  <si>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</si>
  <si>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</si>
  <si>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</si>
  <si>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</si>
  <si>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</si>
  <si>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</si>
  <si>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</si>
  <si>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</si>
  <si>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</si>
  <si>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</si>
  <si>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</si>
  <si>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</si>
  <si>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</si>
  <si>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</si>
  <si>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</si>
  <si>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</si>
  <si>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</si>
  <si>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</si>
  <si>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</si>
  <si>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</si>
  <si>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</si>
  <si>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</si>
  <si>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</si>
  <si>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</si>
  <si>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</si>
  <si>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</si>
  <si>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</si>
  <si>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</si>
  <si>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</si>
  <si>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</si>
  <si>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</si>
  <si>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</si>
  <si>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</si>
  <si>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</si>
  <si>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</si>
  <si>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</si>
  <si>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</si>
  <si>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</si>
  <si>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</si>
  <si>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</si>
  <si>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</si>
  <si>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</si>
  <si>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</si>
  <si>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</si>
  <si>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</si>
  <si>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</si>
  <si>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</si>
  <si>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</si>
  <si>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</si>
  <si>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</si>
  <si>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</si>
  <si>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</si>
  <si>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</si>
  <si>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</si>
  <si>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</si>
  <si>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</si>
  <si>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</si>
  <si>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</si>
  <si>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</si>
  <si>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</si>
  <si>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</si>
  <si>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</si>
  <si>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</si>
  <si>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</si>
  <si>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</si>
  <si>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</si>
  <si>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</si>
  <si>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</si>
  <si>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</si>
  <si>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</si>
  <si>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</si>
  <si>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NOW ALL THE ACTUAL GAME WILL BE ASSEMBLED USING THE SYSTEMS AND ART AND MUSIC WILL BE BUILT. THIS WILL BE MORE CHALLENGING FOR YOU :)</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</si>
  <si>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</si>
  <si>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</si>
  <si>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</si>
  <si>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</si>
  <si>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</si>
  <si>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</si>
  <si>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</si>
  <si>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</si>
  <si>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</si>
  <si>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</si>
  <si>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</si>
  <si>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</si>
  <si>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</si>
  <si>
    <t>DONE THROUGH WEBSITE NOW DAYS, but I still will use this when I need to personally reflect, but boy have I done a good job on my GAANT sheet, pretty proud of that stuff. BTW I analysed and apllned everything aren't you just proud of yourself. The study planner is just used for everything now and It looks beautiful.
It took me just about a month to get this project underway and I finally feel like I can hit the ground running on this project, I finished the editor tool and then now I will begin the base player movement scripts. The repo is setup and everything is going to plan</t>
  </si>
  <si>
    <t>Crazy work ethic today</t>
  </si>
  <si>
    <t>Camera Controller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</si>
</sst>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1" fillId="17" borderId="0" applyNumberFormat="0" applyBorder="0" applyAlignment="0" applyProtection="0"/>
  </cellStyleXfs>
  <cellXfs count="24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9" borderId="0" xfId="0" applyNumberFormat="1" applyFill="1" applyAlignment="1">
      <alignment horizontal="center" vertical="center" wrapText="1"/>
    </xf>
    <xf numFmtId="2" fontId="0" fillId="19"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1"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4"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0" borderId="0" xfId="0" applyFont="1" applyFill="1" applyAlignment="1">
      <alignment horizontal="center" vertical="center" wrapText="1"/>
    </xf>
    <xf numFmtId="0" fontId="11" fillId="18" borderId="0" xfId="5" applyFont="1" applyFill="1" applyAlignment="1">
      <alignment horizontal="center" vertical="center" wrapText="1"/>
    </xf>
    <xf numFmtId="0" fontId="0" fillId="22" borderId="0" xfId="0" applyFont="1" applyFill="1" applyAlignment="1">
      <alignment horizontal="center" vertical="center" wrapText="1"/>
    </xf>
    <xf numFmtId="0" fontId="0" fillId="25" borderId="0" xfId="0" applyFont="1" applyFill="1" applyAlignment="1">
      <alignment horizontal="center" vertical="center" wrapText="1"/>
    </xf>
    <xf numFmtId="0" fontId="0" fillId="21" borderId="0" xfId="0" applyFont="1" applyFill="1" applyAlignment="1">
      <alignment horizontal="center" vertical="center" wrapText="1"/>
    </xf>
    <xf numFmtId="0" fontId="2" fillId="13" borderId="0" xfId="0" applyFont="1" applyFill="1" applyAlignment="1">
      <alignment horizontal="center" vertical="center" wrapText="1"/>
    </xf>
    <xf numFmtId="0" fontId="0" fillId="23" borderId="0" xfId="0" applyFont="1" applyFill="1" applyAlignment="1">
      <alignment horizontal="center" vertical="center" wrapText="1"/>
    </xf>
    <xf numFmtId="0" fontId="0" fillId="26" borderId="0" xfId="0" applyFont="1" applyFill="1" applyAlignment="1">
      <alignment horizontal="center" vertical="center" wrapText="1"/>
    </xf>
    <xf numFmtId="0" fontId="2" fillId="3" borderId="0" xfId="0" applyFont="1" applyFill="1" applyAlignment="1">
      <alignment horizontal="center" vertical="center" wrapText="1"/>
    </xf>
    <xf numFmtId="2" fontId="0" fillId="23"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0" fontId="17"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15" fillId="0" borderId="0" xfId="0" applyNumberFormat="1" applyFont="1" applyFill="1" applyAlignment="1">
      <alignment horizontal="center" vertical="center" wrapText="1"/>
    </xf>
    <xf numFmtId="2" fontId="15" fillId="0" borderId="0" xfId="0" applyNumberFormat="1" applyFont="1" applyFill="1" applyAlignment="1">
      <alignment horizontal="center" vertical="center" wrapText="1"/>
    </xf>
    <xf numFmtId="0"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5" fillId="7" borderId="0" xfId="0" applyNumberFormat="1" applyFont="1" applyFill="1" applyAlignment="1">
      <alignment horizontal="center" vertical="center" wrapText="1"/>
    </xf>
    <xf numFmtId="167" fontId="16" fillId="0" borderId="0" xfId="0" applyNumberFormat="1" applyFont="1" applyAlignment="1">
      <alignment horizontal="center" vertical="center" wrapText="1"/>
    </xf>
    <xf numFmtId="167" fontId="15"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9" fillId="0" borderId="0" xfId="0" applyFont="1" applyAlignment="1">
      <alignment horizontal="center" vertical="center" wrapText="1"/>
    </xf>
    <xf numFmtId="0" fontId="23" fillId="0" borderId="0" xfId="0" applyFont="1" applyAlignment="1">
      <alignment horizontal="center" vertical="center" wrapText="1"/>
    </xf>
    <xf numFmtId="10" fontId="15" fillId="7" borderId="0" xfId="0" applyNumberFormat="1" applyFont="1" applyFill="1" applyAlignment="1">
      <alignment horizontal="center" vertical="center" wrapText="1"/>
    </xf>
    <xf numFmtId="10" fontId="16" fillId="0" borderId="0" xfId="0" applyNumberFormat="1" applyFont="1" applyAlignment="1">
      <alignment horizontal="center" vertical="center" wrapText="1"/>
    </xf>
    <xf numFmtId="10" fontId="15" fillId="0" borderId="0" xfId="0" applyNumberFormat="1" applyFont="1" applyAlignment="1">
      <alignment horizontal="center" vertical="center" wrapText="1"/>
    </xf>
    <xf numFmtId="166" fontId="0" fillId="18"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5" fontId="13" fillId="3" borderId="10" xfId="0" applyNumberFormat="1" applyFont="1" applyFill="1" applyBorder="1" applyAlignment="1">
      <alignment horizontal="center" vertical="center" wrapText="1"/>
    </xf>
    <xf numFmtId="49" fontId="13" fillId="3" borderId="9" xfId="0" applyNumberFormat="1" applyFont="1" applyFill="1" applyBorder="1" applyAlignment="1">
      <alignment horizontal="center" vertical="center" wrapText="1"/>
    </xf>
    <xf numFmtId="2" fontId="13" fillId="3" borderId="9" xfId="0" applyNumberFormat="1" applyFont="1" applyFill="1" applyBorder="1" applyAlignment="1">
      <alignment horizontal="center" vertical="center" wrapText="1"/>
    </xf>
    <xf numFmtId="165" fontId="13" fillId="3" borderId="5" xfId="0" applyNumberFormat="1" applyFont="1" applyFill="1" applyBorder="1" applyAlignment="1">
      <alignment horizontal="center" vertical="center" wrapText="1"/>
    </xf>
    <xf numFmtId="49" fontId="13" fillId="3" borderId="2" xfId="0" applyNumberFormat="1" applyFont="1" applyFill="1" applyBorder="1" applyAlignment="1">
      <alignment horizontal="center" vertical="center" wrapText="1"/>
    </xf>
    <xf numFmtId="49" fontId="13" fillId="3" borderId="0" xfId="0" applyNumberFormat="1" applyFont="1" applyFill="1" applyAlignment="1">
      <alignment horizontal="center" vertical="center" wrapText="1"/>
    </xf>
    <xf numFmtId="2" fontId="13" fillId="3" borderId="0" xfId="0" applyNumberFormat="1" applyFont="1" applyFill="1" applyAlignment="1">
      <alignment horizontal="center" vertical="center" wrapText="1"/>
    </xf>
    <xf numFmtId="49" fontId="13" fillId="3" borderId="5" xfId="0" applyNumberFormat="1" applyFont="1" applyFill="1" applyBorder="1" applyAlignment="1">
      <alignment horizontal="center" vertical="center" wrapText="1"/>
    </xf>
    <xf numFmtId="49" fontId="14" fillId="3" borderId="5" xfId="0" applyNumberFormat="1" applyFont="1" applyFill="1" applyBorder="1" applyAlignment="1">
      <alignment horizontal="center" vertical="center" wrapText="1"/>
    </xf>
    <xf numFmtId="49" fontId="13" fillId="3" borderId="3" xfId="0" applyNumberFormat="1" applyFont="1" applyFill="1" applyBorder="1" applyAlignment="1">
      <alignment horizontal="center" vertical="center" wrapText="1"/>
    </xf>
    <xf numFmtId="49" fontId="13" fillId="3" borderId="4" xfId="0" applyNumberFormat="1" applyFont="1" applyFill="1" applyBorder="1" applyAlignment="1">
      <alignment horizontal="center" vertical="center" wrapText="1"/>
    </xf>
    <xf numFmtId="2" fontId="13" fillId="3" borderId="4" xfId="0" applyNumberFormat="1" applyFont="1" applyFill="1" applyBorder="1" applyAlignment="1">
      <alignment horizontal="center" vertical="center" wrapText="1"/>
    </xf>
    <xf numFmtId="0" fontId="15" fillId="15" borderId="0" xfId="0" applyNumberFormat="1" applyFont="1" applyFill="1" applyAlignment="1">
      <alignment horizontal="center" vertical="center" wrapText="1"/>
    </xf>
    <xf numFmtId="0" fontId="15" fillId="18"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2" fillId="5" borderId="0" xfId="0" applyFont="1" applyFill="1" applyBorder="1" applyAlignment="1">
      <alignment horizontal="center" vertical="center" wrapText="1"/>
    </xf>
    <xf numFmtId="0" fontId="16"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3"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0" fontId="0" fillId="34" borderId="0" xfId="0" applyNumberFormat="1" applyFont="1" applyFill="1" applyAlignment="1">
      <alignment horizontal="center" vertical="center" wrapText="1"/>
    </xf>
    <xf numFmtId="0" fontId="15" fillId="34" borderId="0" xfId="0" applyNumberFormat="1" applyFont="1" applyFill="1" applyAlignment="1">
      <alignment horizontal="center" vertical="center" wrapText="1"/>
    </xf>
    <xf numFmtId="10" fontId="15" fillId="34" borderId="0" xfId="0" applyNumberFormat="1" applyFont="1" applyFill="1" applyAlignment="1">
      <alignment horizontal="center" vertical="center" wrapText="1"/>
    </xf>
    <xf numFmtId="167" fontId="15" fillId="34" borderId="0" xfId="0" applyNumberFormat="1" applyFont="1" applyFill="1" applyAlignment="1">
      <alignment horizontal="center" vertical="center" wrapText="1"/>
    </xf>
    <xf numFmtId="0" fontId="0" fillId="34" borderId="0" xfId="0" applyFont="1" applyFill="1" applyAlignment="1">
      <alignment horizontal="center" vertical="center" wrapText="1"/>
    </xf>
    <xf numFmtId="167" fontId="0" fillId="34" borderId="0" xfId="0" applyNumberFormat="1" applyFill="1" applyAlignment="1">
      <alignment horizontal="center" vertical="center" wrapText="1"/>
    </xf>
    <xf numFmtId="49" fontId="0" fillId="34" borderId="0" xfId="0" applyNumberFormat="1" applyFill="1" applyAlignment="1">
      <alignment horizontal="center" vertical="center" wrapText="1"/>
    </xf>
    <xf numFmtId="0" fontId="0" fillId="34" borderId="0" xfId="0" applyFill="1" applyAlignment="1">
      <alignment horizontal="center" vertical="center" wrapText="1"/>
    </xf>
    <xf numFmtId="2" fontId="1" fillId="8" borderId="0" xfId="1" applyNumberFormat="1" applyFill="1" applyAlignment="1">
      <alignment horizontal="center" vertical="center" wrapText="1"/>
    </xf>
    <xf numFmtId="0" fontId="0" fillId="26" borderId="0" xfId="0" applyNumberFormat="1" applyFont="1" applyFill="1" applyAlignment="1">
      <alignment horizontal="center" vertical="center" wrapText="1"/>
    </xf>
    <xf numFmtId="0" fontId="12" fillId="4" borderId="0" xfId="0" applyFont="1" applyFill="1" applyBorder="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73">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BAFAF"/>
      <color rgb="FFA9DA74"/>
      <color rgb="FFFF5050"/>
      <color rgb="FFFF2929"/>
      <color rgb="FF43CEFF"/>
      <color rgb="FFA6D86E"/>
      <color rgb="FFABDB77"/>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6"/>
</file>

<file path=xl/ctrlProps/ctrlProp2.xml><?xml version="1.0" encoding="utf-8"?>
<formControlPr xmlns="http://schemas.microsoft.com/office/spreadsheetml/2009/9/main" objectType="Scroll" dx="22" fmlaLink="$N$3" horiz="1" max="31"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27"/>
  <sheetViews>
    <sheetView topLeftCell="A9" zoomScaleNormal="84" zoomScalePageLayoutView="84" workbookViewId="0">
      <selection activeCell="G25" sqref="G25"/>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31"/>
      <c r="F3" s="22"/>
      <c r="G3" s="13"/>
      <c r="H3" s="6">
        <v>376</v>
      </c>
      <c r="I3" s="6"/>
      <c r="J3" s="6">
        <v>378</v>
      </c>
      <c r="K3" s="6"/>
      <c r="L3" s="6"/>
      <c r="M3" s="6" t="s">
        <v>290</v>
      </c>
      <c r="N3" s="243">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43144</v>
      </c>
      <c r="D4" s="41" t="s">
        <v>7</v>
      </c>
      <c r="E4" s="33"/>
      <c r="F4" s="23"/>
      <c r="G4" s="13"/>
      <c r="H4" s="6">
        <f>$H$3 - 365</f>
        <v>11</v>
      </c>
      <c r="K4" s="222"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8"/>
      <c r="G6" s="16"/>
      <c r="H6" s="15">
        <f t="shared" ref="H6:K6" ca="1" si="0">TODAY()+((COLUMN()-$H$4)*$N$3)</f>
        <v>43141</v>
      </c>
      <c r="I6" s="15">
        <f t="shared" ca="1" si="0"/>
        <v>43142</v>
      </c>
      <c r="J6" s="15">
        <f t="shared" ca="1" si="0"/>
        <v>43143</v>
      </c>
      <c r="K6" s="15">
        <f t="shared" ca="1" si="0"/>
        <v>43144</v>
      </c>
      <c r="L6" s="15">
        <f ca="1">TODAY()+((COLUMN()-$H$4)*$N$3)</f>
        <v>43145</v>
      </c>
      <c r="M6" s="15">
        <f ca="1">TODAY()+((COLUMN()-$H$4)*$N$3)</f>
        <v>43146</v>
      </c>
      <c r="N6" s="15">
        <f ca="1">TODAY()+((COLUMN()-$H$4)*$N$3)</f>
        <v>43147</v>
      </c>
      <c r="O6" s="15">
        <f t="shared" ref="O6:BZ6" ca="1" si="1">TODAY()+((COLUMN()-$H$4)*$N$3)</f>
        <v>43148</v>
      </c>
      <c r="P6" s="15">
        <f t="shared" ca="1" si="1"/>
        <v>43149</v>
      </c>
      <c r="Q6" s="15">
        <f t="shared" ca="1" si="1"/>
        <v>43150</v>
      </c>
      <c r="R6" s="15">
        <f t="shared" ca="1" si="1"/>
        <v>43151</v>
      </c>
      <c r="S6" s="15">
        <f t="shared" ca="1" si="1"/>
        <v>43152</v>
      </c>
      <c r="T6" s="15">
        <f t="shared" ca="1" si="1"/>
        <v>43153</v>
      </c>
      <c r="U6" s="15">
        <f t="shared" ca="1" si="1"/>
        <v>43154</v>
      </c>
      <c r="V6" s="15">
        <f t="shared" ca="1" si="1"/>
        <v>43155</v>
      </c>
      <c r="W6" s="15">
        <f t="shared" ca="1" si="1"/>
        <v>43156</v>
      </c>
      <c r="X6" s="15">
        <f t="shared" ca="1" si="1"/>
        <v>43157</v>
      </c>
      <c r="Y6" s="15">
        <f t="shared" ca="1" si="1"/>
        <v>43158</v>
      </c>
      <c r="Z6" s="15">
        <f t="shared" ca="1" si="1"/>
        <v>43159</v>
      </c>
      <c r="AA6" s="15">
        <f t="shared" ca="1" si="1"/>
        <v>43160</v>
      </c>
      <c r="AB6" s="15">
        <f t="shared" ca="1" si="1"/>
        <v>43161</v>
      </c>
      <c r="AC6" s="15">
        <f t="shared" ca="1" si="1"/>
        <v>43162</v>
      </c>
      <c r="AD6" s="15">
        <f t="shared" ca="1" si="1"/>
        <v>43163</v>
      </c>
      <c r="AE6" s="15">
        <f t="shared" ca="1" si="1"/>
        <v>43164</v>
      </c>
      <c r="AF6" s="15">
        <f t="shared" ca="1" si="1"/>
        <v>43165</v>
      </c>
      <c r="AG6" s="15">
        <f t="shared" ca="1" si="1"/>
        <v>43166</v>
      </c>
      <c r="AH6" s="15">
        <f t="shared" ca="1" si="1"/>
        <v>43167</v>
      </c>
      <c r="AI6" s="15">
        <f t="shared" ca="1" si="1"/>
        <v>43168</v>
      </c>
      <c r="AJ6" s="15">
        <f t="shared" ca="1" si="1"/>
        <v>43169</v>
      </c>
      <c r="AK6" s="15">
        <f t="shared" ca="1" si="1"/>
        <v>43170</v>
      </c>
      <c r="AL6" s="15">
        <f t="shared" ca="1" si="1"/>
        <v>43171</v>
      </c>
      <c r="AM6" s="15">
        <f t="shared" ca="1" si="1"/>
        <v>43172</v>
      </c>
      <c r="AN6" s="15">
        <f t="shared" ca="1" si="1"/>
        <v>43173</v>
      </c>
      <c r="AO6" s="15">
        <f t="shared" ca="1" si="1"/>
        <v>43174</v>
      </c>
      <c r="AP6" s="15">
        <f t="shared" ca="1" si="1"/>
        <v>43175</v>
      </c>
      <c r="AQ6" s="15">
        <f t="shared" ca="1" si="1"/>
        <v>43176</v>
      </c>
      <c r="AR6" s="15">
        <f t="shared" ca="1" si="1"/>
        <v>43177</v>
      </c>
      <c r="AS6" s="15">
        <f t="shared" ca="1" si="1"/>
        <v>43178</v>
      </c>
      <c r="AT6" s="15">
        <f t="shared" ca="1" si="1"/>
        <v>43179</v>
      </c>
      <c r="AU6" s="15">
        <f t="shared" ca="1" si="1"/>
        <v>43180</v>
      </c>
      <c r="AV6" s="15">
        <f t="shared" ca="1" si="1"/>
        <v>43181</v>
      </c>
      <c r="AW6" s="15">
        <f t="shared" ca="1" si="1"/>
        <v>43182</v>
      </c>
      <c r="AX6" s="15">
        <f t="shared" ca="1" si="1"/>
        <v>43183</v>
      </c>
      <c r="AY6" s="15">
        <f t="shared" ca="1" si="1"/>
        <v>43184</v>
      </c>
      <c r="AZ6" s="15">
        <f t="shared" ca="1" si="1"/>
        <v>43185</v>
      </c>
      <c r="BA6" s="15">
        <f t="shared" ca="1" si="1"/>
        <v>43186</v>
      </c>
      <c r="BB6" s="15">
        <f t="shared" ca="1" si="1"/>
        <v>43187</v>
      </c>
      <c r="BC6" s="15">
        <f t="shared" ca="1" si="1"/>
        <v>43188</v>
      </c>
      <c r="BD6" s="15">
        <f t="shared" ca="1" si="1"/>
        <v>43189</v>
      </c>
      <c r="BE6" s="15">
        <f t="shared" ca="1" si="1"/>
        <v>43190</v>
      </c>
      <c r="BF6" s="15">
        <f t="shared" ca="1" si="1"/>
        <v>43191</v>
      </c>
      <c r="BG6" s="15">
        <f t="shared" ca="1" si="1"/>
        <v>43192</v>
      </c>
      <c r="BH6" s="15">
        <f t="shared" ca="1" si="1"/>
        <v>43193</v>
      </c>
      <c r="BI6" s="15">
        <f t="shared" ca="1" si="1"/>
        <v>43194</v>
      </c>
      <c r="BJ6" s="15">
        <f t="shared" ca="1" si="1"/>
        <v>43195</v>
      </c>
      <c r="BK6" s="15">
        <f t="shared" ca="1" si="1"/>
        <v>43196</v>
      </c>
      <c r="BL6" s="15">
        <f t="shared" ca="1" si="1"/>
        <v>43197</v>
      </c>
      <c r="BM6" s="15">
        <f t="shared" ca="1" si="1"/>
        <v>43198</v>
      </c>
      <c r="BN6" s="15">
        <f t="shared" ca="1" si="1"/>
        <v>43199</v>
      </c>
      <c r="BO6" s="15">
        <f t="shared" ca="1" si="1"/>
        <v>43200</v>
      </c>
      <c r="BP6" s="15">
        <f t="shared" ca="1" si="1"/>
        <v>43201</v>
      </c>
      <c r="BQ6" s="15">
        <f t="shared" ca="1" si="1"/>
        <v>43202</v>
      </c>
      <c r="BR6" s="15">
        <f t="shared" ca="1" si="1"/>
        <v>43203</v>
      </c>
      <c r="BS6" s="15">
        <f t="shared" ca="1" si="1"/>
        <v>43204</v>
      </c>
      <c r="BT6" s="15">
        <f t="shared" ca="1" si="1"/>
        <v>43205</v>
      </c>
      <c r="BU6" s="15">
        <f t="shared" ca="1" si="1"/>
        <v>43206</v>
      </c>
      <c r="BV6" s="15">
        <f t="shared" ca="1" si="1"/>
        <v>43207</v>
      </c>
      <c r="BW6" s="15">
        <f t="shared" ca="1" si="1"/>
        <v>43208</v>
      </c>
      <c r="BX6" s="15">
        <f t="shared" ca="1" si="1"/>
        <v>43209</v>
      </c>
      <c r="BY6" s="15">
        <f t="shared" ca="1" si="1"/>
        <v>43210</v>
      </c>
      <c r="BZ6" s="15">
        <f t="shared" ca="1" si="1"/>
        <v>43211</v>
      </c>
      <c r="CA6" s="15">
        <f t="shared" ref="CA6:EL6" ca="1" si="2">TODAY()+((COLUMN()-$H$4)*$N$3)</f>
        <v>43212</v>
      </c>
      <c r="CB6" s="15">
        <f t="shared" ca="1" si="2"/>
        <v>43213</v>
      </c>
      <c r="CC6" s="15">
        <f t="shared" ca="1" si="2"/>
        <v>43214</v>
      </c>
      <c r="CD6" s="15">
        <f t="shared" ca="1" si="2"/>
        <v>43215</v>
      </c>
      <c r="CE6" s="15">
        <f t="shared" ca="1" si="2"/>
        <v>43216</v>
      </c>
      <c r="CF6" s="15">
        <f t="shared" ca="1" si="2"/>
        <v>43217</v>
      </c>
      <c r="CG6" s="15">
        <f t="shared" ca="1" si="2"/>
        <v>43218</v>
      </c>
      <c r="CH6" s="15">
        <f t="shared" ca="1" si="2"/>
        <v>43219</v>
      </c>
      <c r="CI6" s="15">
        <f t="shared" ca="1" si="2"/>
        <v>43220</v>
      </c>
      <c r="CJ6" s="15">
        <f t="shared" ca="1" si="2"/>
        <v>43221</v>
      </c>
      <c r="CK6" s="15">
        <f t="shared" ca="1" si="2"/>
        <v>43222</v>
      </c>
      <c r="CL6" s="15">
        <f t="shared" ca="1" si="2"/>
        <v>43223</v>
      </c>
      <c r="CM6" s="15">
        <f t="shared" ca="1" si="2"/>
        <v>43224</v>
      </c>
      <c r="CN6" s="15">
        <f t="shared" ca="1" si="2"/>
        <v>43225</v>
      </c>
      <c r="CO6" s="15">
        <f t="shared" ca="1" si="2"/>
        <v>43226</v>
      </c>
      <c r="CP6" s="15">
        <f t="shared" ca="1" si="2"/>
        <v>43227</v>
      </c>
      <c r="CQ6" s="15">
        <f t="shared" ca="1" si="2"/>
        <v>43228</v>
      </c>
      <c r="CR6" s="15">
        <f t="shared" ca="1" si="2"/>
        <v>43229</v>
      </c>
      <c r="CS6" s="15">
        <f t="shared" ca="1" si="2"/>
        <v>43230</v>
      </c>
      <c r="CT6" s="15">
        <f t="shared" ca="1" si="2"/>
        <v>43231</v>
      </c>
      <c r="CU6" s="15">
        <f t="shared" ca="1" si="2"/>
        <v>43232</v>
      </c>
      <c r="CV6" s="15">
        <f t="shared" ca="1" si="2"/>
        <v>43233</v>
      </c>
      <c r="CW6" s="15">
        <f t="shared" ca="1" si="2"/>
        <v>43234</v>
      </c>
      <c r="CX6" s="15">
        <f t="shared" ca="1" si="2"/>
        <v>43235</v>
      </c>
      <c r="CY6" s="15">
        <f t="shared" ca="1" si="2"/>
        <v>43236</v>
      </c>
      <c r="CZ6" s="15">
        <f t="shared" ca="1" si="2"/>
        <v>43237</v>
      </c>
      <c r="DA6" s="15">
        <f t="shared" ca="1" si="2"/>
        <v>43238</v>
      </c>
      <c r="DB6" s="15">
        <f t="shared" ca="1" si="2"/>
        <v>43239</v>
      </c>
      <c r="DC6" s="15">
        <f t="shared" ca="1" si="2"/>
        <v>43240</v>
      </c>
      <c r="DD6" s="15">
        <f t="shared" ca="1" si="2"/>
        <v>43241</v>
      </c>
      <c r="DE6" s="15">
        <f t="shared" ca="1" si="2"/>
        <v>43242</v>
      </c>
      <c r="DF6" s="15">
        <f t="shared" ca="1" si="2"/>
        <v>43243</v>
      </c>
      <c r="DG6" s="15">
        <f t="shared" ca="1" si="2"/>
        <v>43244</v>
      </c>
      <c r="DH6" s="15">
        <f t="shared" ca="1" si="2"/>
        <v>43245</v>
      </c>
      <c r="DI6" s="15">
        <f t="shared" ca="1" si="2"/>
        <v>43246</v>
      </c>
      <c r="DJ6" s="15">
        <f t="shared" ca="1" si="2"/>
        <v>43247</v>
      </c>
      <c r="DK6" s="15">
        <f t="shared" ca="1" si="2"/>
        <v>43248</v>
      </c>
      <c r="DL6" s="15">
        <f t="shared" ca="1" si="2"/>
        <v>43249</v>
      </c>
      <c r="DM6" s="15">
        <f t="shared" ca="1" si="2"/>
        <v>43250</v>
      </c>
      <c r="DN6" s="15">
        <f t="shared" ca="1" si="2"/>
        <v>43251</v>
      </c>
      <c r="DO6" s="15">
        <f t="shared" ca="1" si="2"/>
        <v>43252</v>
      </c>
      <c r="DP6" s="15">
        <f t="shared" ca="1" si="2"/>
        <v>43253</v>
      </c>
      <c r="DQ6" s="15">
        <f t="shared" ca="1" si="2"/>
        <v>43254</v>
      </c>
      <c r="DR6" s="15">
        <f t="shared" ca="1" si="2"/>
        <v>43255</v>
      </c>
      <c r="DS6" s="15">
        <f t="shared" ca="1" si="2"/>
        <v>43256</v>
      </c>
      <c r="DT6" s="15">
        <f t="shared" ca="1" si="2"/>
        <v>43257</v>
      </c>
      <c r="DU6" s="15">
        <f t="shared" ca="1" si="2"/>
        <v>43258</v>
      </c>
      <c r="DV6" s="15">
        <f t="shared" ca="1" si="2"/>
        <v>43259</v>
      </c>
      <c r="DW6" s="15">
        <f t="shared" ca="1" si="2"/>
        <v>43260</v>
      </c>
      <c r="DX6" s="15">
        <f t="shared" ca="1" si="2"/>
        <v>43261</v>
      </c>
      <c r="DY6" s="15">
        <f t="shared" ca="1" si="2"/>
        <v>43262</v>
      </c>
      <c r="DZ6" s="15">
        <f t="shared" ca="1" si="2"/>
        <v>43263</v>
      </c>
      <c r="EA6" s="15">
        <f t="shared" ca="1" si="2"/>
        <v>43264</v>
      </c>
      <c r="EB6" s="15">
        <f t="shared" ca="1" si="2"/>
        <v>43265</v>
      </c>
      <c r="EC6" s="15">
        <f t="shared" ca="1" si="2"/>
        <v>43266</v>
      </c>
      <c r="ED6" s="15">
        <f t="shared" ca="1" si="2"/>
        <v>43267</v>
      </c>
      <c r="EE6" s="15">
        <f t="shared" ca="1" si="2"/>
        <v>43268</v>
      </c>
      <c r="EF6" s="15">
        <f t="shared" ca="1" si="2"/>
        <v>43269</v>
      </c>
      <c r="EG6" s="15">
        <f t="shared" ca="1" si="2"/>
        <v>43270</v>
      </c>
      <c r="EH6" s="15">
        <f t="shared" ca="1" si="2"/>
        <v>43271</v>
      </c>
      <c r="EI6" s="15">
        <f t="shared" ca="1" si="2"/>
        <v>43272</v>
      </c>
      <c r="EJ6" s="15">
        <f t="shared" ca="1" si="2"/>
        <v>43273</v>
      </c>
      <c r="EK6" s="15">
        <f t="shared" ca="1" si="2"/>
        <v>43274</v>
      </c>
      <c r="EL6" s="15">
        <f t="shared" ca="1" si="2"/>
        <v>43275</v>
      </c>
      <c r="EM6" s="15">
        <f t="shared" ref="EM6:GX6" ca="1" si="3">TODAY()+((COLUMN()-$H$4)*$N$3)</f>
        <v>43276</v>
      </c>
      <c r="EN6" s="15">
        <f t="shared" ca="1" si="3"/>
        <v>43277</v>
      </c>
      <c r="EO6" s="15">
        <f t="shared" ca="1" si="3"/>
        <v>43278</v>
      </c>
      <c r="EP6" s="15">
        <f t="shared" ca="1" si="3"/>
        <v>43279</v>
      </c>
      <c r="EQ6" s="15">
        <f t="shared" ca="1" si="3"/>
        <v>43280</v>
      </c>
      <c r="ER6" s="15">
        <f t="shared" ca="1" si="3"/>
        <v>43281</v>
      </c>
      <c r="ES6" s="15">
        <f t="shared" ca="1" si="3"/>
        <v>43282</v>
      </c>
      <c r="ET6" s="15">
        <f t="shared" ca="1" si="3"/>
        <v>43283</v>
      </c>
      <c r="EU6" s="15">
        <f t="shared" ca="1" si="3"/>
        <v>43284</v>
      </c>
      <c r="EV6" s="15">
        <f t="shared" ca="1" si="3"/>
        <v>43285</v>
      </c>
      <c r="EW6" s="15">
        <f t="shared" ca="1" si="3"/>
        <v>43286</v>
      </c>
      <c r="EX6" s="15">
        <f t="shared" ca="1" si="3"/>
        <v>43287</v>
      </c>
      <c r="EY6" s="15">
        <f t="shared" ca="1" si="3"/>
        <v>43288</v>
      </c>
      <c r="EZ6" s="15">
        <f t="shared" ca="1" si="3"/>
        <v>43289</v>
      </c>
      <c r="FA6" s="15">
        <f t="shared" ca="1" si="3"/>
        <v>43290</v>
      </c>
      <c r="FB6" s="15">
        <f t="shared" ca="1" si="3"/>
        <v>43291</v>
      </c>
      <c r="FC6" s="15">
        <f t="shared" ca="1" si="3"/>
        <v>43292</v>
      </c>
      <c r="FD6" s="15">
        <f t="shared" ca="1" si="3"/>
        <v>43293</v>
      </c>
      <c r="FE6" s="15">
        <f t="shared" ca="1" si="3"/>
        <v>43294</v>
      </c>
      <c r="FF6" s="15">
        <f t="shared" ca="1" si="3"/>
        <v>43295</v>
      </c>
      <c r="FG6" s="15">
        <f t="shared" ca="1" si="3"/>
        <v>43296</v>
      </c>
      <c r="FH6" s="15">
        <f t="shared" ca="1" si="3"/>
        <v>43297</v>
      </c>
      <c r="FI6" s="15">
        <f t="shared" ca="1" si="3"/>
        <v>43298</v>
      </c>
      <c r="FJ6" s="15">
        <f t="shared" ca="1" si="3"/>
        <v>43299</v>
      </c>
      <c r="FK6" s="15">
        <f t="shared" ca="1" si="3"/>
        <v>43300</v>
      </c>
      <c r="FL6" s="15">
        <f t="shared" ca="1" si="3"/>
        <v>43301</v>
      </c>
      <c r="FM6" s="15">
        <f t="shared" ca="1" si="3"/>
        <v>43302</v>
      </c>
      <c r="FN6" s="15">
        <f t="shared" ca="1" si="3"/>
        <v>43303</v>
      </c>
      <c r="FO6" s="15">
        <f t="shared" ca="1" si="3"/>
        <v>43304</v>
      </c>
      <c r="FP6" s="15">
        <f t="shared" ca="1" si="3"/>
        <v>43305</v>
      </c>
      <c r="FQ6" s="15">
        <f t="shared" ca="1" si="3"/>
        <v>43306</v>
      </c>
      <c r="FR6" s="15">
        <f t="shared" ca="1" si="3"/>
        <v>43307</v>
      </c>
      <c r="FS6" s="15">
        <f t="shared" ca="1" si="3"/>
        <v>43308</v>
      </c>
      <c r="FT6" s="15">
        <f t="shared" ca="1" si="3"/>
        <v>43309</v>
      </c>
      <c r="FU6" s="15">
        <f t="shared" ca="1" si="3"/>
        <v>43310</v>
      </c>
      <c r="FV6" s="15">
        <f t="shared" ca="1" si="3"/>
        <v>43311</v>
      </c>
      <c r="FW6" s="15">
        <f t="shared" ca="1" si="3"/>
        <v>43312</v>
      </c>
      <c r="FX6" s="15">
        <f t="shared" ca="1" si="3"/>
        <v>43313</v>
      </c>
      <c r="FY6" s="15">
        <f t="shared" ca="1" si="3"/>
        <v>43314</v>
      </c>
      <c r="FZ6" s="15">
        <f t="shared" ca="1" si="3"/>
        <v>43315</v>
      </c>
      <c r="GA6" s="15">
        <f t="shared" ca="1" si="3"/>
        <v>43316</v>
      </c>
      <c r="GB6" s="15">
        <f t="shared" ca="1" si="3"/>
        <v>43317</v>
      </c>
      <c r="GC6" s="15">
        <f t="shared" ca="1" si="3"/>
        <v>43318</v>
      </c>
      <c r="GD6" s="15">
        <f t="shared" ca="1" si="3"/>
        <v>43319</v>
      </c>
      <c r="GE6" s="15">
        <f t="shared" ca="1" si="3"/>
        <v>43320</v>
      </c>
      <c r="GF6" s="15">
        <f t="shared" ca="1" si="3"/>
        <v>43321</v>
      </c>
      <c r="GG6" s="15">
        <f t="shared" ca="1" si="3"/>
        <v>43322</v>
      </c>
      <c r="GH6" s="15">
        <f t="shared" ca="1" si="3"/>
        <v>43323</v>
      </c>
      <c r="GI6" s="15">
        <f t="shared" ca="1" si="3"/>
        <v>43324</v>
      </c>
      <c r="GJ6" s="15">
        <f t="shared" ca="1" si="3"/>
        <v>43325</v>
      </c>
      <c r="GK6" s="15">
        <f t="shared" ca="1" si="3"/>
        <v>43326</v>
      </c>
      <c r="GL6" s="15">
        <f t="shared" ca="1" si="3"/>
        <v>43327</v>
      </c>
      <c r="GM6" s="15">
        <f t="shared" ca="1" si="3"/>
        <v>43328</v>
      </c>
      <c r="GN6" s="15">
        <f t="shared" ca="1" si="3"/>
        <v>43329</v>
      </c>
      <c r="GO6" s="15">
        <f t="shared" ca="1" si="3"/>
        <v>43330</v>
      </c>
      <c r="GP6" s="15">
        <f t="shared" ca="1" si="3"/>
        <v>43331</v>
      </c>
      <c r="GQ6" s="15">
        <f t="shared" ca="1" si="3"/>
        <v>43332</v>
      </c>
      <c r="GR6" s="15">
        <f t="shared" ca="1" si="3"/>
        <v>43333</v>
      </c>
      <c r="GS6" s="15">
        <f t="shared" ca="1" si="3"/>
        <v>43334</v>
      </c>
      <c r="GT6" s="15">
        <f t="shared" ca="1" si="3"/>
        <v>43335</v>
      </c>
      <c r="GU6" s="15">
        <f t="shared" ca="1" si="3"/>
        <v>43336</v>
      </c>
      <c r="GV6" s="15">
        <f t="shared" ca="1" si="3"/>
        <v>43337</v>
      </c>
      <c r="GW6" s="15">
        <f t="shared" ca="1" si="3"/>
        <v>43338</v>
      </c>
      <c r="GX6" s="15">
        <f t="shared" ca="1" si="3"/>
        <v>43339</v>
      </c>
      <c r="GY6" s="15">
        <f t="shared" ref="GY6:JJ6" ca="1" si="4">TODAY()+((COLUMN()-$H$4)*$N$3)</f>
        <v>43340</v>
      </c>
      <c r="GZ6" s="15">
        <f t="shared" ca="1" si="4"/>
        <v>43341</v>
      </c>
      <c r="HA6" s="15">
        <f t="shared" ca="1" si="4"/>
        <v>43342</v>
      </c>
      <c r="HB6" s="15">
        <f t="shared" ca="1" si="4"/>
        <v>43343</v>
      </c>
      <c r="HC6" s="15">
        <f t="shared" ca="1" si="4"/>
        <v>43344</v>
      </c>
      <c r="HD6" s="15">
        <f t="shared" ca="1" si="4"/>
        <v>43345</v>
      </c>
      <c r="HE6" s="15">
        <f t="shared" ca="1" si="4"/>
        <v>43346</v>
      </c>
      <c r="HF6" s="15">
        <f t="shared" ca="1" si="4"/>
        <v>43347</v>
      </c>
      <c r="HG6" s="15">
        <f t="shared" ca="1" si="4"/>
        <v>43348</v>
      </c>
      <c r="HH6" s="15">
        <f t="shared" ca="1" si="4"/>
        <v>43349</v>
      </c>
      <c r="HI6" s="15">
        <f t="shared" ca="1" si="4"/>
        <v>43350</v>
      </c>
      <c r="HJ6" s="15">
        <f t="shared" ca="1" si="4"/>
        <v>43351</v>
      </c>
      <c r="HK6" s="15">
        <f t="shared" ca="1" si="4"/>
        <v>43352</v>
      </c>
      <c r="HL6" s="15">
        <f t="shared" ca="1" si="4"/>
        <v>43353</v>
      </c>
      <c r="HM6" s="15">
        <f t="shared" ca="1" si="4"/>
        <v>43354</v>
      </c>
      <c r="HN6" s="15">
        <f t="shared" ca="1" si="4"/>
        <v>43355</v>
      </c>
      <c r="HO6" s="15">
        <f t="shared" ca="1" si="4"/>
        <v>43356</v>
      </c>
      <c r="HP6" s="15">
        <f t="shared" ca="1" si="4"/>
        <v>43357</v>
      </c>
      <c r="HQ6" s="15">
        <f t="shared" ca="1" si="4"/>
        <v>43358</v>
      </c>
      <c r="HR6" s="15">
        <f t="shared" ca="1" si="4"/>
        <v>43359</v>
      </c>
      <c r="HS6" s="15">
        <f t="shared" ca="1" si="4"/>
        <v>43360</v>
      </c>
      <c r="HT6" s="15">
        <f t="shared" ca="1" si="4"/>
        <v>43361</v>
      </c>
      <c r="HU6" s="15">
        <f t="shared" ca="1" si="4"/>
        <v>43362</v>
      </c>
      <c r="HV6" s="15">
        <f t="shared" ca="1" si="4"/>
        <v>43363</v>
      </c>
      <c r="HW6" s="15">
        <f t="shared" ca="1" si="4"/>
        <v>43364</v>
      </c>
      <c r="HX6" s="15">
        <f t="shared" ca="1" si="4"/>
        <v>43365</v>
      </c>
      <c r="HY6" s="15">
        <f t="shared" ca="1" si="4"/>
        <v>43366</v>
      </c>
      <c r="HZ6" s="15">
        <f t="shared" ca="1" si="4"/>
        <v>43367</v>
      </c>
      <c r="IA6" s="15">
        <f t="shared" ca="1" si="4"/>
        <v>43368</v>
      </c>
      <c r="IB6" s="15">
        <f t="shared" ca="1" si="4"/>
        <v>43369</v>
      </c>
      <c r="IC6" s="15">
        <f t="shared" ca="1" si="4"/>
        <v>43370</v>
      </c>
      <c r="ID6" s="15">
        <f t="shared" ca="1" si="4"/>
        <v>43371</v>
      </c>
      <c r="IE6" s="15">
        <f t="shared" ca="1" si="4"/>
        <v>43372</v>
      </c>
      <c r="IF6" s="15">
        <f t="shared" ca="1" si="4"/>
        <v>43373</v>
      </c>
      <c r="IG6" s="15">
        <f t="shared" ca="1" si="4"/>
        <v>43374</v>
      </c>
      <c r="IH6" s="15">
        <f t="shared" ca="1" si="4"/>
        <v>43375</v>
      </c>
      <c r="II6" s="15">
        <f t="shared" ca="1" si="4"/>
        <v>43376</v>
      </c>
      <c r="IJ6" s="15">
        <f t="shared" ca="1" si="4"/>
        <v>43377</v>
      </c>
      <c r="IK6" s="15">
        <f t="shared" ca="1" si="4"/>
        <v>43378</v>
      </c>
      <c r="IL6" s="15">
        <f t="shared" ca="1" si="4"/>
        <v>43379</v>
      </c>
      <c r="IM6" s="15">
        <f t="shared" ca="1" si="4"/>
        <v>43380</v>
      </c>
      <c r="IN6" s="15">
        <f t="shared" ca="1" si="4"/>
        <v>43381</v>
      </c>
      <c r="IO6" s="15">
        <f t="shared" ca="1" si="4"/>
        <v>43382</v>
      </c>
      <c r="IP6" s="15">
        <f t="shared" ca="1" si="4"/>
        <v>43383</v>
      </c>
      <c r="IQ6" s="15">
        <f t="shared" ca="1" si="4"/>
        <v>43384</v>
      </c>
      <c r="IR6" s="15">
        <f t="shared" ca="1" si="4"/>
        <v>43385</v>
      </c>
      <c r="IS6" s="15">
        <f t="shared" ca="1" si="4"/>
        <v>43386</v>
      </c>
      <c r="IT6" s="15">
        <f t="shared" ca="1" si="4"/>
        <v>43387</v>
      </c>
      <c r="IU6" s="15">
        <f t="shared" ca="1" si="4"/>
        <v>43388</v>
      </c>
      <c r="IV6" s="15">
        <f t="shared" ca="1" si="4"/>
        <v>43389</v>
      </c>
      <c r="IW6" s="15">
        <f t="shared" ca="1" si="4"/>
        <v>43390</v>
      </c>
      <c r="IX6" s="15">
        <f t="shared" ca="1" si="4"/>
        <v>43391</v>
      </c>
      <c r="IY6" s="15">
        <f t="shared" ca="1" si="4"/>
        <v>43392</v>
      </c>
      <c r="IZ6" s="15">
        <f t="shared" ca="1" si="4"/>
        <v>43393</v>
      </c>
      <c r="JA6" s="15">
        <f t="shared" ca="1" si="4"/>
        <v>43394</v>
      </c>
      <c r="JB6" s="15">
        <f t="shared" ca="1" si="4"/>
        <v>43395</v>
      </c>
      <c r="JC6" s="15">
        <f t="shared" ca="1" si="4"/>
        <v>43396</v>
      </c>
      <c r="JD6" s="15">
        <f t="shared" ca="1" si="4"/>
        <v>43397</v>
      </c>
      <c r="JE6" s="15">
        <f t="shared" ca="1" si="4"/>
        <v>43398</v>
      </c>
      <c r="JF6" s="15">
        <f t="shared" ca="1" si="4"/>
        <v>43399</v>
      </c>
      <c r="JG6" s="15">
        <f t="shared" ca="1" si="4"/>
        <v>43400</v>
      </c>
      <c r="JH6" s="15">
        <f t="shared" ca="1" si="4"/>
        <v>43401</v>
      </c>
      <c r="JI6" s="15">
        <f t="shared" ca="1" si="4"/>
        <v>43402</v>
      </c>
      <c r="JJ6" s="15">
        <f t="shared" ca="1" si="4"/>
        <v>43403</v>
      </c>
      <c r="JK6" s="15">
        <f t="shared" ref="JK6:LV6" ca="1" si="5">TODAY()+((COLUMN()-$H$4)*$N$3)</f>
        <v>43404</v>
      </c>
      <c r="JL6" s="15">
        <f t="shared" ca="1" si="5"/>
        <v>43405</v>
      </c>
      <c r="JM6" s="15">
        <f t="shared" ca="1" si="5"/>
        <v>43406</v>
      </c>
      <c r="JN6" s="15">
        <f t="shared" ca="1" si="5"/>
        <v>43407</v>
      </c>
      <c r="JO6" s="15">
        <f t="shared" ca="1" si="5"/>
        <v>43408</v>
      </c>
      <c r="JP6" s="15">
        <f t="shared" ca="1" si="5"/>
        <v>43409</v>
      </c>
      <c r="JQ6" s="15">
        <f t="shared" ca="1" si="5"/>
        <v>43410</v>
      </c>
      <c r="JR6" s="15">
        <f t="shared" ca="1" si="5"/>
        <v>43411</v>
      </c>
      <c r="JS6" s="15">
        <f t="shared" ca="1" si="5"/>
        <v>43412</v>
      </c>
      <c r="JT6" s="15">
        <f t="shared" ca="1" si="5"/>
        <v>43413</v>
      </c>
      <c r="JU6" s="15">
        <f t="shared" ca="1" si="5"/>
        <v>43414</v>
      </c>
      <c r="JV6" s="15">
        <f t="shared" ca="1" si="5"/>
        <v>43415</v>
      </c>
      <c r="JW6" s="15">
        <f t="shared" ca="1" si="5"/>
        <v>43416</v>
      </c>
      <c r="JX6" s="15">
        <f t="shared" ca="1" si="5"/>
        <v>43417</v>
      </c>
      <c r="JY6" s="15">
        <f t="shared" ca="1" si="5"/>
        <v>43418</v>
      </c>
      <c r="JZ6" s="15">
        <f t="shared" ca="1" si="5"/>
        <v>43419</v>
      </c>
      <c r="KA6" s="15">
        <f t="shared" ca="1" si="5"/>
        <v>43420</v>
      </c>
      <c r="KB6" s="15">
        <f t="shared" ca="1" si="5"/>
        <v>43421</v>
      </c>
      <c r="KC6" s="15">
        <f t="shared" ca="1" si="5"/>
        <v>43422</v>
      </c>
      <c r="KD6" s="15">
        <f t="shared" ca="1" si="5"/>
        <v>43423</v>
      </c>
      <c r="KE6" s="15">
        <f t="shared" ca="1" si="5"/>
        <v>43424</v>
      </c>
      <c r="KF6" s="15">
        <f t="shared" ca="1" si="5"/>
        <v>43425</v>
      </c>
      <c r="KG6" s="15">
        <f t="shared" ca="1" si="5"/>
        <v>43426</v>
      </c>
      <c r="KH6" s="15">
        <f t="shared" ca="1" si="5"/>
        <v>43427</v>
      </c>
      <c r="KI6" s="15">
        <f t="shared" ca="1" si="5"/>
        <v>43428</v>
      </c>
      <c r="KJ6" s="15">
        <f t="shared" ca="1" si="5"/>
        <v>43429</v>
      </c>
      <c r="KK6" s="15">
        <f t="shared" ca="1" si="5"/>
        <v>43430</v>
      </c>
      <c r="KL6" s="15">
        <f t="shared" ca="1" si="5"/>
        <v>43431</v>
      </c>
      <c r="KM6" s="15">
        <f t="shared" ca="1" si="5"/>
        <v>43432</v>
      </c>
      <c r="KN6" s="15">
        <f t="shared" ca="1" si="5"/>
        <v>43433</v>
      </c>
      <c r="KO6" s="15">
        <f t="shared" ca="1" si="5"/>
        <v>43434</v>
      </c>
      <c r="KP6" s="15">
        <f t="shared" ca="1" si="5"/>
        <v>43435</v>
      </c>
      <c r="KQ6" s="15">
        <f t="shared" ca="1" si="5"/>
        <v>43436</v>
      </c>
      <c r="KR6" s="15">
        <f t="shared" ca="1" si="5"/>
        <v>43437</v>
      </c>
      <c r="KS6" s="15">
        <f t="shared" ca="1" si="5"/>
        <v>43438</v>
      </c>
      <c r="KT6" s="15">
        <f t="shared" ca="1" si="5"/>
        <v>43439</v>
      </c>
      <c r="KU6" s="15">
        <f t="shared" ca="1" si="5"/>
        <v>43440</v>
      </c>
      <c r="KV6" s="15">
        <f t="shared" ca="1" si="5"/>
        <v>43441</v>
      </c>
      <c r="KW6" s="15">
        <f t="shared" ca="1" si="5"/>
        <v>43442</v>
      </c>
      <c r="KX6" s="15">
        <f t="shared" ca="1" si="5"/>
        <v>43443</v>
      </c>
      <c r="KY6" s="15">
        <f t="shared" ca="1" si="5"/>
        <v>43444</v>
      </c>
      <c r="KZ6" s="15">
        <f t="shared" ca="1" si="5"/>
        <v>43445</v>
      </c>
      <c r="LA6" s="15">
        <f t="shared" ca="1" si="5"/>
        <v>43446</v>
      </c>
      <c r="LB6" s="15">
        <f t="shared" ca="1" si="5"/>
        <v>43447</v>
      </c>
      <c r="LC6" s="15">
        <f t="shared" ca="1" si="5"/>
        <v>43448</v>
      </c>
      <c r="LD6" s="15">
        <f t="shared" ca="1" si="5"/>
        <v>43449</v>
      </c>
      <c r="LE6" s="15">
        <f t="shared" ca="1" si="5"/>
        <v>43450</v>
      </c>
      <c r="LF6" s="15">
        <f t="shared" ca="1" si="5"/>
        <v>43451</v>
      </c>
      <c r="LG6" s="15">
        <f t="shared" ca="1" si="5"/>
        <v>43452</v>
      </c>
      <c r="LH6" s="15">
        <f t="shared" ca="1" si="5"/>
        <v>43453</v>
      </c>
      <c r="LI6" s="15">
        <f t="shared" ca="1" si="5"/>
        <v>43454</v>
      </c>
      <c r="LJ6" s="15">
        <f t="shared" ca="1" si="5"/>
        <v>43455</v>
      </c>
      <c r="LK6" s="15">
        <f t="shared" ca="1" si="5"/>
        <v>43456</v>
      </c>
      <c r="LL6" s="15">
        <f t="shared" ca="1" si="5"/>
        <v>43457</v>
      </c>
      <c r="LM6" s="15">
        <f t="shared" ca="1" si="5"/>
        <v>43458</v>
      </c>
      <c r="LN6" s="15">
        <f t="shared" ca="1" si="5"/>
        <v>43459</v>
      </c>
      <c r="LO6" s="15">
        <f t="shared" ca="1" si="5"/>
        <v>43460</v>
      </c>
      <c r="LP6" s="15">
        <f t="shared" ca="1" si="5"/>
        <v>43461</v>
      </c>
      <c r="LQ6" s="15">
        <f t="shared" ca="1" si="5"/>
        <v>43462</v>
      </c>
      <c r="LR6" s="15">
        <f t="shared" ca="1" si="5"/>
        <v>43463</v>
      </c>
      <c r="LS6" s="15">
        <f t="shared" ca="1" si="5"/>
        <v>43464</v>
      </c>
      <c r="LT6" s="15">
        <f t="shared" ca="1" si="5"/>
        <v>43465</v>
      </c>
      <c r="LU6" s="15">
        <f t="shared" ca="1" si="5"/>
        <v>43466</v>
      </c>
      <c r="LV6" s="15">
        <f t="shared" ca="1" si="5"/>
        <v>43467</v>
      </c>
      <c r="LW6" s="15">
        <f t="shared" ref="LW6:NA6" ca="1" si="6">TODAY()+((COLUMN()-$H$4)*$N$3)</f>
        <v>43468</v>
      </c>
      <c r="LX6" s="15">
        <f t="shared" ca="1" si="6"/>
        <v>43469</v>
      </c>
      <c r="LY6" s="15">
        <f t="shared" ca="1" si="6"/>
        <v>43470</v>
      </c>
      <c r="LZ6" s="15">
        <f t="shared" ca="1" si="6"/>
        <v>43471</v>
      </c>
      <c r="MA6" s="15">
        <f t="shared" ca="1" si="6"/>
        <v>43472</v>
      </c>
      <c r="MB6" s="15">
        <f t="shared" ca="1" si="6"/>
        <v>43473</v>
      </c>
      <c r="MC6" s="15">
        <f t="shared" ca="1" si="6"/>
        <v>43474</v>
      </c>
      <c r="MD6" s="15">
        <f t="shared" ca="1" si="6"/>
        <v>43475</v>
      </c>
      <c r="ME6" s="15">
        <f t="shared" ca="1" si="6"/>
        <v>43476</v>
      </c>
      <c r="MF6" s="15">
        <f t="shared" ca="1" si="6"/>
        <v>43477</v>
      </c>
      <c r="MG6" s="15">
        <f t="shared" ca="1" si="6"/>
        <v>43478</v>
      </c>
      <c r="MH6" s="15">
        <f t="shared" ca="1" si="6"/>
        <v>43479</v>
      </c>
      <c r="MI6" s="15">
        <f t="shared" ca="1" si="6"/>
        <v>43480</v>
      </c>
      <c r="MJ6" s="15">
        <f t="shared" ca="1" si="6"/>
        <v>43481</v>
      </c>
      <c r="MK6" s="15">
        <f t="shared" ca="1" si="6"/>
        <v>43482</v>
      </c>
      <c r="ML6" s="15">
        <f t="shared" ca="1" si="6"/>
        <v>43483</v>
      </c>
      <c r="MM6" s="15">
        <f t="shared" ca="1" si="6"/>
        <v>43484</v>
      </c>
      <c r="MN6" s="15">
        <f t="shared" ca="1" si="6"/>
        <v>43485</v>
      </c>
      <c r="MO6" s="15">
        <f t="shared" ca="1" si="6"/>
        <v>43486</v>
      </c>
      <c r="MP6" s="15">
        <f t="shared" ca="1" si="6"/>
        <v>43487</v>
      </c>
      <c r="MQ6" s="15">
        <f t="shared" ca="1" si="6"/>
        <v>43488</v>
      </c>
      <c r="MR6" s="15">
        <f t="shared" ca="1" si="6"/>
        <v>43489</v>
      </c>
      <c r="MS6" s="15">
        <f t="shared" ca="1" si="6"/>
        <v>43490</v>
      </c>
      <c r="MT6" s="15">
        <f t="shared" ca="1" si="6"/>
        <v>43491</v>
      </c>
      <c r="MU6" s="15">
        <f t="shared" ca="1" si="6"/>
        <v>43492</v>
      </c>
      <c r="MV6" s="15">
        <f t="shared" ca="1" si="6"/>
        <v>43493</v>
      </c>
      <c r="MW6" s="15">
        <f t="shared" ca="1" si="6"/>
        <v>43494</v>
      </c>
      <c r="MX6" s="15">
        <f t="shared" ca="1" si="6"/>
        <v>43495</v>
      </c>
      <c r="MY6" s="15">
        <f t="shared" ca="1" si="6"/>
        <v>43496</v>
      </c>
      <c r="MZ6" s="15">
        <f t="shared" ca="1" si="6"/>
        <v>43497</v>
      </c>
      <c r="NA6" s="15">
        <f t="shared" ca="1" si="6"/>
        <v>43498</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20" customFormat="1" ht="24" customHeight="1" x14ac:dyDescent="0.2">
      <c r="A8" s="216"/>
      <c r="B8" s="217"/>
      <c r="C8" s="221" t="s">
        <v>249</v>
      </c>
      <c r="D8" s="218"/>
      <c r="E8" s="218"/>
      <c r="F8" s="219"/>
      <c r="G8" s="14"/>
    </row>
    <row r="9" spans="1:367" s="2" customFormat="1" ht="20" customHeight="1" outlineLevel="1" x14ac:dyDescent="0.2">
      <c r="A9" s="10"/>
      <c r="B9" s="34" t="s">
        <v>9</v>
      </c>
      <c r="C9" s="18" t="s">
        <v>8</v>
      </c>
      <c r="D9" s="18">
        <v>43127</v>
      </c>
      <c r="E9" s="19">
        <v>43129</v>
      </c>
      <c r="F9" s="129">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customHeight="1" outlineLevel="1" x14ac:dyDescent="0.2">
      <c r="B10" s="34" t="s">
        <v>9</v>
      </c>
      <c r="C10" s="18" t="s">
        <v>10</v>
      </c>
      <c r="D10" s="18">
        <v>43127</v>
      </c>
      <c r="E10" s="19">
        <v>43129</v>
      </c>
      <c r="F10" s="129">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customHeight="1" outlineLevel="1" x14ac:dyDescent="0.2">
      <c r="B11" s="34" t="s">
        <v>9</v>
      </c>
      <c r="C11" s="18" t="s">
        <v>31</v>
      </c>
      <c r="D11" s="18">
        <v>43128</v>
      </c>
      <c r="E11" s="19">
        <v>43129</v>
      </c>
      <c r="F11" s="130">
        <v>1</v>
      </c>
      <c r="H11" s="43"/>
      <c r="I11" s="43"/>
      <c r="J11" s="43"/>
      <c r="K11" s="43"/>
      <c r="L11" s="43"/>
      <c r="M11" s="43"/>
      <c r="N11" s="43"/>
      <c r="O11" s="43"/>
      <c r="P11" s="121"/>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1" x14ac:dyDescent="0.2">
      <c r="B12" s="34" t="s">
        <v>9</v>
      </c>
      <c r="C12" s="18" t="s">
        <v>32</v>
      </c>
      <c r="D12" s="18">
        <v>43129</v>
      </c>
      <c r="E12" s="19">
        <v>43147</v>
      </c>
      <c r="F12" s="130">
        <v>1</v>
      </c>
      <c r="H12" s="43"/>
      <c r="I12" s="43"/>
      <c r="J12" s="43"/>
      <c r="K12" s="43"/>
      <c r="L12" s="122"/>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customHeight="1" outlineLevel="1" x14ac:dyDescent="0.2">
      <c r="B13" s="34" t="s">
        <v>9</v>
      </c>
      <c r="C13" s="18" t="s">
        <v>247</v>
      </c>
      <c r="D13" s="18">
        <v>43131</v>
      </c>
      <c r="E13" s="19">
        <v>43150</v>
      </c>
      <c r="F13" s="130">
        <v>1</v>
      </c>
      <c r="H13" s="43"/>
      <c r="I13" s="43"/>
      <c r="J13" s="43"/>
      <c r="K13" s="43"/>
      <c r="L13" s="43"/>
      <c r="M13" s="43"/>
      <c r="N13" s="43"/>
      <c r="O13" s="12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customHeight="1" outlineLevel="1" x14ac:dyDescent="0.2">
      <c r="B14" s="34" t="s">
        <v>64</v>
      </c>
      <c r="C14" s="18" t="s">
        <v>246</v>
      </c>
      <c r="D14" s="18">
        <v>43131</v>
      </c>
      <c r="E14" s="19">
        <v>43156</v>
      </c>
      <c r="F14" s="129">
        <v>1</v>
      </c>
      <c r="H14" s="43"/>
      <c r="I14" s="43"/>
      <c r="J14" s="43"/>
      <c r="K14" s="43"/>
      <c r="L14" s="43"/>
      <c r="M14" s="43"/>
      <c r="N14" s="43"/>
      <c r="O14" s="123"/>
      <c r="P14" s="43"/>
      <c r="Q14" s="43"/>
      <c r="R14" s="43"/>
      <c r="S14" s="43"/>
      <c r="T14" s="43"/>
      <c r="U14" s="124"/>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customHeight="1" outlineLevel="1" x14ac:dyDescent="0.2">
      <c r="B15" s="34" t="s">
        <v>9</v>
      </c>
      <c r="C15" s="18" t="s">
        <v>35</v>
      </c>
      <c r="D15" s="18">
        <v>43129</v>
      </c>
      <c r="E15" s="19">
        <v>43159</v>
      </c>
      <c r="F15" s="129">
        <v>1</v>
      </c>
      <c r="H15" s="43"/>
      <c r="I15" s="43"/>
      <c r="J15" s="43"/>
      <c r="K15" s="43"/>
      <c r="L15" s="122"/>
      <c r="M15" s="43"/>
      <c r="N15" s="43"/>
      <c r="O15" s="43"/>
      <c r="P15" s="43"/>
      <c r="Q15" s="43"/>
      <c r="R15" s="43"/>
      <c r="S15" s="43"/>
      <c r="T15" s="43"/>
      <c r="U15" s="43"/>
      <c r="V15" s="124"/>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customHeight="1" outlineLevel="1" x14ac:dyDescent="0.2">
      <c r="B16" s="34" t="s">
        <v>33</v>
      </c>
      <c r="C16" s="18" t="s">
        <v>282</v>
      </c>
      <c r="D16" s="18">
        <v>43144</v>
      </c>
      <c r="E16" s="19">
        <v>43152</v>
      </c>
      <c r="F16" s="129">
        <v>0</v>
      </c>
      <c r="H16" s="43"/>
      <c r="I16" s="43"/>
      <c r="J16" s="43"/>
      <c r="K16" s="43"/>
      <c r="L16" s="122"/>
      <c r="M16" s="43"/>
      <c r="N16" s="43"/>
      <c r="O16" s="43"/>
      <c r="P16" s="43"/>
      <c r="Q16" s="43"/>
      <c r="R16" s="43"/>
      <c r="S16" s="43"/>
      <c r="T16" s="43"/>
      <c r="U16" s="43"/>
      <c r="V16" s="124"/>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1" x14ac:dyDescent="0.2">
      <c r="B17" s="34" t="s">
        <v>33</v>
      </c>
      <c r="C17" s="18" t="s">
        <v>34</v>
      </c>
      <c r="D17" s="18">
        <v>43127</v>
      </c>
      <c r="E17" s="19">
        <v>43135</v>
      </c>
      <c r="F17" s="129">
        <v>1</v>
      </c>
      <c r="H17" s="43"/>
      <c r="I17" s="43"/>
      <c r="J17" s="43"/>
      <c r="K17" s="125"/>
      <c r="L17" s="43"/>
      <c r="M17" s="43"/>
      <c r="N17" s="43"/>
      <c r="O17" s="43"/>
      <c r="P17" s="43"/>
      <c r="Q17" s="43"/>
      <c r="R17" s="43"/>
      <c r="S17" s="43"/>
      <c r="T17" s="43"/>
      <c r="U17" s="121"/>
      <c r="V17" s="121"/>
      <c r="W17" s="121"/>
      <c r="X17" s="121"/>
      <c r="Y17" s="121"/>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220" customFormat="1" ht="24" customHeight="1" x14ac:dyDescent="0.2">
      <c r="A19" s="216"/>
      <c r="B19" s="217"/>
      <c r="C19" s="221" t="s">
        <v>138</v>
      </c>
      <c r="D19" s="218"/>
      <c r="E19" s="218"/>
      <c r="F19" s="219"/>
      <c r="G19" s="14"/>
    </row>
    <row r="20" spans="1:45" ht="20" customHeight="1" outlineLevel="1" x14ac:dyDescent="0.2">
      <c r="B20" s="34" t="s">
        <v>250</v>
      </c>
      <c r="C20" s="18" t="s">
        <v>142</v>
      </c>
      <c r="D20" s="18">
        <v>43142</v>
      </c>
      <c r="E20" s="19">
        <v>43149</v>
      </c>
      <c r="F20" s="4">
        <v>1</v>
      </c>
    </row>
    <row r="21" spans="1:45" ht="20" customHeight="1" outlineLevel="1" x14ac:dyDescent="0.2">
      <c r="B21" s="34" t="s">
        <v>250</v>
      </c>
      <c r="C21" s="18" t="s">
        <v>252</v>
      </c>
      <c r="D21" s="18">
        <v>43143</v>
      </c>
      <c r="E21" s="19">
        <v>43150</v>
      </c>
      <c r="F21" s="4">
        <v>1</v>
      </c>
    </row>
    <row r="22" spans="1:45" ht="20" customHeight="1" x14ac:dyDescent="0.2">
      <c r="B22" s="34"/>
      <c r="C22" s="18"/>
      <c r="D22" s="18"/>
      <c r="E22" s="19"/>
      <c r="F22" s="4"/>
    </row>
    <row r="23" spans="1:45" s="220" customFormat="1" ht="24" customHeight="1" x14ac:dyDescent="0.2">
      <c r="A23" s="216"/>
      <c r="B23" s="217"/>
      <c r="C23" s="221" t="s">
        <v>253</v>
      </c>
      <c r="D23" s="218"/>
      <c r="E23" s="218"/>
      <c r="F23" s="219"/>
      <c r="G23" s="14"/>
    </row>
    <row r="24" spans="1:45" ht="20" customHeight="1" outlineLevel="1" x14ac:dyDescent="0.2">
      <c r="B24" s="34" t="s">
        <v>255</v>
      </c>
      <c r="C24" s="18" t="s">
        <v>254</v>
      </c>
      <c r="D24" s="18">
        <v>43142</v>
      </c>
      <c r="E24" s="19">
        <v>43148</v>
      </c>
      <c r="F24" s="4">
        <v>0.5</v>
      </c>
    </row>
    <row r="25" spans="1:45" ht="21" customHeight="1" outlineLevel="1" x14ac:dyDescent="0.2">
      <c r="B25" s="34" t="s">
        <v>255</v>
      </c>
      <c r="C25" s="223" t="s">
        <v>256</v>
      </c>
      <c r="D25" s="18">
        <v>43142</v>
      </c>
      <c r="E25" s="19">
        <v>43149</v>
      </c>
      <c r="F25" s="4">
        <v>0.7</v>
      </c>
    </row>
    <row r="26" spans="1:45" ht="20" customHeight="1" outlineLevel="1" x14ac:dyDescent="0.2">
      <c r="B26" s="34" t="s">
        <v>255</v>
      </c>
      <c r="C26" s="18" t="s">
        <v>271</v>
      </c>
      <c r="D26" s="18">
        <v>43144</v>
      </c>
      <c r="E26" s="19">
        <v>43151</v>
      </c>
      <c r="F26" s="4">
        <v>0.2</v>
      </c>
    </row>
    <row r="27" spans="1:45" ht="20" customHeight="1" outlineLevel="1" x14ac:dyDescent="0.2">
      <c r="B27" s="34" t="s">
        <v>255</v>
      </c>
      <c r="C27" s="18" t="s">
        <v>160</v>
      </c>
      <c r="D27" s="18">
        <v>43143</v>
      </c>
      <c r="E27" s="19">
        <v>43161</v>
      </c>
      <c r="F27" s="4">
        <v>0.2</v>
      </c>
    </row>
    <row r="28" spans="1:45" ht="20" customHeight="1" outlineLevel="1" x14ac:dyDescent="0.2">
      <c r="B28" s="34" t="s">
        <v>255</v>
      </c>
      <c r="C28" s="18" t="s">
        <v>274</v>
      </c>
      <c r="D28" s="18">
        <v>43144</v>
      </c>
      <c r="E28" s="19">
        <v>43162</v>
      </c>
      <c r="F28" s="4">
        <v>0.75</v>
      </c>
    </row>
    <row r="29" spans="1:45" ht="20" customHeight="1" outlineLevel="1" x14ac:dyDescent="0.2">
      <c r="B29" s="34" t="s">
        <v>255</v>
      </c>
      <c r="C29" s="18" t="s">
        <v>275</v>
      </c>
      <c r="D29" s="18">
        <v>43145</v>
      </c>
      <c r="E29" s="19">
        <v>43163</v>
      </c>
      <c r="F29" s="4">
        <v>0.1</v>
      </c>
    </row>
    <row r="30" spans="1:45" ht="20" customHeight="1" outlineLevel="1" x14ac:dyDescent="0.2">
      <c r="B30" s="34" t="s">
        <v>255</v>
      </c>
      <c r="C30" s="18" t="s">
        <v>276</v>
      </c>
      <c r="D30" s="18">
        <v>43146</v>
      </c>
      <c r="E30" s="19">
        <v>43164</v>
      </c>
      <c r="F30" s="4">
        <v>0.05</v>
      </c>
    </row>
    <row r="31" spans="1:45" ht="20" customHeight="1" outlineLevel="1" x14ac:dyDescent="0.2">
      <c r="B31" s="34" t="s">
        <v>255</v>
      </c>
      <c r="C31" s="18" t="s">
        <v>158</v>
      </c>
      <c r="D31" s="18">
        <v>43147</v>
      </c>
      <c r="E31" s="19">
        <v>43165</v>
      </c>
      <c r="F31" s="4">
        <v>0</v>
      </c>
    </row>
    <row r="32" spans="1:45" ht="20" customHeight="1" outlineLevel="1" x14ac:dyDescent="0.2">
      <c r="B32" s="34" t="s">
        <v>255</v>
      </c>
      <c r="C32" s="18" t="s">
        <v>277</v>
      </c>
      <c r="D32" s="18">
        <v>43148</v>
      </c>
      <c r="E32" s="19">
        <v>43166</v>
      </c>
      <c r="F32" s="4">
        <v>0</v>
      </c>
    </row>
    <row r="33" spans="1:7" ht="20" customHeight="1" x14ac:dyDescent="0.2">
      <c r="B33" s="34"/>
      <c r="C33" s="18"/>
      <c r="D33" s="18"/>
      <c r="E33" s="19"/>
      <c r="F33" s="4"/>
    </row>
    <row r="34" spans="1:7" s="220" customFormat="1" ht="24" customHeight="1" x14ac:dyDescent="0.2">
      <c r="A34" s="216"/>
      <c r="B34" s="217"/>
      <c r="C34" s="221" t="s">
        <v>280</v>
      </c>
      <c r="D34" s="218"/>
      <c r="E34" s="218"/>
      <c r="F34" s="219"/>
      <c r="G34" s="14"/>
    </row>
    <row r="35" spans="1:7" ht="20" customHeight="1" x14ac:dyDescent="0.2">
      <c r="B35" s="34" t="s">
        <v>281</v>
      </c>
      <c r="C35" s="18" t="s">
        <v>278</v>
      </c>
      <c r="D35" s="18">
        <v>43147</v>
      </c>
      <c r="E35" s="19">
        <v>43160</v>
      </c>
      <c r="F35" s="4">
        <v>0.2</v>
      </c>
    </row>
    <row r="36" spans="1:7" ht="20" customHeight="1" x14ac:dyDescent="0.2">
      <c r="B36" s="34" t="s">
        <v>281</v>
      </c>
      <c r="C36" s="18" t="s">
        <v>308</v>
      </c>
      <c r="D36" s="18">
        <v>43160</v>
      </c>
      <c r="E36" s="19">
        <v>43168</v>
      </c>
      <c r="F36" s="4">
        <v>0</v>
      </c>
    </row>
    <row r="37" spans="1:7" ht="20" customHeight="1" x14ac:dyDescent="0.2">
      <c r="B37" s="34" t="s">
        <v>281</v>
      </c>
      <c r="C37" s="18" t="s">
        <v>279</v>
      </c>
      <c r="D37" s="18">
        <v>43168</v>
      </c>
      <c r="E37" s="19">
        <v>43174</v>
      </c>
      <c r="F37" s="4">
        <v>0</v>
      </c>
    </row>
    <row r="38" spans="1:7" ht="20" customHeight="1" x14ac:dyDescent="0.2">
      <c r="B38" s="34"/>
      <c r="C38" s="18"/>
      <c r="D38" s="18"/>
      <c r="E38" s="19"/>
      <c r="F38" s="4"/>
    </row>
    <row r="39" spans="1:7" s="220" customFormat="1" ht="24" customHeight="1" x14ac:dyDescent="0.2">
      <c r="A39" s="216"/>
      <c r="B39" s="217"/>
      <c r="C39" s="221" t="s">
        <v>287</v>
      </c>
      <c r="D39" s="218"/>
      <c r="E39" s="218"/>
      <c r="F39" s="219"/>
      <c r="G39" s="14"/>
    </row>
    <row r="40" spans="1:7" ht="20" customHeight="1" x14ac:dyDescent="0.2">
      <c r="B40" s="34" t="s">
        <v>291</v>
      </c>
      <c r="C40" s="18" t="s">
        <v>172</v>
      </c>
      <c r="D40" s="18">
        <v>43174</v>
      </c>
      <c r="E40" s="19">
        <v>43189</v>
      </c>
      <c r="F40" s="4">
        <v>0</v>
      </c>
    </row>
    <row r="41" spans="1:7" ht="20" customHeight="1" x14ac:dyDescent="0.2">
      <c r="B41" s="34" t="s">
        <v>291</v>
      </c>
      <c r="C41" s="18" t="s">
        <v>293</v>
      </c>
      <c r="D41" s="18">
        <v>43217</v>
      </c>
      <c r="E41" s="19">
        <v>43230</v>
      </c>
      <c r="F41" s="4">
        <v>0</v>
      </c>
    </row>
    <row r="42" spans="1:7" ht="20" customHeight="1" x14ac:dyDescent="0.2">
      <c r="B42" s="34" t="s">
        <v>291</v>
      </c>
      <c r="C42" s="18" t="s">
        <v>174</v>
      </c>
      <c r="D42" s="18">
        <v>43230</v>
      </c>
      <c r="E42" s="19">
        <v>43240</v>
      </c>
      <c r="F42" s="4">
        <v>0</v>
      </c>
    </row>
    <row r="43" spans="1:7" ht="20" customHeight="1" x14ac:dyDescent="0.2">
      <c r="B43" s="34" t="s">
        <v>291</v>
      </c>
      <c r="C43" s="18" t="s">
        <v>294</v>
      </c>
      <c r="D43" s="18">
        <v>43240</v>
      </c>
      <c r="E43" s="19">
        <v>43243</v>
      </c>
      <c r="F43" s="4">
        <v>0</v>
      </c>
    </row>
    <row r="44" spans="1:7" ht="20" customHeight="1" x14ac:dyDescent="0.2">
      <c r="B44" s="34" t="s">
        <v>291</v>
      </c>
      <c r="C44" s="18" t="s">
        <v>300</v>
      </c>
      <c r="D44" s="18">
        <v>43240</v>
      </c>
      <c r="E44" s="19">
        <v>43250</v>
      </c>
      <c r="F44" s="4">
        <v>0</v>
      </c>
    </row>
    <row r="45" spans="1:7" ht="20" customHeight="1" x14ac:dyDescent="0.2">
      <c r="B45" s="34" t="s">
        <v>291</v>
      </c>
      <c r="C45" s="18" t="s">
        <v>301</v>
      </c>
      <c r="D45" s="18">
        <v>43250</v>
      </c>
      <c r="E45" s="19">
        <v>43261</v>
      </c>
      <c r="F45" s="4">
        <v>0</v>
      </c>
    </row>
    <row r="46" spans="1:7" ht="20" customHeight="1" x14ac:dyDescent="0.2">
      <c r="B46" s="34" t="s">
        <v>291</v>
      </c>
      <c r="C46" s="18" t="s">
        <v>302</v>
      </c>
      <c r="D46" s="18">
        <v>43261</v>
      </c>
      <c r="E46" s="19">
        <v>43271</v>
      </c>
      <c r="F46" s="4">
        <v>0</v>
      </c>
    </row>
    <row r="47" spans="1:7" ht="20" customHeight="1" x14ac:dyDescent="0.2">
      <c r="B47" s="34"/>
      <c r="C47" s="18"/>
      <c r="D47" s="18"/>
      <c r="E47" s="19"/>
      <c r="F47" s="4"/>
    </row>
    <row r="48" spans="1:7" ht="20" customHeight="1" x14ac:dyDescent="0.2">
      <c r="B48" s="34"/>
      <c r="C48" s="18"/>
      <c r="D48" s="18"/>
      <c r="E48" s="19"/>
      <c r="F48" s="4"/>
    </row>
    <row r="49" spans="2:6" ht="20" customHeight="1" x14ac:dyDescent="0.2">
      <c r="B49" s="34"/>
      <c r="C49" s="18"/>
      <c r="D49" s="18"/>
      <c r="E49" s="19"/>
      <c r="F49" s="4"/>
    </row>
    <row r="50" spans="2:6" ht="20" customHeight="1" x14ac:dyDescent="0.2">
      <c r="B50" s="34"/>
      <c r="C50" s="18"/>
      <c r="D50" s="18"/>
      <c r="E50" s="19"/>
      <c r="F50" s="4"/>
    </row>
    <row r="51" spans="2:6" ht="20" customHeight="1" x14ac:dyDescent="0.2">
      <c r="B51" s="34"/>
      <c r="C51" s="18"/>
      <c r="D51" s="18"/>
      <c r="E51" s="19"/>
      <c r="F51" s="4"/>
    </row>
    <row r="52" spans="2:6" ht="20" customHeight="1" x14ac:dyDescent="0.2">
      <c r="B52" s="34"/>
      <c r="C52" s="18"/>
      <c r="D52" s="18"/>
      <c r="E52" s="19"/>
      <c r="F52" s="4"/>
    </row>
    <row r="53" spans="2:6" ht="20" customHeight="1" x14ac:dyDescent="0.2">
      <c r="B53" s="34"/>
      <c r="C53" s="18"/>
      <c r="D53" s="18"/>
      <c r="E53" s="19"/>
      <c r="F53" s="4"/>
    </row>
    <row r="54" spans="2:6" ht="20" customHeight="1" x14ac:dyDescent="0.2">
      <c r="B54" s="34"/>
      <c r="C54" s="18"/>
      <c r="D54" s="18"/>
      <c r="E54" s="19"/>
      <c r="F54" s="4"/>
    </row>
    <row r="55" spans="2:6" ht="20" customHeight="1" x14ac:dyDescent="0.2">
      <c r="B55" s="34"/>
      <c r="C55" s="18"/>
      <c r="D55" s="18"/>
      <c r="E55" s="19"/>
      <c r="F55" s="4"/>
    </row>
    <row r="56" spans="2:6" ht="20" customHeight="1" x14ac:dyDescent="0.2">
      <c r="B56" s="34"/>
      <c r="C56" s="18"/>
      <c r="D56" s="18"/>
      <c r="E56" s="19"/>
      <c r="F56" s="4"/>
    </row>
    <row r="57" spans="2:6" ht="20" customHeight="1" x14ac:dyDescent="0.2">
      <c r="B57" s="34"/>
      <c r="C57" s="18"/>
      <c r="D57" s="18"/>
      <c r="E57" s="19"/>
      <c r="F57" s="4"/>
    </row>
    <row r="58" spans="2:6" ht="20" customHeight="1" x14ac:dyDescent="0.2">
      <c r="B58" s="34"/>
      <c r="C58" s="18"/>
      <c r="D58" s="18"/>
      <c r="E58" s="19"/>
      <c r="F58" s="4"/>
    </row>
    <row r="59" spans="2:6" ht="20" customHeight="1" x14ac:dyDescent="0.2">
      <c r="B59" s="34"/>
      <c r="C59" s="18"/>
      <c r="D59" s="18"/>
      <c r="E59" s="19"/>
      <c r="F59" s="4"/>
    </row>
    <row r="60" spans="2:6" ht="20" customHeight="1" x14ac:dyDescent="0.2">
      <c r="B60" s="34"/>
      <c r="C60" s="18"/>
      <c r="D60" s="18"/>
      <c r="E60" s="19"/>
      <c r="F60" s="4"/>
    </row>
    <row r="61" spans="2:6" ht="20" customHeight="1" x14ac:dyDescent="0.2">
      <c r="B61" s="34"/>
      <c r="C61" s="18"/>
      <c r="D61" s="18"/>
      <c r="E61" s="19"/>
      <c r="F61" s="4"/>
    </row>
    <row r="62" spans="2:6" ht="20" customHeight="1" x14ac:dyDescent="0.2">
      <c r="B62" s="34"/>
      <c r="C62" s="18"/>
      <c r="D62" s="18"/>
      <c r="E62" s="19"/>
      <c r="F62" s="4"/>
    </row>
    <row r="63" spans="2:6" ht="20" customHeight="1" x14ac:dyDescent="0.2">
      <c r="B63" s="34"/>
      <c r="C63" s="18"/>
      <c r="D63" s="18"/>
      <c r="E63" s="19"/>
      <c r="F63" s="4"/>
    </row>
    <row r="64" spans="2:6"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row r="339" spans="2:6" ht="20" customHeight="1" x14ac:dyDescent="0.2"/>
    <row r="340" spans="2:6" ht="20" customHeight="1" x14ac:dyDescent="0.2"/>
    <row r="341" spans="2:6" ht="20" customHeight="1" x14ac:dyDescent="0.2"/>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sheetData>
  <conditionalFormatting sqref="A6:XFD6">
    <cfRule type="timePeriod" dxfId="72" priority="56" timePeriod="yesterday">
      <formula>FLOOR(A6,1)=TODAY()-1</formula>
    </cfRule>
    <cfRule type="timePeriod" dxfId="71" priority="99" timePeriod="tomorrow">
      <formula>FLOOR(A6,1)=TODAY()+1</formula>
    </cfRule>
    <cfRule type="timePeriod" dxfId="70" priority="100" timePeriod="yesterday">
      <formula>FLOOR(A6,1)=TODAY()-1</formula>
    </cfRule>
    <cfRule type="timePeriod" dxfId="69" priority="101" timePeriod="yesterday">
      <formula>FLOOR(A6,1)=TODAY()-1</formula>
    </cfRule>
    <cfRule type="timePeriod" dxfId="68" priority="102" timePeriod="today">
      <formula>FLOOR(A6,1)=TODAY()</formula>
    </cfRule>
  </conditionalFormatting>
  <conditionalFormatting sqref="F9:F18 F24:F33 F35:F38 F20:F22 F40:F337">
    <cfRule type="colorScale" priority="93">
      <colorScale>
        <cfvo type="num" val="0"/>
        <cfvo type="num" val="0.5"/>
        <cfvo type="num" val="1"/>
        <color rgb="FFFF3300"/>
        <color rgb="FFFFC000"/>
        <color rgb="FF92D050"/>
      </colorScale>
    </cfRule>
  </conditionalFormatting>
  <conditionalFormatting sqref="F1:F18 F24:F33 F35:F38 F20:F22 F40:F1048576">
    <cfRule type="colorScale" priority="92">
      <colorScale>
        <cfvo type="num" val="0"/>
        <cfvo type="num" val="0.5"/>
        <cfvo type="num" val="1"/>
        <color rgb="FFF8696B"/>
        <color rgb="FFFFEB84"/>
        <color rgb="FF63BE7B"/>
      </colorScale>
    </cfRule>
  </conditionalFormatting>
  <conditionalFormatting sqref="E1:E8 E338:E1048576">
    <cfRule type="cellIs" priority="88" operator="lessThan">
      <formula>TODAY()</formula>
    </cfRule>
  </conditionalFormatting>
  <conditionalFormatting sqref="E9 E12:E18 E24:E33 E35:E38 E20:E22 E40:E337">
    <cfRule type="cellIs" dxfId="67" priority="82" operator="lessThanOrEqual">
      <formula>TODAY()</formula>
    </cfRule>
    <cfRule type="cellIs" dxfId="66" priority="83" operator="greaterThan">
      <formula>TODAY()</formula>
    </cfRule>
  </conditionalFormatting>
  <conditionalFormatting sqref="B9:D9">
    <cfRule type="expression" dxfId="65" priority="67">
      <formula>ISBLANK(INDIRECT("E"&amp;ROW()))*ISBLANK(INDIRECT("F"&amp;ROW()))</formula>
    </cfRule>
    <cfRule type="expression" dxfId="64" priority="74">
      <formula>INDIRECT("F"&amp;ROW()) &gt;= 0.9</formula>
    </cfRule>
    <cfRule type="expression" dxfId="63" priority="75">
      <formula>INDIRECT("F"&amp;ROW())&lt;0.9 * NOT(ISBLANK("F"&amp;ROW()))</formula>
    </cfRule>
    <cfRule type="expression" dxfId="62" priority="76">
      <formula>INDIRECT("E"&amp;ROW())&lt;TODAY() * NOT(ISBLANK(INDIRECT("E"&amp;ROW())))</formula>
    </cfRule>
  </conditionalFormatting>
  <conditionalFormatting sqref="E9 E12:E18 E24:E33 E35:E38 E20:E22 E40:E337">
    <cfRule type="expression" dxfId="61" priority="66">
      <formula>ISBLANK(INDIRECT("E"&amp;ROW()))</formula>
    </cfRule>
  </conditionalFormatting>
  <conditionalFormatting sqref="E10:E11">
    <cfRule type="cellIs" dxfId="60" priority="62" operator="lessThanOrEqual">
      <formula>TODAY()</formula>
    </cfRule>
    <cfRule type="cellIs" dxfId="59" priority="63" operator="greaterThan">
      <formula>TODAY()</formula>
    </cfRule>
  </conditionalFormatting>
  <conditionalFormatting sqref="B10:D18 B24:D33 B35:D38 B20:D22 B40:D337">
    <cfRule type="expression" dxfId="58" priority="58">
      <formula>ISBLANK(INDIRECT("E"&amp;ROW()))*ISBLANK(INDIRECT("F"&amp;ROW()))</formula>
    </cfRule>
    <cfRule type="expression" dxfId="57" priority="59">
      <formula>INDIRECT("F"&amp;ROW()) &gt;= 0.9</formula>
    </cfRule>
    <cfRule type="expression" dxfId="56" priority="60">
      <formula>INDIRECT("F"&amp;ROW())&lt;0.9</formula>
    </cfRule>
    <cfRule type="expression" dxfId="55" priority="61">
      <formula>INDIRECT("E"&amp;ROW())&lt;TODAY() * NOT(ISBLANK(INDIRECT("E"&amp;ROW())))</formula>
    </cfRule>
  </conditionalFormatting>
  <conditionalFormatting sqref="E10:E11">
    <cfRule type="expression" dxfId="54" priority="57">
      <formula>ISBLANK(INDIRECT("E"&amp;ROW()))</formula>
    </cfRule>
  </conditionalFormatting>
  <conditionalFormatting sqref="B1:D18 B24:D33 B35:D38 B20:D22 B40:D1048576">
    <cfRule type="expression" dxfId="53" priority="52">
      <formula xml:space="preserve"> (INDIRECT("F" &amp; ROW()) &lt; 0.9) * (INDIRECT("E" &amp; ROW()) &gt; TODAY())</formula>
    </cfRule>
  </conditionalFormatting>
  <conditionalFormatting sqref="I7:DZ7 H8:DZ18 H24:DZ33 H35:DZ38 H20:DZ22 H40:DZ727">
    <cfRule type="expression" dxfId="52" priority="50">
      <formula xml:space="preserve"> INDIRECT(SUBSTITUTE(ADDRESS(1,COLUMN(),4),1,"") &amp; 6) = TODAY()</formula>
    </cfRule>
  </conditionalFormatting>
  <conditionalFormatting sqref="A7:G7 I7:XFD7 A8:XFD18 A24:XFD33 A35:XFD38 A20:XFD22 A40:XFD1048576 A1:XFD6">
    <cfRule type="expression" dxfId="51" priority="46">
      <formula xml:space="preserve"> NOT(ISBLANK(INDIRECT("D"&amp;ROW()))) * NOT(ISODD(ROW())) *NOT(ISBLANK(INDIRECT("E"&amp;ROW())))*(INDIRECT(SUBSTITUTE(ADDRESS(1,COLUMN(),4),1,"") &amp; 6) &lt;= INDIRECT("E" &amp; ROW()))*(INDIRECT(SUBSTITUTE(ADDRESS(1,COLUMN(),4),1,"") &amp; 6) &gt;= INDIRECT("D" &amp; ROW()))</formula>
    </cfRule>
    <cfRule type="expression" dxfId="50"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49"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48" priority="27">
      <formula xml:space="preserve"> (INDIRECT("F" &amp; ROW()) &lt; 0.9) * (INDIRECT("E" &amp; ROW()) &gt; TODAY())</formula>
    </cfRule>
  </conditionalFormatting>
  <conditionalFormatting sqref="H19:DZ19">
    <cfRule type="expression" dxfId="47" priority="24">
      <formula xml:space="preserve"> INDIRECT(SUBSTITUTE(ADDRESS(1,COLUMN(),4),1,"") &amp; 6) = TODAY()</formula>
    </cfRule>
  </conditionalFormatting>
  <conditionalFormatting sqref="A19:XFD19">
    <cfRule type="expression" dxfId="46" priority="25">
      <formula xml:space="preserve"> NOT(ISBLANK(INDIRECT("D"&amp;ROW()))) * NOT(ISODD(ROW())) *NOT(ISBLANK(INDIRECT("E"&amp;ROW())))*(INDIRECT(SUBSTITUTE(ADDRESS(1,COLUMN(),4),1,"") &amp; 6) &lt;= INDIRECT("E" &amp; ROW()))*(INDIRECT(SUBSTITUTE(ADDRESS(1,COLUMN(),4),1,"") &amp; 6) &gt;= INDIRECT("D" &amp; ROW()))</formula>
    </cfRule>
    <cfRule type="expression" dxfId="45"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44" priority="20">
      <formula xml:space="preserve"> (INDIRECT("F" &amp; ROW()) &lt; 0.9) * (INDIRECT("E" &amp; ROW()) &gt; TODAY())</formula>
    </cfRule>
  </conditionalFormatting>
  <conditionalFormatting sqref="H23:DZ23">
    <cfRule type="expression" dxfId="43" priority="17">
      <formula xml:space="preserve"> INDIRECT(SUBSTITUTE(ADDRESS(1,COLUMN(),4),1,"") &amp; 6) = TODAY()</formula>
    </cfRule>
  </conditionalFormatting>
  <conditionalFormatting sqref="A23:XFD23">
    <cfRule type="expression" dxfId="42" priority="18">
      <formula xml:space="preserve"> NOT(ISBLANK(INDIRECT("D"&amp;ROW()))) * NOT(ISODD(ROW())) *NOT(ISBLANK(INDIRECT("E"&amp;ROW())))*(INDIRECT(SUBSTITUTE(ADDRESS(1,COLUMN(),4),1,"") &amp; 6) &lt;= INDIRECT("E" &amp; ROW()))*(INDIRECT(SUBSTITUTE(ADDRESS(1,COLUMN(),4),1,"") &amp; 6) &gt;= INDIRECT("D" &amp; ROW()))</formula>
    </cfRule>
    <cfRule type="expression" dxfId="41"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8 B8:D33 B40:D725">
    <cfRule type="expression" dxfId="40" priority="1">
      <formula xml:space="preserve"> NOT(ISBLANK(INDIRECT("F" &amp; ROW()))) *( INDIRECT("D" &amp; ROW()) &gt; TODAY()) * INDIRECT("F"&amp;ROW()) &gt; 0.01</formula>
    </cfRule>
    <cfRule type="expression" dxfId="39"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38" priority="13">
      <formula xml:space="preserve"> (INDIRECT("F" &amp; ROW()) &lt; 0.9) * (INDIRECT("E" &amp; ROW()) &gt; TODAY())</formula>
    </cfRule>
  </conditionalFormatting>
  <conditionalFormatting sqref="H34:DZ34">
    <cfRule type="expression" dxfId="37" priority="10">
      <formula xml:space="preserve"> INDIRECT(SUBSTITUTE(ADDRESS(1,COLUMN(),4),1,"") &amp; 6) = TODAY()</formula>
    </cfRule>
  </conditionalFormatting>
  <conditionalFormatting sqref="A34:XFD34">
    <cfRule type="expression" dxfId="36" priority="11">
      <formula xml:space="preserve"> NOT(ISBLANK(INDIRECT("D"&amp;ROW()))) * NOT(ISODD(ROW())) *NOT(ISBLANK(INDIRECT("E"&amp;ROW())))*(INDIRECT(SUBSTITUTE(ADDRESS(1,COLUMN(),4),1,"") &amp; 6) &lt;= INDIRECT("E" &amp; ROW()))*(INDIRECT(SUBSTITUTE(ADDRESS(1,COLUMN(),4),1,"") &amp; 6) &gt;= INDIRECT("D" &amp; ROW()))</formula>
    </cfRule>
    <cfRule type="expression" dxfId="35"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34" priority="16">
      <formula xml:space="preserve"> INDIRECT("D" &amp; ROW()) &gt; TODAY()</formula>
    </cfRule>
  </conditionalFormatting>
  <conditionalFormatting sqref="F39">
    <cfRule type="colorScale" priority="8">
      <colorScale>
        <cfvo type="num" val="0"/>
        <cfvo type="num" val="0.5"/>
        <cfvo type="num" val="1"/>
        <color rgb="FFF8696B"/>
        <color rgb="FFFFEB84"/>
        <color rgb="FF63BE7B"/>
      </colorScale>
    </cfRule>
  </conditionalFormatting>
  <conditionalFormatting sqref="E39">
    <cfRule type="cellIs" priority="7" operator="lessThan">
      <formula>TODAY()</formula>
    </cfRule>
  </conditionalFormatting>
  <conditionalFormatting sqref="B39:D39">
    <cfRule type="expression" dxfId="33" priority="6">
      <formula xml:space="preserve"> (INDIRECT("F" &amp; ROW()) &lt; 0.9) * (INDIRECT("E" &amp; ROW()) &gt; TODAY())</formula>
    </cfRule>
  </conditionalFormatting>
  <conditionalFormatting sqref="H39:DZ39">
    <cfRule type="expression" dxfId="32" priority="3">
      <formula xml:space="preserve"> INDIRECT(SUBSTITUTE(ADDRESS(1,COLUMN(),4),1,"") &amp; 6) = TODAY()</formula>
    </cfRule>
  </conditionalFormatting>
  <conditionalFormatting sqref="A39:XFD39">
    <cfRule type="expression" dxfId="31" priority="4">
      <formula xml:space="preserve"> NOT(ISBLANK(INDIRECT("D"&amp;ROW()))) * NOT(ISODD(ROW())) *NOT(ISBLANK(INDIRECT("E"&amp;ROW())))*(INDIRECT(SUBSTITUTE(ADDRESS(1,COLUMN(),4),1,"") &amp; 6) &lt;= INDIRECT("E" &amp; ROW()))*(INDIRECT(SUBSTITUTE(ADDRESS(1,COLUMN(),4),1,"") &amp; 6) &gt;= INDIRECT("D" &amp; ROW()))</formula>
    </cfRule>
    <cfRule type="expression" dxfId="3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39:E39">
    <cfRule type="expression" dxfId="29" priority="9">
      <formula xml:space="preserve"> INDIRECT("D" &amp; ROW()) &gt; TODAY()</formula>
    </cfRule>
  </conditionalFormatting>
  <conditionalFormatting sqref="E24:E32 E35:E37 E40 E40:E817 E21 E20 E9:E17">
    <cfRule type="expression" dxfId="28"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90"/>
  <sheetViews>
    <sheetView tabSelected="1" topLeftCell="B3" workbookViewId="0">
      <selection activeCell="D58" sqref="D58"/>
    </sheetView>
  </sheetViews>
  <sheetFormatPr baseColWidth="10" defaultColWidth="8.83203125" defaultRowHeight="15" outlineLevelRow="2" x14ac:dyDescent="0.2"/>
  <cols>
    <col min="1" max="1" width="12.5" style="118" customWidth="1"/>
    <col min="2" max="2" width="12.5" style="179" customWidth="1"/>
    <col min="3" max="3" width="10.33203125" style="198" customWidth="1"/>
    <col min="4" max="4" width="20.1640625" style="187" customWidth="1"/>
    <col min="5" max="5" width="30.33203125" style="139" customWidth="1"/>
    <col min="6" max="6" width="24.5" style="193" customWidth="1"/>
    <col min="7" max="7" width="40.83203125" style="90"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31" customFormat="1" ht="27.75" customHeight="1" x14ac:dyDescent="0.2">
      <c r="A1" s="118"/>
      <c r="B1" s="174"/>
      <c r="C1" s="196"/>
      <c r="D1" s="185"/>
      <c r="E1" s="135">
        <f ca="1">TODAY()</f>
        <v>43144</v>
      </c>
      <c r="G1" s="189" t="s">
        <v>125</v>
      </c>
      <c r="H1" s="159">
        <f ca="1">HOUR(I1)</f>
        <v>22</v>
      </c>
      <c r="I1" s="160">
        <f ca="1">NOW()</f>
        <v>43144.927861458331</v>
      </c>
      <c r="J1" s="131" t="s">
        <v>39</v>
      </c>
      <c r="L1" s="131" t="s">
        <v>38</v>
      </c>
    </row>
    <row r="2" spans="1:12" s="131" customFormat="1" ht="29.25" customHeight="1" x14ac:dyDescent="0.2">
      <c r="A2" s="116"/>
      <c r="B2" s="175"/>
      <c r="C2" s="196"/>
      <c r="D2" s="185"/>
      <c r="F2" s="190"/>
      <c r="G2" s="172"/>
      <c r="H2" s="133"/>
    </row>
    <row r="4" spans="1:12" x14ac:dyDescent="0.2">
      <c r="A4" s="171" t="s">
        <v>124</v>
      </c>
      <c r="B4" s="176" t="s">
        <v>118</v>
      </c>
      <c r="C4" s="197" t="s">
        <v>120</v>
      </c>
      <c r="D4" s="186" t="s">
        <v>166</v>
      </c>
      <c r="E4" s="182" t="s">
        <v>117</v>
      </c>
      <c r="F4" s="191" t="s">
        <v>119</v>
      </c>
      <c r="G4" s="183" t="s">
        <v>15</v>
      </c>
      <c r="H4" s="182" t="s">
        <v>121</v>
      </c>
      <c r="I4" s="182" t="s">
        <v>122</v>
      </c>
      <c r="J4" s="182" t="s">
        <v>123</v>
      </c>
    </row>
    <row r="5" spans="1:12" x14ac:dyDescent="0.2">
      <c r="A5" s="171"/>
      <c r="B5" s="176"/>
      <c r="C5" s="197"/>
      <c r="D5" s="186"/>
      <c r="E5" s="182"/>
      <c r="F5" s="191"/>
      <c r="G5" s="183"/>
      <c r="H5" s="182"/>
      <c r="I5" s="182"/>
      <c r="J5" s="182"/>
    </row>
    <row r="6" spans="1:12" ht="16" x14ac:dyDescent="0.2">
      <c r="A6" s="171"/>
      <c r="B6" s="176"/>
      <c r="C6" s="197"/>
      <c r="D6" s="186"/>
      <c r="E6" s="195" t="s">
        <v>201</v>
      </c>
      <c r="F6" s="191"/>
      <c r="G6" s="183"/>
      <c r="H6" s="182"/>
      <c r="I6" s="182"/>
      <c r="J6" s="182"/>
    </row>
    <row r="8" spans="1:12" s="139" customFormat="1" outlineLevel="1" x14ac:dyDescent="0.2">
      <c r="A8" s="173"/>
      <c r="B8" s="181"/>
      <c r="C8" s="198">
        <f>AVERAGE(C9:C12)</f>
        <v>0.75</v>
      </c>
      <c r="D8" s="187">
        <f ca="1">TODAY()</f>
        <v>43144</v>
      </c>
      <c r="E8" s="182" t="s">
        <v>137</v>
      </c>
      <c r="F8" s="193">
        <v>43146</v>
      </c>
      <c r="G8" s="184"/>
    </row>
    <row r="9" spans="1:12" s="139" customFormat="1" ht="40.5" hidden="1" customHeight="1" outlineLevel="2" x14ac:dyDescent="0.2">
      <c r="A9" s="173"/>
      <c r="B9" s="177" t="s">
        <v>131</v>
      </c>
      <c r="C9" s="198">
        <v>1</v>
      </c>
      <c r="D9" s="188">
        <v>43141</v>
      </c>
      <c r="E9" s="139" t="s">
        <v>130</v>
      </c>
      <c r="F9" s="192">
        <f ca="1">TODAY()+1</f>
        <v>43145</v>
      </c>
      <c r="G9" s="184"/>
    </row>
    <row r="10" spans="1:12" ht="47.25" hidden="1" customHeight="1" outlineLevel="2" x14ac:dyDescent="0.2">
      <c r="A10" s="170"/>
      <c r="B10" s="180" t="s">
        <v>132</v>
      </c>
      <c r="C10" s="198">
        <v>1</v>
      </c>
      <c r="D10" s="187">
        <v>43141</v>
      </c>
      <c r="E10" s="139" t="s">
        <v>127</v>
      </c>
      <c r="F10" s="193">
        <v>43146</v>
      </c>
    </row>
    <row r="11" spans="1:12" ht="67.5" hidden="1" customHeight="1" outlineLevel="2" x14ac:dyDescent="0.2">
      <c r="A11" s="159"/>
      <c r="B11" s="180" t="s">
        <v>133</v>
      </c>
      <c r="C11" s="198">
        <v>1</v>
      </c>
      <c r="D11" s="187">
        <f ca="1">TODAY()</f>
        <v>43144</v>
      </c>
      <c r="E11" s="139" t="s">
        <v>126</v>
      </c>
      <c r="F11" s="193">
        <v>43146</v>
      </c>
    </row>
    <row r="12" spans="1:12" ht="72" hidden="1" customHeight="1" outlineLevel="2" x14ac:dyDescent="0.2">
      <c r="A12" s="159"/>
      <c r="B12" s="180" t="s">
        <v>134</v>
      </c>
      <c r="C12" s="198">
        <v>0</v>
      </c>
      <c r="D12" s="187">
        <f ca="1">TODAY()</f>
        <v>43144</v>
      </c>
      <c r="E12" s="139" t="s">
        <v>128</v>
      </c>
      <c r="F12" s="193">
        <v>43146</v>
      </c>
      <c r="G12" s="90" t="s">
        <v>129</v>
      </c>
    </row>
    <row r="13" spans="1:12" outlineLevel="1" collapsed="1" x14ac:dyDescent="0.2"/>
    <row r="14" spans="1:12" ht="16.5" customHeight="1" outlineLevel="1" x14ac:dyDescent="0.2">
      <c r="A14" s="159"/>
      <c r="B14" s="180"/>
      <c r="C14" s="198">
        <v>0</v>
      </c>
      <c r="D14" s="187">
        <v>43144</v>
      </c>
      <c r="E14" s="182" t="s">
        <v>138</v>
      </c>
      <c r="F14" s="193">
        <v>43151</v>
      </c>
    </row>
    <row r="15" spans="1:12" ht="75" hidden="1" customHeight="1" outlineLevel="2" x14ac:dyDescent="0.2">
      <c r="A15" s="159"/>
      <c r="B15" s="178" t="s">
        <v>135</v>
      </c>
      <c r="C15" s="198">
        <v>1</v>
      </c>
      <c r="D15" s="187">
        <v>43142</v>
      </c>
      <c r="E15" s="139" t="s">
        <v>136</v>
      </c>
      <c r="F15" s="193">
        <f ca="1">TODAY()+2</f>
        <v>43146</v>
      </c>
    </row>
    <row r="16" spans="1:12" ht="87" hidden="1" customHeight="1" outlineLevel="2" x14ac:dyDescent="0.2">
      <c r="A16" s="159"/>
      <c r="B16" s="178" t="s">
        <v>139</v>
      </c>
      <c r="C16" s="198">
        <v>0.1</v>
      </c>
      <c r="D16" s="187">
        <v>43144</v>
      </c>
      <c r="E16" s="139" t="s">
        <v>140</v>
      </c>
      <c r="F16" s="193">
        <f ca="1">TODAY()+5</f>
        <v>43149</v>
      </c>
      <c r="G16" s="90" t="s">
        <v>259</v>
      </c>
      <c r="I16" s="1" t="s">
        <v>258</v>
      </c>
    </row>
    <row r="17" spans="1:9" ht="101.25" hidden="1" customHeight="1" outlineLevel="2" x14ac:dyDescent="0.2">
      <c r="A17" s="242"/>
      <c r="B17" s="178" t="s">
        <v>148</v>
      </c>
      <c r="C17" s="198">
        <v>1</v>
      </c>
      <c r="D17" s="187">
        <v>43144</v>
      </c>
      <c r="E17" s="139" t="s">
        <v>149</v>
      </c>
      <c r="F17" s="193">
        <v>43149</v>
      </c>
      <c r="I17" s="1" t="s">
        <v>150</v>
      </c>
    </row>
    <row r="18" spans="1:9" s="240" customFormat="1" ht="131" hidden="1" customHeight="1" outlineLevel="2" x14ac:dyDescent="0.2">
      <c r="A18" s="233"/>
      <c r="B18" s="234" t="s">
        <v>141</v>
      </c>
      <c r="C18" s="235">
        <v>1</v>
      </c>
      <c r="D18" s="236">
        <v>43142</v>
      </c>
      <c r="E18" s="237" t="s">
        <v>142</v>
      </c>
      <c r="F18" s="238">
        <f ca="1">TODAY()+7</f>
        <v>43151</v>
      </c>
      <c r="G18" s="239"/>
      <c r="I18" s="240" t="s">
        <v>151</v>
      </c>
    </row>
    <row r="19" spans="1:9" s="240" customFormat="1" ht="51" hidden="1" customHeight="1" outlineLevel="2" x14ac:dyDescent="0.2">
      <c r="A19" s="233"/>
      <c r="B19" s="234" t="s">
        <v>143</v>
      </c>
      <c r="C19" s="235">
        <v>1</v>
      </c>
      <c r="D19" s="236">
        <v>43144</v>
      </c>
      <c r="E19" s="237" t="s">
        <v>144</v>
      </c>
      <c r="F19" s="238">
        <v>43150</v>
      </c>
      <c r="G19" s="239"/>
    </row>
    <row r="20" spans="1:9" s="240" customFormat="1" ht="66" hidden="1" customHeight="1" outlineLevel="2" x14ac:dyDescent="0.2">
      <c r="A20" s="233"/>
      <c r="B20" s="234" t="s">
        <v>145</v>
      </c>
      <c r="C20" s="235">
        <v>1</v>
      </c>
      <c r="D20" s="236">
        <v>43144</v>
      </c>
      <c r="E20" s="237" t="s">
        <v>147</v>
      </c>
      <c r="F20" s="238">
        <v>43151</v>
      </c>
      <c r="G20" s="239"/>
    </row>
    <row r="21" spans="1:9" outlineLevel="1" collapsed="1" x14ac:dyDescent="0.2"/>
    <row r="22" spans="1:9" outlineLevel="1" x14ac:dyDescent="0.2">
      <c r="A22" s="159"/>
      <c r="B22" s="178"/>
      <c r="C22" s="198">
        <f>AVERAGE(C23:C30)</f>
        <v>3.125E-2</v>
      </c>
      <c r="D22" s="187">
        <f ca="1">TODAY()</f>
        <v>43144</v>
      </c>
      <c r="E22" s="182" t="s">
        <v>152</v>
      </c>
      <c r="F22" s="193">
        <v>43166</v>
      </c>
    </row>
    <row r="23" spans="1:9" ht="30" hidden="1" customHeight="1" outlineLevel="2" x14ac:dyDescent="0.2">
      <c r="A23" s="159"/>
      <c r="B23" s="178" t="s">
        <v>237</v>
      </c>
      <c r="C23" s="198">
        <v>0.25</v>
      </c>
      <c r="D23" s="187">
        <f ca="1">TODAY()</f>
        <v>43144</v>
      </c>
      <c r="E23" s="139" t="s">
        <v>153</v>
      </c>
      <c r="F23" s="193">
        <v>43148</v>
      </c>
    </row>
    <row r="24" spans="1:9" ht="31.5" hidden="1" customHeight="1" outlineLevel="2" x14ac:dyDescent="0.2">
      <c r="A24" s="159"/>
      <c r="B24" s="178" t="s">
        <v>238</v>
      </c>
      <c r="C24" s="198">
        <v>0</v>
      </c>
      <c r="D24" s="193">
        <v>43142</v>
      </c>
      <c r="E24" s="139" t="s">
        <v>154</v>
      </c>
      <c r="F24" s="188">
        <v>43160</v>
      </c>
      <c r="G24" s="90" t="s">
        <v>162</v>
      </c>
    </row>
    <row r="25" spans="1:9" ht="26.25" hidden="1" customHeight="1" outlineLevel="2" x14ac:dyDescent="0.2">
      <c r="A25" s="159"/>
      <c r="B25" s="178" t="s">
        <v>243</v>
      </c>
      <c r="C25" s="198">
        <v>0</v>
      </c>
      <c r="D25" s="193">
        <v>43143</v>
      </c>
      <c r="E25" s="139" t="s">
        <v>160</v>
      </c>
      <c r="F25" s="193">
        <v>43161</v>
      </c>
    </row>
    <row r="26" spans="1:9" ht="26.25" hidden="1" customHeight="1" outlineLevel="2" x14ac:dyDescent="0.2">
      <c r="A26" s="159"/>
      <c r="B26" s="178" t="s">
        <v>239</v>
      </c>
      <c r="C26" s="198">
        <v>0</v>
      </c>
      <c r="D26" s="193">
        <v>43144</v>
      </c>
      <c r="E26" s="139" t="s">
        <v>155</v>
      </c>
      <c r="F26" s="193">
        <v>43162</v>
      </c>
    </row>
    <row r="27" spans="1:9" ht="24" hidden="1" customHeight="1" outlineLevel="2" x14ac:dyDescent="0.2">
      <c r="A27" s="159"/>
      <c r="B27" s="178" t="s">
        <v>239</v>
      </c>
      <c r="C27" s="198">
        <v>0</v>
      </c>
      <c r="D27" s="193">
        <v>43145</v>
      </c>
      <c r="E27" s="139" t="s">
        <v>156</v>
      </c>
      <c r="F27" s="193">
        <v>43163</v>
      </c>
    </row>
    <row r="28" spans="1:9" ht="22.5" hidden="1" customHeight="1" outlineLevel="2" x14ac:dyDescent="0.2">
      <c r="A28" s="159"/>
      <c r="B28" s="178" t="s">
        <v>242</v>
      </c>
      <c r="C28" s="198">
        <v>0</v>
      </c>
      <c r="D28" s="193">
        <v>43146</v>
      </c>
      <c r="E28" s="139" t="s">
        <v>157</v>
      </c>
      <c r="F28" s="193">
        <v>43164</v>
      </c>
    </row>
    <row r="29" spans="1:9" ht="30" hidden="1" outlineLevel="2" x14ac:dyDescent="0.2">
      <c r="A29" s="159"/>
      <c r="B29" s="178" t="s">
        <v>240</v>
      </c>
      <c r="C29" s="198">
        <v>0</v>
      </c>
      <c r="D29" s="193">
        <v>43147</v>
      </c>
      <c r="E29" s="139" t="s">
        <v>158</v>
      </c>
      <c r="F29" s="193">
        <v>43165</v>
      </c>
      <c r="G29" s="90" t="s">
        <v>161</v>
      </c>
    </row>
    <row r="30" spans="1:9" ht="35.25" hidden="1" customHeight="1" outlineLevel="2" x14ac:dyDescent="0.2">
      <c r="A30" s="159"/>
      <c r="B30" s="178" t="s">
        <v>241</v>
      </c>
      <c r="C30" s="198">
        <v>0</v>
      </c>
      <c r="D30" s="193">
        <v>43148</v>
      </c>
      <c r="E30" s="139" t="s">
        <v>159</v>
      </c>
      <c r="F30" s="193">
        <v>43166</v>
      </c>
    </row>
    <row r="31" spans="1:9" outlineLevel="1" collapsed="1" x14ac:dyDescent="0.2">
      <c r="A31" s="158"/>
    </row>
    <row r="32" spans="1:9" outlineLevel="1" x14ac:dyDescent="0.2">
      <c r="A32" s="158"/>
      <c r="C32" s="198">
        <v>0.2</v>
      </c>
      <c r="D32" s="187">
        <v>43163</v>
      </c>
      <c r="E32" s="182" t="s">
        <v>168</v>
      </c>
      <c r="F32" s="193">
        <v>43195</v>
      </c>
    </row>
    <row r="33" spans="3:9" ht="165" hidden="1" outlineLevel="2" x14ac:dyDescent="0.2">
      <c r="C33" s="198">
        <v>0.01</v>
      </c>
      <c r="D33" s="187">
        <v>43163</v>
      </c>
      <c r="E33" s="139" t="s">
        <v>278</v>
      </c>
      <c r="F33" s="193">
        <v>43177</v>
      </c>
      <c r="G33" s="90" t="s">
        <v>180</v>
      </c>
      <c r="I33" s="1" t="s">
        <v>164</v>
      </c>
    </row>
    <row r="34" spans="3:9" ht="45" hidden="1" outlineLevel="2" x14ac:dyDescent="0.2">
      <c r="C34" s="198">
        <v>0</v>
      </c>
      <c r="D34" s="187">
        <v>43173</v>
      </c>
      <c r="E34" s="139" t="s">
        <v>163</v>
      </c>
      <c r="F34" s="193">
        <f>F33+7</f>
        <v>43184</v>
      </c>
      <c r="I34" s="1" t="s">
        <v>165</v>
      </c>
    </row>
    <row r="35" spans="3:9" ht="48" hidden="1" customHeight="1" outlineLevel="2" x14ac:dyDescent="0.2">
      <c r="C35" s="198">
        <v>0</v>
      </c>
      <c r="D35" s="187">
        <v>43180</v>
      </c>
      <c r="E35" s="139" t="s">
        <v>169</v>
      </c>
      <c r="F35" s="193" t="s">
        <v>170</v>
      </c>
      <c r="G35" s="90" t="s">
        <v>171</v>
      </c>
    </row>
    <row r="36" spans="3:9" outlineLevel="1" collapsed="1" x14ac:dyDescent="0.2"/>
    <row r="37" spans="3:9" outlineLevel="1" x14ac:dyDescent="0.2">
      <c r="C37" s="198">
        <v>0.2</v>
      </c>
      <c r="D37" s="187">
        <v>43195</v>
      </c>
      <c r="E37" s="182" t="s">
        <v>173</v>
      </c>
      <c r="F37" s="193">
        <v>43252</v>
      </c>
    </row>
    <row r="38" spans="3:9" ht="135" hidden="1" outlineLevel="2" x14ac:dyDescent="0.2">
      <c r="C38" s="198">
        <v>0</v>
      </c>
      <c r="D38" s="187">
        <v>43195</v>
      </c>
      <c r="E38" s="139" t="s">
        <v>172</v>
      </c>
      <c r="F38" s="193">
        <v>43217</v>
      </c>
      <c r="G38" s="90" t="s">
        <v>177</v>
      </c>
      <c r="H38" s="1" t="s">
        <v>297</v>
      </c>
      <c r="I38" s="1" t="s">
        <v>303</v>
      </c>
    </row>
    <row r="39" spans="3:9" ht="107.25" hidden="1" customHeight="1" outlineLevel="2" x14ac:dyDescent="0.2">
      <c r="C39" s="198">
        <v>0</v>
      </c>
      <c r="D39" s="187">
        <v>43217</v>
      </c>
      <c r="E39" s="139" t="s">
        <v>175</v>
      </c>
      <c r="F39" s="193">
        <v>43230</v>
      </c>
      <c r="G39" s="90" t="s">
        <v>176</v>
      </c>
      <c r="H39" s="1" t="s">
        <v>299</v>
      </c>
      <c r="I39" s="1" t="s">
        <v>181</v>
      </c>
    </row>
    <row r="40" spans="3:9" ht="90" hidden="1" outlineLevel="2" x14ac:dyDescent="0.2">
      <c r="C40" s="198">
        <v>0</v>
      </c>
      <c r="D40" s="187">
        <v>43230</v>
      </c>
      <c r="E40" s="139" t="s">
        <v>174</v>
      </c>
      <c r="F40" s="193">
        <v>43240</v>
      </c>
      <c r="G40" s="90" t="s">
        <v>178</v>
      </c>
      <c r="H40" s="1" t="s">
        <v>299</v>
      </c>
      <c r="I40" s="1" t="s">
        <v>179</v>
      </c>
    </row>
    <row r="41" spans="3:9" ht="63" hidden="1" customHeight="1" outlineLevel="2" x14ac:dyDescent="0.2">
      <c r="C41" s="198">
        <v>0</v>
      </c>
      <c r="D41" s="187">
        <v>43240</v>
      </c>
      <c r="E41" s="139" t="s">
        <v>217</v>
      </c>
      <c r="F41" s="193">
        <v>43243</v>
      </c>
      <c r="G41" s="90" t="s">
        <v>218</v>
      </c>
      <c r="H41" s="1" t="s">
        <v>299</v>
      </c>
    </row>
    <row r="42" spans="3:9" ht="102" hidden="1" customHeight="1" outlineLevel="2" x14ac:dyDescent="0.2">
      <c r="C42" s="198">
        <v>0</v>
      </c>
      <c r="D42" s="187">
        <v>43240</v>
      </c>
      <c r="E42" s="139" t="s">
        <v>183</v>
      </c>
      <c r="F42" s="193">
        <v>43250</v>
      </c>
      <c r="G42" s="90" t="s">
        <v>184</v>
      </c>
      <c r="H42" s="1" t="s">
        <v>299</v>
      </c>
      <c r="I42" s="1" t="s">
        <v>299</v>
      </c>
    </row>
    <row r="43" spans="3:9" ht="102" hidden="1" customHeight="1" outlineLevel="2" x14ac:dyDescent="0.2">
      <c r="D43" s="187">
        <v>43261</v>
      </c>
      <c r="E43" s="139" t="s">
        <v>295</v>
      </c>
      <c r="F43" s="193">
        <v>43271</v>
      </c>
      <c r="G43" s="90" t="s">
        <v>296</v>
      </c>
      <c r="H43" s="1" t="s">
        <v>298</v>
      </c>
      <c r="I43" s="1" t="s">
        <v>299</v>
      </c>
    </row>
    <row r="44" spans="3:9" ht="125.25" hidden="1" customHeight="1" outlineLevel="2" x14ac:dyDescent="0.2">
      <c r="C44" s="198">
        <v>0</v>
      </c>
      <c r="D44" s="187">
        <v>43250</v>
      </c>
      <c r="E44" s="139" t="s">
        <v>185</v>
      </c>
      <c r="F44" s="193">
        <v>43261</v>
      </c>
      <c r="G44" s="90" t="s">
        <v>288</v>
      </c>
      <c r="H44" s="1" t="s">
        <v>299</v>
      </c>
    </row>
    <row r="45" spans="3:9" ht="16" customHeight="1" outlineLevel="1" collapsed="1" x14ac:dyDescent="0.2"/>
    <row r="46" spans="3:9" outlineLevel="1" x14ac:dyDescent="0.2">
      <c r="C46" s="198">
        <v>1E-4</v>
      </c>
      <c r="E46" s="182" t="s">
        <v>186</v>
      </c>
    </row>
    <row r="47" spans="3:9" ht="45.75" hidden="1" customHeight="1" outlineLevel="2" x14ac:dyDescent="0.2">
      <c r="C47" s="198">
        <v>0</v>
      </c>
      <c r="E47" s="139" t="s">
        <v>187</v>
      </c>
      <c r="G47" s="90" t="s">
        <v>188</v>
      </c>
    </row>
    <row r="48" spans="3:9" ht="30" hidden="1" outlineLevel="2" x14ac:dyDescent="0.2">
      <c r="C48" s="198">
        <v>0</v>
      </c>
      <c r="E48" s="139" t="s">
        <v>189</v>
      </c>
      <c r="G48" s="192" t="s">
        <v>190</v>
      </c>
    </row>
    <row r="49" spans="3:7" ht="58.5" hidden="1" customHeight="1" outlineLevel="2" x14ac:dyDescent="0.2">
      <c r="C49" s="198">
        <v>0</v>
      </c>
      <c r="E49" s="139" t="s">
        <v>191</v>
      </c>
      <c r="G49" s="90" t="s">
        <v>192</v>
      </c>
    </row>
    <row r="50" spans="3:7" ht="99.75" hidden="1" customHeight="1" outlineLevel="2" x14ac:dyDescent="0.2">
      <c r="C50" s="198">
        <v>0</v>
      </c>
      <c r="E50" s="139" t="s">
        <v>212</v>
      </c>
      <c r="G50" s="90" t="s">
        <v>213</v>
      </c>
    </row>
    <row r="51" spans="3:7" ht="195.75" hidden="1" customHeight="1" outlineLevel="2" x14ac:dyDescent="0.2">
      <c r="C51" s="198">
        <v>0</v>
      </c>
      <c r="E51" s="139" t="s">
        <v>193</v>
      </c>
      <c r="G51" s="90" t="s">
        <v>194</v>
      </c>
    </row>
    <row r="52" spans="3:7" outlineLevel="1" collapsed="1" x14ac:dyDescent="0.2"/>
    <row r="53" spans="3:7" outlineLevel="1" x14ac:dyDescent="0.2">
      <c r="C53" s="198">
        <v>1E-4</v>
      </c>
      <c r="E53" s="182" t="s">
        <v>195</v>
      </c>
    </row>
    <row r="54" spans="3:7" ht="30" hidden="1" outlineLevel="2" x14ac:dyDescent="0.2">
      <c r="C54" s="198">
        <v>0</v>
      </c>
      <c r="E54" s="139" t="s">
        <v>196</v>
      </c>
      <c r="G54" s="90" t="s">
        <v>197</v>
      </c>
    </row>
    <row r="55" spans="3:7" ht="96.75" hidden="1" customHeight="1" outlineLevel="2" x14ac:dyDescent="0.2">
      <c r="C55" s="198">
        <v>0</v>
      </c>
      <c r="E55" s="139" t="s">
        <v>198</v>
      </c>
      <c r="G55" s="90" t="s">
        <v>182</v>
      </c>
    </row>
    <row r="56" spans="3:7" ht="57" hidden="1" customHeight="1" outlineLevel="2" x14ac:dyDescent="0.2">
      <c r="C56" s="198">
        <v>0</v>
      </c>
      <c r="E56" s="139" t="s">
        <v>199</v>
      </c>
      <c r="G56" s="90" t="s">
        <v>200</v>
      </c>
    </row>
    <row r="57" spans="3:7" outlineLevel="1" collapsed="1" x14ac:dyDescent="0.2"/>
    <row r="58" spans="3:7" ht="20.25" customHeight="1" outlineLevel="1" x14ac:dyDescent="0.2">
      <c r="C58" s="198">
        <v>1E-4</v>
      </c>
      <c r="E58" s="182" t="s">
        <v>202</v>
      </c>
    </row>
    <row r="59" spans="3:7" ht="36.75" hidden="1" customHeight="1" outlineLevel="2" x14ac:dyDescent="0.2">
      <c r="C59" s="198">
        <v>0</v>
      </c>
      <c r="E59" s="139" t="s">
        <v>214</v>
      </c>
      <c r="G59" s="90" t="s">
        <v>216</v>
      </c>
    </row>
    <row r="60" spans="3:7" ht="34.5" hidden="1" customHeight="1" outlineLevel="2" x14ac:dyDescent="0.2">
      <c r="C60" s="198">
        <v>0</v>
      </c>
      <c r="E60" s="139" t="s">
        <v>203</v>
      </c>
      <c r="G60" s="90" t="s">
        <v>215</v>
      </c>
    </row>
    <row r="61" spans="3:7" ht="60" hidden="1" outlineLevel="2" x14ac:dyDescent="0.2">
      <c r="C61" s="198">
        <v>0</v>
      </c>
      <c r="E61" s="139" t="s">
        <v>204</v>
      </c>
      <c r="G61" s="90" t="s">
        <v>205</v>
      </c>
    </row>
    <row r="62" spans="3:7" ht="30" hidden="1" outlineLevel="2" x14ac:dyDescent="0.2">
      <c r="C62" s="198">
        <v>0</v>
      </c>
      <c r="E62" s="139" t="s">
        <v>206</v>
      </c>
      <c r="G62" s="90" t="s">
        <v>209</v>
      </c>
    </row>
    <row r="63" spans="3:7" ht="45.75" hidden="1" customHeight="1" outlineLevel="2" x14ac:dyDescent="0.2">
      <c r="C63" s="198">
        <v>0</v>
      </c>
      <c r="E63" s="139" t="s">
        <v>207</v>
      </c>
      <c r="G63" s="90" t="s">
        <v>210</v>
      </c>
    </row>
    <row r="64" spans="3:7" ht="32.25" hidden="1" customHeight="1" outlineLevel="2" x14ac:dyDescent="0.2">
      <c r="C64" s="198">
        <v>0</v>
      </c>
      <c r="E64" s="139" t="s">
        <v>208</v>
      </c>
      <c r="G64" s="90" t="s">
        <v>211</v>
      </c>
    </row>
    <row r="65" spans="1:7" ht="18" customHeight="1" outlineLevel="1" collapsed="1" x14ac:dyDescent="0.2"/>
    <row r="66" spans="1:7" outlineLevel="1" x14ac:dyDescent="0.2">
      <c r="C66" s="198">
        <v>1E-4</v>
      </c>
      <c r="E66" s="182" t="s">
        <v>219</v>
      </c>
    </row>
    <row r="74" spans="1:7" ht="45" hidden="1" outlineLevel="2" x14ac:dyDescent="0.2">
      <c r="E74" s="139" t="s">
        <v>220</v>
      </c>
      <c r="G74" s="90" t="s">
        <v>221</v>
      </c>
    </row>
    <row r="75" spans="1:7" ht="47.25" hidden="1" customHeight="1" outlineLevel="2" x14ac:dyDescent="0.2">
      <c r="E75" s="139" t="s">
        <v>222</v>
      </c>
      <c r="G75" s="90" t="s">
        <v>223</v>
      </c>
    </row>
    <row r="76" spans="1:7" ht="39" hidden="1" customHeight="1" outlineLevel="2" x14ac:dyDescent="0.2">
      <c r="E76" s="139" t="s">
        <v>224</v>
      </c>
      <c r="G76" s="90" t="s">
        <v>225</v>
      </c>
    </row>
    <row r="77" spans="1:7" ht="27" hidden="1" customHeight="1" outlineLevel="2" x14ac:dyDescent="0.2">
      <c r="E77" s="139" t="s">
        <v>226</v>
      </c>
      <c r="G77" s="90" t="s">
        <v>227</v>
      </c>
    </row>
    <row r="78" spans="1:7" ht="51" hidden="1" customHeight="1" outlineLevel="2" x14ac:dyDescent="0.2">
      <c r="E78" s="139" t="s">
        <v>228</v>
      </c>
    </row>
    <row r="79" spans="1:7" hidden="1" outlineLevel="1" collapsed="1" x14ac:dyDescent="0.2"/>
    <row r="80" spans="1:7" hidden="1" outlineLevel="1" x14ac:dyDescent="0.2">
      <c r="A80" s="159"/>
      <c r="B80" s="178"/>
      <c r="C80" s="198">
        <v>0.5</v>
      </c>
      <c r="D80" s="187" t="s">
        <v>167</v>
      </c>
      <c r="E80" s="182" t="s">
        <v>146</v>
      </c>
    </row>
    <row r="81" spans="5:8" ht="24" hidden="1" customHeight="1" outlineLevel="1" x14ac:dyDescent="0.2">
      <c r="E81" s="195" t="s">
        <v>229</v>
      </c>
    </row>
    <row r="82" spans="5:8" hidden="1" outlineLevel="2" x14ac:dyDescent="0.2">
      <c r="H82" s="194"/>
    </row>
    <row r="83" spans="5:8" ht="16" hidden="1" outlineLevel="2" x14ac:dyDescent="0.2">
      <c r="E83" s="195" t="s">
        <v>230</v>
      </c>
    </row>
    <row r="84" spans="5:8" hidden="1" outlineLevel="2" x14ac:dyDescent="0.2"/>
    <row r="85" spans="5:8" ht="16" hidden="1" outlineLevel="2" x14ac:dyDescent="0.2">
      <c r="E85" s="195" t="s">
        <v>231</v>
      </c>
    </row>
    <row r="86" spans="5:8" hidden="1" outlineLevel="2" x14ac:dyDescent="0.2"/>
    <row r="87" spans="5:8" ht="16" hidden="1" outlineLevel="2" x14ac:dyDescent="0.2">
      <c r="E87" s="195" t="s">
        <v>232</v>
      </c>
    </row>
    <row r="88" spans="5:8" ht="180" hidden="1" outlineLevel="1" collapsed="1" x14ac:dyDescent="0.2">
      <c r="E88" s="184" t="s">
        <v>233</v>
      </c>
      <c r="G88" s="193" t="s">
        <v>289</v>
      </c>
    </row>
    <row r="89" spans="5:8" collapsed="1" x14ac:dyDescent="0.2"/>
    <row r="90" spans="5:8" ht="135.75" customHeight="1" x14ac:dyDescent="0.2">
      <c r="E90" s="139" t="s">
        <v>292</v>
      </c>
    </row>
  </sheetData>
  <sortState ref="A23:L30">
    <sortCondition ref="F23:F30" customList="January,February,March,April,May,June,July,August,September,October,November,December"/>
  </sortState>
  <conditionalFormatting sqref="B24:E26 G24:XFD26 H81:XFD81 B81:F81 B82:XFD87 B2:XFD23 B74:XFD80 D25:D30 B1:E1 G1:XFD1 B89:XFD1048576 B88:E88 G88:XFD88 B27:XFD66">
    <cfRule type="expression" dxfId="27" priority="5">
      <formula>NOT(ISODD(ROW())) * (INDIRECT("D" &amp; ROW()) &lt;= TODAY()) * (INDIRECT("F" &amp; ROW()) &gt;= TODAY()) * NOT(ISBLANK("D"&amp;ROW()))</formula>
    </cfRule>
    <cfRule type="expression" dxfId="26"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5"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4" priority="16">
      <formula xml:space="preserve"> (INDIRECT("D" &amp; ROW()) &lt;= TODAY()) * (INDIRECT("F" &amp; ROW()) &gt;= TODAY()) * NOT(ISBLANK("D"&amp;ROW()))</formula>
    </cfRule>
  </conditionalFormatting>
  <conditionalFormatting sqref="F26">
    <cfRule type="expression" dxfId="23" priority="13">
      <formula xml:space="preserve"> (INDIRECT("D" &amp; ROW()) &lt;= TODAY()) * (INDIRECT("F" &amp; ROW()) &gt;= TODAY()) * NOT(ISBLANK("D"&amp;ROW()))</formula>
    </cfRule>
  </conditionalFormatting>
  <conditionalFormatting sqref="B74:XFD87 B1:E1 G1:XFD1 B89:XFD1048576 B88:E88 G88:XFD88 B2:XFD66">
    <cfRule type="expression" dxfId="22" priority="3">
      <formula>NOT(ISODD(ROW())) * INDIRECT("C"&amp;ROW()) &gt;= 0.9</formula>
    </cfRule>
    <cfRule type="expression" dxfId="21" priority="4">
      <formula xml:space="preserve"> ISODD(ROW()) * INDIRECT("C"&amp;ROW()) &gt;= 0.9</formula>
    </cfRule>
    <cfRule type="expression" dxfId="20" priority="7">
      <formula xml:space="preserve"> ISODD(ROW()) * (INDIRECT("C"&amp;ROW()) &lt; 0.9) * INDIRECT("C"&amp;ROW()) &gt; 0</formula>
    </cfRule>
    <cfRule type="expression" dxfId="19"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8" priority="1">
      <formula>NOT(ISODD(ROW())) * (INDIRECT("D" &amp; ROW()) &lt;= TODAY()) * (INDIRECT("F" &amp; ROW()) &gt;= TODAY()) * NOT(ISBLANK("D"&amp;ROW()))</formula>
    </cfRule>
    <cfRule type="expression" dxfId="17"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U30"/>
  <sheetViews>
    <sheetView topLeftCell="B1" zoomScale="108" workbookViewId="0">
      <selection activeCell="H25" sqref="H25"/>
    </sheetView>
  </sheetViews>
  <sheetFormatPr baseColWidth="10" defaultColWidth="8.83203125" defaultRowHeight="15" x14ac:dyDescent="0.2"/>
  <cols>
    <col min="1" max="1" width="12.5" style="118" customWidth="1"/>
    <col min="2" max="2" width="14.83203125" style="134" customWidth="1"/>
    <col min="3" max="129" width="20.6640625" style="139" customWidth="1"/>
    <col min="130" max="16384" width="8.83203125" style="139"/>
  </cols>
  <sheetData>
    <row r="1" spans="1:99" s="131" customFormat="1" x14ac:dyDescent="0.2">
      <c r="A1" s="118"/>
      <c r="C1" s="132">
        <f ca="1">TODAY()</f>
        <v>43144</v>
      </c>
      <c r="D1" s="132"/>
      <c r="E1" s="160">
        <f ca="1">NOW()</f>
        <v>43144.927861458331</v>
      </c>
      <c r="F1" s="159">
        <f ca="1">HOUR(E1)</f>
        <v>22</v>
      </c>
      <c r="H1" s="131" t="s">
        <v>39</v>
      </c>
      <c r="J1" s="131" t="s">
        <v>38</v>
      </c>
    </row>
    <row r="2" spans="1:99" s="131" customFormat="1" ht="29.25" customHeight="1" x14ac:dyDescent="0.2">
      <c r="A2" s="116"/>
      <c r="F2" s="133"/>
    </row>
    <row r="3" spans="1:99" s="134" customFormat="1" x14ac:dyDescent="0.2">
      <c r="A3" s="118"/>
      <c r="C3" s="134" t="s">
        <v>74</v>
      </c>
      <c r="D3" s="134" t="s">
        <v>75</v>
      </c>
      <c r="E3" s="134" t="s">
        <v>76</v>
      </c>
      <c r="F3" s="134" t="s">
        <v>77</v>
      </c>
      <c r="G3" s="134" t="s">
        <v>78</v>
      </c>
      <c r="H3" s="134" t="s">
        <v>79</v>
      </c>
      <c r="I3" s="134" t="s">
        <v>80</v>
      </c>
      <c r="J3" s="134" t="s">
        <v>74</v>
      </c>
      <c r="K3" s="134" t="s">
        <v>75</v>
      </c>
      <c r="L3" s="134" t="s">
        <v>76</v>
      </c>
      <c r="M3" s="134" t="s">
        <v>77</v>
      </c>
      <c r="N3" s="134" t="s">
        <v>78</v>
      </c>
      <c r="O3" s="134" t="s">
        <v>79</v>
      </c>
      <c r="P3" s="134" t="s">
        <v>80</v>
      </c>
      <c r="Q3" s="134" t="s">
        <v>74</v>
      </c>
      <c r="R3" s="134" t="s">
        <v>75</v>
      </c>
      <c r="S3" s="134" t="s">
        <v>76</v>
      </c>
      <c r="T3" s="134" t="s">
        <v>77</v>
      </c>
      <c r="U3" s="134" t="s">
        <v>78</v>
      </c>
      <c r="V3" s="134" t="s">
        <v>79</v>
      </c>
      <c r="W3" s="134" t="s">
        <v>80</v>
      </c>
      <c r="X3" s="134" t="s">
        <v>74</v>
      </c>
      <c r="Y3" s="134" t="s">
        <v>75</v>
      </c>
      <c r="Z3" s="134" t="s">
        <v>76</v>
      </c>
      <c r="AA3" s="134" t="s">
        <v>77</v>
      </c>
      <c r="AB3" s="134" t="s">
        <v>78</v>
      </c>
      <c r="AC3" s="134" t="s">
        <v>79</v>
      </c>
      <c r="AD3" s="134" t="s">
        <v>80</v>
      </c>
      <c r="AE3" s="134" t="s">
        <v>74</v>
      </c>
      <c r="AF3" s="134" t="s">
        <v>75</v>
      </c>
      <c r="AG3" s="134" t="s">
        <v>76</v>
      </c>
      <c r="AH3" s="134" t="s">
        <v>77</v>
      </c>
      <c r="AI3" s="134" t="s">
        <v>78</v>
      </c>
      <c r="AJ3" s="134" t="s">
        <v>79</v>
      </c>
      <c r="AK3" s="134" t="s">
        <v>80</v>
      </c>
      <c r="AL3" s="134" t="s">
        <v>74</v>
      </c>
      <c r="AM3" s="134" t="s">
        <v>75</v>
      </c>
      <c r="AN3" s="134" t="s">
        <v>76</v>
      </c>
      <c r="AO3" s="134" t="s">
        <v>77</v>
      </c>
      <c r="AP3" s="134" t="s">
        <v>78</v>
      </c>
      <c r="AQ3" s="134" t="s">
        <v>79</v>
      </c>
      <c r="AR3" s="134" t="s">
        <v>80</v>
      </c>
      <c r="AS3" s="134" t="s">
        <v>74</v>
      </c>
      <c r="AT3" s="134" t="s">
        <v>75</v>
      </c>
      <c r="AU3" s="134" t="s">
        <v>76</v>
      </c>
      <c r="AV3" s="134" t="s">
        <v>77</v>
      </c>
      <c r="AW3" s="134" t="s">
        <v>78</v>
      </c>
      <c r="AX3" s="134" t="s">
        <v>79</v>
      </c>
      <c r="AY3" s="134" t="s">
        <v>80</v>
      </c>
      <c r="AZ3" s="134" t="s">
        <v>74</v>
      </c>
      <c r="BA3" s="134" t="s">
        <v>75</v>
      </c>
      <c r="BB3" s="134" t="s">
        <v>76</v>
      </c>
      <c r="BC3" s="134" t="s">
        <v>77</v>
      </c>
      <c r="BD3" s="134" t="s">
        <v>78</v>
      </c>
      <c r="BE3" s="134" t="s">
        <v>79</v>
      </c>
      <c r="BF3" s="134" t="s">
        <v>80</v>
      </c>
      <c r="BG3" s="134" t="s">
        <v>74</v>
      </c>
      <c r="BH3" s="134" t="s">
        <v>75</v>
      </c>
      <c r="BI3" s="134" t="s">
        <v>76</v>
      </c>
      <c r="BJ3" s="134" t="s">
        <v>77</v>
      </c>
      <c r="BK3" s="134" t="s">
        <v>78</v>
      </c>
      <c r="BL3" s="134" t="s">
        <v>79</v>
      </c>
      <c r="BM3" s="134" t="s">
        <v>80</v>
      </c>
      <c r="BN3" s="134" t="s">
        <v>74</v>
      </c>
      <c r="BO3" s="134" t="s">
        <v>75</v>
      </c>
      <c r="BP3" s="134" t="s">
        <v>76</v>
      </c>
      <c r="BQ3" s="134" t="s">
        <v>77</v>
      </c>
      <c r="BR3" s="134" t="s">
        <v>78</v>
      </c>
      <c r="BS3" s="134" t="s">
        <v>79</v>
      </c>
      <c r="BT3" s="134" t="s">
        <v>80</v>
      </c>
      <c r="BU3" s="134" t="s">
        <v>74</v>
      </c>
      <c r="BV3" s="134" t="s">
        <v>75</v>
      </c>
      <c r="BW3" s="134" t="s">
        <v>76</v>
      </c>
      <c r="BX3" s="134" t="s">
        <v>77</v>
      </c>
      <c r="BY3" s="134" t="s">
        <v>78</v>
      </c>
      <c r="BZ3" s="134" t="s">
        <v>79</v>
      </c>
      <c r="CA3" s="134" t="s">
        <v>80</v>
      </c>
      <c r="CB3" s="134" t="s">
        <v>74</v>
      </c>
      <c r="CC3" s="134" t="s">
        <v>75</v>
      </c>
      <c r="CD3" s="134" t="s">
        <v>76</v>
      </c>
      <c r="CE3" s="134" t="s">
        <v>77</v>
      </c>
      <c r="CF3" s="134" t="s">
        <v>78</v>
      </c>
      <c r="CG3" s="134" t="s">
        <v>79</v>
      </c>
      <c r="CH3" s="134" t="s">
        <v>80</v>
      </c>
      <c r="CI3" s="134" t="s">
        <v>74</v>
      </c>
      <c r="CJ3" s="134" t="s">
        <v>75</v>
      </c>
      <c r="CK3" s="134" t="s">
        <v>76</v>
      </c>
      <c r="CL3" s="134" t="s">
        <v>77</v>
      </c>
      <c r="CM3" s="134" t="s">
        <v>78</v>
      </c>
      <c r="CN3" s="134" t="s">
        <v>79</v>
      </c>
      <c r="CO3" s="134" t="s">
        <v>80</v>
      </c>
      <c r="CP3" s="134" t="s">
        <v>74</v>
      </c>
      <c r="CQ3" s="134" t="s">
        <v>75</v>
      </c>
      <c r="CR3" s="134" t="s">
        <v>76</v>
      </c>
      <c r="CS3" s="134" t="s">
        <v>77</v>
      </c>
      <c r="CT3" s="134" t="s">
        <v>78</v>
      </c>
      <c r="CU3" s="134" t="s">
        <v>79</v>
      </c>
    </row>
    <row r="4" spans="1:99" s="136" customFormat="1" ht="32.25" customHeight="1" x14ac:dyDescent="0.2">
      <c r="A4" s="135"/>
      <c r="C4" s="137">
        <v>43137</v>
      </c>
      <c r="D4" s="137">
        <v>43138</v>
      </c>
      <c r="E4" s="137">
        <v>43139</v>
      </c>
      <c r="F4" s="137">
        <v>43140</v>
      </c>
      <c r="G4" s="137">
        <v>43141</v>
      </c>
      <c r="H4" s="137">
        <v>43142</v>
      </c>
      <c r="I4" s="137">
        <v>43143</v>
      </c>
      <c r="J4" s="137">
        <v>43144</v>
      </c>
      <c r="K4" s="137">
        <v>43145</v>
      </c>
      <c r="L4" s="137">
        <v>43146</v>
      </c>
      <c r="M4" s="137">
        <v>43147</v>
      </c>
      <c r="N4" s="137">
        <v>43148</v>
      </c>
      <c r="O4" s="137">
        <v>43149</v>
      </c>
      <c r="P4" s="137">
        <v>43150</v>
      </c>
      <c r="Q4" s="137">
        <v>43151</v>
      </c>
      <c r="R4" s="137">
        <v>43152</v>
      </c>
      <c r="S4" s="137">
        <v>43153</v>
      </c>
      <c r="T4" s="137">
        <v>43154</v>
      </c>
      <c r="U4" s="137">
        <v>43155</v>
      </c>
      <c r="V4" s="137">
        <v>43156</v>
      </c>
      <c r="W4" s="137">
        <v>43157</v>
      </c>
      <c r="X4" s="137">
        <v>43158</v>
      </c>
      <c r="Y4" s="137">
        <v>43159</v>
      </c>
      <c r="Z4" s="137">
        <v>43160</v>
      </c>
      <c r="AA4" s="137">
        <v>43161</v>
      </c>
      <c r="AB4" s="137">
        <v>43162</v>
      </c>
      <c r="AC4" s="137">
        <v>43163</v>
      </c>
      <c r="AD4" s="137">
        <v>43164</v>
      </c>
      <c r="AE4" s="137">
        <v>43165</v>
      </c>
      <c r="AF4" s="137">
        <v>43166</v>
      </c>
      <c r="AG4" s="137">
        <v>43167</v>
      </c>
      <c r="AH4" s="137">
        <v>43168</v>
      </c>
      <c r="AI4" s="137">
        <v>43169</v>
      </c>
      <c r="AJ4" s="137">
        <v>43170</v>
      </c>
      <c r="AK4" s="137">
        <v>43171</v>
      </c>
      <c r="AL4" s="137">
        <v>43172</v>
      </c>
      <c r="AM4" s="137">
        <v>43173</v>
      </c>
      <c r="AN4" s="137">
        <v>43174</v>
      </c>
      <c r="AO4" s="137">
        <v>43175</v>
      </c>
      <c r="AP4" s="137">
        <v>43176</v>
      </c>
      <c r="AQ4" s="137">
        <v>43177</v>
      </c>
      <c r="AR4" s="137">
        <v>43178</v>
      </c>
      <c r="AS4" s="137">
        <v>43179</v>
      </c>
      <c r="AT4" s="137">
        <v>43180</v>
      </c>
      <c r="AU4" s="137">
        <v>43181</v>
      </c>
      <c r="AV4" s="137">
        <v>43182</v>
      </c>
      <c r="AW4" s="137">
        <v>43183</v>
      </c>
      <c r="AX4" s="137">
        <v>43184</v>
      </c>
      <c r="AY4" s="137">
        <v>43185</v>
      </c>
      <c r="AZ4" s="137">
        <v>43186</v>
      </c>
      <c r="BA4" s="137">
        <v>43187</v>
      </c>
      <c r="BB4" s="137">
        <v>43188</v>
      </c>
      <c r="BC4" s="137">
        <v>43189</v>
      </c>
      <c r="BD4" s="137">
        <v>43190</v>
      </c>
      <c r="BE4" s="137">
        <v>43191</v>
      </c>
      <c r="BF4" s="137">
        <v>43192</v>
      </c>
      <c r="BG4" s="137">
        <v>43193</v>
      </c>
      <c r="BH4" s="137">
        <v>43194</v>
      </c>
      <c r="BI4" s="137">
        <v>43195</v>
      </c>
      <c r="BJ4" s="137">
        <v>43196</v>
      </c>
      <c r="BK4" s="137">
        <v>43197</v>
      </c>
      <c r="BL4" s="137">
        <v>43198</v>
      </c>
      <c r="BM4" s="137">
        <v>43199</v>
      </c>
      <c r="BN4" s="137">
        <v>43200</v>
      </c>
      <c r="BO4" s="137">
        <v>43201</v>
      </c>
      <c r="BP4" s="137">
        <v>43202</v>
      </c>
      <c r="BQ4" s="137">
        <v>43203</v>
      </c>
      <c r="BR4" s="137">
        <v>43204</v>
      </c>
      <c r="BS4" s="137">
        <v>43205</v>
      </c>
      <c r="BT4" s="137">
        <v>43206</v>
      </c>
      <c r="BU4" s="137">
        <v>43207</v>
      </c>
      <c r="BV4" s="137">
        <v>43208</v>
      </c>
      <c r="BW4" s="137">
        <v>43209</v>
      </c>
      <c r="BX4" s="137">
        <v>43210</v>
      </c>
      <c r="BY4" s="137">
        <v>43211</v>
      </c>
      <c r="BZ4" s="137">
        <v>43212</v>
      </c>
      <c r="CA4" s="137">
        <v>43213</v>
      </c>
      <c r="CB4" s="137">
        <v>43214</v>
      </c>
      <c r="CC4" s="137">
        <v>43215</v>
      </c>
      <c r="CD4" s="137">
        <v>43216</v>
      </c>
      <c r="CE4" s="137">
        <v>43217</v>
      </c>
      <c r="CF4" s="137">
        <v>43218</v>
      </c>
      <c r="CG4" s="137">
        <v>43219</v>
      </c>
      <c r="CH4" s="137">
        <v>43220</v>
      </c>
      <c r="CI4" s="137">
        <v>43221</v>
      </c>
      <c r="CJ4" s="137">
        <v>43222</v>
      </c>
      <c r="CK4" s="137">
        <v>43223</v>
      </c>
      <c r="CL4" s="137">
        <v>43224</v>
      </c>
      <c r="CM4" s="137">
        <v>43225</v>
      </c>
      <c r="CN4" s="137">
        <v>43226</v>
      </c>
      <c r="CO4" s="137">
        <v>43227</v>
      </c>
      <c r="CP4" s="137">
        <v>43228</v>
      </c>
      <c r="CQ4" s="137">
        <v>43229</v>
      </c>
      <c r="CR4" s="137">
        <v>43230</v>
      </c>
      <c r="CS4" s="137">
        <v>43231</v>
      </c>
      <c r="CT4" s="137">
        <v>43232</v>
      </c>
      <c r="CU4" s="137">
        <v>43233</v>
      </c>
    </row>
    <row r="5" spans="1:99" ht="25" customHeight="1" x14ac:dyDescent="0.2">
      <c r="A5" s="159">
        <f>HOUR(B5)</f>
        <v>0</v>
      </c>
      <c r="B5" s="138">
        <v>0</v>
      </c>
      <c r="H5" s="141" t="s">
        <v>235</v>
      </c>
      <c r="J5" s="227" t="s">
        <v>111</v>
      </c>
    </row>
    <row r="6" spans="1:99" ht="25" customHeight="1" x14ac:dyDescent="0.2">
      <c r="A6" s="159">
        <f>HOUR(B6)</f>
        <v>1</v>
      </c>
      <c r="B6" s="138">
        <v>4.1666666666666699E-2</v>
      </c>
      <c r="H6" s="141" t="s">
        <v>235</v>
      </c>
      <c r="J6" s="227" t="s">
        <v>111</v>
      </c>
    </row>
    <row r="7" spans="1:99" ht="25" customHeight="1" x14ac:dyDescent="0.2">
      <c r="A7" s="159">
        <f t="shared" ref="A7:A28" si="0">HOUR(B7)</f>
        <v>2</v>
      </c>
      <c r="B7" s="138">
        <v>8.3333333333333301E-2</v>
      </c>
      <c r="H7" s="200" t="s">
        <v>248</v>
      </c>
      <c r="I7" s="224"/>
      <c r="J7" s="227" t="s">
        <v>111</v>
      </c>
    </row>
    <row r="8" spans="1:99" ht="25.5" customHeight="1" x14ac:dyDescent="0.2">
      <c r="A8" s="159">
        <f t="shared" si="0"/>
        <v>3</v>
      </c>
      <c r="B8" s="138">
        <v>0.125</v>
      </c>
      <c r="E8" s="140" t="s">
        <v>83</v>
      </c>
      <c r="F8" s="141" t="s">
        <v>101</v>
      </c>
      <c r="G8" s="167" t="s">
        <v>234</v>
      </c>
      <c r="I8" s="225" t="s">
        <v>257</v>
      </c>
      <c r="J8" s="232" t="s">
        <v>265</v>
      </c>
    </row>
    <row r="9" spans="1:99" ht="22.5" customHeight="1" x14ac:dyDescent="0.2">
      <c r="A9" s="159">
        <f t="shared" si="0"/>
        <v>4</v>
      </c>
      <c r="B9" s="138">
        <v>0.16666666666666699</v>
      </c>
      <c r="C9" s="227"/>
      <c r="E9" s="140" t="s">
        <v>88</v>
      </c>
      <c r="F9" s="141" t="s">
        <v>83</v>
      </c>
      <c r="G9" s="166" t="s">
        <v>234</v>
      </c>
      <c r="I9" s="199" t="s">
        <v>255</v>
      </c>
      <c r="J9" s="162" t="s">
        <v>11</v>
      </c>
    </row>
    <row r="10" spans="1:99" ht="23.25" customHeight="1" x14ac:dyDescent="0.2">
      <c r="A10" s="159">
        <f t="shared" si="0"/>
        <v>5</v>
      </c>
      <c r="B10" s="138">
        <v>0.20833333333333301</v>
      </c>
      <c r="E10" s="140" t="s">
        <v>88</v>
      </c>
      <c r="F10" s="141" t="s">
        <v>88</v>
      </c>
      <c r="G10" s="167" t="s">
        <v>234</v>
      </c>
      <c r="I10" s="225" t="s">
        <v>260</v>
      </c>
      <c r="J10" s="163" t="s">
        <v>266</v>
      </c>
    </row>
    <row r="11" spans="1:99" ht="20.25" customHeight="1" x14ac:dyDescent="0.2">
      <c r="A11" s="159">
        <f t="shared" si="0"/>
        <v>6</v>
      </c>
      <c r="B11" s="138">
        <v>0.25</v>
      </c>
      <c r="G11" s="166" t="s">
        <v>234</v>
      </c>
      <c r="I11" s="226"/>
    </row>
    <row r="12" spans="1:99" ht="25" customHeight="1" x14ac:dyDescent="0.2">
      <c r="A12" s="159">
        <f t="shared" si="0"/>
        <v>7</v>
      </c>
      <c r="B12" s="138">
        <v>0.29166666666666702</v>
      </c>
      <c r="F12" s="142" t="s">
        <v>83</v>
      </c>
      <c r="G12" s="164" t="s">
        <v>109</v>
      </c>
      <c r="H12" s="200" t="s">
        <v>236</v>
      </c>
      <c r="I12" s="226"/>
      <c r="J12" s="225" t="s">
        <v>266</v>
      </c>
    </row>
    <row r="13" spans="1:99" ht="25" customHeight="1" x14ac:dyDescent="0.2">
      <c r="A13" s="159">
        <f t="shared" si="0"/>
        <v>8</v>
      </c>
      <c r="B13" s="138">
        <v>0.33333333333333298</v>
      </c>
      <c r="F13" s="142" t="s">
        <v>90</v>
      </c>
      <c r="G13" s="166" t="s">
        <v>115</v>
      </c>
      <c r="H13" s="161" t="s">
        <v>262</v>
      </c>
      <c r="I13" s="226"/>
      <c r="J13" s="231" t="s">
        <v>266</v>
      </c>
    </row>
    <row r="14" spans="1:99" ht="25" customHeight="1" x14ac:dyDescent="0.2">
      <c r="A14" s="159">
        <f t="shared" si="0"/>
        <v>9</v>
      </c>
      <c r="B14" s="138">
        <v>0.375</v>
      </c>
      <c r="F14" s="131" t="s">
        <v>102</v>
      </c>
      <c r="G14" s="167" t="s">
        <v>115</v>
      </c>
      <c r="H14" s="161" t="s">
        <v>110</v>
      </c>
      <c r="I14" s="226"/>
    </row>
    <row r="15" spans="1:99" ht="25" customHeight="1" x14ac:dyDescent="0.2">
      <c r="A15" s="159">
        <f t="shared" si="0"/>
        <v>10</v>
      </c>
      <c r="B15" s="138">
        <v>0.41666666666666702</v>
      </c>
      <c r="F15" s="143" t="s">
        <v>83</v>
      </c>
      <c r="G15" s="165" t="s">
        <v>114</v>
      </c>
      <c r="H15" s="199" t="s">
        <v>108</v>
      </c>
      <c r="I15" s="226"/>
    </row>
    <row r="16" spans="1:99" ht="24.75" customHeight="1" x14ac:dyDescent="0.2">
      <c r="A16" s="159">
        <f t="shared" si="0"/>
        <v>11</v>
      </c>
      <c r="B16" s="138">
        <v>0.45833333333333298</v>
      </c>
      <c r="G16" s="162" t="s">
        <v>108</v>
      </c>
      <c r="H16" s="199" t="s">
        <v>108</v>
      </c>
      <c r="I16" s="226"/>
    </row>
    <row r="17" spans="1:11" ht="37.5" customHeight="1" x14ac:dyDescent="0.2">
      <c r="A17" s="159">
        <f t="shared" si="0"/>
        <v>12</v>
      </c>
      <c r="B17" s="138">
        <v>0.5</v>
      </c>
      <c r="G17" s="163" t="s">
        <v>109</v>
      </c>
      <c r="H17" s="163" t="s">
        <v>116</v>
      </c>
      <c r="I17" s="226"/>
    </row>
    <row r="18" spans="1:11" ht="25" customHeight="1" x14ac:dyDescent="0.2">
      <c r="A18" s="159">
        <f t="shared" si="0"/>
        <v>13</v>
      </c>
      <c r="B18" s="138">
        <v>0.54166666666666696</v>
      </c>
      <c r="G18" s="168" t="s">
        <v>109</v>
      </c>
      <c r="H18" s="213" t="s">
        <v>237</v>
      </c>
      <c r="I18" s="226"/>
    </row>
    <row r="19" spans="1:11" ht="25" customHeight="1" x14ac:dyDescent="0.2">
      <c r="A19" s="159">
        <f t="shared" si="0"/>
        <v>14</v>
      </c>
      <c r="B19" s="138">
        <v>0.58333333333333304</v>
      </c>
      <c r="F19" s="146" t="s">
        <v>83</v>
      </c>
      <c r="G19" s="169" t="s">
        <v>109</v>
      </c>
      <c r="H19" s="178" t="s">
        <v>237</v>
      </c>
      <c r="I19" s="226"/>
    </row>
    <row r="20" spans="1:11" ht="25" customHeight="1" x14ac:dyDescent="0.2">
      <c r="A20" s="159">
        <f t="shared" si="0"/>
        <v>15</v>
      </c>
      <c r="B20" s="138">
        <v>0.625</v>
      </c>
      <c r="F20" s="144"/>
      <c r="G20" s="165" t="s">
        <v>109</v>
      </c>
      <c r="H20" s="213" t="s">
        <v>237</v>
      </c>
      <c r="I20" s="226"/>
    </row>
    <row r="21" spans="1:11" ht="25" customHeight="1" x14ac:dyDescent="0.2">
      <c r="A21" s="159">
        <f t="shared" si="0"/>
        <v>16</v>
      </c>
      <c r="B21" s="138">
        <v>0.66666666666666696</v>
      </c>
      <c r="D21" s="147" t="s">
        <v>85</v>
      </c>
      <c r="F21" s="145" t="s">
        <v>88</v>
      </c>
      <c r="G21" s="148" t="s">
        <v>108</v>
      </c>
      <c r="H21" s="214" t="s">
        <v>237</v>
      </c>
      <c r="I21" s="164" t="s">
        <v>261</v>
      </c>
      <c r="J21" s="199" t="s">
        <v>283</v>
      </c>
    </row>
    <row r="22" spans="1:11" ht="25" customHeight="1" x14ac:dyDescent="0.2">
      <c r="A22" s="159">
        <f t="shared" si="0"/>
        <v>17</v>
      </c>
      <c r="B22" s="138">
        <v>0.70833333333333304</v>
      </c>
      <c r="D22" s="131" t="s">
        <v>90</v>
      </c>
      <c r="E22" s="141" t="s">
        <v>96</v>
      </c>
      <c r="F22" s="149" t="s">
        <v>88</v>
      </c>
      <c r="G22" s="168" t="s">
        <v>109</v>
      </c>
      <c r="H22" s="213" t="s">
        <v>238</v>
      </c>
      <c r="I22" s="166" t="s">
        <v>261</v>
      </c>
      <c r="J22" s="213" t="s">
        <v>237</v>
      </c>
    </row>
    <row r="23" spans="1:11" ht="25" customHeight="1" x14ac:dyDescent="0.2">
      <c r="A23" s="159">
        <f t="shared" si="0"/>
        <v>18</v>
      </c>
      <c r="B23" s="138">
        <v>0.75</v>
      </c>
      <c r="D23" s="165" t="s">
        <v>113</v>
      </c>
      <c r="E23" s="150" t="s">
        <v>89</v>
      </c>
      <c r="F23" s="145" t="s">
        <v>88</v>
      </c>
      <c r="G23" s="168" t="s">
        <v>109</v>
      </c>
      <c r="H23" s="214" t="s">
        <v>243</v>
      </c>
      <c r="I23" s="168" t="s">
        <v>261</v>
      </c>
      <c r="J23" s="199" t="s">
        <v>108</v>
      </c>
    </row>
    <row r="24" spans="1:11" ht="25" customHeight="1" x14ac:dyDescent="0.2">
      <c r="A24" s="159">
        <f t="shared" si="0"/>
        <v>19</v>
      </c>
      <c r="B24" s="138">
        <v>0.79166666666666696</v>
      </c>
      <c r="D24" s="149" t="s">
        <v>91</v>
      </c>
      <c r="E24" s="151" t="s">
        <v>89</v>
      </c>
      <c r="F24" s="152" t="s">
        <v>88</v>
      </c>
      <c r="G24" s="165" t="s">
        <v>109</v>
      </c>
      <c r="I24" s="169" t="s">
        <v>261</v>
      </c>
      <c r="J24" s="225" t="s">
        <v>284</v>
      </c>
    </row>
    <row r="25" spans="1:11" ht="25" customHeight="1" x14ac:dyDescent="0.2">
      <c r="A25" s="159">
        <f t="shared" si="0"/>
        <v>20</v>
      </c>
      <c r="B25" s="138">
        <v>0.83333333333333304</v>
      </c>
      <c r="D25" s="153" t="s">
        <v>83</v>
      </c>
      <c r="E25" s="154" t="s">
        <v>97</v>
      </c>
      <c r="F25" s="161" t="s">
        <v>112</v>
      </c>
      <c r="G25" s="165" t="s">
        <v>109</v>
      </c>
      <c r="I25" s="230" t="s">
        <v>261</v>
      </c>
      <c r="J25" s="199" t="s">
        <v>304</v>
      </c>
    </row>
    <row r="26" spans="1:11" ht="25" customHeight="1" x14ac:dyDescent="0.2">
      <c r="A26" s="159">
        <f t="shared" si="0"/>
        <v>21</v>
      </c>
      <c r="B26" s="138">
        <v>0.875</v>
      </c>
      <c r="D26" s="145" t="s">
        <v>88</v>
      </c>
      <c r="E26" s="155" t="s">
        <v>98</v>
      </c>
      <c r="F26" s="156" t="s">
        <v>111</v>
      </c>
      <c r="G26" s="157" t="s">
        <v>111</v>
      </c>
      <c r="H26" s="134" t="s">
        <v>111</v>
      </c>
      <c r="I26" s="137" t="s">
        <v>108</v>
      </c>
      <c r="J26" s="137" t="s">
        <v>305</v>
      </c>
      <c r="K26" s="134" t="s">
        <v>111</v>
      </c>
    </row>
    <row r="27" spans="1:11" ht="25" customHeight="1" x14ac:dyDescent="0.2">
      <c r="A27" s="159">
        <f t="shared" si="0"/>
        <v>22</v>
      </c>
      <c r="B27" s="138">
        <v>0.91666666666666696</v>
      </c>
      <c r="I27" s="139" t="s">
        <v>255</v>
      </c>
      <c r="J27" s="227" t="s">
        <v>255</v>
      </c>
    </row>
    <row r="28" spans="1:11" ht="25" customHeight="1" x14ac:dyDescent="0.2">
      <c r="A28" s="159">
        <f t="shared" si="0"/>
        <v>23</v>
      </c>
      <c r="B28" s="138">
        <v>0.95833333333333304</v>
      </c>
      <c r="I28" s="139" t="s">
        <v>111</v>
      </c>
      <c r="J28" s="227" t="s">
        <v>111</v>
      </c>
    </row>
    <row r="29" spans="1:11" s="155" customFormat="1" x14ac:dyDescent="0.2">
      <c r="A29" s="158"/>
    </row>
    <row r="30" spans="1:11" s="155" customFormat="1" x14ac:dyDescent="0.2">
      <c r="A30" s="158"/>
    </row>
  </sheetData>
  <conditionalFormatting sqref="C5:DW8 C9:F9 H9:DW9 C10:DW17 C18:G23 I18:DW21 C24:DW28 I23:DW23 I22 K22:DW22">
    <cfRule type="expression" dxfId="16" priority="15">
      <formula xml:space="preserve"> INDIRECT(CHAR(COLUMN()+96) &amp; 4) = TODAY() * ISBLANK(INDIRECT(CHAR(COLUMN()+96) &amp; ROW()))</formula>
    </cfRule>
  </conditionalFormatting>
  <conditionalFormatting sqref="A4:XFD4">
    <cfRule type="timePeriod" dxfId="15" priority="12" timePeriod="today">
      <formula>FLOOR(A4,1)=TODAY()</formula>
    </cfRule>
    <cfRule type="timePeriod" dxfId="14" priority="13" timePeriod="tomorrow">
      <formula>FLOOR(A4,1)=TODAY()+1</formula>
    </cfRule>
    <cfRule type="timePeriod" dxfId="13" priority="14" timePeriod="yesterday">
      <formula>FLOOR(A4,1)=TODAY()-1</formula>
    </cfRule>
  </conditionalFormatting>
  <conditionalFormatting sqref="G9">
    <cfRule type="expression" dxfId="12" priority="10">
      <formula xml:space="preserve"> INDIRECT(CHAR(COLUMN()+96) &amp; 4) = TODAY() * ISBLANK(INDIRECT(CHAR(COLUMN()+96) &amp; ROW()))</formula>
    </cfRule>
  </conditionalFormatting>
  <conditionalFormatting sqref="A1:XFD17 A18:G23 I18:XFD21 A24:XFD1048576 I23:XFD23 I22 K22:XFD22">
    <cfRule type="expression" dxfId="11" priority="9">
      <formula>INDIRECT("F"&amp;1) = INDIRECT("A"&amp;ROW())</formula>
    </cfRule>
  </conditionalFormatting>
  <conditionalFormatting sqref="F5">
    <cfRule type="expression" priority="8">
      <formula xml:space="preserve"> ISBLANK(INDIRECT(CHAR(COLUMN()+96) &amp; ROW()))</formula>
    </cfRule>
  </conditionalFormatting>
  <conditionalFormatting sqref="A29:XFD30">
    <cfRule type="expression" dxfId="10" priority="7">
      <formula xml:space="preserve"> INDIRECT(CHAR(COLUMN()+96) &amp; 4) = TODAY() * ISBLANK(INDIRECT(CHAR(COLUMN()+96) &amp; ROW()))</formula>
    </cfRule>
  </conditionalFormatting>
  <conditionalFormatting sqref="A1:XFD2">
    <cfRule type="expression" dxfId="9" priority="6">
      <formula xml:space="preserve"> INDIRECT(CHAR(COLUMN()+96) &amp; 4) = TODAY() * ISBLANK(INDIRECT(CHAR(COLUMN()+96) &amp; ROW()))</formula>
    </cfRule>
  </conditionalFormatting>
  <conditionalFormatting sqref="H18:H21">
    <cfRule type="expression" dxfId="8" priority="5">
      <formula xml:space="preserve"> (INDIRECT("D" &amp; ROW()) &lt;= TODAY()) * (INDIRECT("F" &amp; ROW()) &gt;= TODAY()) * NOT(ISBLANK("D"&amp;ROW()))</formula>
    </cfRule>
  </conditionalFormatting>
  <conditionalFormatting sqref="H22">
    <cfRule type="expression" dxfId="7" priority="4">
      <formula xml:space="preserve"> (INDIRECT("D" &amp; ROW()) &lt;= TODAY()) * (INDIRECT("F" &amp; ROW()) &gt;= TODAY()) * NOT(ISBLANK("D"&amp;ROW()))</formula>
    </cfRule>
  </conditionalFormatting>
  <conditionalFormatting sqref="H23">
    <cfRule type="expression" dxfId="6" priority="3">
      <formula xml:space="preserve"> (INDIRECT("D" &amp; ROW()) &lt;= TODAY()) * (INDIRECT("F" &amp; ROW()) &gt;= TODAY()) * NOT(ISBLANK("D"&amp;ROW()))</formula>
    </cfRule>
  </conditionalFormatting>
  <conditionalFormatting sqref="J22">
    <cfRule type="expression" dxfId="5"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O139"/>
  <sheetViews>
    <sheetView topLeftCell="A20" workbookViewId="0">
      <selection activeCell="E25" sqref="E25"/>
    </sheetView>
  </sheetViews>
  <sheetFormatPr baseColWidth="10" defaultColWidth="9.1640625" defaultRowHeight="15" x14ac:dyDescent="0.2"/>
  <cols>
    <col min="1" max="1" width="9.1640625" style="71"/>
    <col min="2" max="3" width="9.1640625" style="1"/>
    <col min="4" max="4" width="29.33203125" style="82" customWidth="1"/>
    <col min="5" max="5" width="33.33203125" style="90" customWidth="1"/>
    <col min="6" max="6" width="40.5" style="90" customWidth="1"/>
    <col min="7" max="7" width="33.1640625" style="90" customWidth="1"/>
    <col min="8" max="9" width="28.83203125" style="90" customWidth="1"/>
    <col min="10" max="10" width="18.83203125" style="95" customWidth="1"/>
    <col min="11" max="14" width="9.1640625" style="1"/>
    <col min="15" max="15" width="29.33203125" style="1" customWidth="1"/>
    <col min="16" max="16384" width="9.1640625" style="1"/>
  </cols>
  <sheetData>
    <row r="1" spans="1:15" s="71" customFormat="1" x14ac:dyDescent="0.2">
      <c r="D1" s="77"/>
      <c r="E1" s="84"/>
      <c r="F1" s="84"/>
      <c r="G1" s="84"/>
      <c r="H1" s="84"/>
      <c r="I1" s="84"/>
      <c r="J1" s="91"/>
    </row>
    <row r="2" spans="1:15" s="71" customFormat="1" x14ac:dyDescent="0.2">
      <c r="A2" s="51"/>
      <c r="B2" s="51"/>
      <c r="D2" s="77"/>
      <c r="E2" s="84"/>
      <c r="F2" s="84"/>
      <c r="G2" s="84"/>
      <c r="H2" s="84"/>
      <c r="I2" s="84"/>
      <c r="J2" s="91"/>
    </row>
    <row r="3" spans="1:15" s="5" customFormat="1" ht="16.5" customHeight="1" x14ac:dyDescent="0.2">
      <c r="A3" s="10"/>
      <c r="B3" s="54"/>
      <c r="C3" s="30"/>
      <c r="D3" s="78"/>
      <c r="E3" s="85" t="s">
        <v>6</v>
      </c>
      <c r="F3" s="85"/>
      <c r="G3" s="85"/>
      <c r="H3" s="85"/>
      <c r="I3" s="85"/>
      <c r="J3" s="92"/>
    </row>
    <row r="4" spans="1:15" s="6" customFormat="1" ht="46.5" customHeight="1" x14ac:dyDescent="0.2">
      <c r="A4" s="10"/>
      <c r="B4" s="55"/>
      <c r="C4" s="32"/>
      <c r="D4" s="79"/>
      <c r="E4" s="86" t="s">
        <v>7</v>
      </c>
      <c r="F4" s="87" t="s">
        <v>11</v>
      </c>
      <c r="G4" s="86"/>
      <c r="H4" s="86"/>
      <c r="I4" s="86"/>
      <c r="J4" s="93"/>
      <c r="L4" s="32"/>
    </row>
    <row r="5" spans="1:15" s="49" customFormat="1" x14ac:dyDescent="0.2">
      <c r="A5" s="10"/>
      <c r="B5" s="56"/>
      <c r="C5" s="45"/>
      <c r="D5" s="80"/>
      <c r="E5" s="86"/>
      <c r="F5" s="86"/>
      <c r="G5" s="86"/>
      <c r="H5" s="86"/>
      <c r="I5" s="86"/>
      <c r="J5" s="93"/>
      <c r="K5" s="6"/>
      <c r="L5" s="6"/>
      <c r="M5" s="6"/>
      <c r="N5" s="6"/>
      <c r="O5" s="6"/>
    </row>
    <row r="6" spans="1:15" x14ac:dyDescent="0.2">
      <c r="B6" s="72"/>
      <c r="C6" s="72"/>
      <c r="D6" s="83"/>
      <c r="E6" s="88"/>
      <c r="F6" s="89" t="s">
        <v>25</v>
      </c>
      <c r="G6" s="88">
        <f>SUM(J9:J536)</f>
        <v>249</v>
      </c>
      <c r="H6" s="88"/>
      <c r="I6" s="88"/>
      <c r="J6" s="94"/>
      <c r="K6" s="42"/>
      <c r="L6" s="42"/>
      <c r="M6" s="42"/>
      <c r="N6" s="42"/>
      <c r="O6" s="73"/>
    </row>
    <row r="7" spans="1:15" x14ac:dyDescent="0.2">
      <c r="B7" s="72"/>
      <c r="C7" s="72"/>
      <c r="D7" s="81"/>
      <c r="E7" s="88"/>
      <c r="F7" s="88"/>
      <c r="G7" s="88"/>
      <c r="H7" s="88"/>
      <c r="I7" s="88"/>
      <c r="J7" s="94"/>
      <c r="K7" s="42"/>
      <c r="L7" s="42"/>
      <c r="M7" s="42"/>
      <c r="N7" s="42"/>
      <c r="O7" s="73"/>
    </row>
    <row r="8" spans="1:15" ht="27.75" customHeight="1" x14ac:dyDescent="0.2">
      <c r="B8" s="72"/>
      <c r="C8" s="72"/>
      <c r="D8" s="201" t="s">
        <v>23</v>
      </c>
      <c r="E8" s="202" t="s">
        <v>15</v>
      </c>
      <c r="F8" s="202" t="s">
        <v>18</v>
      </c>
      <c r="G8" s="202" t="s">
        <v>11</v>
      </c>
      <c r="H8" s="202" t="s">
        <v>24</v>
      </c>
      <c r="I8" s="202"/>
      <c r="J8" s="203" t="s">
        <v>16</v>
      </c>
      <c r="K8" s="97"/>
      <c r="L8" s="97"/>
      <c r="M8" s="97"/>
      <c r="N8" s="97"/>
      <c r="O8" s="98"/>
    </row>
    <row r="9" spans="1:15" ht="208.5" customHeight="1" x14ac:dyDescent="0.2">
      <c r="B9" s="72"/>
      <c r="C9" s="72"/>
      <c r="D9" s="204">
        <v>43128</v>
      </c>
      <c r="E9" s="205" t="s">
        <v>26</v>
      </c>
      <c r="F9" s="206" t="s">
        <v>27</v>
      </c>
      <c r="G9" s="206" t="s">
        <v>28</v>
      </c>
      <c r="H9" s="206" t="s">
        <v>29</v>
      </c>
      <c r="I9" s="206"/>
      <c r="J9" s="207">
        <v>12.8</v>
      </c>
      <c r="K9" s="72"/>
      <c r="L9" s="72"/>
      <c r="M9" s="72"/>
      <c r="N9" s="72"/>
      <c r="O9" s="76"/>
    </row>
    <row r="10" spans="1:15" ht="206.25" customHeight="1" x14ac:dyDescent="0.2">
      <c r="B10" s="72"/>
      <c r="C10" s="72"/>
      <c r="D10" s="204">
        <v>43129</v>
      </c>
      <c r="E10" s="208" t="s">
        <v>30</v>
      </c>
      <c r="F10" s="206" t="s">
        <v>47</v>
      </c>
      <c r="G10" s="206" t="s">
        <v>36</v>
      </c>
      <c r="H10" s="206" t="s">
        <v>37</v>
      </c>
      <c r="I10" s="206"/>
      <c r="J10" s="207">
        <v>7.6</v>
      </c>
      <c r="K10" s="72"/>
      <c r="L10" s="72"/>
      <c r="M10" s="72"/>
      <c r="N10" s="72"/>
      <c r="O10" s="73"/>
    </row>
    <row r="11" spans="1:15" ht="156" customHeight="1" x14ac:dyDescent="0.2">
      <c r="B11" s="72"/>
      <c r="C11" s="72"/>
      <c r="D11" s="204">
        <v>43130</v>
      </c>
      <c r="E11" s="208" t="s">
        <v>50</v>
      </c>
      <c r="F11" s="206" t="s">
        <v>54</v>
      </c>
      <c r="G11" s="206"/>
      <c r="H11" s="206"/>
      <c r="I11" s="206"/>
      <c r="J11" s="207">
        <v>8</v>
      </c>
      <c r="K11" s="72"/>
      <c r="L11" s="72"/>
      <c r="M11" s="72"/>
      <c r="N11" s="72"/>
      <c r="O11" s="73"/>
    </row>
    <row r="12" spans="1:15" ht="72" x14ac:dyDescent="0.2">
      <c r="B12" s="72"/>
      <c r="C12" s="72"/>
      <c r="D12" s="204">
        <v>43131</v>
      </c>
      <c r="E12" s="208"/>
      <c r="F12" s="206" t="s">
        <v>51</v>
      </c>
      <c r="G12" s="206" t="s">
        <v>52</v>
      </c>
      <c r="H12" s="206" t="s">
        <v>53</v>
      </c>
      <c r="I12" s="206"/>
      <c r="J12" s="207">
        <v>14.5</v>
      </c>
      <c r="K12" s="72"/>
      <c r="L12" s="72"/>
      <c r="M12" s="72"/>
      <c r="N12" s="72"/>
      <c r="O12" s="73"/>
    </row>
    <row r="13" spans="1:15" ht="323.25" customHeight="1" x14ac:dyDescent="0.2">
      <c r="B13" s="72"/>
      <c r="C13" s="72"/>
      <c r="D13" s="204">
        <v>43132</v>
      </c>
      <c r="E13" s="208" t="s">
        <v>55</v>
      </c>
      <c r="F13" s="206" t="s">
        <v>57</v>
      </c>
      <c r="G13" s="206" t="s">
        <v>56</v>
      </c>
      <c r="H13" s="206"/>
      <c r="I13" s="206"/>
      <c r="J13" s="207">
        <v>15</v>
      </c>
      <c r="K13" s="72"/>
      <c r="L13" s="72"/>
      <c r="M13" s="72"/>
      <c r="N13" s="72"/>
      <c r="O13" s="73"/>
    </row>
    <row r="14" spans="1:15" ht="36" x14ac:dyDescent="0.2">
      <c r="B14" s="72"/>
      <c r="C14" s="72"/>
      <c r="D14" s="204">
        <v>43133</v>
      </c>
      <c r="E14" s="208" t="s">
        <v>58</v>
      </c>
      <c r="F14" s="206" t="s">
        <v>59</v>
      </c>
      <c r="G14" s="206"/>
      <c r="H14" s="206"/>
      <c r="I14" s="206"/>
      <c r="J14" s="207">
        <v>14.6</v>
      </c>
      <c r="K14" s="72"/>
      <c r="L14" s="72"/>
      <c r="M14" s="72"/>
      <c r="N14" s="72"/>
      <c r="O14" s="73"/>
    </row>
    <row r="15" spans="1:15" ht="84" x14ac:dyDescent="0.2">
      <c r="B15" s="72"/>
      <c r="C15" s="72"/>
      <c r="D15" s="204">
        <v>43134</v>
      </c>
      <c r="E15" s="209" t="s">
        <v>62</v>
      </c>
      <c r="F15" s="206" t="s">
        <v>60</v>
      </c>
      <c r="G15" s="206" t="s">
        <v>65</v>
      </c>
      <c r="H15" s="206" t="s">
        <v>61</v>
      </c>
      <c r="I15" s="206"/>
      <c r="J15" s="207">
        <v>11</v>
      </c>
      <c r="K15" s="72"/>
      <c r="L15" s="72"/>
      <c r="M15" s="72"/>
      <c r="N15" s="72"/>
      <c r="O15" s="73"/>
    </row>
    <row r="16" spans="1:15" ht="84" x14ac:dyDescent="0.2">
      <c r="B16" s="72"/>
      <c r="C16" s="72"/>
      <c r="D16" s="204">
        <v>43135</v>
      </c>
      <c r="E16" s="208" t="s">
        <v>63</v>
      </c>
      <c r="F16" s="206" t="s">
        <v>66</v>
      </c>
      <c r="G16" s="206" t="s">
        <v>67</v>
      </c>
      <c r="H16" s="206"/>
      <c r="I16" s="206"/>
      <c r="J16" s="207">
        <v>18.25</v>
      </c>
      <c r="K16" s="72"/>
      <c r="L16" s="72"/>
      <c r="M16" s="72"/>
      <c r="N16" s="72"/>
      <c r="O16" s="73"/>
    </row>
    <row r="17" spans="2:15" ht="48" x14ac:dyDescent="0.2">
      <c r="B17" s="72"/>
      <c r="C17" s="72"/>
      <c r="D17" s="204">
        <v>43136</v>
      </c>
      <c r="E17" s="208" t="s">
        <v>69</v>
      </c>
      <c r="F17" s="206" t="s">
        <v>68</v>
      </c>
      <c r="G17" s="206" t="s">
        <v>71</v>
      </c>
      <c r="H17" s="206"/>
      <c r="I17" s="206"/>
      <c r="J17" s="207">
        <v>18.25</v>
      </c>
      <c r="K17" s="72"/>
      <c r="L17" s="72"/>
      <c r="M17" s="72"/>
      <c r="N17" s="72"/>
      <c r="O17" s="73"/>
    </row>
    <row r="18" spans="2:15" ht="60" x14ac:dyDescent="0.2">
      <c r="B18" s="72"/>
      <c r="C18" s="72"/>
      <c r="D18" s="204">
        <v>43137</v>
      </c>
      <c r="E18" s="208" t="s">
        <v>72</v>
      </c>
      <c r="F18" s="206" t="s">
        <v>81</v>
      </c>
      <c r="G18" s="206" t="s">
        <v>82</v>
      </c>
      <c r="H18" s="206"/>
      <c r="I18" s="206"/>
      <c r="J18" s="207">
        <v>16</v>
      </c>
      <c r="K18" s="72"/>
      <c r="L18" s="72"/>
      <c r="M18" s="72"/>
      <c r="N18" s="72"/>
      <c r="O18" s="73"/>
    </row>
    <row r="19" spans="2:15" ht="60" x14ac:dyDescent="0.2">
      <c r="B19" s="72"/>
      <c r="C19" s="72"/>
      <c r="D19" s="204">
        <v>43138</v>
      </c>
      <c r="E19" s="208" t="s">
        <v>84</v>
      </c>
      <c r="F19" s="206" t="s">
        <v>92</v>
      </c>
      <c r="G19" s="206"/>
      <c r="H19" s="206"/>
      <c r="I19" s="206"/>
      <c r="J19" s="207">
        <v>15</v>
      </c>
      <c r="K19" s="72"/>
      <c r="L19" s="72"/>
      <c r="M19" s="72"/>
      <c r="N19" s="72"/>
      <c r="O19" s="73"/>
    </row>
    <row r="20" spans="2:15" ht="93.75" customHeight="1" x14ac:dyDescent="0.2">
      <c r="B20" s="72"/>
      <c r="C20" s="72"/>
      <c r="D20" s="204">
        <v>43139</v>
      </c>
      <c r="E20" s="208" t="s">
        <v>99</v>
      </c>
      <c r="F20" s="206" t="s">
        <v>100</v>
      </c>
      <c r="G20" s="206"/>
      <c r="H20" s="206"/>
      <c r="I20" s="206"/>
      <c r="J20" s="207">
        <v>16</v>
      </c>
      <c r="K20" s="72"/>
      <c r="L20" s="72"/>
      <c r="M20" s="72"/>
      <c r="N20" s="72"/>
      <c r="O20" s="73"/>
    </row>
    <row r="21" spans="2:15" ht="24" x14ac:dyDescent="0.2">
      <c r="B21" s="72"/>
      <c r="C21" s="72"/>
      <c r="D21" s="204">
        <v>43140</v>
      </c>
      <c r="E21" s="208"/>
      <c r="F21" s="206" t="s">
        <v>245</v>
      </c>
      <c r="G21" s="206"/>
      <c r="H21" s="206"/>
      <c r="I21" s="206"/>
      <c r="J21" s="207">
        <v>16</v>
      </c>
      <c r="K21" s="72"/>
      <c r="L21" s="72"/>
      <c r="M21" s="72"/>
      <c r="N21" s="72"/>
      <c r="O21" s="73"/>
    </row>
    <row r="22" spans="2:15" ht="69" customHeight="1" x14ac:dyDescent="0.2">
      <c r="B22" s="72"/>
      <c r="C22" s="72"/>
      <c r="D22" s="204">
        <v>43141</v>
      </c>
      <c r="E22" s="208"/>
      <c r="F22" s="206" t="s">
        <v>244</v>
      </c>
      <c r="G22" s="206"/>
      <c r="H22" s="206"/>
      <c r="I22" s="206"/>
      <c r="J22" s="207">
        <v>19</v>
      </c>
      <c r="K22" s="72"/>
      <c r="L22" s="72"/>
      <c r="M22" s="72"/>
      <c r="N22" s="72"/>
      <c r="O22" s="73"/>
    </row>
    <row r="23" spans="2:15" ht="101.25" customHeight="1" x14ac:dyDescent="0.2">
      <c r="B23" s="72"/>
      <c r="C23" s="72"/>
      <c r="D23" s="204">
        <v>43142</v>
      </c>
      <c r="E23" s="208"/>
      <c r="F23" s="206" t="s">
        <v>251</v>
      </c>
      <c r="G23" s="206"/>
      <c r="H23" s="206"/>
      <c r="I23" s="206"/>
      <c r="J23" s="207">
        <v>17</v>
      </c>
      <c r="K23" s="72"/>
      <c r="L23" s="72"/>
      <c r="M23" s="72"/>
      <c r="N23" s="72"/>
      <c r="O23" s="73"/>
    </row>
    <row r="24" spans="2:15" ht="62" customHeight="1" x14ac:dyDescent="0.2">
      <c r="B24" s="72"/>
      <c r="C24" s="72"/>
      <c r="D24" s="204">
        <v>43143</v>
      </c>
      <c r="E24" s="208"/>
      <c r="F24" s="206" t="s">
        <v>307</v>
      </c>
      <c r="G24" s="206"/>
      <c r="H24" s="206"/>
      <c r="I24" s="206"/>
      <c r="J24" s="207">
        <v>15</v>
      </c>
      <c r="K24" s="72"/>
      <c r="L24" s="72"/>
      <c r="M24" s="72"/>
      <c r="N24" s="72"/>
      <c r="O24" s="73"/>
    </row>
    <row r="25" spans="2:15" ht="132" x14ac:dyDescent="0.2">
      <c r="B25" s="72"/>
      <c r="C25" s="72"/>
      <c r="D25" s="204">
        <v>43144</v>
      </c>
      <c r="E25" s="208"/>
      <c r="F25" s="206" t="s">
        <v>306</v>
      </c>
      <c r="G25" s="206"/>
      <c r="H25" s="206"/>
      <c r="I25" s="206"/>
      <c r="J25" s="207">
        <v>15</v>
      </c>
      <c r="K25" s="72"/>
      <c r="L25" s="72"/>
      <c r="M25" s="72"/>
      <c r="N25" s="72"/>
      <c r="O25" s="73"/>
    </row>
    <row r="26" spans="2:15" x14ac:dyDescent="0.2">
      <c r="B26" s="72"/>
      <c r="C26" s="72"/>
      <c r="D26" s="204">
        <v>43145</v>
      </c>
      <c r="E26" s="208"/>
      <c r="F26" s="206"/>
      <c r="G26" s="206"/>
      <c r="H26" s="206"/>
      <c r="I26" s="206"/>
      <c r="J26" s="207"/>
      <c r="K26" s="72"/>
      <c r="L26" s="72"/>
      <c r="M26" s="72"/>
      <c r="N26" s="72"/>
      <c r="O26" s="73"/>
    </row>
    <row r="27" spans="2:15" x14ac:dyDescent="0.2">
      <c r="B27" s="72"/>
      <c r="C27" s="72"/>
      <c r="D27" s="204">
        <v>43146</v>
      </c>
      <c r="E27" s="208"/>
      <c r="F27" s="206"/>
      <c r="G27" s="206"/>
      <c r="H27" s="206"/>
      <c r="I27" s="206"/>
      <c r="J27" s="207"/>
      <c r="K27" s="72"/>
      <c r="L27" s="72"/>
      <c r="M27" s="72"/>
      <c r="N27" s="72"/>
      <c r="O27" s="73"/>
    </row>
    <row r="28" spans="2:15" x14ac:dyDescent="0.2">
      <c r="B28" s="72"/>
      <c r="C28" s="72"/>
      <c r="D28" s="204">
        <v>43147</v>
      </c>
      <c r="E28" s="208"/>
      <c r="F28" s="206"/>
      <c r="G28" s="206"/>
      <c r="H28" s="206"/>
      <c r="I28" s="206"/>
      <c r="J28" s="207"/>
      <c r="K28" s="72"/>
      <c r="L28" s="72"/>
      <c r="M28" s="72"/>
      <c r="N28" s="72"/>
      <c r="O28" s="73"/>
    </row>
    <row r="29" spans="2:15" x14ac:dyDescent="0.2">
      <c r="B29" s="72"/>
      <c r="C29" s="72"/>
      <c r="D29" s="204">
        <v>43148</v>
      </c>
      <c r="E29" s="208"/>
      <c r="F29" s="206"/>
      <c r="G29" s="206"/>
      <c r="H29" s="206"/>
      <c r="I29" s="206"/>
      <c r="J29" s="207"/>
      <c r="K29" s="72"/>
      <c r="L29" s="72"/>
      <c r="M29" s="72"/>
      <c r="N29" s="72"/>
      <c r="O29" s="73"/>
    </row>
    <row r="30" spans="2:15" x14ac:dyDescent="0.2">
      <c r="B30" s="72"/>
      <c r="C30" s="72"/>
      <c r="D30" s="204">
        <v>43149</v>
      </c>
      <c r="E30" s="208"/>
      <c r="F30" s="206"/>
      <c r="G30" s="206"/>
      <c r="H30" s="206"/>
      <c r="I30" s="206"/>
      <c r="J30" s="207"/>
      <c r="K30" s="72"/>
      <c r="L30" s="72"/>
      <c r="M30" s="72"/>
      <c r="N30" s="72"/>
      <c r="O30" s="73"/>
    </row>
    <row r="31" spans="2:15" x14ac:dyDescent="0.2">
      <c r="B31" s="72"/>
      <c r="C31" s="72"/>
      <c r="D31" s="204">
        <v>43150</v>
      </c>
      <c r="E31" s="208"/>
      <c r="F31" s="206"/>
      <c r="G31" s="206"/>
      <c r="H31" s="206"/>
      <c r="I31" s="206"/>
      <c r="J31" s="207"/>
      <c r="K31" s="72"/>
      <c r="L31" s="72"/>
      <c r="M31" s="72"/>
      <c r="N31" s="72"/>
      <c r="O31" s="73"/>
    </row>
    <row r="32" spans="2:15" x14ac:dyDescent="0.2">
      <c r="B32" s="72"/>
      <c r="C32" s="72"/>
      <c r="D32" s="204">
        <v>43151</v>
      </c>
      <c r="E32" s="208"/>
      <c r="F32" s="206"/>
      <c r="G32" s="206"/>
      <c r="H32" s="206"/>
      <c r="I32" s="206"/>
      <c r="J32" s="207"/>
      <c r="K32" s="72"/>
      <c r="L32" s="72"/>
      <c r="M32" s="72"/>
      <c r="N32" s="72"/>
      <c r="O32" s="73"/>
    </row>
    <row r="33" spans="2:15" x14ac:dyDescent="0.2">
      <c r="B33" s="72"/>
      <c r="C33" s="72"/>
      <c r="D33" s="204">
        <v>43152</v>
      </c>
      <c r="E33" s="208"/>
      <c r="F33" s="206"/>
      <c r="G33" s="206"/>
      <c r="H33" s="206"/>
      <c r="I33" s="206"/>
      <c r="J33" s="207"/>
      <c r="K33" s="72"/>
      <c r="L33" s="72"/>
      <c r="M33" s="72"/>
      <c r="N33" s="72"/>
      <c r="O33" s="73"/>
    </row>
    <row r="34" spans="2:15" x14ac:dyDescent="0.2">
      <c r="B34" s="72"/>
      <c r="C34" s="72"/>
      <c r="D34" s="204">
        <v>43153</v>
      </c>
      <c r="E34" s="208"/>
      <c r="F34" s="206"/>
      <c r="G34" s="206"/>
      <c r="H34" s="206"/>
      <c r="I34" s="206"/>
      <c r="J34" s="207"/>
      <c r="K34" s="72"/>
      <c r="L34" s="72"/>
      <c r="M34" s="72"/>
      <c r="N34" s="72"/>
      <c r="O34" s="73"/>
    </row>
    <row r="35" spans="2:15" x14ac:dyDescent="0.2">
      <c r="B35" s="72"/>
      <c r="C35" s="72"/>
      <c r="D35" s="204">
        <v>43154</v>
      </c>
      <c r="E35" s="208"/>
      <c r="F35" s="206"/>
      <c r="G35" s="206"/>
      <c r="H35" s="206"/>
      <c r="I35" s="206"/>
      <c r="J35" s="207"/>
      <c r="K35" s="72"/>
      <c r="L35" s="72"/>
      <c r="M35" s="72"/>
      <c r="N35" s="72"/>
      <c r="O35" s="73"/>
    </row>
    <row r="36" spans="2:15" x14ac:dyDescent="0.2">
      <c r="B36" s="72"/>
      <c r="C36" s="72"/>
      <c r="D36" s="204">
        <v>43155</v>
      </c>
      <c r="E36" s="208"/>
      <c r="F36" s="206"/>
      <c r="G36" s="206"/>
      <c r="H36" s="206"/>
      <c r="I36" s="206"/>
      <c r="J36" s="207"/>
      <c r="K36" s="72"/>
      <c r="L36" s="72"/>
      <c r="M36" s="72"/>
      <c r="N36" s="72"/>
      <c r="O36" s="73"/>
    </row>
    <row r="37" spans="2:15" x14ac:dyDescent="0.2">
      <c r="B37" s="72"/>
      <c r="C37" s="72"/>
      <c r="D37" s="204">
        <v>43156</v>
      </c>
      <c r="E37" s="208"/>
      <c r="F37" s="206"/>
      <c r="G37" s="206"/>
      <c r="H37" s="206"/>
      <c r="I37" s="206"/>
      <c r="J37" s="207"/>
      <c r="K37" s="72"/>
      <c r="L37" s="72"/>
      <c r="M37" s="72"/>
      <c r="N37" s="72"/>
      <c r="O37" s="73"/>
    </row>
    <row r="38" spans="2:15" x14ac:dyDescent="0.2">
      <c r="B38" s="72"/>
      <c r="C38" s="72"/>
      <c r="D38" s="204">
        <v>43157</v>
      </c>
      <c r="E38" s="208"/>
      <c r="F38" s="206"/>
      <c r="G38" s="206"/>
      <c r="H38" s="206"/>
      <c r="I38" s="206"/>
      <c r="J38" s="207"/>
      <c r="K38" s="72"/>
      <c r="L38" s="72"/>
      <c r="M38" s="72"/>
      <c r="N38" s="72"/>
      <c r="O38" s="73"/>
    </row>
    <row r="39" spans="2:15" x14ac:dyDescent="0.2">
      <c r="B39" s="72"/>
      <c r="C39" s="72"/>
      <c r="D39" s="204">
        <v>43158</v>
      </c>
      <c r="E39" s="208"/>
      <c r="F39" s="206"/>
      <c r="G39" s="206"/>
      <c r="H39" s="206"/>
      <c r="I39" s="206"/>
      <c r="J39" s="207"/>
      <c r="K39" s="72"/>
      <c r="L39" s="72"/>
      <c r="M39" s="72"/>
      <c r="N39" s="72"/>
      <c r="O39" s="73"/>
    </row>
    <row r="40" spans="2:15" x14ac:dyDescent="0.2">
      <c r="B40" s="72"/>
      <c r="C40" s="72"/>
      <c r="D40" s="204">
        <v>43159</v>
      </c>
      <c r="E40" s="208"/>
      <c r="F40" s="206"/>
      <c r="G40" s="206"/>
      <c r="H40" s="206"/>
      <c r="I40" s="206"/>
      <c r="J40" s="207"/>
      <c r="K40" s="72"/>
      <c r="L40" s="72"/>
      <c r="M40" s="72"/>
      <c r="N40" s="72"/>
      <c r="O40" s="73"/>
    </row>
    <row r="41" spans="2:15" x14ac:dyDescent="0.2">
      <c r="B41" s="72"/>
      <c r="C41" s="72"/>
      <c r="D41" s="204">
        <v>43160</v>
      </c>
      <c r="E41" s="208"/>
      <c r="F41" s="206"/>
      <c r="G41" s="206"/>
      <c r="H41" s="206"/>
      <c r="I41" s="206"/>
      <c r="J41" s="207"/>
      <c r="K41" s="72"/>
      <c r="L41" s="72"/>
      <c r="M41" s="72"/>
      <c r="N41" s="72"/>
      <c r="O41" s="73"/>
    </row>
    <row r="42" spans="2:15" x14ac:dyDescent="0.2">
      <c r="B42" s="72"/>
      <c r="C42" s="72"/>
      <c r="D42" s="204">
        <v>43161</v>
      </c>
      <c r="E42" s="208"/>
      <c r="F42" s="206"/>
      <c r="G42" s="206"/>
      <c r="H42" s="206"/>
      <c r="I42" s="206"/>
      <c r="J42" s="207"/>
      <c r="K42" s="72"/>
      <c r="L42" s="72"/>
      <c r="M42" s="72"/>
      <c r="N42" s="72"/>
      <c r="O42" s="73"/>
    </row>
    <row r="43" spans="2:15" x14ac:dyDescent="0.2">
      <c r="B43" s="72"/>
      <c r="C43" s="72"/>
      <c r="D43" s="204">
        <v>43162</v>
      </c>
      <c r="E43" s="208"/>
      <c r="F43" s="206"/>
      <c r="G43" s="206"/>
      <c r="H43" s="206"/>
      <c r="I43" s="206"/>
      <c r="J43" s="207"/>
      <c r="K43" s="72"/>
      <c r="L43" s="72"/>
      <c r="M43" s="72"/>
      <c r="N43" s="72"/>
      <c r="O43" s="73"/>
    </row>
    <row r="44" spans="2:15" x14ac:dyDescent="0.2">
      <c r="B44" s="72"/>
      <c r="C44" s="72"/>
      <c r="D44" s="204">
        <v>43163</v>
      </c>
      <c r="E44" s="208"/>
      <c r="F44" s="206"/>
      <c r="G44" s="206"/>
      <c r="H44" s="206"/>
      <c r="I44" s="206"/>
      <c r="J44" s="207"/>
      <c r="K44" s="72"/>
      <c r="L44" s="72"/>
      <c r="M44" s="72"/>
      <c r="N44" s="72"/>
      <c r="O44" s="73"/>
    </row>
    <row r="45" spans="2:15" x14ac:dyDescent="0.2">
      <c r="B45" s="72"/>
      <c r="C45" s="72"/>
      <c r="D45" s="204">
        <v>43164</v>
      </c>
      <c r="E45" s="208"/>
      <c r="F45" s="206"/>
      <c r="G45" s="206"/>
      <c r="H45" s="206"/>
      <c r="I45" s="206"/>
      <c r="J45" s="207"/>
      <c r="K45" s="72"/>
      <c r="L45" s="72"/>
      <c r="M45" s="72"/>
      <c r="N45" s="72"/>
      <c r="O45" s="73"/>
    </row>
    <row r="46" spans="2:15" x14ac:dyDescent="0.2">
      <c r="B46" s="72"/>
      <c r="C46" s="72"/>
      <c r="D46" s="204">
        <v>43165</v>
      </c>
      <c r="E46" s="208"/>
      <c r="F46" s="206"/>
      <c r="G46" s="206"/>
      <c r="H46" s="206"/>
      <c r="I46" s="206"/>
      <c r="J46" s="207"/>
      <c r="K46" s="72"/>
      <c r="L46" s="72"/>
      <c r="M46" s="72"/>
      <c r="N46" s="72"/>
      <c r="O46" s="73"/>
    </row>
    <row r="47" spans="2:15" x14ac:dyDescent="0.2">
      <c r="B47" s="72"/>
      <c r="C47" s="72"/>
      <c r="D47" s="204">
        <v>43166</v>
      </c>
      <c r="E47" s="208"/>
      <c r="F47" s="206"/>
      <c r="G47" s="206"/>
      <c r="H47" s="206"/>
      <c r="I47" s="206"/>
      <c r="J47" s="207"/>
      <c r="K47" s="72"/>
      <c r="L47" s="72"/>
      <c r="M47" s="72"/>
      <c r="N47" s="72"/>
      <c r="O47" s="73"/>
    </row>
    <row r="48" spans="2:15" x14ac:dyDescent="0.2">
      <c r="B48" s="72"/>
      <c r="C48" s="72"/>
      <c r="D48" s="204">
        <v>43167</v>
      </c>
      <c r="E48" s="208"/>
      <c r="F48" s="206"/>
      <c r="G48" s="206"/>
      <c r="H48" s="206"/>
      <c r="I48" s="206"/>
      <c r="J48" s="207"/>
      <c r="K48" s="72"/>
      <c r="L48" s="72"/>
      <c r="M48" s="72"/>
      <c r="N48" s="72"/>
      <c r="O48" s="73"/>
    </row>
    <row r="49" spans="2:15" x14ac:dyDescent="0.2">
      <c r="B49" s="72"/>
      <c r="C49" s="72"/>
      <c r="D49" s="204">
        <v>43168</v>
      </c>
      <c r="E49" s="208"/>
      <c r="F49" s="206"/>
      <c r="G49" s="206"/>
      <c r="H49" s="206"/>
      <c r="I49" s="206"/>
      <c r="J49" s="207"/>
      <c r="K49" s="72"/>
      <c r="L49" s="72"/>
      <c r="M49" s="72"/>
      <c r="N49" s="72"/>
      <c r="O49" s="73"/>
    </row>
    <row r="50" spans="2:15" x14ac:dyDescent="0.2">
      <c r="B50" s="72"/>
      <c r="C50" s="72"/>
      <c r="D50" s="204">
        <v>43169</v>
      </c>
      <c r="E50" s="208"/>
      <c r="F50" s="206"/>
      <c r="G50" s="206"/>
      <c r="H50" s="206"/>
      <c r="I50" s="206"/>
      <c r="J50" s="207"/>
      <c r="K50" s="72"/>
      <c r="L50" s="72"/>
      <c r="M50" s="72"/>
      <c r="N50" s="72"/>
      <c r="O50" s="73"/>
    </row>
    <row r="51" spans="2:15" x14ac:dyDescent="0.2">
      <c r="B51" s="72"/>
      <c r="C51" s="72"/>
      <c r="D51" s="204">
        <v>43170</v>
      </c>
      <c r="E51" s="208"/>
      <c r="F51" s="206"/>
      <c r="G51" s="206"/>
      <c r="H51" s="206"/>
      <c r="I51" s="206"/>
      <c r="J51" s="207"/>
      <c r="K51" s="72"/>
      <c r="L51" s="72"/>
      <c r="M51" s="72"/>
      <c r="N51" s="72"/>
      <c r="O51" s="73"/>
    </row>
    <row r="52" spans="2:15" x14ac:dyDescent="0.2">
      <c r="B52" s="72"/>
      <c r="C52" s="72"/>
      <c r="D52" s="204">
        <v>43171</v>
      </c>
      <c r="E52" s="208"/>
      <c r="F52" s="206"/>
      <c r="G52" s="206"/>
      <c r="H52" s="206"/>
      <c r="I52" s="206"/>
      <c r="J52" s="207"/>
      <c r="K52" s="72"/>
      <c r="L52" s="72"/>
      <c r="M52" s="72"/>
      <c r="N52" s="72"/>
      <c r="O52" s="73"/>
    </row>
    <row r="53" spans="2:15" x14ac:dyDescent="0.2">
      <c r="B53" s="72"/>
      <c r="C53" s="72"/>
      <c r="D53" s="204">
        <v>43172</v>
      </c>
      <c r="E53" s="208"/>
      <c r="F53" s="206"/>
      <c r="G53" s="206"/>
      <c r="H53" s="206"/>
      <c r="I53" s="206"/>
      <c r="J53" s="207"/>
      <c r="K53" s="72"/>
      <c r="L53" s="72"/>
      <c r="M53" s="72"/>
      <c r="N53" s="72"/>
      <c r="O53" s="73"/>
    </row>
    <row r="54" spans="2:15" x14ac:dyDescent="0.2">
      <c r="B54" s="72"/>
      <c r="C54" s="72"/>
      <c r="D54" s="204">
        <v>43173</v>
      </c>
      <c r="E54" s="208"/>
      <c r="F54" s="206"/>
      <c r="G54" s="206"/>
      <c r="H54" s="206"/>
      <c r="I54" s="206"/>
      <c r="J54" s="207"/>
      <c r="K54" s="72"/>
      <c r="L54" s="72"/>
      <c r="M54" s="72"/>
      <c r="N54" s="72"/>
      <c r="O54" s="73"/>
    </row>
    <row r="55" spans="2:15" x14ac:dyDescent="0.2">
      <c r="B55" s="72"/>
      <c r="C55" s="72"/>
      <c r="D55" s="204">
        <v>43174</v>
      </c>
      <c r="E55" s="208"/>
      <c r="F55" s="206"/>
      <c r="G55" s="206"/>
      <c r="H55" s="206"/>
      <c r="I55" s="206"/>
      <c r="J55" s="207"/>
      <c r="K55" s="72"/>
      <c r="L55" s="72"/>
      <c r="M55" s="72"/>
      <c r="N55" s="72"/>
      <c r="O55" s="73"/>
    </row>
    <row r="56" spans="2:15" x14ac:dyDescent="0.2">
      <c r="B56" s="72"/>
      <c r="C56" s="72"/>
      <c r="D56" s="204">
        <v>43175</v>
      </c>
      <c r="E56" s="208"/>
      <c r="F56" s="206"/>
      <c r="G56" s="206"/>
      <c r="H56" s="206"/>
      <c r="I56" s="206"/>
      <c r="J56" s="207"/>
      <c r="K56" s="72"/>
      <c r="L56" s="72"/>
      <c r="M56" s="72"/>
      <c r="N56" s="72"/>
      <c r="O56" s="73"/>
    </row>
    <row r="57" spans="2:15" x14ac:dyDescent="0.2">
      <c r="B57" s="72"/>
      <c r="C57" s="72"/>
      <c r="D57" s="204">
        <v>43176</v>
      </c>
      <c r="E57" s="208"/>
      <c r="F57" s="206"/>
      <c r="G57" s="206"/>
      <c r="H57" s="206"/>
      <c r="I57" s="206"/>
      <c r="J57" s="207"/>
      <c r="K57" s="72"/>
      <c r="L57" s="72"/>
      <c r="M57" s="72"/>
      <c r="N57" s="72"/>
      <c r="O57" s="73"/>
    </row>
    <row r="58" spans="2:15" x14ac:dyDescent="0.2">
      <c r="B58" s="72"/>
      <c r="C58" s="72"/>
      <c r="D58" s="204">
        <v>43177</v>
      </c>
      <c r="E58" s="208"/>
      <c r="F58" s="206"/>
      <c r="G58" s="206"/>
      <c r="H58" s="206"/>
      <c r="I58" s="206"/>
      <c r="J58" s="207"/>
      <c r="K58" s="72"/>
      <c r="L58" s="72"/>
      <c r="M58" s="72"/>
      <c r="N58" s="72"/>
      <c r="O58" s="73"/>
    </row>
    <row r="59" spans="2:15" x14ac:dyDescent="0.2">
      <c r="B59" s="72"/>
      <c r="C59" s="72"/>
      <c r="D59" s="204">
        <v>43178</v>
      </c>
      <c r="E59" s="208"/>
      <c r="F59" s="206"/>
      <c r="G59" s="206"/>
      <c r="H59" s="206"/>
      <c r="I59" s="206"/>
      <c r="J59" s="207"/>
      <c r="K59" s="72"/>
      <c r="L59" s="72"/>
      <c r="M59" s="72"/>
      <c r="N59" s="72"/>
      <c r="O59" s="73"/>
    </row>
    <row r="60" spans="2:15" x14ac:dyDescent="0.2">
      <c r="B60" s="72"/>
      <c r="C60" s="72"/>
      <c r="D60" s="204">
        <v>43179</v>
      </c>
      <c r="E60" s="208"/>
      <c r="F60" s="206"/>
      <c r="G60" s="206"/>
      <c r="H60" s="206"/>
      <c r="I60" s="206"/>
      <c r="J60" s="207"/>
      <c r="K60" s="72"/>
      <c r="L60" s="72"/>
      <c r="M60" s="72"/>
      <c r="N60" s="72"/>
      <c r="O60" s="73"/>
    </row>
    <row r="61" spans="2:15" x14ac:dyDescent="0.2">
      <c r="B61" s="72"/>
      <c r="C61" s="72"/>
      <c r="D61" s="204">
        <v>43180</v>
      </c>
      <c r="E61" s="208"/>
      <c r="F61" s="206"/>
      <c r="G61" s="206"/>
      <c r="H61" s="206"/>
      <c r="I61" s="206"/>
      <c r="J61" s="207"/>
      <c r="K61" s="72"/>
      <c r="L61" s="72"/>
      <c r="M61" s="72"/>
      <c r="N61" s="72"/>
      <c r="O61" s="73"/>
    </row>
    <row r="62" spans="2:15" x14ac:dyDescent="0.2">
      <c r="B62" s="72"/>
      <c r="C62" s="72"/>
      <c r="D62" s="204">
        <v>43181</v>
      </c>
      <c r="E62" s="208"/>
      <c r="F62" s="206"/>
      <c r="G62" s="206"/>
      <c r="H62" s="206"/>
      <c r="I62" s="206"/>
      <c r="J62" s="207"/>
      <c r="K62" s="72"/>
      <c r="L62" s="72"/>
      <c r="M62" s="72"/>
      <c r="N62" s="72"/>
      <c r="O62" s="73"/>
    </row>
    <row r="63" spans="2:15" x14ac:dyDescent="0.2">
      <c r="B63" s="72"/>
      <c r="C63" s="72"/>
      <c r="D63" s="204">
        <v>43182</v>
      </c>
      <c r="E63" s="208"/>
      <c r="F63" s="206"/>
      <c r="G63" s="206"/>
      <c r="H63" s="206"/>
      <c r="I63" s="206"/>
      <c r="J63" s="207"/>
      <c r="K63" s="72"/>
      <c r="L63" s="72"/>
      <c r="M63" s="72"/>
      <c r="N63" s="72"/>
      <c r="O63" s="73"/>
    </row>
    <row r="64" spans="2:15" x14ac:dyDescent="0.2">
      <c r="B64" s="72"/>
      <c r="C64" s="72"/>
      <c r="D64" s="204">
        <v>43183</v>
      </c>
      <c r="E64" s="208"/>
      <c r="F64" s="206"/>
      <c r="G64" s="206"/>
      <c r="H64" s="206"/>
      <c r="I64" s="206"/>
      <c r="J64" s="207"/>
      <c r="K64" s="72"/>
      <c r="L64" s="72"/>
      <c r="M64" s="72"/>
      <c r="N64" s="72"/>
      <c r="O64" s="73"/>
    </row>
    <row r="65" spans="2:15" x14ac:dyDescent="0.2">
      <c r="B65" s="72"/>
      <c r="C65" s="72"/>
      <c r="D65" s="204">
        <v>43184</v>
      </c>
      <c r="E65" s="208"/>
      <c r="F65" s="206"/>
      <c r="G65" s="206"/>
      <c r="H65" s="206"/>
      <c r="I65" s="206"/>
      <c r="J65" s="207"/>
      <c r="K65" s="72"/>
      <c r="L65" s="72"/>
      <c r="M65" s="72"/>
      <c r="N65" s="72"/>
      <c r="O65" s="73"/>
    </row>
    <row r="66" spans="2:15" x14ac:dyDescent="0.2">
      <c r="B66" s="72"/>
      <c r="C66" s="72"/>
      <c r="D66" s="204">
        <v>43185</v>
      </c>
      <c r="E66" s="208"/>
      <c r="F66" s="206"/>
      <c r="G66" s="206"/>
      <c r="H66" s="206"/>
      <c r="I66" s="206"/>
      <c r="J66" s="207"/>
      <c r="K66" s="72"/>
      <c r="L66" s="72"/>
      <c r="M66" s="72"/>
      <c r="N66" s="72"/>
      <c r="O66" s="73"/>
    </row>
    <row r="67" spans="2:15" x14ac:dyDescent="0.2">
      <c r="B67" s="72"/>
      <c r="C67" s="72"/>
      <c r="D67" s="204">
        <v>43186</v>
      </c>
      <c r="E67" s="208"/>
      <c r="F67" s="206"/>
      <c r="G67" s="206"/>
      <c r="H67" s="206"/>
      <c r="I67" s="206"/>
      <c r="J67" s="207"/>
      <c r="K67" s="72"/>
      <c r="L67" s="72"/>
      <c r="M67" s="72"/>
      <c r="N67" s="72"/>
      <c r="O67" s="73"/>
    </row>
    <row r="68" spans="2:15" x14ac:dyDescent="0.2">
      <c r="B68" s="72"/>
      <c r="C68" s="72"/>
      <c r="D68" s="204">
        <v>43187</v>
      </c>
      <c r="E68" s="208"/>
      <c r="F68" s="206"/>
      <c r="G68" s="206"/>
      <c r="H68" s="206"/>
      <c r="I68" s="206"/>
      <c r="J68" s="207"/>
      <c r="K68" s="72"/>
      <c r="L68" s="72"/>
      <c r="M68" s="72"/>
      <c r="N68" s="72"/>
      <c r="O68" s="73"/>
    </row>
    <row r="69" spans="2:15" x14ac:dyDescent="0.2">
      <c r="B69" s="72"/>
      <c r="C69" s="72"/>
      <c r="D69" s="204">
        <v>43188</v>
      </c>
      <c r="E69" s="208"/>
      <c r="F69" s="206"/>
      <c r="G69" s="206"/>
      <c r="H69" s="206"/>
      <c r="I69" s="206"/>
      <c r="J69" s="207"/>
      <c r="K69" s="72"/>
      <c r="L69" s="72"/>
      <c r="M69" s="72"/>
      <c r="N69" s="72"/>
      <c r="O69" s="73"/>
    </row>
    <row r="70" spans="2:15" x14ac:dyDescent="0.2">
      <c r="B70" s="72"/>
      <c r="C70" s="72"/>
      <c r="D70" s="204">
        <v>43189</v>
      </c>
      <c r="E70" s="208"/>
      <c r="F70" s="206"/>
      <c r="G70" s="206"/>
      <c r="H70" s="206"/>
      <c r="I70" s="206"/>
      <c r="J70" s="207"/>
      <c r="K70" s="72"/>
      <c r="L70" s="72"/>
      <c r="M70" s="72"/>
      <c r="N70" s="72"/>
      <c r="O70" s="73"/>
    </row>
    <row r="71" spans="2:15" x14ac:dyDescent="0.2">
      <c r="B71" s="72"/>
      <c r="C71" s="72"/>
      <c r="D71" s="204">
        <v>43190</v>
      </c>
      <c r="E71" s="208"/>
      <c r="F71" s="206"/>
      <c r="G71" s="206"/>
      <c r="H71" s="206"/>
      <c r="I71" s="206"/>
      <c r="J71" s="207"/>
      <c r="K71" s="72"/>
      <c r="L71" s="72"/>
      <c r="M71" s="72"/>
      <c r="N71" s="72"/>
      <c r="O71" s="73"/>
    </row>
    <row r="72" spans="2:15" x14ac:dyDescent="0.2">
      <c r="B72" s="72"/>
      <c r="C72" s="72"/>
      <c r="D72" s="204">
        <v>43191</v>
      </c>
      <c r="E72" s="208"/>
      <c r="F72" s="206"/>
      <c r="G72" s="206"/>
      <c r="H72" s="206"/>
      <c r="I72" s="206"/>
      <c r="J72" s="207"/>
      <c r="K72" s="72"/>
      <c r="L72" s="72"/>
      <c r="M72" s="72"/>
      <c r="N72" s="72"/>
      <c r="O72" s="73"/>
    </row>
    <row r="73" spans="2:15" x14ac:dyDescent="0.2">
      <c r="B73" s="72"/>
      <c r="C73" s="72"/>
      <c r="D73" s="204">
        <v>43192</v>
      </c>
      <c r="E73" s="208"/>
      <c r="F73" s="206"/>
      <c r="G73" s="206"/>
      <c r="H73" s="206"/>
      <c r="I73" s="206"/>
      <c r="J73" s="207"/>
      <c r="K73" s="72"/>
      <c r="L73" s="72"/>
      <c r="M73" s="72"/>
      <c r="N73" s="72"/>
      <c r="O73" s="73"/>
    </row>
    <row r="74" spans="2:15" x14ac:dyDescent="0.2">
      <c r="B74" s="72"/>
      <c r="C74" s="72"/>
      <c r="D74" s="204">
        <v>43193</v>
      </c>
      <c r="E74" s="208"/>
      <c r="F74" s="206"/>
      <c r="G74" s="206"/>
      <c r="H74" s="206"/>
      <c r="I74" s="206"/>
      <c r="J74" s="207"/>
      <c r="K74" s="72"/>
      <c r="L74" s="72"/>
      <c r="M74" s="72"/>
      <c r="N74" s="72"/>
      <c r="O74" s="73"/>
    </row>
    <row r="75" spans="2:15" x14ac:dyDescent="0.2">
      <c r="B75" s="72"/>
      <c r="C75" s="72"/>
      <c r="D75" s="204">
        <v>43194</v>
      </c>
      <c r="E75" s="208"/>
      <c r="F75" s="206"/>
      <c r="G75" s="206"/>
      <c r="H75" s="206"/>
      <c r="I75" s="206"/>
      <c r="J75" s="207"/>
      <c r="K75" s="72"/>
      <c r="L75" s="72"/>
      <c r="M75" s="72"/>
      <c r="N75" s="72"/>
      <c r="O75" s="73"/>
    </row>
    <row r="76" spans="2:15" x14ac:dyDescent="0.2">
      <c r="B76" s="72"/>
      <c r="C76" s="72"/>
      <c r="D76" s="204">
        <v>43195</v>
      </c>
      <c r="E76" s="208"/>
      <c r="F76" s="206"/>
      <c r="G76" s="206"/>
      <c r="H76" s="206"/>
      <c r="I76" s="206"/>
      <c r="J76" s="207"/>
      <c r="K76" s="72"/>
      <c r="L76" s="72"/>
      <c r="M76" s="72"/>
      <c r="N76" s="72"/>
      <c r="O76" s="73"/>
    </row>
    <row r="77" spans="2:15" x14ac:dyDescent="0.2">
      <c r="B77" s="72"/>
      <c r="C77" s="72"/>
      <c r="D77" s="204">
        <v>43196</v>
      </c>
      <c r="E77" s="208"/>
      <c r="F77" s="206"/>
      <c r="G77" s="206"/>
      <c r="H77" s="206"/>
      <c r="I77" s="206"/>
      <c r="J77" s="207"/>
      <c r="K77" s="72"/>
      <c r="L77" s="72"/>
      <c r="M77" s="72"/>
      <c r="N77" s="72"/>
      <c r="O77" s="73"/>
    </row>
    <row r="78" spans="2:15" x14ac:dyDescent="0.2">
      <c r="B78" s="72"/>
      <c r="C78" s="72"/>
      <c r="D78" s="204">
        <v>43197</v>
      </c>
      <c r="E78" s="208"/>
      <c r="F78" s="206"/>
      <c r="G78" s="206"/>
      <c r="H78" s="206"/>
      <c r="I78" s="206"/>
      <c r="J78" s="207"/>
      <c r="K78" s="72"/>
      <c r="L78" s="72"/>
      <c r="M78" s="72"/>
      <c r="N78" s="72"/>
      <c r="O78" s="73"/>
    </row>
    <row r="79" spans="2:15" x14ac:dyDescent="0.2">
      <c r="B79" s="72"/>
      <c r="C79" s="72"/>
      <c r="D79" s="204">
        <v>43198</v>
      </c>
      <c r="E79" s="208"/>
      <c r="F79" s="206"/>
      <c r="G79" s="206"/>
      <c r="H79" s="206"/>
      <c r="I79" s="206"/>
      <c r="J79" s="207"/>
      <c r="K79" s="72"/>
      <c r="L79" s="72"/>
      <c r="M79" s="72"/>
      <c r="N79" s="72"/>
      <c r="O79" s="73"/>
    </row>
    <row r="80" spans="2:15" x14ac:dyDescent="0.2">
      <c r="B80" s="72"/>
      <c r="C80" s="72"/>
      <c r="D80" s="204">
        <v>43199</v>
      </c>
      <c r="E80" s="208"/>
      <c r="F80" s="206"/>
      <c r="G80" s="206"/>
      <c r="H80" s="206"/>
      <c r="I80" s="206"/>
      <c r="J80" s="207"/>
      <c r="K80" s="72"/>
      <c r="L80" s="72"/>
      <c r="M80" s="72"/>
      <c r="N80" s="72"/>
      <c r="O80" s="73"/>
    </row>
    <row r="81" spans="2:15" x14ac:dyDescent="0.2">
      <c r="B81" s="72"/>
      <c r="C81" s="72"/>
      <c r="D81" s="204">
        <v>43200</v>
      </c>
      <c r="E81" s="208"/>
      <c r="F81" s="206"/>
      <c r="G81" s="206"/>
      <c r="H81" s="206"/>
      <c r="I81" s="206"/>
      <c r="J81" s="207"/>
      <c r="K81" s="72"/>
      <c r="L81" s="72"/>
      <c r="M81" s="72"/>
      <c r="N81" s="72"/>
      <c r="O81" s="73"/>
    </row>
    <row r="82" spans="2:15" x14ac:dyDescent="0.2">
      <c r="B82" s="72"/>
      <c r="C82" s="72"/>
      <c r="D82" s="204">
        <v>43201</v>
      </c>
      <c r="E82" s="208"/>
      <c r="F82" s="206"/>
      <c r="G82" s="206"/>
      <c r="H82" s="206"/>
      <c r="I82" s="206"/>
      <c r="J82" s="207"/>
      <c r="K82" s="72"/>
      <c r="L82" s="72"/>
      <c r="M82" s="72"/>
      <c r="N82" s="72"/>
      <c r="O82" s="73"/>
    </row>
    <row r="83" spans="2:15" x14ac:dyDescent="0.2">
      <c r="B83" s="72"/>
      <c r="C83" s="72"/>
      <c r="D83" s="204">
        <v>43202</v>
      </c>
      <c r="E83" s="208"/>
      <c r="F83" s="206"/>
      <c r="G83" s="206"/>
      <c r="H83" s="206"/>
      <c r="I83" s="206"/>
      <c r="J83" s="207"/>
      <c r="K83" s="72"/>
      <c r="L83" s="72"/>
      <c r="M83" s="72"/>
      <c r="N83" s="72"/>
      <c r="O83" s="73"/>
    </row>
    <row r="84" spans="2:15" x14ac:dyDescent="0.2">
      <c r="B84" s="72"/>
      <c r="C84" s="72"/>
      <c r="D84" s="204">
        <v>43203</v>
      </c>
      <c r="E84" s="208"/>
      <c r="F84" s="206"/>
      <c r="G84" s="206"/>
      <c r="H84" s="206"/>
      <c r="I84" s="206"/>
      <c r="J84" s="207"/>
      <c r="K84" s="72"/>
      <c r="L84" s="72"/>
      <c r="M84" s="72"/>
      <c r="N84" s="72"/>
      <c r="O84" s="73"/>
    </row>
    <row r="85" spans="2:15" x14ac:dyDescent="0.2">
      <c r="B85" s="72"/>
      <c r="C85" s="72"/>
      <c r="D85" s="204">
        <v>43204</v>
      </c>
      <c r="E85" s="208"/>
      <c r="F85" s="206"/>
      <c r="G85" s="206"/>
      <c r="H85" s="206"/>
      <c r="I85" s="206"/>
      <c r="J85" s="207"/>
      <c r="K85" s="72"/>
      <c r="L85" s="72"/>
      <c r="M85" s="72"/>
      <c r="N85" s="72"/>
      <c r="O85" s="73"/>
    </row>
    <row r="86" spans="2:15" x14ac:dyDescent="0.2">
      <c r="B86" s="72"/>
      <c r="C86" s="72"/>
      <c r="D86" s="204">
        <v>43205</v>
      </c>
      <c r="E86" s="208"/>
      <c r="F86" s="206"/>
      <c r="G86" s="206"/>
      <c r="H86" s="206"/>
      <c r="I86" s="206"/>
      <c r="J86" s="207"/>
      <c r="K86" s="72"/>
      <c r="L86" s="72"/>
      <c r="M86" s="72"/>
      <c r="N86" s="72"/>
      <c r="O86" s="73"/>
    </row>
    <row r="87" spans="2:15" x14ac:dyDescent="0.2">
      <c r="B87" s="72"/>
      <c r="C87" s="72"/>
      <c r="D87" s="204">
        <v>43206</v>
      </c>
      <c r="E87" s="208"/>
      <c r="F87" s="206"/>
      <c r="G87" s="206"/>
      <c r="H87" s="206"/>
      <c r="I87" s="206"/>
      <c r="J87" s="207"/>
      <c r="K87" s="72"/>
      <c r="L87" s="72"/>
      <c r="M87" s="72"/>
      <c r="N87" s="72"/>
      <c r="O87" s="73"/>
    </row>
    <row r="88" spans="2:15" x14ac:dyDescent="0.2">
      <c r="B88" s="72"/>
      <c r="C88" s="72"/>
      <c r="D88" s="204">
        <v>43207</v>
      </c>
      <c r="E88" s="208"/>
      <c r="F88" s="206"/>
      <c r="G88" s="206"/>
      <c r="H88" s="206"/>
      <c r="I88" s="206"/>
      <c r="J88" s="207"/>
      <c r="K88" s="72"/>
      <c r="L88" s="72"/>
      <c r="M88" s="72"/>
      <c r="N88" s="72"/>
      <c r="O88" s="73"/>
    </row>
    <row r="89" spans="2:15" x14ac:dyDescent="0.2">
      <c r="B89" s="72"/>
      <c r="C89" s="72"/>
      <c r="D89" s="204">
        <v>43208</v>
      </c>
      <c r="E89" s="208"/>
      <c r="F89" s="206"/>
      <c r="G89" s="206"/>
      <c r="H89" s="206"/>
      <c r="I89" s="206"/>
      <c r="J89" s="207"/>
      <c r="K89" s="72"/>
      <c r="L89" s="72"/>
      <c r="M89" s="72"/>
      <c r="N89" s="72"/>
      <c r="O89" s="73"/>
    </row>
    <row r="90" spans="2:15" x14ac:dyDescent="0.2">
      <c r="B90" s="72"/>
      <c r="C90" s="72"/>
      <c r="D90" s="204">
        <v>43209</v>
      </c>
      <c r="E90" s="208"/>
      <c r="F90" s="206"/>
      <c r="G90" s="206"/>
      <c r="H90" s="206"/>
      <c r="I90" s="206"/>
      <c r="J90" s="207"/>
      <c r="K90" s="72"/>
      <c r="L90" s="72"/>
      <c r="M90" s="72"/>
      <c r="N90" s="72"/>
      <c r="O90" s="73"/>
    </row>
    <row r="91" spans="2:15" x14ac:dyDescent="0.2">
      <c r="B91" s="72"/>
      <c r="C91" s="72"/>
      <c r="D91" s="204">
        <v>43210</v>
      </c>
      <c r="E91" s="208"/>
      <c r="F91" s="206"/>
      <c r="G91" s="206"/>
      <c r="H91" s="206"/>
      <c r="I91" s="206"/>
      <c r="J91" s="207"/>
      <c r="K91" s="72"/>
      <c r="L91" s="72"/>
      <c r="M91" s="72"/>
      <c r="N91" s="72"/>
      <c r="O91" s="73"/>
    </row>
    <row r="92" spans="2:15" x14ac:dyDescent="0.2">
      <c r="B92" s="72"/>
      <c r="C92" s="72"/>
      <c r="D92" s="204">
        <v>43211</v>
      </c>
      <c r="E92" s="208"/>
      <c r="F92" s="206"/>
      <c r="G92" s="206"/>
      <c r="H92" s="206"/>
      <c r="I92" s="206"/>
      <c r="J92" s="207"/>
      <c r="K92" s="72"/>
      <c r="L92" s="72"/>
      <c r="M92" s="72"/>
      <c r="N92" s="72"/>
      <c r="O92" s="73"/>
    </row>
    <row r="93" spans="2:15" x14ac:dyDescent="0.2">
      <c r="B93" s="72"/>
      <c r="C93" s="72"/>
      <c r="D93" s="204">
        <v>43212</v>
      </c>
      <c r="E93" s="208"/>
      <c r="F93" s="206"/>
      <c r="G93" s="206"/>
      <c r="H93" s="206"/>
      <c r="I93" s="206"/>
      <c r="J93" s="207"/>
      <c r="K93" s="72"/>
      <c r="L93" s="72"/>
      <c r="M93" s="72"/>
      <c r="N93" s="72"/>
      <c r="O93" s="73"/>
    </row>
    <row r="94" spans="2:15" x14ac:dyDescent="0.2">
      <c r="B94" s="72"/>
      <c r="C94" s="72"/>
      <c r="D94" s="204">
        <v>43213</v>
      </c>
      <c r="E94" s="208"/>
      <c r="F94" s="206"/>
      <c r="G94" s="206"/>
      <c r="H94" s="206"/>
      <c r="I94" s="206"/>
      <c r="J94" s="207"/>
      <c r="K94" s="72"/>
      <c r="L94" s="72"/>
      <c r="M94" s="72"/>
      <c r="N94" s="72"/>
      <c r="O94" s="73"/>
    </row>
    <row r="95" spans="2:15" x14ac:dyDescent="0.2">
      <c r="B95" s="72"/>
      <c r="C95" s="72"/>
      <c r="D95" s="204">
        <v>43214</v>
      </c>
      <c r="E95" s="208"/>
      <c r="F95" s="206"/>
      <c r="G95" s="206"/>
      <c r="H95" s="206"/>
      <c r="I95" s="206"/>
      <c r="J95" s="207"/>
      <c r="K95" s="72"/>
      <c r="L95" s="72"/>
      <c r="M95" s="72"/>
      <c r="N95" s="72"/>
      <c r="O95" s="73"/>
    </row>
    <row r="96" spans="2:15" x14ac:dyDescent="0.2">
      <c r="B96" s="72"/>
      <c r="C96" s="72"/>
      <c r="D96" s="204">
        <v>43215</v>
      </c>
      <c r="E96" s="208"/>
      <c r="F96" s="206"/>
      <c r="G96" s="206"/>
      <c r="H96" s="206"/>
      <c r="I96" s="206"/>
      <c r="J96" s="207"/>
      <c r="K96" s="72"/>
      <c r="L96" s="72"/>
      <c r="M96" s="72"/>
      <c r="N96" s="72"/>
      <c r="O96" s="73"/>
    </row>
    <row r="97" spans="2:15" x14ac:dyDescent="0.2">
      <c r="B97" s="72"/>
      <c r="C97" s="72"/>
      <c r="D97" s="204">
        <v>43216</v>
      </c>
      <c r="E97" s="208"/>
      <c r="F97" s="206"/>
      <c r="G97" s="206"/>
      <c r="H97" s="206"/>
      <c r="I97" s="206"/>
      <c r="J97" s="207"/>
      <c r="K97" s="72"/>
      <c r="L97" s="72"/>
      <c r="M97" s="72"/>
      <c r="N97" s="72"/>
      <c r="O97" s="73"/>
    </row>
    <row r="98" spans="2:15" x14ac:dyDescent="0.2">
      <c r="B98" s="72"/>
      <c r="C98" s="72"/>
      <c r="D98" s="204">
        <v>43217</v>
      </c>
      <c r="E98" s="208"/>
      <c r="F98" s="206"/>
      <c r="G98" s="206"/>
      <c r="H98" s="206"/>
      <c r="I98" s="206"/>
      <c r="J98" s="207"/>
      <c r="K98" s="72"/>
      <c r="L98" s="72"/>
      <c r="M98" s="72"/>
      <c r="N98" s="72"/>
      <c r="O98" s="73"/>
    </row>
    <row r="99" spans="2:15" x14ac:dyDescent="0.2">
      <c r="B99" s="72"/>
      <c r="C99" s="72"/>
      <c r="D99" s="204">
        <v>43218</v>
      </c>
      <c r="E99" s="208"/>
      <c r="F99" s="206"/>
      <c r="G99" s="206"/>
      <c r="H99" s="206"/>
      <c r="I99" s="206"/>
      <c r="J99" s="207"/>
      <c r="K99" s="72"/>
      <c r="L99" s="72"/>
      <c r="M99" s="72"/>
      <c r="N99" s="72"/>
      <c r="O99" s="73"/>
    </row>
    <row r="100" spans="2:15" x14ac:dyDescent="0.2">
      <c r="B100" s="72"/>
      <c r="C100" s="72"/>
      <c r="D100" s="204">
        <v>43219</v>
      </c>
      <c r="E100" s="208"/>
      <c r="F100" s="206"/>
      <c r="G100" s="206"/>
      <c r="H100" s="206"/>
      <c r="I100" s="206"/>
      <c r="J100" s="207"/>
      <c r="K100" s="72"/>
      <c r="L100" s="72"/>
      <c r="M100" s="72"/>
      <c r="N100" s="72"/>
      <c r="O100" s="73"/>
    </row>
    <row r="101" spans="2:15" x14ac:dyDescent="0.2">
      <c r="B101" s="72"/>
      <c r="C101" s="72"/>
      <c r="D101" s="204">
        <v>43220</v>
      </c>
      <c r="E101" s="208"/>
      <c r="F101" s="206"/>
      <c r="G101" s="206"/>
      <c r="H101" s="206"/>
      <c r="I101" s="206"/>
      <c r="J101" s="207"/>
      <c r="K101" s="72"/>
      <c r="L101" s="72"/>
      <c r="M101" s="72"/>
      <c r="N101" s="72"/>
      <c r="O101" s="73"/>
    </row>
    <row r="102" spans="2:15" x14ac:dyDescent="0.2">
      <c r="B102" s="72"/>
      <c r="C102" s="72"/>
      <c r="D102" s="204">
        <v>43221</v>
      </c>
      <c r="E102" s="208"/>
      <c r="F102" s="206"/>
      <c r="G102" s="206"/>
      <c r="H102" s="206"/>
      <c r="I102" s="206"/>
      <c r="J102" s="207"/>
      <c r="K102" s="72"/>
      <c r="L102" s="72"/>
      <c r="M102" s="72"/>
      <c r="N102" s="72"/>
      <c r="O102" s="73"/>
    </row>
    <row r="103" spans="2:15" x14ac:dyDescent="0.2">
      <c r="B103" s="72"/>
      <c r="C103" s="72"/>
      <c r="D103" s="204">
        <v>43222</v>
      </c>
      <c r="E103" s="208"/>
      <c r="F103" s="206"/>
      <c r="G103" s="206"/>
      <c r="H103" s="206"/>
      <c r="I103" s="206"/>
      <c r="J103" s="207"/>
      <c r="K103" s="72"/>
      <c r="L103" s="72"/>
      <c r="M103" s="72"/>
      <c r="N103" s="72"/>
      <c r="O103" s="73"/>
    </row>
    <row r="104" spans="2:15" x14ac:dyDescent="0.2">
      <c r="B104" s="72"/>
      <c r="C104" s="72"/>
      <c r="D104" s="204">
        <v>43223</v>
      </c>
      <c r="E104" s="208"/>
      <c r="F104" s="206"/>
      <c r="G104" s="206"/>
      <c r="H104" s="206"/>
      <c r="I104" s="206"/>
      <c r="J104" s="207"/>
      <c r="K104" s="72"/>
      <c r="L104" s="72"/>
      <c r="M104" s="72"/>
      <c r="N104" s="72"/>
      <c r="O104" s="73"/>
    </row>
    <row r="105" spans="2:15" x14ac:dyDescent="0.2">
      <c r="B105" s="72"/>
      <c r="C105" s="72"/>
      <c r="D105" s="204">
        <v>43224</v>
      </c>
      <c r="E105" s="208"/>
      <c r="F105" s="206"/>
      <c r="G105" s="206"/>
      <c r="H105" s="206"/>
      <c r="I105" s="206"/>
      <c r="J105" s="207"/>
      <c r="K105" s="72"/>
      <c r="L105" s="72"/>
      <c r="M105" s="72"/>
      <c r="N105" s="72"/>
      <c r="O105" s="73"/>
    </row>
    <row r="106" spans="2:15" x14ac:dyDescent="0.2">
      <c r="B106" s="72"/>
      <c r="C106" s="72"/>
      <c r="D106" s="204">
        <v>43225</v>
      </c>
      <c r="E106" s="208"/>
      <c r="F106" s="206"/>
      <c r="G106" s="206"/>
      <c r="H106" s="206"/>
      <c r="I106" s="206"/>
      <c r="J106" s="207"/>
      <c r="K106" s="72"/>
      <c r="L106" s="72"/>
      <c r="M106" s="72"/>
      <c r="N106" s="72"/>
      <c r="O106" s="73"/>
    </row>
    <row r="107" spans="2:15" x14ac:dyDescent="0.2">
      <c r="B107" s="72"/>
      <c r="C107" s="72"/>
      <c r="D107" s="204">
        <v>43226</v>
      </c>
      <c r="E107" s="208"/>
      <c r="F107" s="206"/>
      <c r="G107" s="206"/>
      <c r="H107" s="206"/>
      <c r="I107" s="206"/>
      <c r="J107" s="207"/>
      <c r="K107" s="72"/>
      <c r="L107" s="72"/>
      <c r="M107" s="72"/>
      <c r="N107" s="72"/>
      <c r="O107" s="73"/>
    </row>
    <row r="108" spans="2:15" x14ac:dyDescent="0.2">
      <c r="B108" s="72"/>
      <c r="C108" s="72"/>
      <c r="D108" s="204">
        <v>43227</v>
      </c>
      <c r="E108" s="208"/>
      <c r="F108" s="206"/>
      <c r="G108" s="206"/>
      <c r="H108" s="206"/>
      <c r="I108" s="206"/>
      <c r="J108" s="207"/>
      <c r="K108" s="72"/>
      <c r="L108" s="72"/>
      <c r="M108" s="72"/>
      <c r="N108" s="72"/>
      <c r="O108" s="73"/>
    </row>
    <row r="109" spans="2:15" x14ac:dyDescent="0.2">
      <c r="B109" s="72"/>
      <c r="C109" s="72"/>
      <c r="D109" s="204">
        <v>43228</v>
      </c>
      <c r="E109" s="208"/>
      <c r="F109" s="206"/>
      <c r="G109" s="206"/>
      <c r="H109" s="206"/>
      <c r="I109" s="206"/>
      <c r="J109" s="207"/>
      <c r="K109" s="72"/>
      <c r="L109" s="72"/>
      <c r="M109" s="72"/>
      <c r="N109" s="72"/>
      <c r="O109" s="73"/>
    </row>
    <row r="110" spans="2:15" x14ac:dyDescent="0.2">
      <c r="B110" s="72"/>
      <c r="C110" s="72"/>
      <c r="D110" s="204">
        <v>43229</v>
      </c>
      <c r="E110" s="208"/>
      <c r="F110" s="206"/>
      <c r="G110" s="206"/>
      <c r="H110" s="206"/>
      <c r="I110" s="206"/>
      <c r="J110" s="207"/>
      <c r="K110" s="72"/>
      <c r="L110" s="72"/>
      <c r="M110" s="72"/>
      <c r="N110" s="72"/>
      <c r="O110" s="73"/>
    </row>
    <row r="111" spans="2:15" x14ac:dyDescent="0.2">
      <c r="B111" s="72"/>
      <c r="C111" s="72"/>
      <c r="D111" s="204">
        <v>43230</v>
      </c>
      <c r="E111" s="208"/>
      <c r="F111" s="206"/>
      <c r="G111" s="206"/>
      <c r="H111" s="206"/>
      <c r="I111" s="206"/>
      <c r="J111" s="207"/>
      <c r="K111" s="72"/>
      <c r="L111" s="72"/>
      <c r="M111" s="72"/>
      <c r="N111" s="72"/>
      <c r="O111" s="73"/>
    </row>
    <row r="112" spans="2:15" x14ac:dyDescent="0.2">
      <c r="B112" s="72"/>
      <c r="C112" s="72"/>
      <c r="D112" s="204">
        <v>43231</v>
      </c>
      <c r="E112" s="208"/>
      <c r="F112" s="206"/>
      <c r="G112" s="206"/>
      <c r="H112" s="206"/>
      <c r="I112" s="206"/>
      <c r="J112" s="207"/>
      <c r="K112" s="72"/>
      <c r="L112" s="72"/>
      <c r="M112" s="72"/>
      <c r="N112" s="72"/>
      <c r="O112" s="73"/>
    </row>
    <row r="113" spans="2:15" x14ac:dyDescent="0.2">
      <c r="B113" s="72"/>
      <c r="C113" s="72"/>
      <c r="D113" s="204">
        <v>43232</v>
      </c>
      <c r="E113" s="208"/>
      <c r="F113" s="206"/>
      <c r="G113" s="206"/>
      <c r="H113" s="206"/>
      <c r="I113" s="206"/>
      <c r="J113" s="207"/>
      <c r="K113" s="72"/>
      <c r="L113" s="72"/>
      <c r="M113" s="72"/>
      <c r="N113" s="72"/>
      <c r="O113" s="73"/>
    </row>
    <row r="114" spans="2:15" x14ac:dyDescent="0.2">
      <c r="B114" s="72"/>
      <c r="C114" s="72"/>
      <c r="D114" s="204">
        <v>43233</v>
      </c>
      <c r="E114" s="208"/>
      <c r="F114" s="206"/>
      <c r="G114" s="206"/>
      <c r="H114" s="206"/>
      <c r="I114" s="206"/>
      <c r="J114" s="207"/>
      <c r="K114" s="72"/>
      <c r="L114" s="72"/>
      <c r="M114" s="72"/>
      <c r="N114" s="72"/>
      <c r="O114" s="73"/>
    </row>
    <row r="115" spans="2:15" x14ac:dyDescent="0.2">
      <c r="B115" s="72"/>
      <c r="C115" s="72"/>
      <c r="D115" s="204">
        <v>43234</v>
      </c>
      <c r="E115" s="208"/>
      <c r="F115" s="206"/>
      <c r="G115" s="206"/>
      <c r="H115" s="206"/>
      <c r="I115" s="206"/>
      <c r="J115" s="207"/>
      <c r="K115" s="72"/>
      <c r="L115" s="72"/>
      <c r="M115" s="72"/>
      <c r="N115" s="72"/>
      <c r="O115" s="73"/>
    </row>
    <row r="116" spans="2:15" x14ac:dyDescent="0.2">
      <c r="B116" s="72"/>
      <c r="C116" s="72"/>
      <c r="D116" s="204">
        <v>43235</v>
      </c>
      <c r="E116" s="208"/>
      <c r="F116" s="206"/>
      <c r="G116" s="206"/>
      <c r="H116" s="206"/>
      <c r="I116" s="206"/>
      <c r="J116" s="207"/>
      <c r="K116" s="72"/>
      <c r="L116" s="72"/>
      <c r="M116" s="72"/>
      <c r="N116" s="72"/>
      <c r="O116" s="73"/>
    </row>
    <row r="117" spans="2:15" x14ac:dyDescent="0.2">
      <c r="B117" s="72"/>
      <c r="C117" s="72"/>
      <c r="D117" s="204">
        <v>43236</v>
      </c>
      <c r="E117" s="208"/>
      <c r="F117" s="206"/>
      <c r="G117" s="206"/>
      <c r="H117" s="206"/>
      <c r="I117" s="206"/>
      <c r="J117" s="207"/>
      <c r="K117" s="72"/>
      <c r="L117" s="72"/>
      <c r="M117" s="72"/>
      <c r="N117" s="72"/>
      <c r="O117" s="73"/>
    </row>
    <row r="118" spans="2:15" x14ac:dyDescent="0.2">
      <c r="B118" s="72"/>
      <c r="C118" s="72"/>
      <c r="D118" s="204">
        <v>43237</v>
      </c>
      <c r="E118" s="208"/>
      <c r="F118" s="206"/>
      <c r="G118" s="206"/>
      <c r="H118" s="206"/>
      <c r="I118" s="206"/>
      <c r="J118" s="207"/>
      <c r="K118" s="72"/>
      <c r="L118" s="72"/>
      <c r="M118" s="72"/>
      <c r="N118" s="72"/>
      <c r="O118" s="73"/>
    </row>
    <row r="119" spans="2:15" x14ac:dyDescent="0.2">
      <c r="B119" s="72"/>
      <c r="C119" s="72"/>
      <c r="D119" s="204">
        <v>43238</v>
      </c>
      <c r="E119" s="208"/>
      <c r="F119" s="206"/>
      <c r="G119" s="206"/>
      <c r="H119" s="206"/>
      <c r="I119" s="206"/>
      <c r="J119" s="207"/>
      <c r="K119" s="72"/>
      <c r="L119" s="72"/>
      <c r="M119" s="72"/>
      <c r="N119" s="72"/>
      <c r="O119" s="73"/>
    </row>
    <row r="120" spans="2:15" x14ac:dyDescent="0.2">
      <c r="B120" s="72"/>
      <c r="C120" s="72"/>
      <c r="D120" s="204">
        <v>43239</v>
      </c>
      <c r="E120" s="208"/>
      <c r="F120" s="206"/>
      <c r="G120" s="206"/>
      <c r="H120" s="206"/>
      <c r="I120" s="206"/>
      <c r="J120" s="207"/>
      <c r="K120" s="72"/>
      <c r="L120" s="72"/>
      <c r="M120" s="72"/>
      <c r="N120" s="72"/>
      <c r="O120" s="73"/>
    </row>
    <row r="121" spans="2:15" x14ac:dyDescent="0.2">
      <c r="B121" s="72"/>
      <c r="C121" s="72"/>
      <c r="D121" s="204">
        <v>43240</v>
      </c>
      <c r="E121" s="208"/>
      <c r="F121" s="206"/>
      <c r="G121" s="206"/>
      <c r="H121" s="206"/>
      <c r="I121" s="206"/>
      <c r="J121" s="207"/>
      <c r="K121" s="72"/>
      <c r="L121" s="72"/>
      <c r="M121" s="72"/>
      <c r="N121" s="72"/>
      <c r="O121" s="73"/>
    </row>
    <row r="122" spans="2:15" x14ac:dyDescent="0.2">
      <c r="B122" s="72"/>
      <c r="C122" s="72"/>
      <c r="D122" s="204">
        <v>43241</v>
      </c>
      <c r="E122" s="208"/>
      <c r="F122" s="206"/>
      <c r="G122" s="206"/>
      <c r="H122" s="206"/>
      <c r="I122" s="206"/>
      <c r="J122" s="207"/>
      <c r="K122" s="72"/>
      <c r="L122" s="72"/>
      <c r="M122" s="72"/>
      <c r="N122" s="72"/>
      <c r="O122" s="73"/>
    </row>
    <row r="123" spans="2:15" x14ac:dyDescent="0.2">
      <c r="B123" s="72"/>
      <c r="C123" s="72"/>
      <c r="D123" s="204">
        <v>43242</v>
      </c>
      <c r="E123" s="208"/>
      <c r="F123" s="206"/>
      <c r="G123" s="206"/>
      <c r="H123" s="206"/>
      <c r="I123" s="206"/>
      <c r="J123" s="207"/>
      <c r="K123" s="72"/>
      <c r="L123" s="72"/>
      <c r="M123" s="72"/>
      <c r="N123" s="72"/>
      <c r="O123" s="73"/>
    </row>
    <row r="124" spans="2:15" x14ac:dyDescent="0.2">
      <c r="B124" s="72"/>
      <c r="C124" s="72"/>
      <c r="D124" s="204">
        <v>43243</v>
      </c>
      <c r="E124" s="208"/>
      <c r="F124" s="206"/>
      <c r="G124" s="206"/>
      <c r="H124" s="206"/>
      <c r="I124" s="206"/>
      <c r="J124" s="207"/>
      <c r="K124" s="72"/>
      <c r="L124" s="72"/>
      <c r="M124" s="72"/>
      <c r="N124" s="72"/>
      <c r="O124" s="73"/>
    </row>
    <row r="125" spans="2:15" x14ac:dyDescent="0.2">
      <c r="B125" s="72"/>
      <c r="C125" s="72"/>
      <c r="D125" s="204">
        <v>43244</v>
      </c>
      <c r="E125" s="208"/>
      <c r="F125" s="206"/>
      <c r="G125" s="206"/>
      <c r="H125" s="206"/>
      <c r="I125" s="206"/>
      <c r="J125" s="207"/>
      <c r="K125" s="72"/>
      <c r="L125" s="72"/>
      <c r="M125" s="72"/>
      <c r="N125" s="72"/>
      <c r="O125" s="73"/>
    </row>
    <row r="126" spans="2:15" x14ac:dyDescent="0.2">
      <c r="B126" s="72"/>
      <c r="C126" s="72"/>
      <c r="D126" s="204">
        <v>43245</v>
      </c>
      <c r="E126" s="208"/>
      <c r="F126" s="206"/>
      <c r="G126" s="206"/>
      <c r="H126" s="206"/>
      <c r="I126" s="206"/>
      <c r="J126" s="207"/>
      <c r="K126" s="72"/>
      <c r="L126" s="72"/>
      <c r="M126" s="72"/>
      <c r="N126" s="72"/>
      <c r="O126" s="73"/>
    </row>
    <row r="127" spans="2:15" x14ac:dyDescent="0.2">
      <c r="B127" s="72"/>
      <c r="C127" s="72"/>
      <c r="D127" s="204">
        <v>43246</v>
      </c>
      <c r="E127" s="208"/>
      <c r="F127" s="206"/>
      <c r="G127" s="206"/>
      <c r="H127" s="206"/>
      <c r="I127" s="206"/>
      <c r="J127" s="207"/>
      <c r="K127" s="72"/>
      <c r="L127" s="72"/>
      <c r="M127" s="72"/>
      <c r="N127" s="72"/>
      <c r="O127" s="73"/>
    </row>
    <row r="128" spans="2:15" x14ac:dyDescent="0.2">
      <c r="B128" s="72"/>
      <c r="C128" s="72"/>
      <c r="D128" s="204">
        <v>43247</v>
      </c>
      <c r="E128" s="208"/>
      <c r="F128" s="206"/>
      <c r="G128" s="206"/>
      <c r="H128" s="206"/>
      <c r="I128" s="206"/>
      <c r="J128" s="207"/>
      <c r="K128" s="72"/>
      <c r="L128" s="72"/>
      <c r="M128" s="72"/>
      <c r="N128" s="72"/>
      <c r="O128" s="73"/>
    </row>
    <row r="129" spans="2:15" x14ac:dyDescent="0.2">
      <c r="B129" s="72"/>
      <c r="C129" s="72"/>
      <c r="D129" s="204">
        <v>43248</v>
      </c>
      <c r="E129" s="208"/>
      <c r="F129" s="206"/>
      <c r="G129" s="206"/>
      <c r="H129" s="206"/>
      <c r="I129" s="206"/>
      <c r="J129" s="207"/>
      <c r="K129" s="72"/>
      <c r="L129" s="72"/>
      <c r="M129" s="72"/>
      <c r="N129" s="72"/>
      <c r="O129" s="73"/>
    </row>
    <row r="130" spans="2:15" x14ac:dyDescent="0.2">
      <c r="B130" s="72"/>
      <c r="C130" s="72"/>
      <c r="D130" s="204">
        <v>43249</v>
      </c>
      <c r="E130" s="208"/>
      <c r="F130" s="206"/>
      <c r="G130" s="206"/>
      <c r="H130" s="206"/>
      <c r="I130" s="206"/>
      <c r="J130" s="207"/>
      <c r="K130" s="72"/>
      <c r="L130" s="72"/>
      <c r="M130" s="72"/>
      <c r="N130" s="72"/>
      <c r="O130" s="73"/>
    </row>
    <row r="131" spans="2:15" x14ac:dyDescent="0.2">
      <c r="B131" s="72"/>
      <c r="C131" s="72"/>
      <c r="D131" s="204">
        <v>43250</v>
      </c>
      <c r="E131" s="208"/>
      <c r="F131" s="206"/>
      <c r="G131" s="206"/>
      <c r="H131" s="206"/>
      <c r="I131" s="206"/>
      <c r="J131" s="207"/>
      <c r="K131" s="72"/>
      <c r="L131" s="72"/>
      <c r="M131" s="72"/>
      <c r="N131" s="72"/>
      <c r="O131" s="73"/>
    </row>
    <row r="132" spans="2:15" x14ac:dyDescent="0.2">
      <c r="B132" s="72"/>
      <c r="C132" s="72"/>
      <c r="D132" s="204">
        <v>43251</v>
      </c>
      <c r="E132" s="208"/>
      <c r="F132" s="206"/>
      <c r="G132" s="206"/>
      <c r="H132" s="206"/>
      <c r="I132" s="206"/>
      <c r="J132" s="207"/>
      <c r="K132" s="72"/>
      <c r="L132" s="72"/>
      <c r="M132" s="72"/>
      <c r="N132" s="72"/>
      <c r="O132" s="73"/>
    </row>
    <row r="133" spans="2:15" x14ac:dyDescent="0.2">
      <c r="B133" s="72"/>
      <c r="C133" s="72"/>
      <c r="D133" s="204">
        <v>43252</v>
      </c>
      <c r="E133" s="208"/>
      <c r="F133" s="206"/>
      <c r="G133" s="206"/>
      <c r="H133" s="206"/>
      <c r="I133" s="206"/>
      <c r="J133" s="207"/>
      <c r="K133" s="72"/>
      <c r="L133" s="72"/>
      <c r="M133" s="72"/>
      <c r="N133" s="72"/>
      <c r="O133" s="73"/>
    </row>
    <row r="134" spans="2:15" x14ac:dyDescent="0.2">
      <c r="B134" s="72"/>
      <c r="C134" s="72"/>
      <c r="D134" s="204">
        <v>43253</v>
      </c>
      <c r="E134" s="208"/>
      <c r="F134" s="206"/>
      <c r="G134" s="206"/>
      <c r="H134" s="206"/>
      <c r="I134" s="206"/>
      <c r="J134" s="207"/>
      <c r="K134" s="72"/>
      <c r="L134" s="72"/>
      <c r="M134" s="72"/>
      <c r="N134" s="72"/>
      <c r="O134" s="73"/>
    </row>
    <row r="135" spans="2:15" x14ac:dyDescent="0.2">
      <c r="B135" s="72"/>
      <c r="C135" s="72"/>
      <c r="D135" s="204">
        <v>43254</v>
      </c>
      <c r="E135" s="208"/>
      <c r="F135" s="206"/>
      <c r="G135" s="206"/>
      <c r="H135" s="206"/>
      <c r="I135" s="206"/>
      <c r="J135" s="207"/>
      <c r="K135" s="72"/>
      <c r="L135" s="72"/>
      <c r="M135" s="72"/>
      <c r="N135" s="72"/>
      <c r="O135" s="73"/>
    </row>
    <row r="136" spans="2:15" x14ac:dyDescent="0.2">
      <c r="B136" s="72"/>
      <c r="C136" s="72"/>
      <c r="D136" s="204">
        <v>43255</v>
      </c>
      <c r="E136" s="208"/>
      <c r="F136" s="206"/>
      <c r="G136" s="206"/>
      <c r="H136" s="206"/>
      <c r="I136" s="206"/>
      <c r="J136" s="207"/>
      <c r="K136" s="72"/>
      <c r="L136" s="72"/>
      <c r="M136" s="72"/>
      <c r="N136" s="72"/>
      <c r="O136" s="73"/>
    </row>
    <row r="137" spans="2:15" x14ac:dyDescent="0.2">
      <c r="B137" s="72"/>
      <c r="C137" s="72"/>
      <c r="D137" s="204">
        <v>43256</v>
      </c>
      <c r="E137" s="208"/>
      <c r="F137" s="206"/>
      <c r="G137" s="206"/>
      <c r="H137" s="206"/>
      <c r="I137" s="206"/>
      <c r="J137" s="207"/>
      <c r="K137" s="72"/>
      <c r="L137" s="72"/>
      <c r="M137" s="72"/>
      <c r="N137" s="72"/>
      <c r="O137" s="73"/>
    </row>
    <row r="138" spans="2:15" x14ac:dyDescent="0.2">
      <c r="B138" s="72"/>
      <c r="C138" s="72"/>
      <c r="D138" s="204">
        <v>43257</v>
      </c>
      <c r="E138" s="208"/>
      <c r="F138" s="206"/>
      <c r="G138" s="206"/>
      <c r="H138" s="206"/>
      <c r="I138" s="206"/>
      <c r="J138" s="207"/>
      <c r="K138" s="72"/>
      <c r="L138" s="72"/>
      <c r="M138" s="72"/>
      <c r="N138" s="72"/>
      <c r="O138" s="73"/>
    </row>
    <row r="139" spans="2:15" x14ac:dyDescent="0.2">
      <c r="B139" s="72"/>
      <c r="C139" s="72"/>
      <c r="D139" s="204">
        <v>43258</v>
      </c>
      <c r="E139" s="210"/>
      <c r="F139" s="211"/>
      <c r="G139" s="211"/>
      <c r="H139" s="211"/>
      <c r="I139" s="211"/>
      <c r="J139" s="212"/>
      <c r="K139" s="74"/>
      <c r="L139" s="74"/>
      <c r="M139" s="74"/>
      <c r="N139" s="74"/>
      <c r="O139" s="75"/>
    </row>
  </sheetData>
  <conditionalFormatting sqref="G3:J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J139">
    <cfRule type="expression" dxfId="4" priority="6">
      <formula>INDIRECT("D"&amp;ROW())=TODAY()</formula>
    </cfRule>
  </conditionalFormatting>
  <conditionalFormatting sqref="D9:D139">
    <cfRule type="timePeriod" dxfId="3"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E49" sqref="E49"/>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5" t="s">
        <v>19</v>
      </c>
      <c r="F4" s="23"/>
      <c r="G4" s="23"/>
      <c r="H4" s="23"/>
      <c r="I4" s="13"/>
      <c r="J4" s="40">
        <f ca="1">TODAY()</f>
        <v>43144</v>
      </c>
      <c r="L4" s="32"/>
    </row>
    <row r="5" spans="1:20" s="49" customFormat="1" x14ac:dyDescent="0.2">
      <c r="A5" s="10"/>
      <c r="B5" s="45"/>
      <c r="C5" s="45"/>
      <c r="D5" s="46"/>
      <c r="E5" s="46"/>
      <c r="F5" s="47"/>
      <c r="G5" s="47"/>
      <c r="H5" s="47"/>
      <c r="I5" s="48"/>
    </row>
    <row r="6" spans="1:20" s="53" customFormat="1" ht="22.5" customHeight="1" x14ac:dyDescent="0.2">
      <c r="A6" s="44"/>
      <c r="B6" s="68"/>
      <c r="C6" s="68"/>
      <c r="D6" s="68"/>
      <c r="E6" s="68"/>
      <c r="F6" s="68"/>
      <c r="G6" s="68"/>
      <c r="H6" s="68"/>
      <c r="I6" s="68"/>
      <c r="J6" s="68"/>
      <c r="K6" s="68"/>
      <c r="L6" s="62"/>
      <c r="M6" s="62"/>
    </row>
    <row r="7" spans="1:20" ht="22.5" customHeight="1" x14ac:dyDescent="0.2">
      <c r="B7" s="62"/>
      <c r="C7" s="57"/>
      <c r="D7" s="57"/>
      <c r="E7" s="60" t="s">
        <v>12</v>
      </c>
      <c r="F7" s="57"/>
      <c r="G7" s="57"/>
      <c r="H7" s="57"/>
      <c r="I7" s="68"/>
      <c r="J7" s="68"/>
      <c r="K7" s="68"/>
      <c r="L7" s="62"/>
      <c r="M7" s="62"/>
    </row>
    <row r="8" spans="1:20" x14ac:dyDescent="0.2">
      <c r="B8" s="62"/>
      <c r="C8" s="57"/>
      <c r="D8" s="57"/>
      <c r="E8" s="57"/>
      <c r="F8" s="57"/>
      <c r="G8" s="57"/>
      <c r="H8" s="57"/>
      <c r="I8" s="68"/>
      <c r="J8" s="68"/>
      <c r="K8" s="68"/>
      <c r="L8" s="62"/>
      <c r="M8" s="63"/>
      <c r="N8" s="52"/>
      <c r="O8" s="52"/>
      <c r="P8" s="52"/>
      <c r="Q8" s="52"/>
      <c r="R8" s="52"/>
      <c r="S8" s="52"/>
      <c r="T8" s="52"/>
    </row>
    <row r="9" spans="1:20" x14ac:dyDescent="0.2">
      <c r="B9" s="62"/>
      <c r="C9" s="57"/>
      <c r="D9" s="106"/>
      <c r="E9" s="105" t="s">
        <v>17</v>
      </c>
      <c r="F9" s="105" t="s">
        <v>18</v>
      </c>
      <c r="G9" s="105" t="s">
        <v>17</v>
      </c>
      <c r="H9" s="57"/>
      <c r="I9" s="68"/>
      <c r="J9" s="68"/>
      <c r="K9" s="68"/>
      <c r="L9" s="62"/>
      <c r="M9" s="62"/>
    </row>
    <row r="10" spans="1:20" x14ac:dyDescent="0.2">
      <c r="B10" s="62"/>
      <c r="C10" s="57"/>
      <c r="D10" s="107"/>
      <c r="E10" s="108">
        <f ca="1">TODAY()</f>
        <v>43144</v>
      </c>
      <c r="F10" s="109" t="s">
        <v>13</v>
      </c>
      <c r="G10" s="110" t="s">
        <v>14</v>
      </c>
      <c r="H10" s="57"/>
      <c r="I10" s="68"/>
      <c r="J10" s="68"/>
      <c r="K10" s="68"/>
      <c r="L10" s="62"/>
      <c r="M10" s="62"/>
    </row>
    <row r="11" spans="1:20" x14ac:dyDescent="0.2">
      <c r="B11" s="62"/>
      <c r="C11" s="57"/>
      <c r="D11" s="111">
        <v>0</v>
      </c>
      <c r="E11" s="42">
        <v>0</v>
      </c>
      <c r="F11" s="42"/>
      <c r="G11" s="73"/>
      <c r="H11" s="57"/>
      <c r="I11" s="68"/>
      <c r="J11" s="68"/>
      <c r="K11" s="68"/>
      <c r="L11" s="62"/>
      <c r="M11" s="62"/>
    </row>
    <row r="12" spans="1:20" x14ac:dyDescent="0.2">
      <c r="B12" s="62"/>
      <c r="C12" s="57"/>
      <c r="D12" s="111">
        <v>4.1666666666666699E-2</v>
      </c>
      <c r="E12" s="42">
        <v>0</v>
      </c>
      <c r="F12" s="42"/>
      <c r="G12" s="73"/>
      <c r="H12" s="57"/>
      <c r="I12" s="68"/>
      <c r="J12" s="68"/>
      <c r="K12" s="68"/>
      <c r="L12" s="62"/>
      <c r="M12" s="62"/>
    </row>
    <row r="13" spans="1:20" x14ac:dyDescent="0.2">
      <c r="B13" s="62"/>
      <c r="C13" s="57"/>
      <c r="D13" s="111">
        <v>8.3333333333333301E-2</v>
      </c>
      <c r="E13" s="42">
        <v>0</v>
      </c>
      <c r="F13" s="42"/>
      <c r="G13" s="73"/>
      <c r="H13" s="57"/>
      <c r="I13" s="68"/>
      <c r="J13" s="68"/>
      <c r="K13" s="68"/>
      <c r="L13" s="62"/>
      <c r="M13" s="62"/>
    </row>
    <row r="14" spans="1:20" x14ac:dyDescent="0.2">
      <c r="B14" s="62"/>
      <c r="C14" s="57"/>
      <c r="D14" s="111">
        <v>0.125</v>
      </c>
      <c r="E14" s="42">
        <v>0</v>
      </c>
      <c r="F14" s="42" t="s">
        <v>83</v>
      </c>
      <c r="G14" s="73"/>
      <c r="H14" s="57"/>
      <c r="I14" s="68"/>
      <c r="J14" s="68"/>
      <c r="K14" s="68"/>
      <c r="L14" s="62"/>
      <c r="M14" s="62"/>
    </row>
    <row r="15" spans="1:20" x14ac:dyDescent="0.2">
      <c r="B15" s="62"/>
      <c r="C15" s="57"/>
      <c r="D15" s="111">
        <v>0.16666666666666699</v>
      </c>
      <c r="E15" s="42">
        <v>0</v>
      </c>
      <c r="F15" s="42" t="s">
        <v>88</v>
      </c>
      <c r="G15" s="73"/>
      <c r="H15" s="57"/>
      <c r="I15" s="68"/>
      <c r="J15" s="68"/>
      <c r="K15" s="68"/>
      <c r="L15" s="62"/>
      <c r="M15" s="62"/>
    </row>
    <row r="16" spans="1:20" x14ac:dyDescent="0.2">
      <c r="B16" s="62"/>
      <c r="C16" s="57"/>
      <c r="D16" s="111">
        <v>0.20833333333333301</v>
      </c>
      <c r="E16" s="42">
        <v>1</v>
      </c>
      <c r="F16" s="42" t="s">
        <v>88</v>
      </c>
      <c r="G16" s="73"/>
      <c r="H16" s="57"/>
      <c r="I16" s="68"/>
      <c r="J16" s="68"/>
      <c r="K16" s="68"/>
      <c r="L16" s="62"/>
      <c r="M16" s="62"/>
    </row>
    <row r="17" spans="2:13" x14ac:dyDescent="0.2">
      <c r="B17" s="62"/>
      <c r="C17" s="57"/>
      <c r="D17" s="111">
        <v>0.25</v>
      </c>
      <c r="E17" s="42">
        <v>0</v>
      </c>
      <c r="F17" s="42"/>
      <c r="G17" s="73"/>
      <c r="H17" s="57"/>
      <c r="I17" s="68"/>
      <c r="J17" s="68"/>
      <c r="K17" s="68"/>
      <c r="L17" s="62"/>
      <c r="M17" s="62"/>
    </row>
    <row r="18" spans="2:13" x14ac:dyDescent="0.2">
      <c r="B18" s="62"/>
      <c r="C18" s="57"/>
      <c r="D18" s="111">
        <v>0.29166666666666702</v>
      </c>
      <c r="E18" s="42">
        <v>0</v>
      </c>
      <c r="F18" s="42"/>
      <c r="G18" s="73"/>
      <c r="H18" s="57"/>
      <c r="I18" s="68"/>
      <c r="J18" s="68"/>
      <c r="K18" s="68"/>
      <c r="L18" s="62"/>
      <c r="M18" s="62"/>
    </row>
    <row r="19" spans="2:13" x14ac:dyDescent="0.2">
      <c r="B19" s="62"/>
      <c r="C19" s="57"/>
      <c r="D19" s="111">
        <v>0.33333333333333298</v>
      </c>
      <c r="E19" s="42">
        <v>1</v>
      </c>
      <c r="F19" s="119"/>
      <c r="G19" s="73"/>
      <c r="H19" s="57"/>
      <c r="I19" s="68"/>
      <c r="J19" s="68"/>
      <c r="K19" s="68"/>
      <c r="L19" s="62"/>
      <c r="M19" s="62"/>
    </row>
    <row r="20" spans="2:13" x14ac:dyDescent="0.2">
      <c r="B20" s="62"/>
      <c r="C20" s="57"/>
      <c r="D20" s="111">
        <v>0.375</v>
      </c>
      <c r="E20" s="42">
        <v>1</v>
      </c>
      <c r="F20" s="42"/>
      <c r="G20" s="73"/>
      <c r="H20" s="57"/>
      <c r="I20" s="68"/>
      <c r="J20" s="68"/>
      <c r="K20" s="68"/>
      <c r="L20" s="62"/>
      <c r="M20" s="62"/>
    </row>
    <row r="21" spans="2:13" x14ac:dyDescent="0.2">
      <c r="B21" s="62"/>
      <c r="C21" s="57"/>
      <c r="D21" s="111">
        <v>0.41666666666666702</v>
      </c>
      <c r="E21" s="42">
        <v>1</v>
      </c>
      <c r="F21" s="42"/>
      <c r="G21" s="73"/>
      <c r="H21" s="57"/>
      <c r="I21" s="68"/>
      <c r="J21" s="68"/>
      <c r="K21" s="68"/>
      <c r="L21" s="62"/>
      <c r="M21" s="62"/>
    </row>
    <row r="22" spans="2:13" x14ac:dyDescent="0.2">
      <c r="B22" s="62"/>
      <c r="C22" s="57"/>
      <c r="D22" s="111">
        <v>0.45833333333333298</v>
      </c>
      <c r="E22" s="42">
        <v>1</v>
      </c>
      <c r="F22" s="42"/>
      <c r="G22" s="73"/>
      <c r="H22" s="57"/>
      <c r="I22" s="68"/>
      <c r="J22" s="68"/>
      <c r="K22" s="68"/>
      <c r="L22" s="62"/>
      <c r="M22" s="62"/>
    </row>
    <row r="23" spans="2:13" x14ac:dyDescent="0.2">
      <c r="B23" s="62"/>
      <c r="C23" s="57"/>
      <c r="D23" s="111">
        <v>0.5</v>
      </c>
      <c r="E23" s="42">
        <v>1</v>
      </c>
      <c r="F23" s="42"/>
      <c r="G23" s="73"/>
      <c r="H23" s="57"/>
      <c r="I23" s="68"/>
      <c r="J23" s="68"/>
      <c r="K23" s="68"/>
      <c r="L23" s="62"/>
      <c r="M23" s="62"/>
    </row>
    <row r="24" spans="2:13" x14ac:dyDescent="0.2">
      <c r="B24" s="62"/>
      <c r="C24" s="57"/>
      <c r="D24" s="111">
        <v>0.54166666666666696</v>
      </c>
      <c r="E24" s="42">
        <v>1</v>
      </c>
      <c r="F24" s="42"/>
      <c r="G24" s="73"/>
      <c r="H24" s="57"/>
      <c r="I24" s="68"/>
      <c r="J24" s="68"/>
      <c r="K24" s="68"/>
      <c r="L24" s="62"/>
      <c r="M24" s="62"/>
    </row>
    <row r="25" spans="2:13" x14ac:dyDescent="0.2">
      <c r="B25" s="62"/>
      <c r="C25" s="57"/>
      <c r="D25" s="111">
        <v>0.58333333333333304</v>
      </c>
      <c r="E25" s="42">
        <v>1</v>
      </c>
      <c r="F25" s="120"/>
      <c r="G25" s="73"/>
      <c r="H25" s="57"/>
      <c r="I25" s="68"/>
      <c r="J25" s="68"/>
      <c r="K25" s="68"/>
      <c r="L25" s="62"/>
      <c r="M25" s="62"/>
    </row>
    <row r="26" spans="2:13" x14ac:dyDescent="0.2">
      <c r="B26" s="62"/>
      <c r="C26" s="57"/>
      <c r="D26" s="111">
        <v>0.625</v>
      </c>
      <c r="E26" s="42">
        <v>1</v>
      </c>
      <c r="F26" s="42"/>
      <c r="G26" s="73"/>
      <c r="H26" s="57"/>
      <c r="I26" s="68"/>
      <c r="J26" s="68"/>
      <c r="K26" s="68"/>
      <c r="L26" s="62"/>
      <c r="M26" s="62"/>
    </row>
    <row r="27" spans="2:13" x14ac:dyDescent="0.2">
      <c r="B27" s="62"/>
      <c r="C27" s="57"/>
      <c r="D27" s="111">
        <v>0.66666666666666663</v>
      </c>
      <c r="E27" s="42">
        <v>1</v>
      </c>
      <c r="F27" s="42" t="s">
        <v>85</v>
      </c>
      <c r="G27" s="73"/>
      <c r="H27" s="57"/>
      <c r="I27" s="68"/>
      <c r="J27" s="68"/>
      <c r="K27" s="68"/>
      <c r="L27" s="62"/>
      <c r="M27" s="62"/>
    </row>
    <row r="28" spans="2:13" x14ac:dyDescent="0.2">
      <c r="B28" s="62"/>
      <c r="C28" s="57"/>
      <c r="D28" s="111">
        <v>0.70833333333333304</v>
      </c>
      <c r="E28" s="42">
        <v>1</v>
      </c>
      <c r="F28" s="42" t="s">
        <v>86</v>
      </c>
      <c r="G28" s="73"/>
      <c r="H28" s="57"/>
      <c r="I28" s="68"/>
      <c r="J28" s="68"/>
      <c r="K28" s="68"/>
      <c r="L28" s="62"/>
      <c r="M28" s="62"/>
    </row>
    <row r="29" spans="2:13" x14ac:dyDescent="0.2">
      <c r="B29" s="62"/>
      <c r="C29" s="57"/>
      <c r="D29" s="111">
        <v>0.75</v>
      </c>
      <c r="E29" s="42">
        <v>1</v>
      </c>
      <c r="F29" s="42" t="s">
        <v>88</v>
      </c>
      <c r="G29" s="73"/>
      <c r="H29" s="57"/>
      <c r="I29" s="68"/>
      <c r="J29" s="68"/>
      <c r="K29" s="68"/>
      <c r="L29" s="62"/>
      <c r="M29" s="62"/>
    </row>
    <row r="30" spans="2:13" x14ac:dyDescent="0.2">
      <c r="B30" s="62"/>
      <c r="C30" s="57"/>
      <c r="D30" s="111">
        <v>0.79166666666666696</v>
      </c>
      <c r="E30" s="42">
        <v>1</v>
      </c>
      <c r="F30" s="42" t="s">
        <v>87</v>
      </c>
      <c r="G30" s="73"/>
      <c r="H30" s="57"/>
      <c r="I30" s="68"/>
      <c r="J30" s="68"/>
      <c r="K30" s="68"/>
      <c r="L30" s="62"/>
      <c r="M30" s="62"/>
    </row>
    <row r="31" spans="2:13" x14ac:dyDescent="0.2">
      <c r="B31" s="62"/>
      <c r="C31" s="57"/>
      <c r="D31" s="111">
        <v>0.83333333333333304</v>
      </c>
      <c r="E31" s="42">
        <v>1</v>
      </c>
      <c r="F31" s="42" t="s">
        <v>83</v>
      </c>
      <c r="G31" s="73"/>
      <c r="H31" s="57"/>
      <c r="I31" s="68"/>
      <c r="J31" s="68"/>
      <c r="K31" s="68"/>
      <c r="L31" s="62"/>
      <c r="M31" s="62"/>
    </row>
    <row r="32" spans="2:13" x14ac:dyDescent="0.2">
      <c r="B32" s="62"/>
      <c r="C32" s="57"/>
      <c r="D32" s="111">
        <v>0.875</v>
      </c>
      <c r="E32" s="42">
        <v>1</v>
      </c>
      <c r="F32" s="42" t="s">
        <v>88</v>
      </c>
      <c r="G32" s="73"/>
      <c r="H32" s="57"/>
      <c r="I32" s="68"/>
      <c r="J32" s="68"/>
      <c r="K32" s="68"/>
      <c r="L32" s="62"/>
      <c r="M32" s="62"/>
    </row>
    <row r="33" spans="2:13" x14ac:dyDescent="0.2">
      <c r="B33" s="62"/>
      <c r="C33" s="57"/>
      <c r="D33" s="111">
        <v>0.91666666666666696</v>
      </c>
      <c r="E33" s="42"/>
      <c r="F33" s="42"/>
      <c r="G33" s="73"/>
      <c r="H33" s="57"/>
      <c r="I33" s="68"/>
      <c r="J33" s="68"/>
      <c r="K33" s="68"/>
      <c r="L33" s="62"/>
      <c r="M33" s="62"/>
    </row>
    <row r="34" spans="2:13" x14ac:dyDescent="0.2">
      <c r="B34" s="62"/>
      <c r="C34" s="57"/>
      <c r="D34" s="112">
        <v>0.95833333333333304</v>
      </c>
      <c r="E34" s="74"/>
      <c r="F34" s="74"/>
      <c r="G34" s="75"/>
      <c r="H34" s="57"/>
      <c r="I34" s="68"/>
      <c r="J34" s="68"/>
      <c r="K34" s="68"/>
      <c r="L34" s="62"/>
      <c r="M34" s="62"/>
    </row>
    <row r="35" spans="2:13" x14ac:dyDescent="0.2">
      <c r="B35" s="62"/>
      <c r="C35" s="57"/>
      <c r="D35" s="61"/>
      <c r="E35" s="58"/>
      <c r="F35" s="59"/>
      <c r="G35" s="58"/>
      <c r="H35" s="57"/>
      <c r="I35" s="68"/>
      <c r="J35" s="68"/>
      <c r="K35" s="68"/>
      <c r="L35" s="62"/>
      <c r="M35" s="62"/>
    </row>
    <row r="36" spans="2:13" x14ac:dyDescent="0.2">
      <c r="B36" s="62"/>
      <c r="C36" s="57"/>
      <c r="D36" s="70" t="s">
        <v>22</v>
      </c>
      <c r="E36" s="66">
        <f>SUM(E11:E34)</f>
        <v>15</v>
      </c>
      <c r="F36" s="69" t="s">
        <v>21</v>
      </c>
      <c r="G36" s="67" t="e">
        <f>AVERAGE(G11:G35)</f>
        <v>#DIV/0!</v>
      </c>
      <c r="H36" s="57"/>
      <c r="I36" s="68"/>
      <c r="J36" s="68"/>
      <c r="K36" s="68"/>
      <c r="L36" s="62"/>
      <c r="M36" s="62"/>
    </row>
    <row r="37" spans="2:13" x14ac:dyDescent="0.2">
      <c r="B37" s="62"/>
      <c r="C37" s="57"/>
      <c r="D37" s="58"/>
      <c r="E37" s="58"/>
      <c r="F37" s="57"/>
      <c r="G37" s="58"/>
      <c r="H37" s="57"/>
      <c r="I37" s="68"/>
      <c r="J37" s="68"/>
      <c r="K37" s="68"/>
      <c r="L37" s="62"/>
      <c r="M37" s="62"/>
    </row>
    <row r="38" spans="2:13" x14ac:dyDescent="0.2">
      <c r="B38" s="68"/>
      <c r="C38" s="96"/>
      <c r="D38" s="96"/>
      <c r="E38" s="96"/>
      <c r="F38" s="96"/>
      <c r="G38" s="96"/>
      <c r="H38" s="96"/>
      <c r="I38" s="96"/>
      <c r="J38" s="68"/>
      <c r="K38" s="68"/>
      <c r="L38" s="62"/>
      <c r="M38" s="62"/>
    </row>
    <row r="39" spans="2:13" x14ac:dyDescent="0.2">
      <c r="B39" s="68"/>
      <c r="C39" s="68"/>
      <c r="D39" s="68"/>
      <c r="E39" s="68"/>
      <c r="F39" s="68"/>
      <c r="G39" s="68"/>
      <c r="H39" s="68"/>
      <c r="I39" s="68"/>
      <c r="J39" s="68"/>
      <c r="K39" s="68"/>
      <c r="L39" s="62"/>
      <c r="M39" s="62"/>
    </row>
    <row r="40" spans="2:13" x14ac:dyDescent="0.2">
      <c r="B40" s="68"/>
      <c r="C40" s="68"/>
      <c r="D40" s="68"/>
      <c r="E40" s="68"/>
      <c r="F40" s="68"/>
      <c r="G40" s="68"/>
      <c r="H40" s="68"/>
      <c r="I40" s="68"/>
      <c r="J40" s="68"/>
      <c r="K40" s="68"/>
      <c r="L40" s="62"/>
      <c r="M40" s="62"/>
    </row>
    <row r="41" spans="2:13" x14ac:dyDescent="0.2">
      <c r="B41" s="62"/>
      <c r="C41" s="62"/>
      <c r="D41" s="62"/>
      <c r="E41" s="62"/>
      <c r="F41" s="62"/>
      <c r="G41" s="62"/>
      <c r="H41" s="62"/>
      <c r="I41" s="62"/>
      <c r="J41" s="62"/>
      <c r="K41" s="62"/>
      <c r="L41" s="62"/>
      <c r="M41" s="62"/>
    </row>
    <row r="42" spans="2:13" x14ac:dyDescent="0.2">
      <c r="B42" s="62"/>
      <c r="C42" s="62"/>
      <c r="D42" s="62"/>
      <c r="E42" s="62"/>
      <c r="F42" s="62"/>
      <c r="G42" s="62"/>
      <c r="H42" s="62"/>
      <c r="I42" s="62"/>
      <c r="J42" s="62"/>
      <c r="K42" s="62"/>
      <c r="L42" s="62"/>
      <c r="M42" s="62"/>
    </row>
    <row r="43" spans="2:13" x14ac:dyDescent="0.2">
      <c r="B43" s="62"/>
      <c r="C43" s="62"/>
      <c r="D43" s="62"/>
      <c r="E43" s="62"/>
      <c r="F43" s="62"/>
      <c r="G43" s="62"/>
      <c r="H43" s="62"/>
      <c r="I43" s="62"/>
      <c r="J43" s="62"/>
      <c r="K43" s="62"/>
      <c r="L43" s="62"/>
      <c r="M43" s="62"/>
    </row>
    <row r="44" spans="2:13" x14ac:dyDescent="0.2">
      <c r="B44" s="62"/>
      <c r="C44" s="62"/>
      <c r="D44" s="62"/>
      <c r="E44" s="62"/>
      <c r="F44" s="62"/>
      <c r="G44" s="62"/>
      <c r="H44" s="62"/>
      <c r="I44" s="62"/>
      <c r="J44" s="62"/>
      <c r="K44" s="62"/>
      <c r="L44" s="62"/>
      <c r="M44" s="62"/>
    </row>
    <row r="45" spans="2:13" x14ac:dyDescent="0.2">
      <c r="B45" s="62"/>
      <c r="C45" s="62"/>
      <c r="D45" s="62"/>
      <c r="E45" s="62"/>
      <c r="F45" s="62"/>
      <c r="G45" s="62"/>
      <c r="H45" s="62"/>
      <c r="I45" s="62"/>
      <c r="J45" s="62"/>
      <c r="K45" s="62"/>
      <c r="L45" s="62"/>
      <c r="M45" s="62"/>
    </row>
    <row r="46" spans="2:13" x14ac:dyDescent="0.2">
      <c r="B46" s="62"/>
      <c r="C46" s="62"/>
      <c r="D46" s="62"/>
      <c r="E46" s="62"/>
      <c r="F46" s="62"/>
      <c r="G46" s="62"/>
      <c r="H46" s="62"/>
      <c r="I46" s="62"/>
      <c r="J46" s="62"/>
      <c r="K46" s="62"/>
      <c r="L46" s="62"/>
      <c r="M46" s="62"/>
    </row>
    <row r="47" spans="2:13" x14ac:dyDescent="0.2">
      <c r="B47" s="62"/>
      <c r="C47" s="62"/>
      <c r="D47" s="62"/>
      <c r="E47" s="62"/>
      <c r="F47" s="62"/>
      <c r="G47" s="62"/>
      <c r="H47" s="62"/>
      <c r="I47" s="62"/>
      <c r="J47" s="62"/>
      <c r="K47" s="62"/>
      <c r="L47" s="62"/>
      <c r="M47" s="62"/>
    </row>
    <row r="48" spans="2:13" x14ac:dyDescent="0.2">
      <c r="B48" s="62"/>
      <c r="C48" s="62"/>
      <c r="D48" s="62"/>
      <c r="E48" s="62"/>
      <c r="F48" s="62"/>
      <c r="G48" s="62"/>
      <c r="H48" s="62"/>
      <c r="I48" s="62"/>
      <c r="J48" s="62"/>
      <c r="K48" s="62"/>
      <c r="L48" s="62"/>
      <c r="M48" s="62"/>
    </row>
    <row r="49" spans="2:13" x14ac:dyDescent="0.2">
      <c r="B49" s="62"/>
      <c r="C49" s="62"/>
      <c r="D49" s="62"/>
      <c r="E49" s="62"/>
      <c r="F49" s="62"/>
      <c r="G49" s="62"/>
      <c r="H49" s="62"/>
      <c r="I49" s="62"/>
      <c r="J49" s="62"/>
      <c r="K49" s="62"/>
      <c r="L49" s="62"/>
      <c r="M49" s="62"/>
    </row>
    <row r="50" spans="2:13" x14ac:dyDescent="0.2">
      <c r="B50" s="62"/>
      <c r="C50" s="62"/>
      <c r="D50" s="62"/>
      <c r="E50" s="62"/>
      <c r="F50" s="62"/>
      <c r="G50" s="62"/>
      <c r="H50" s="62"/>
      <c r="I50" s="62"/>
      <c r="J50" s="62"/>
      <c r="K50" s="62"/>
      <c r="L50" s="62"/>
      <c r="M50" s="62"/>
    </row>
    <row r="51" spans="2:13" x14ac:dyDescent="0.2">
      <c r="B51" s="62"/>
      <c r="C51" s="62"/>
      <c r="D51" s="62"/>
      <c r="E51" s="62"/>
      <c r="F51" s="62"/>
      <c r="G51" s="62"/>
      <c r="H51" s="62"/>
      <c r="I51" s="62"/>
      <c r="J51" s="62"/>
      <c r="K51" s="62"/>
      <c r="L51" s="62"/>
      <c r="M51" s="62"/>
    </row>
    <row r="52" spans="2:13" x14ac:dyDescent="0.2">
      <c r="B52" s="62"/>
      <c r="C52" s="62"/>
      <c r="D52" s="62"/>
      <c r="E52" s="62"/>
      <c r="F52" s="62"/>
      <c r="G52" s="62"/>
      <c r="H52" s="62"/>
      <c r="I52" s="62"/>
      <c r="J52" s="62"/>
      <c r="K52" s="62"/>
      <c r="L52" s="62"/>
      <c r="M52" s="62"/>
    </row>
    <row r="53" spans="2:13" x14ac:dyDescent="0.2">
      <c r="B53" s="62"/>
      <c r="C53" s="62"/>
      <c r="D53" s="62"/>
      <c r="E53" s="62"/>
      <c r="F53" s="62"/>
      <c r="G53" s="62"/>
      <c r="H53" s="62"/>
      <c r="I53" s="62"/>
      <c r="J53" s="62"/>
      <c r="K53" s="62"/>
      <c r="L53" s="62"/>
      <c r="M53" s="62"/>
    </row>
    <row r="54" spans="2:13" x14ac:dyDescent="0.2">
      <c r="B54" s="62"/>
      <c r="C54" s="62"/>
      <c r="D54" s="62"/>
      <c r="E54" s="62"/>
      <c r="F54" s="62"/>
      <c r="G54" s="62"/>
      <c r="H54" s="62"/>
      <c r="I54" s="62"/>
      <c r="J54" s="62"/>
      <c r="K54" s="62"/>
      <c r="L54" s="62"/>
      <c r="M54" s="62"/>
    </row>
    <row r="55" spans="2:13" x14ac:dyDescent="0.2">
      <c r="B55" s="62"/>
      <c r="C55" s="62"/>
      <c r="D55" s="62"/>
      <c r="E55" s="62"/>
      <c r="F55" s="62"/>
      <c r="G55" s="62"/>
      <c r="H55" s="62"/>
      <c r="I55" s="62"/>
      <c r="J55" s="62"/>
      <c r="K55" s="62"/>
      <c r="L55" s="62"/>
      <c r="M55" s="62"/>
    </row>
    <row r="56" spans="2:13" x14ac:dyDescent="0.2">
      <c r="B56" s="62"/>
      <c r="C56" s="62"/>
      <c r="D56" s="62"/>
      <c r="E56" s="62"/>
      <c r="F56" s="62"/>
      <c r="G56" s="62"/>
      <c r="H56" s="62"/>
      <c r="I56" s="62"/>
      <c r="J56" s="62"/>
      <c r="K56" s="62"/>
      <c r="L56" s="62"/>
      <c r="M56" s="62"/>
    </row>
    <row r="57" spans="2:13" x14ac:dyDescent="0.2">
      <c r="B57" s="62"/>
      <c r="C57" s="62"/>
      <c r="D57" s="62"/>
      <c r="E57" s="62"/>
      <c r="F57" s="62"/>
      <c r="G57" s="62"/>
      <c r="H57" s="62"/>
      <c r="I57" s="62"/>
      <c r="J57" s="62"/>
      <c r="K57" s="62"/>
      <c r="L57" s="62"/>
      <c r="M57" s="62"/>
    </row>
    <row r="58" spans="2:13" x14ac:dyDescent="0.2">
      <c r="B58" s="62"/>
      <c r="C58" s="62"/>
      <c r="D58" s="62"/>
      <c r="E58" s="62"/>
      <c r="F58" s="62"/>
      <c r="G58" s="62"/>
      <c r="H58" s="62"/>
      <c r="I58" s="62"/>
      <c r="J58" s="62"/>
      <c r="K58" s="62"/>
      <c r="L58" s="62"/>
      <c r="M58" s="62"/>
    </row>
    <row r="59" spans="2:13" x14ac:dyDescent="0.2">
      <c r="B59" s="62"/>
      <c r="C59" s="62"/>
      <c r="D59" s="62"/>
      <c r="E59" s="62"/>
      <c r="F59" s="62"/>
      <c r="G59" s="62"/>
      <c r="H59" s="62"/>
      <c r="I59" s="62"/>
      <c r="J59" s="62"/>
      <c r="K59" s="62"/>
      <c r="L59" s="62"/>
      <c r="M59" s="62"/>
    </row>
    <row r="60" spans="2:13" x14ac:dyDescent="0.2">
      <c r="B60" s="62"/>
      <c r="C60" s="62"/>
      <c r="D60" s="62"/>
      <c r="E60" s="62"/>
      <c r="F60" s="62"/>
      <c r="G60" s="62"/>
      <c r="H60" s="62"/>
      <c r="I60" s="62"/>
      <c r="J60" s="62"/>
      <c r="K60" s="62"/>
      <c r="L60" s="62"/>
      <c r="M60" s="62"/>
    </row>
    <row r="61" spans="2:13" x14ac:dyDescent="0.2">
      <c r="B61" s="62"/>
      <c r="C61" s="62"/>
      <c r="D61" s="62"/>
      <c r="E61" s="62"/>
      <c r="F61" s="62"/>
      <c r="G61" s="62"/>
      <c r="H61" s="62"/>
      <c r="I61" s="62"/>
      <c r="J61" s="62"/>
      <c r="K61" s="62"/>
      <c r="L61" s="62"/>
      <c r="M61" s="62"/>
    </row>
    <row r="62" spans="2:13" x14ac:dyDescent="0.2">
      <c r="B62" s="62"/>
      <c r="C62" s="62"/>
      <c r="D62" s="62"/>
      <c r="E62" s="62"/>
      <c r="F62" s="62"/>
      <c r="G62" s="62"/>
      <c r="H62" s="62"/>
      <c r="I62" s="62"/>
      <c r="J62" s="62"/>
      <c r="K62" s="62"/>
      <c r="L62" s="62"/>
      <c r="M62" s="62"/>
    </row>
    <row r="63" spans="2:13" x14ac:dyDescent="0.2">
      <c r="B63" s="62"/>
      <c r="C63" s="62"/>
      <c r="D63" s="62"/>
      <c r="E63" s="62"/>
      <c r="F63" s="62"/>
      <c r="G63" s="62"/>
      <c r="H63" s="62"/>
      <c r="I63" s="62"/>
      <c r="J63" s="62"/>
      <c r="K63" s="62"/>
      <c r="L63" s="62"/>
      <c r="M63" s="62"/>
    </row>
    <row r="64" spans="2:13" x14ac:dyDescent="0.2">
      <c r="B64" s="62"/>
      <c r="C64" s="62"/>
      <c r="D64" s="62"/>
      <c r="E64" s="62"/>
      <c r="F64" s="62"/>
      <c r="G64" s="62"/>
      <c r="H64" s="62"/>
      <c r="I64" s="62"/>
      <c r="J64" s="62"/>
      <c r="K64" s="62"/>
      <c r="L64" s="62"/>
      <c r="M64" s="62"/>
    </row>
    <row r="65" spans="2:13" x14ac:dyDescent="0.2">
      <c r="B65" s="62"/>
      <c r="C65" s="62"/>
      <c r="D65" s="62"/>
      <c r="E65" s="62"/>
      <c r="F65" s="62"/>
      <c r="G65" s="62"/>
      <c r="H65" s="62"/>
      <c r="I65" s="62"/>
      <c r="J65" s="62"/>
      <c r="K65" s="62"/>
      <c r="L65" s="62"/>
      <c r="M65" s="62"/>
    </row>
    <row r="66" spans="2:13" x14ac:dyDescent="0.2">
      <c r="B66" s="62"/>
      <c r="C66" s="62"/>
      <c r="D66" s="62"/>
      <c r="E66" s="62"/>
      <c r="F66" s="62"/>
      <c r="G66" s="62"/>
      <c r="H66" s="62"/>
      <c r="I66" s="62"/>
      <c r="J66" s="62"/>
      <c r="K66" s="62"/>
      <c r="L66" s="62"/>
      <c r="M66" s="62"/>
    </row>
    <row r="67" spans="2:13" x14ac:dyDescent="0.2">
      <c r="B67" s="62"/>
      <c r="C67" s="62"/>
      <c r="D67" s="62"/>
      <c r="E67" s="62"/>
      <c r="F67" s="62"/>
      <c r="G67" s="62"/>
      <c r="H67" s="62"/>
      <c r="I67" s="62"/>
      <c r="J67" s="62"/>
      <c r="K67" s="62"/>
      <c r="L67" s="62"/>
      <c r="M67" s="62"/>
    </row>
    <row r="68" spans="2:13" x14ac:dyDescent="0.2">
      <c r="B68" s="62"/>
      <c r="C68" s="62"/>
      <c r="D68" s="62"/>
      <c r="E68" s="62"/>
      <c r="F68" s="62"/>
      <c r="G68" s="62"/>
      <c r="H68" s="62"/>
      <c r="I68" s="62"/>
      <c r="J68" s="62"/>
      <c r="K68" s="62"/>
      <c r="L68" s="62"/>
      <c r="M68" s="62"/>
    </row>
    <row r="69" spans="2:13" x14ac:dyDescent="0.2">
      <c r="B69" s="62"/>
      <c r="C69" s="62"/>
      <c r="D69" s="62"/>
      <c r="E69" s="62"/>
      <c r="F69" s="62"/>
      <c r="G69" s="62"/>
      <c r="H69" s="62"/>
      <c r="I69" s="62"/>
      <c r="J69" s="62"/>
      <c r="K69" s="62"/>
      <c r="L69" s="62"/>
      <c r="M69" s="62"/>
    </row>
    <row r="70" spans="2:13" x14ac:dyDescent="0.2">
      <c r="B70" s="62"/>
      <c r="C70" s="62"/>
      <c r="D70" s="62"/>
      <c r="E70" s="62"/>
      <c r="F70" s="62"/>
      <c r="G70" s="62"/>
      <c r="H70" s="62"/>
      <c r="I70" s="62"/>
      <c r="J70" s="62"/>
      <c r="K70" s="62"/>
      <c r="L70" s="62"/>
      <c r="M70" s="62"/>
    </row>
    <row r="71" spans="2:13" x14ac:dyDescent="0.2">
      <c r="B71" s="62"/>
      <c r="C71" s="62"/>
      <c r="D71" s="62"/>
      <c r="E71" s="62"/>
      <c r="F71" s="62"/>
      <c r="G71" s="62"/>
      <c r="H71" s="62"/>
      <c r="I71" s="62"/>
      <c r="J71" s="62"/>
      <c r="K71" s="62"/>
      <c r="L71" s="62"/>
      <c r="M71" s="62"/>
    </row>
    <row r="72" spans="2:13" x14ac:dyDescent="0.2">
      <c r="B72" s="62"/>
      <c r="C72" s="62"/>
      <c r="D72" s="62"/>
      <c r="E72" s="62"/>
      <c r="F72" s="62"/>
      <c r="G72" s="62"/>
      <c r="H72" s="62"/>
      <c r="I72" s="62"/>
      <c r="J72" s="62"/>
      <c r="K72" s="62"/>
      <c r="L72" s="62"/>
      <c r="M72" s="62"/>
    </row>
    <row r="73" spans="2:13" x14ac:dyDescent="0.2">
      <c r="B73" s="62"/>
      <c r="C73" s="62"/>
      <c r="D73" s="62"/>
      <c r="E73" s="62"/>
      <c r="F73" s="62"/>
      <c r="G73" s="62"/>
      <c r="H73" s="62"/>
      <c r="I73" s="62"/>
      <c r="J73" s="62"/>
      <c r="K73" s="62"/>
      <c r="L73" s="62"/>
      <c r="M73" s="62"/>
    </row>
    <row r="74" spans="2:13" x14ac:dyDescent="0.2">
      <c r="B74" s="62"/>
      <c r="C74" s="62"/>
      <c r="D74" s="62"/>
      <c r="E74" s="62"/>
      <c r="F74" s="62"/>
      <c r="G74" s="62"/>
      <c r="H74" s="62"/>
      <c r="I74" s="62"/>
      <c r="J74" s="62"/>
      <c r="K74" s="62"/>
      <c r="L74" s="62"/>
      <c r="M74" s="62"/>
    </row>
    <row r="75" spans="2:13" x14ac:dyDescent="0.2">
      <c r="B75" s="62"/>
      <c r="C75" s="62"/>
      <c r="D75" s="62"/>
      <c r="E75" s="62"/>
      <c r="F75" s="62"/>
      <c r="G75" s="62"/>
      <c r="H75" s="62"/>
      <c r="I75" s="62"/>
      <c r="J75" s="62"/>
      <c r="K75" s="62"/>
      <c r="L75" s="62"/>
      <c r="M75" s="62"/>
    </row>
    <row r="76" spans="2:13" x14ac:dyDescent="0.2">
      <c r="B76" s="62"/>
      <c r="C76" s="62"/>
      <c r="D76" s="62"/>
      <c r="E76" s="62"/>
      <c r="F76" s="62"/>
      <c r="G76" s="62"/>
      <c r="H76" s="62"/>
      <c r="I76" s="62"/>
      <c r="J76" s="62"/>
      <c r="K76" s="62"/>
      <c r="L76" s="62"/>
      <c r="M76" s="62"/>
    </row>
    <row r="77" spans="2:13" x14ac:dyDescent="0.2">
      <c r="B77" s="62"/>
      <c r="C77" s="62"/>
      <c r="D77" s="62"/>
      <c r="E77" s="62"/>
      <c r="F77" s="62"/>
      <c r="G77" s="62"/>
      <c r="H77" s="62"/>
      <c r="I77" s="62"/>
      <c r="J77" s="62"/>
      <c r="K77" s="62"/>
      <c r="L77" s="62"/>
      <c r="M77" s="62"/>
    </row>
    <row r="78" spans="2:13" x14ac:dyDescent="0.2">
      <c r="B78" s="62"/>
      <c r="C78" s="62"/>
      <c r="D78" s="62"/>
      <c r="E78" s="62"/>
      <c r="F78" s="62"/>
      <c r="G78" s="62"/>
      <c r="H78" s="62"/>
      <c r="I78" s="62"/>
      <c r="J78" s="62"/>
      <c r="K78" s="62"/>
      <c r="L78" s="62"/>
      <c r="M78" s="62"/>
    </row>
    <row r="79" spans="2:13" x14ac:dyDescent="0.2">
      <c r="B79" s="62"/>
      <c r="C79" s="62"/>
      <c r="D79" s="62"/>
      <c r="E79" s="62"/>
      <c r="F79" s="62"/>
      <c r="G79" s="62"/>
      <c r="H79" s="62"/>
      <c r="I79" s="62"/>
      <c r="J79" s="62"/>
      <c r="K79" s="62"/>
      <c r="L79" s="62"/>
      <c r="M79" s="62"/>
    </row>
    <row r="80" spans="2:13" x14ac:dyDescent="0.2">
      <c r="B80" s="62"/>
      <c r="C80" s="62"/>
      <c r="D80" s="62"/>
      <c r="E80" s="62"/>
      <c r="F80" s="62"/>
      <c r="G80" s="62"/>
      <c r="H80" s="62"/>
      <c r="I80" s="62"/>
      <c r="J80" s="62"/>
      <c r="K80" s="62"/>
      <c r="L80" s="62"/>
      <c r="M80" s="62"/>
    </row>
    <row r="81" spans="2:13" x14ac:dyDescent="0.2">
      <c r="B81" s="62"/>
      <c r="C81" s="62"/>
      <c r="D81" s="62"/>
      <c r="E81" s="62"/>
      <c r="F81" s="62"/>
      <c r="G81" s="62"/>
      <c r="H81" s="62"/>
      <c r="I81" s="62"/>
      <c r="J81" s="62"/>
      <c r="K81" s="62"/>
      <c r="L81" s="62"/>
      <c r="M81" s="62"/>
    </row>
    <row r="82" spans="2:13" x14ac:dyDescent="0.2">
      <c r="B82" s="62"/>
      <c r="C82" s="62"/>
      <c r="D82" s="62"/>
      <c r="E82" s="62"/>
      <c r="F82" s="62"/>
      <c r="G82" s="62"/>
      <c r="H82" s="62"/>
      <c r="I82" s="62"/>
      <c r="J82" s="62"/>
      <c r="K82" s="62"/>
      <c r="L82" s="62"/>
      <c r="M82" s="62"/>
    </row>
    <row r="83" spans="2:13" x14ac:dyDescent="0.2">
      <c r="B83" s="62"/>
      <c r="C83" s="62"/>
      <c r="D83" s="62"/>
      <c r="E83" s="62"/>
      <c r="F83" s="62"/>
      <c r="G83" s="62"/>
      <c r="H83" s="62"/>
      <c r="I83" s="62"/>
      <c r="J83" s="62"/>
      <c r="K83" s="62"/>
      <c r="L83" s="62"/>
      <c r="M83" s="62"/>
    </row>
    <row r="84" spans="2:13" x14ac:dyDescent="0.2">
      <c r="B84" s="62"/>
      <c r="C84" s="62"/>
      <c r="D84" s="62"/>
      <c r="E84" s="62"/>
      <c r="F84" s="62"/>
      <c r="G84" s="62"/>
      <c r="H84" s="62"/>
      <c r="I84" s="62"/>
      <c r="J84" s="62"/>
      <c r="K84" s="62"/>
      <c r="L84" s="62"/>
      <c r="M84" s="62"/>
    </row>
    <row r="85" spans="2:13" x14ac:dyDescent="0.2">
      <c r="B85" s="62"/>
      <c r="C85" s="62"/>
      <c r="D85" s="62"/>
      <c r="E85" s="62"/>
      <c r="F85" s="62"/>
      <c r="G85" s="62"/>
      <c r="H85" s="62"/>
      <c r="I85" s="62"/>
      <c r="J85" s="62"/>
      <c r="K85" s="62"/>
      <c r="L85" s="62"/>
      <c r="M85" s="62"/>
    </row>
    <row r="86" spans="2:13" x14ac:dyDescent="0.2">
      <c r="B86" s="62"/>
      <c r="C86" s="62"/>
      <c r="D86" s="62"/>
      <c r="E86" s="62"/>
      <c r="F86" s="62"/>
      <c r="G86" s="62"/>
      <c r="H86" s="62"/>
      <c r="I86" s="62"/>
      <c r="J86" s="62"/>
      <c r="K86" s="62"/>
      <c r="L86" s="62"/>
      <c r="M86" s="62"/>
    </row>
    <row r="87" spans="2:13" x14ac:dyDescent="0.2">
      <c r="B87" s="62"/>
      <c r="C87" s="62"/>
      <c r="D87" s="62"/>
      <c r="E87" s="62"/>
      <c r="F87" s="62"/>
      <c r="G87" s="62"/>
      <c r="H87" s="62"/>
      <c r="I87" s="62"/>
      <c r="J87" s="62"/>
      <c r="K87" s="62"/>
      <c r="L87" s="62"/>
      <c r="M87" s="62"/>
    </row>
    <row r="88" spans="2:13" x14ac:dyDescent="0.2">
      <c r="B88" s="62"/>
      <c r="C88" s="62"/>
      <c r="D88" s="62"/>
      <c r="E88" s="62"/>
      <c r="F88" s="62"/>
      <c r="G88" s="62"/>
      <c r="H88" s="62"/>
      <c r="I88" s="62"/>
      <c r="J88" s="62"/>
      <c r="K88" s="62"/>
      <c r="L88" s="62"/>
      <c r="M88" s="62"/>
    </row>
    <row r="89" spans="2:13" x14ac:dyDescent="0.2">
      <c r="B89" s="62"/>
      <c r="C89" s="62"/>
      <c r="D89" s="62"/>
      <c r="E89" s="62"/>
      <c r="F89" s="62"/>
      <c r="G89" s="62"/>
      <c r="H89" s="62"/>
      <c r="I89" s="62"/>
      <c r="J89" s="62"/>
      <c r="K89" s="62"/>
      <c r="L89" s="62"/>
      <c r="M89" s="62"/>
    </row>
    <row r="90" spans="2:13" x14ac:dyDescent="0.2">
      <c r="B90" s="62"/>
      <c r="C90" s="62"/>
      <c r="D90" s="62"/>
      <c r="E90" s="62"/>
      <c r="F90" s="62"/>
      <c r="G90" s="62"/>
      <c r="H90" s="62"/>
      <c r="I90" s="62"/>
      <c r="J90" s="62"/>
      <c r="K90" s="62"/>
      <c r="L90" s="62"/>
      <c r="M90" s="62"/>
    </row>
    <row r="91" spans="2:13" x14ac:dyDescent="0.2">
      <c r="B91" s="62"/>
      <c r="C91" s="62"/>
      <c r="D91" s="62"/>
      <c r="E91" s="62"/>
      <c r="F91" s="62"/>
      <c r="G91" s="62"/>
      <c r="H91" s="62"/>
      <c r="I91" s="62"/>
      <c r="J91" s="62"/>
      <c r="K91" s="62"/>
      <c r="L91" s="62"/>
      <c r="M91" s="62"/>
    </row>
    <row r="92" spans="2:13" x14ac:dyDescent="0.2">
      <c r="B92" s="62"/>
      <c r="C92" s="62"/>
      <c r="D92" s="62"/>
      <c r="E92" s="62"/>
      <c r="F92" s="62"/>
      <c r="G92" s="62"/>
      <c r="H92" s="62"/>
      <c r="I92" s="62"/>
      <c r="J92" s="62"/>
      <c r="K92" s="62"/>
      <c r="L92" s="62"/>
      <c r="M92" s="62"/>
    </row>
    <row r="93" spans="2:13" x14ac:dyDescent="0.2">
      <c r="B93" s="62"/>
      <c r="C93" s="62"/>
      <c r="D93" s="62"/>
      <c r="E93" s="62"/>
      <c r="F93" s="62"/>
      <c r="G93" s="62"/>
      <c r="H93" s="62"/>
      <c r="I93" s="62"/>
      <c r="J93" s="62"/>
      <c r="K93" s="62"/>
      <c r="L93" s="62"/>
      <c r="M93" s="62"/>
    </row>
    <row r="94" spans="2:13" x14ac:dyDescent="0.2">
      <c r="B94" s="62"/>
      <c r="C94" s="62"/>
      <c r="D94" s="62"/>
      <c r="E94" s="62"/>
      <c r="F94" s="62"/>
      <c r="G94" s="62"/>
      <c r="H94" s="62"/>
      <c r="I94" s="62"/>
      <c r="J94" s="62"/>
      <c r="K94" s="62"/>
      <c r="L94" s="62"/>
      <c r="M94" s="62"/>
    </row>
    <row r="95" spans="2:13" x14ac:dyDescent="0.2">
      <c r="B95" s="62"/>
      <c r="C95" s="62"/>
      <c r="D95" s="62"/>
      <c r="E95" s="62"/>
      <c r="F95" s="62"/>
      <c r="G95" s="62"/>
      <c r="H95" s="62"/>
      <c r="I95" s="62"/>
      <c r="J95" s="62"/>
      <c r="K95" s="62"/>
      <c r="L95" s="62"/>
      <c r="M95" s="62"/>
    </row>
    <row r="96" spans="2:13" x14ac:dyDescent="0.2">
      <c r="B96" s="62"/>
      <c r="C96" s="62"/>
      <c r="D96" s="62"/>
      <c r="E96" s="62"/>
      <c r="F96" s="62"/>
      <c r="G96" s="62"/>
      <c r="H96" s="62"/>
      <c r="I96" s="62"/>
      <c r="J96" s="62"/>
      <c r="K96" s="62"/>
      <c r="L96" s="62"/>
      <c r="M96" s="62"/>
    </row>
    <row r="97" spans="8:13" x14ac:dyDescent="0.2">
      <c r="H97" s="64"/>
      <c r="I97" s="64"/>
      <c r="J97" s="64"/>
      <c r="K97" s="64"/>
      <c r="L97" s="64"/>
      <c r="M97" s="64"/>
    </row>
    <row r="98" spans="8:13" x14ac:dyDescent="0.2">
      <c r="H98" s="64"/>
      <c r="I98" s="64"/>
      <c r="J98" s="64"/>
      <c r="K98" s="64"/>
      <c r="L98" s="64"/>
      <c r="M98" s="64"/>
    </row>
    <row r="99" spans="8:13" x14ac:dyDescent="0.2">
      <c r="H99" s="64"/>
      <c r="I99" s="64"/>
      <c r="J99" s="64"/>
      <c r="K99" s="64"/>
      <c r="L99" s="64"/>
      <c r="M99" s="64"/>
    </row>
    <row r="100" spans="8:13" x14ac:dyDescent="0.2">
      <c r="H100" s="64"/>
      <c r="I100" s="64"/>
      <c r="J100" s="64"/>
      <c r="K100" s="64"/>
      <c r="L100" s="64"/>
      <c r="M100" s="64"/>
    </row>
    <row r="101" spans="8:13" x14ac:dyDescent="0.2">
      <c r="H101" s="64"/>
      <c r="I101" s="64"/>
      <c r="J101" s="64"/>
      <c r="K101" s="64"/>
      <c r="L101" s="64"/>
      <c r="M101" s="64"/>
    </row>
    <row r="102" spans="8:13" x14ac:dyDescent="0.2">
      <c r="H102" s="64"/>
      <c r="I102" s="64"/>
      <c r="J102" s="64"/>
      <c r="K102" s="64"/>
      <c r="L102" s="64"/>
      <c r="M102" s="64"/>
    </row>
    <row r="103" spans="8:13" x14ac:dyDescent="0.2">
      <c r="H103" s="64"/>
      <c r="I103" s="64"/>
      <c r="J103" s="64"/>
      <c r="K103" s="64"/>
      <c r="L103" s="64"/>
      <c r="M103" s="64"/>
    </row>
    <row r="104" spans="8:13" x14ac:dyDescent="0.2">
      <c r="H104" s="64"/>
      <c r="I104" s="64"/>
      <c r="J104" s="64"/>
      <c r="K104" s="64"/>
      <c r="L104" s="64"/>
      <c r="M104" s="64"/>
    </row>
    <row r="105" spans="8:13" x14ac:dyDescent="0.2">
      <c r="H105" s="64"/>
      <c r="I105" s="64"/>
      <c r="J105" s="64"/>
      <c r="K105" s="64"/>
      <c r="L105" s="64"/>
      <c r="M105" s="64"/>
    </row>
    <row r="106" spans="8:13" x14ac:dyDescent="0.2">
      <c r="H106" s="64"/>
      <c r="I106" s="64"/>
      <c r="J106" s="64"/>
      <c r="K106" s="64"/>
      <c r="L106" s="64"/>
      <c r="M106" s="64"/>
    </row>
    <row r="107" spans="8:13" x14ac:dyDescent="0.2">
      <c r="H107" s="64"/>
      <c r="I107" s="64"/>
      <c r="J107" s="64"/>
      <c r="K107" s="64"/>
      <c r="L107" s="64"/>
      <c r="M107" s="64"/>
    </row>
    <row r="108" spans="8:13" x14ac:dyDescent="0.2">
      <c r="H108" s="64"/>
      <c r="I108" s="64"/>
      <c r="J108" s="64"/>
      <c r="K108" s="64"/>
      <c r="L108" s="64"/>
      <c r="M108" s="64"/>
    </row>
    <row r="109" spans="8:13" x14ac:dyDescent="0.2">
      <c r="H109" s="64"/>
      <c r="I109" s="64"/>
      <c r="J109" s="64"/>
      <c r="K109" s="64"/>
      <c r="L109" s="64"/>
      <c r="M109" s="64"/>
    </row>
    <row r="110" spans="8:13" x14ac:dyDescent="0.2">
      <c r="H110" s="64"/>
      <c r="I110" s="64"/>
      <c r="J110" s="64"/>
      <c r="K110" s="64"/>
      <c r="L110" s="64"/>
      <c r="M110" s="64"/>
    </row>
    <row r="111" spans="8:13" x14ac:dyDescent="0.2">
      <c r="H111" s="64"/>
      <c r="I111" s="64"/>
      <c r="J111" s="64"/>
      <c r="K111" s="64"/>
      <c r="L111" s="64"/>
      <c r="M111" s="64"/>
    </row>
    <row r="112" spans="8:13" x14ac:dyDescent="0.2">
      <c r="H112" s="64"/>
      <c r="I112" s="64"/>
      <c r="J112" s="64"/>
      <c r="K112" s="64"/>
      <c r="L112" s="64"/>
      <c r="M112" s="64"/>
    </row>
    <row r="113" spans="8:13" x14ac:dyDescent="0.2">
      <c r="H113" s="64"/>
      <c r="I113" s="64"/>
      <c r="J113" s="64"/>
      <c r="K113" s="64"/>
      <c r="L113" s="64"/>
      <c r="M113" s="64"/>
    </row>
    <row r="114" spans="8:13" x14ac:dyDescent="0.2">
      <c r="H114" s="64"/>
      <c r="I114" s="64"/>
      <c r="J114" s="64"/>
      <c r="K114" s="64"/>
      <c r="L114" s="64"/>
      <c r="M114" s="64"/>
    </row>
    <row r="115" spans="8:13" x14ac:dyDescent="0.2">
      <c r="H115" s="64"/>
      <c r="I115" s="64"/>
      <c r="J115" s="64"/>
      <c r="K115" s="64"/>
      <c r="L115" s="64"/>
      <c r="M115" s="64"/>
    </row>
    <row r="116" spans="8:13" x14ac:dyDescent="0.2">
      <c r="H116" s="64"/>
      <c r="I116" s="64"/>
      <c r="J116" s="64"/>
      <c r="K116" s="64"/>
      <c r="L116" s="64"/>
      <c r="M116" s="64"/>
    </row>
    <row r="117" spans="8:13" x14ac:dyDescent="0.2">
      <c r="H117" s="64"/>
      <c r="I117" s="64"/>
      <c r="J117" s="64"/>
      <c r="K117" s="64"/>
      <c r="L117" s="64"/>
      <c r="M117" s="64"/>
    </row>
    <row r="118" spans="8:13" x14ac:dyDescent="0.2">
      <c r="H118" s="64"/>
      <c r="I118" s="64"/>
      <c r="J118" s="64"/>
      <c r="K118" s="64"/>
      <c r="L118" s="64"/>
      <c r="M118" s="64"/>
    </row>
    <row r="119" spans="8:13" x14ac:dyDescent="0.2">
      <c r="H119" s="64"/>
      <c r="I119" s="64"/>
      <c r="J119" s="64"/>
      <c r="K119" s="64"/>
      <c r="L119" s="64"/>
      <c r="M119" s="64"/>
    </row>
    <row r="120" spans="8:13" x14ac:dyDescent="0.2">
      <c r="H120" s="64"/>
      <c r="I120" s="64"/>
      <c r="J120" s="64"/>
      <c r="K120" s="64"/>
      <c r="L120" s="64"/>
      <c r="M120" s="64"/>
    </row>
    <row r="121" spans="8:13" x14ac:dyDescent="0.2">
      <c r="H121" s="64"/>
      <c r="I121" s="64"/>
      <c r="J121" s="64"/>
      <c r="K121" s="64"/>
      <c r="L121" s="64"/>
      <c r="M121" s="64"/>
    </row>
    <row r="122" spans="8:13" x14ac:dyDescent="0.2">
      <c r="H122" s="64"/>
      <c r="I122" s="64"/>
      <c r="J122" s="64"/>
      <c r="K122" s="64"/>
      <c r="L122" s="64"/>
      <c r="M122" s="64"/>
    </row>
    <row r="123" spans="8:13" x14ac:dyDescent="0.2">
      <c r="H123" s="64"/>
      <c r="I123" s="64"/>
      <c r="J123" s="64"/>
      <c r="K123" s="64"/>
      <c r="L123" s="64"/>
      <c r="M123" s="64"/>
    </row>
    <row r="124" spans="8:13" x14ac:dyDescent="0.2">
      <c r="H124" s="64"/>
      <c r="I124" s="64"/>
      <c r="J124" s="64"/>
      <c r="K124" s="64"/>
      <c r="L124" s="64"/>
      <c r="M124" s="64"/>
    </row>
    <row r="125" spans="8:13" x14ac:dyDescent="0.2">
      <c r="H125" s="64"/>
      <c r="I125" s="64"/>
      <c r="J125" s="64"/>
      <c r="K125" s="64"/>
      <c r="L125" s="64"/>
      <c r="M125" s="64"/>
    </row>
    <row r="126" spans="8:13" x14ac:dyDescent="0.2">
      <c r="H126" s="64"/>
      <c r="I126" s="64"/>
      <c r="J126" s="64"/>
      <c r="K126" s="64"/>
      <c r="L126" s="64"/>
      <c r="M126" s="64"/>
    </row>
    <row r="127" spans="8:13" x14ac:dyDescent="0.2">
      <c r="H127" s="64"/>
      <c r="I127" s="64"/>
      <c r="J127" s="64"/>
      <c r="K127" s="64"/>
      <c r="L127" s="64"/>
      <c r="M127" s="64"/>
    </row>
    <row r="128" spans="8:13" x14ac:dyDescent="0.2">
      <c r="H128" s="64"/>
      <c r="I128" s="64"/>
      <c r="J128" s="64"/>
      <c r="K128" s="64"/>
      <c r="L128" s="64"/>
      <c r="M128" s="64"/>
    </row>
    <row r="129" spans="8:13" x14ac:dyDescent="0.2">
      <c r="H129" s="64"/>
      <c r="I129" s="64"/>
      <c r="J129" s="64"/>
      <c r="K129" s="64"/>
      <c r="L129" s="64"/>
      <c r="M129" s="64"/>
    </row>
    <row r="130" spans="8:13" x14ac:dyDescent="0.2">
      <c r="H130" s="64"/>
      <c r="I130" s="64"/>
      <c r="J130" s="64"/>
      <c r="K130" s="64"/>
      <c r="L130" s="64"/>
      <c r="M130" s="64"/>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1"/>
  <sheetViews>
    <sheetView topLeftCell="A6" zoomScale="109" zoomScaleNormal="85" zoomScalePageLayoutView="85" workbookViewId="0">
      <selection activeCell="C6" sqref="C6"/>
    </sheetView>
  </sheetViews>
  <sheetFormatPr baseColWidth="10" defaultColWidth="9.1640625" defaultRowHeight="15" x14ac:dyDescent="0.2"/>
  <cols>
    <col min="1" max="1" width="9.1640625" style="115"/>
    <col min="2" max="2" width="20.1640625" style="1" customWidth="1"/>
    <col min="3" max="3" width="54.6640625" style="1" customWidth="1"/>
    <col min="4" max="4" width="39" style="1" customWidth="1"/>
    <col min="5" max="5" width="60.33203125" style="1" customWidth="1"/>
    <col min="6" max="6" width="27.5" style="1" customWidth="1"/>
    <col min="7" max="7" width="13.1640625" style="104" customWidth="1"/>
    <col min="9" max="16384" width="9.1640625" style="1"/>
  </cols>
  <sheetData>
    <row r="1" spans="1:11" s="99" customFormat="1" ht="30" x14ac:dyDescent="0.2">
      <c r="A1" s="115"/>
      <c r="C1" s="100">
        <f ca="1">TODAY()</f>
        <v>43144</v>
      </c>
      <c r="E1" s="100"/>
      <c r="G1" s="102"/>
      <c r="I1" s="99" t="s">
        <v>39</v>
      </c>
      <c r="K1" s="99" t="s">
        <v>38</v>
      </c>
    </row>
    <row r="2" spans="1:11" s="99" customFormat="1" ht="29.25" customHeight="1" x14ac:dyDescent="0.2">
      <c r="A2" s="116" t="s">
        <v>70</v>
      </c>
      <c r="G2" s="102"/>
    </row>
    <row r="3" spans="1:11" s="72" customFormat="1" ht="39" customHeight="1" x14ac:dyDescent="0.2">
      <c r="A3" s="115"/>
      <c r="B3" s="72" t="s">
        <v>40</v>
      </c>
      <c r="C3" s="72" t="s">
        <v>41</v>
      </c>
      <c r="D3" s="72" t="s">
        <v>73</v>
      </c>
      <c r="E3" s="72" t="s">
        <v>49</v>
      </c>
      <c r="F3" s="72" t="s">
        <v>42</v>
      </c>
      <c r="G3" s="117" t="s">
        <v>45</v>
      </c>
    </row>
    <row r="4" spans="1:11" s="113" customFormat="1" ht="36.75" customHeight="1" x14ac:dyDescent="0.2">
      <c r="A4" s="127"/>
      <c r="B4" s="113" t="s">
        <v>43</v>
      </c>
      <c r="C4" s="113" t="s">
        <v>44</v>
      </c>
      <c r="F4" s="113" t="s">
        <v>46</v>
      </c>
      <c r="G4" s="114">
        <v>1</v>
      </c>
    </row>
    <row r="5" spans="1:11" s="101" customFormat="1" ht="106.5" customHeight="1" x14ac:dyDescent="0.2">
      <c r="A5" s="126"/>
      <c r="B5" s="101" t="s">
        <v>48</v>
      </c>
      <c r="C5" s="101" t="s">
        <v>94</v>
      </c>
      <c r="E5" s="101" t="s">
        <v>93</v>
      </c>
      <c r="F5" s="101" t="s">
        <v>80</v>
      </c>
      <c r="G5" s="103">
        <v>1</v>
      </c>
    </row>
    <row r="6" spans="1:11" s="101" customFormat="1" ht="106.5" customHeight="1" x14ac:dyDescent="0.2">
      <c r="A6" s="215"/>
      <c r="B6" s="101" t="s">
        <v>105</v>
      </c>
      <c r="C6" s="101" t="s">
        <v>104</v>
      </c>
      <c r="F6" s="101" t="s">
        <v>103</v>
      </c>
      <c r="G6" s="103">
        <v>1</v>
      </c>
    </row>
    <row r="7" spans="1:11" s="101" customFormat="1" ht="106.5" customHeight="1" x14ac:dyDescent="0.2">
      <c r="A7" s="215"/>
      <c r="B7" s="101" t="s">
        <v>48</v>
      </c>
      <c r="C7" s="101" t="s">
        <v>267</v>
      </c>
      <c r="E7" s="101" t="s">
        <v>268</v>
      </c>
      <c r="G7" s="103">
        <v>1</v>
      </c>
    </row>
    <row r="8" spans="1:11" s="101" customFormat="1" ht="106.5" customHeight="1" x14ac:dyDescent="0.2">
      <c r="A8" s="215"/>
      <c r="B8" s="101" t="s">
        <v>106</v>
      </c>
      <c r="C8" s="101" t="s">
        <v>107</v>
      </c>
      <c r="D8" s="101" t="s">
        <v>286</v>
      </c>
      <c r="E8" s="101" t="s">
        <v>269</v>
      </c>
      <c r="F8" s="101" t="s">
        <v>95</v>
      </c>
      <c r="G8" s="103">
        <v>1</v>
      </c>
    </row>
    <row r="9" spans="1:11" s="228" customFormat="1" ht="93" customHeight="1" x14ac:dyDescent="0.2">
      <c r="A9" s="241"/>
      <c r="B9" s="228" t="s">
        <v>263</v>
      </c>
      <c r="C9" s="228" t="s">
        <v>264</v>
      </c>
      <c r="D9" s="228" t="s">
        <v>285</v>
      </c>
      <c r="E9" s="228" t="s">
        <v>268</v>
      </c>
      <c r="G9" s="229">
        <v>1</v>
      </c>
    </row>
    <row r="10" spans="1:11" s="228" customFormat="1" ht="67.5" customHeight="1" x14ac:dyDescent="0.2">
      <c r="A10" s="241"/>
      <c r="B10" s="228" t="s">
        <v>270</v>
      </c>
      <c r="C10" s="228" t="s">
        <v>272</v>
      </c>
      <c r="D10" s="228" t="s">
        <v>273</v>
      </c>
      <c r="G10" s="229">
        <v>1</v>
      </c>
    </row>
    <row r="11" spans="1:11" x14ac:dyDescent="0.2">
      <c r="A11" s="118"/>
    </row>
    <row r="12" spans="1:11" x14ac:dyDescent="0.2">
      <c r="A12" s="118"/>
    </row>
    <row r="13" spans="1:11" x14ac:dyDescent="0.2">
      <c r="A13" s="118"/>
    </row>
    <row r="14" spans="1:11" x14ac:dyDescent="0.2">
      <c r="A14" s="118"/>
    </row>
    <row r="15" spans="1:11" x14ac:dyDescent="0.2">
      <c r="A15" s="118"/>
    </row>
    <row r="16" spans="1:11" x14ac:dyDescent="0.2">
      <c r="A16" s="118"/>
    </row>
    <row r="17" spans="1:1" x14ac:dyDescent="0.2">
      <c r="A17" s="118"/>
    </row>
    <row r="18" spans="1:1" x14ac:dyDescent="0.2">
      <c r="A18" s="118"/>
    </row>
    <row r="19" spans="1:1" x14ac:dyDescent="0.2">
      <c r="A19" s="118"/>
    </row>
    <row r="20" spans="1:1" x14ac:dyDescent="0.2">
      <c r="A20" s="118"/>
    </row>
    <row r="21" spans="1:1" x14ac:dyDescent="0.2">
      <c r="A21" s="118"/>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2018-02-13T12:16:08Z</dcterms:modified>
</cp:coreProperties>
</file>