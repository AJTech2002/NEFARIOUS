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6215" codeName="{51196F13-6AD0-C1B8-E2B4-A1F9AE17003E}"/>
  <workbookPr codeName="ThisWorkbook"/>
  <mc:AlternateContent xmlns:mc="http://schemas.openxmlformats.org/markup-compatibility/2006">
    <mc:Choice Requires="x15">
      <x15ac:absPath xmlns:x15ac="http://schemas.microsoft.com/office/spreadsheetml/2010/11/ac" url="/Users/Ajay/Desktop/NEFARIOUS/Management &amp; Logging/Planning and Management/"/>
    </mc:Choice>
  </mc:AlternateContent>
  <bookViews>
    <workbookView xWindow="28960" yWindow="-5140" windowWidth="34300" windowHeight="17460" tabRatio="540" activeTab="3"/>
  </bookViews>
  <sheets>
    <sheet name="GAANT" sheetId="1" r:id="rId1"/>
    <sheet name="Project Scheduler" sheetId="8" r:id="rId2"/>
    <sheet name="Study Planner" sheetId="6" r:id="rId3"/>
    <sheet name="Journal" sheetId="3" r:id="rId4"/>
    <sheet name="Time Tracker" sheetId="2" r:id="rId5"/>
    <sheet name="Homework" sheetId="5" r:id="rId6"/>
  </sheets>
  <calcPr calcId="150001" concurrentCalc="0"/>
  <extLs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H4" i="1" l="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A1" i="6"/>
  <c r="C1" i="5"/>
  <c r="C6" i="3"/>
  <c r="E6" i="3"/>
  <c r="E10" i="2"/>
  <c r="J4" i="2"/>
  <c r="G36" i="2"/>
  <c r="E36" i="2"/>
</calcChain>
</file>

<file path=xl/sharedStrings.xml><?xml version="1.0" encoding="utf-8"?>
<sst xmlns="http://schemas.openxmlformats.org/spreadsheetml/2006/main" count="506" uniqueCount="332">
  <si>
    <t>TASK</t>
  </si>
  <si>
    <t>Start Date</t>
  </si>
  <si>
    <t>End Date</t>
  </si>
  <si>
    <t>Progress</t>
  </si>
  <si>
    <t>STAGE</t>
  </si>
  <si>
    <t>TODAY</t>
  </si>
  <si>
    <t>AJAY VENKAT</t>
  </si>
  <si>
    <t>NEFARIOUS</t>
  </si>
  <si>
    <t>Setup GAANT Sheet</t>
  </si>
  <si>
    <t>P</t>
  </si>
  <si>
    <t>Setup Journal Sheet + Planner</t>
  </si>
  <si>
    <t>JOURNAL</t>
  </si>
  <si>
    <t>TIME PLANNER</t>
  </si>
  <si>
    <t>PLANNED WORK</t>
  </si>
  <si>
    <t>DONE?</t>
  </si>
  <si>
    <t>TODO</t>
  </si>
  <si>
    <t>W</t>
  </si>
  <si>
    <t>0 - 1</t>
  </si>
  <si>
    <t>NOTES</t>
  </si>
  <si>
    <t>TIME TRACKER</t>
  </si>
  <si>
    <t>GAANT CHART</t>
  </si>
  <si>
    <t xml:space="preserve">C : </t>
  </si>
  <si>
    <t xml:space="preserve">W : </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</si>
  <si>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</si>
  <si>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</si>
  <si>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</si>
  <si>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</si>
  <si>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</si>
  <si>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</si>
  <si>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</si>
  <si>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Create Game Vision and Base</t>
  </si>
  <si>
    <t>Go Into Game Details</t>
  </si>
  <si>
    <t>YT</t>
  </si>
  <si>
    <t>Finish the Stealth Game Part 6</t>
  </si>
  <si>
    <t>Map Details</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</si>
  <si>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</si>
  <si>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</si>
  <si>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</si>
  <si>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</si>
  <si>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HOMEWORK DESCRIPTION</t>
  </si>
  <si>
    <t>DUE DATE</t>
  </si>
  <si>
    <t>Physics</t>
  </si>
  <si>
    <t>PERCENT</t>
  </si>
  <si>
    <t>2 Weeks after now</t>
  </si>
  <si>
    <t>Okay wow so I worked on this IK system and I found out a way to implement constraints and it is coming along nicely, so I am very happy with that. I did not have any other homework so it's all g…. So the next video will be amazing :)))</t>
  </si>
  <si>
    <t>Maths</t>
  </si>
  <si>
    <t>LINKS/NOTES</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</si>
  <si>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</si>
  <si>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</si>
  <si>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</si>
  <si>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</si>
  <si>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</si>
  <si>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</si>
  <si>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</si>
  <si>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</si>
  <si>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</si>
  <si>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</si>
  <si>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</si>
  <si>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</si>
  <si>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 xml:space="preserve">P </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</si>
  <si>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</si>
  <si>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</si>
  <si>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</si>
  <si>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</si>
  <si>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</si>
  <si>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</si>
  <si>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</si>
  <si>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</si>
  <si>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 xml:space="preserve">TODO </t>
  </si>
  <si>
    <t>Tuesday</t>
  </si>
  <si>
    <t>Wednesday</t>
  </si>
  <si>
    <t>Thursday</t>
  </si>
  <si>
    <t>Friday</t>
  </si>
  <si>
    <t>Saturday</t>
  </si>
  <si>
    <t>Sunday</t>
  </si>
  <si>
    <t>Monday</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</si>
  <si>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</si>
  <si>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</si>
  <si>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GAME PLAN</t>
  </si>
  <si>
    <t>Use the x percent to find the y coordinate using an animation curve and use a formula to find the angle point… The best way to do this is create a local coordinate system at the origin….</t>
  </si>
  <si>
    <t>COMSCI PATH</t>
  </si>
  <si>
    <t>BUSI GANT/MATH</t>
  </si>
  <si>
    <t>PHYS MOON/DAT TABL</t>
  </si>
  <si>
    <t>IK</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</si>
  <si>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</si>
  <si>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myimaths.com
Username : queensland
Password : cosine195
Finish the three activities by next week
Exc. 1D In OneNote Document</t>
  </si>
  <si>
    <t>Get the login and password : 
-&gt; Ajay Venkat
-&gt; 10 K Maths (Sem 1 2018) Nguygen
-&gt; Login ID : 704
-&gt; Login Pass : spx
https://app.myimaths.com/myportal/student/my_homework#collapse2</t>
  </si>
  <si>
    <t>Next lesson</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</si>
  <si>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</si>
  <si>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</si>
  <si>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Next spanish lesson</t>
  </si>
  <si>
    <t>Linguascope (FAMILY MEMBERS)
Rehearse and practise questions/responses and numbers
31-39</t>
  </si>
  <si>
    <t>SPANISH</t>
  </si>
  <si>
    <t>ENGLISH</t>
  </si>
  <si>
    <t>Reflect and improve peel paragraph… Finish the criteria selction</t>
  </si>
  <si>
    <t>SLEEP</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</si>
  <si>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</si>
  <si>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</si>
  <si>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</si>
  <si>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</si>
  <si>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</si>
  <si>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</si>
  <si>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</si>
  <si>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</si>
  <si>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</si>
  <si>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</si>
  <si>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</si>
  <si>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</si>
  <si>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</si>
  <si>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</si>
  <si>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</si>
  <si>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</si>
  <si>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</si>
  <si>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</si>
  <si>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</si>
  <si>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</si>
  <si>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</si>
  <si>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</si>
  <si>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</si>
  <si>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</si>
  <si>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</si>
  <si>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</si>
  <si>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</si>
  <si>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</si>
  <si>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</si>
  <si>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</si>
  <si>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</si>
  <si>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</si>
  <si>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</si>
  <si>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</si>
  <si>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</si>
  <si>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</si>
  <si>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</si>
  <si>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</si>
  <si>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</si>
  <si>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</si>
  <si>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</si>
  <si>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</si>
  <si>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</si>
  <si>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</si>
  <si>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</si>
  <si>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</si>
  <si>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</si>
  <si>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</si>
  <si>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</si>
  <si>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</si>
  <si>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</si>
  <si>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</si>
  <si>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</si>
  <si>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</si>
  <si>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</si>
  <si>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</si>
  <si>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</si>
  <si>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</si>
  <si>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</si>
  <si>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</si>
  <si>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</si>
  <si>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</si>
  <si>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</si>
  <si>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</si>
  <si>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</si>
  <si>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</si>
  <si>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</si>
  <si>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</si>
  <si>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</si>
  <si>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</si>
  <si>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</si>
  <si>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</si>
  <si>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</si>
  <si>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</si>
  <si>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</si>
  <si>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</si>
  <si>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</si>
  <si>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</si>
  <si>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</si>
  <si>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</si>
  <si>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</si>
  <si>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</si>
  <si>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</si>
  <si>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</si>
  <si>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</si>
  <si>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</si>
  <si>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</si>
  <si>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</si>
  <si>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</si>
  <si>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</si>
  <si>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</si>
  <si>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</si>
  <si>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</si>
  <si>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</si>
  <si>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</si>
  <si>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</si>
  <si>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</si>
  <si>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</si>
  <si>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</si>
  <si>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</si>
  <si>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</si>
  <si>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</si>
  <si>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</si>
  <si>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</si>
  <si>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</si>
  <si>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</si>
  <si>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</si>
  <si>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</si>
  <si>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</si>
  <si>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</si>
  <si>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</si>
  <si>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</si>
  <si>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</si>
  <si>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</si>
  <si>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</si>
  <si>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</si>
  <si>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</si>
  <si>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</si>
  <si>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</si>
  <si>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</si>
  <si>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</si>
  <si>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</si>
  <si>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</si>
  <si>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</si>
  <si>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</si>
  <si>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</si>
  <si>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</si>
  <si>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Get time limits</t>
  </si>
  <si>
    <t>Schedule</t>
  </si>
  <si>
    <t>SETTING UP</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</si>
  <si>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</si>
  <si>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</si>
  <si>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</si>
  <si>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</si>
  <si>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</si>
  <si>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</si>
  <si>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PHYSICS REPORT</t>
  </si>
  <si>
    <t>1 Hour and a half</t>
  </si>
  <si>
    <t>45 mins</t>
  </si>
  <si>
    <t>Player Controller</t>
  </si>
  <si>
    <t>Optimisation</t>
  </si>
  <si>
    <t>BASE PLAYER</t>
  </si>
  <si>
    <t>BPLAY</t>
  </si>
  <si>
    <t>Finish the Stealth Game Part 7</t>
  </si>
  <si>
    <t xml:space="preserve"> Write the actual peel para</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</si>
  <si>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</si>
  <si>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</si>
  <si>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</si>
  <si>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</si>
  <si>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</si>
  <si>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</si>
  <si>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</si>
  <si>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</si>
  <si>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</si>
  <si>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</si>
  <si>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</si>
  <si>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</si>
  <si>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</si>
  <si>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</si>
  <si>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</si>
  <si>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</si>
  <si>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</si>
  <si>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Conjigations for the what you do after school</t>
  </si>
  <si>
    <t>BUSINES GO OVER NOTES</t>
  </si>
  <si>
    <t>COMPUTER SCIENCE</t>
  </si>
  <si>
    <t>Get MyStudyLife app</t>
  </si>
  <si>
    <t xml:space="preserve">Use the terms error and uncertainty in your report and understand the geometric values.
Table calculationover the physics one note
</t>
  </si>
  <si>
    <t>Write the homework, report due for the next lesson in Physics.</t>
  </si>
  <si>
    <t xml:space="preserve"> Re-write the business report
Homework : Read and make notes on ethical objectives + CSR
p34-39</t>
  </si>
  <si>
    <t xml:space="preserve">Syntax + Booleans + Definitions
</t>
  </si>
  <si>
    <t>WAKE UP 3AM</t>
  </si>
  <si>
    <t>STORY CHARS</t>
  </si>
  <si>
    <t>Go onto linguascope and revise the vocabulary. Familiy members etc..</t>
  </si>
  <si>
    <t>POWER PLANNING</t>
  </si>
  <si>
    <t>STORY WRITING</t>
  </si>
  <si>
    <t>Game Execution Order</t>
  </si>
  <si>
    <t xml:space="preserve">Full Game Plan </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</si>
  <si>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</si>
  <si>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</si>
  <si>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</si>
  <si>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</si>
  <si>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</si>
  <si>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</si>
  <si>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</si>
  <si>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</si>
  <si>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</si>
  <si>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</si>
  <si>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Adding cinematics to each event</t>
  </si>
  <si>
    <t>Writing every event sequence</t>
  </si>
  <si>
    <t>Story game integration?</t>
  </si>
  <si>
    <t>EDITOR SCRIPT</t>
  </si>
  <si>
    <t>PLAN</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</si>
  <si>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</si>
  <si>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</si>
  <si>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</si>
  <si>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</si>
  <si>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</si>
  <si>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</si>
  <si>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EXERCISE</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</si>
  <si>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</si>
  <si>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</si>
  <si>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</si>
  <si>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</si>
  <si>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Write a personal paragraph using everything we learnt in class, in one big para
3 Sentences using these FPS verbs</t>
  </si>
  <si>
    <t>Email the teacher with the homework
Also email your idea</t>
  </si>
  <si>
    <t>Read and make notes on the introduction to HRM p109 - 110</t>
  </si>
  <si>
    <t>PLAYER CONTROLLER</t>
  </si>
  <si>
    <t>INTEGRATE STORY</t>
  </si>
  <si>
    <t>BUS/COMSCI (P5)</t>
  </si>
  <si>
    <t xml:space="preserve">Watch the moon for two weeks and record it into the sheet, if you can't use the website
https://qedu-my.sharepoint.com/:o:/r/personal/sread59_eq_edu_au/_layouts/15/WopiFrame.aspx?sourcedoc=%7B3E2C2276-DCF3-437F-976D-C1F0713FCEAF%7D&amp;file=Pre-IB%20Physics&amp;action=default&amp;RootFolder=%2fpersonal%2fsread59_eq_edu_au%2fDocuments%2fClass%20Notebooks%2fPre-IB%20Physics&amp;wdo=6&amp;wdorigin=ondchrd,ondcnotebooklist
</t>
  </si>
  <si>
    <t>UDEMY</t>
  </si>
  <si>
    <t>SCHOOL WORK</t>
  </si>
  <si>
    <t>JUST SCHOOL</t>
  </si>
  <si>
    <t>TRAVEL</t>
  </si>
  <si>
    <t>S</t>
  </si>
  <si>
    <t>T</t>
  </si>
  <si>
    <t>UDEMY SCRIPT</t>
  </si>
  <si>
    <t>HOMEWORK</t>
  </si>
  <si>
    <t>CHAR FLESH/MOVEMENT</t>
  </si>
  <si>
    <t>SPAN/PHY</t>
  </si>
  <si>
    <t>STUCK</t>
  </si>
  <si>
    <t>KEYBOARD</t>
  </si>
  <si>
    <t>UDEMY PLAN</t>
  </si>
  <si>
    <t>STORY FLESH</t>
  </si>
  <si>
    <t xml:space="preserve">Current TODOS : </t>
  </si>
  <si>
    <t>Finish the story section</t>
  </si>
  <si>
    <t>Get on top of all subjects, in homework</t>
  </si>
  <si>
    <t>Finish the player controller section</t>
  </si>
  <si>
    <t>Finish the Udemy course</t>
  </si>
  <si>
    <t>Stay on top of exercise</t>
  </si>
  <si>
    <t>Practice the keyboard</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</si>
  <si>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</si>
  <si>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GITUPLD,SLEEP</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</si>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</sst>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C09]dd\-mmm\-yy;@"/>
    <numFmt numFmtId="165" formatCode="[$-F800]dddd\,\ mmmm\ dd\,\ yyyy"/>
    <numFmt numFmtId="166" formatCode="[$-C09]d\ mmmm\ yyyy;@"/>
    <numFmt numFmtId="167" formatCode="d/mm/yy;@"/>
  </numFmts>
  <fonts count="27"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sz val="11"/>
      <color theme="1"/>
      <name val="Calibri"/>
      <family val="2"/>
      <scheme val="minor"/>
    </font>
    <font>
      <sz val="11"/>
      <color rgb="FF9C6500"/>
      <name val="Calibri"/>
      <family val="2"/>
      <scheme val="minor"/>
    </font>
    <font>
      <b/>
      <i/>
      <u/>
      <sz val="16"/>
      <color theme="1"/>
      <name val="Calibri"/>
      <family val="2"/>
      <scheme val="minor"/>
    </font>
    <font>
      <b/>
      <sz val="14"/>
      <color theme="0"/>
      <name val="Calibri"/>
      <family val="2"/>
      <scheme val="minor"/>
    </font>
    <font>
      <b/>
      <sz val="12"/>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sz val="12"/>
      <color rgb="FF9C0006"/>
      <name val="Calibri"/>
      <family val="2"/>
      <scheme val="minor"/>
    </font>
    <font>
      <sz val="12"/>
      <color rgb="FF9C6500"/>
      <name val="Calibri"/>
      <family val="2"/>
      <scheme val="minor"/>
    </font>
    <font>
      <b/>
      <sz val="11"/>
      <color theme="2"/>
      <name val="Calibri"/>
      <family val="2"/>
      <scheme val="minor"/>
    </font>
  </fonts>
  <fills count="27">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theme="9"/>
        <bgColor indexed="64"/>
      </patternFill>
    </fill>
    <fill>
      <patternFill patternType="solid">
        <fgColor rgb="FFFFFFCC"/>
      </patternFill>
    </fill>
    <fill>
      <patternFill patternType="solid">
        <fgColor theme="4" tint="0.79998168889431442"/>
        <bgColor indexed="65"/>
      </patternFill>
    </fill>
    <fill>
      <patternFill patternType="solid">
        <fgColor theme="6" tint="0.59999389629810485"/>
        <bgColor indexed="65"/>
      </patternFill>
    </fill>
    <fill>
      <patternFill patternType="solid">
        <fgColor theme="9" tint="0.59999389629810485"/>
        <bgColor indexed="64"/>
      </patternFill>
    </fill>
    <fill>
      <patternFill patternType="solid">
        <fgColor rgb="FFD0EEAC"/>
        <bgColor indexed="64"/>
      </patternFill>
    </fill>
    <fill>
      <patternFill patternType="solid">
        <fgColor theme="7" tint="0.59999389629810485"/>
        <bgColor indexed="64"/>
      </patternFill>
    </fill>
    <fill>
      <patternFill patternType="solid">
        <fgColor rgb="FFFFFF00"/>
        <bgColor indexed="64"/>
      </patternFill>
    </fill>
    <fill>
      <patternFill patternType="solid">
        <fgColor theme="1"/>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rgb="FFFFC7CE"/>
      </patternFill>
    </fill>
    <fill>
      <patternFill patternType="solid">
        <fgColor rgb="FFFFEB9C"/>
      </patternFill>
    </fill>
    <fill>
      <patternFill patternType="solid">
        <fgColor theme="4"/>
        <bgColor indexed="64"/>
      </patternFill>
    </fill>
    <fill>
      <patternFill patternType="solid">
        <fgColor theme="5"/>
        <bgColor indexed="64"/>
      </patternFill>
    </fill>
    <fill>
      <patternFill patternType="solid">
        <fgColor rgb="FF7030A0"/>
        <bgColor indexed="64"/>
      </patternFill>
    </fill>
    <fill>
      <patternFill patternType="solid">
        <fgColor rgb="FFABDB77"/>
        <bgColor indexed="64"/>
      </patternFill>
    </fill>
  </fills>
  <borders count="23">
    <border>
      <left/>
      <right/>
      <top/>
      <bottom/>
      <diagonal/>
    </border>
    <border>
      <left/>
      <right/>
      <top style="thin">
        <color auto="1"/>
      </top>
      <bottom/>
      <diagonal/>
    </border>
    <border>
      <left style="thin">
        <color auto="1"/>
      </left>
      <right/>
      <top style="thin">
        <color auto="1"/>
      </top>
      <bottom/>
      <diagonal/>
    </border>
    <border>
      <left style="thin">
        <color auto="1"/>
      </left>
      <right/>
      <top/>
      <bottom style="thin">
        <color auto="1"/>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thin">
        <color auto="1"/>
      </top>
      <bottom style="thin">
        <color rgb="FFB2B2B2"/>
      </bottom>
      <diagonal/>
    </border>
    <border>
      <left style="thin">
        <color rgb="FFB2B2B2"/>
      </left>
      <right style="thin">
        <color auto="1"/>
      </right>
      <top style="thin">
        <color auto="1"/>
      </top>
      <bottom style="thin">
        <color rgb="FFB2B2B2"/>
      </bottom>
      <diagonal/>
    </border>
    <border>
      <left style="thin">
        <color auto="1"/>
      </left>
      <right style="thin">
        <color rgb="FFB2B2B2"/>
      </right>
      <top style="thin">
        <color rgb="FFB2B2B2"/>
      </top>
      <bottom style="thin">
        <color rgb="FFB2B2B2"/>
      </bottom>
      <diagonal/>
    </border>
    <border>
      <left/>
      <right style="thin">
        <color auto="1"/>
      </right>
      <top/>
      <bottom/>
      <diagonal/>
    </border>
    <border>
      <left style="thin">
        <color auto="1"/>
      </left>
      <right style="thin">
        <color rgb="FFB2B2B2"/>
      </right>
      <top style="thin">
        <color rgb="FFB2B2B2"/>
      </top>
      <bottom style="thin">
        <color auto="1"/>
      </bottom>
      <diagonal/>
    </border>
    <border>
      <left/>
      <right style="thin">
        <color auto="1"/>
      </right>
      <top/>
      <bottom style="thin">
        <color auto="1"/>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s>
  <cellStyleXfs count="7">
    <xf numFmtId="0" fontId="0" fillId="0" borderId="0"/>
    <xf numFmtId="0" fontId="1" fillId="2" borderId="0" applyNumberFormat="0" applyBorder="0" applyAlignment="0" applyProtection="0"/>
    <xf numFmtId="0" fontId="6" fillId="9" borderId="12" applyNumberFormat="0" applyFont="0" applyAlignment="0" applyProtection="0"/>
    <xf numFmtId="0" fontId="6" fillId="10" borderId="0" applyNumberFormat="0" applyBorder="0" applyAlignment="0" applyProtection="0"/>
    <xf numFmtId="0" fontId="6" fillId="11" borderId="0" applyNumberFormat="0" applyBorder="0" applyAlignment="0" applyProtection="0"/>
    <xf numFmtId="0" fontId="24" fillId="21" borderId="0" applyNumberFormat="0" applyBorder="0" applyAlignment="0" applyProtection="0"/>
    <xf numFmtId="0" fontId="25" fillId="22" borderId="0" applyNumberFormat="0" applyBorder="0" applyAlignment="0" applyProtection="0"/>
  </cellStyleXfs>
  <cellXfs count="225">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4" xfId="1" applyBorder="1" applyAlignment="1">
      <alignment horizontal="center" vertical="center" wrapText="1"/>
    </xf>
    <xf numFmtId="0" fontId="1" fillId="2" borderId="6" xfId="1" applyBorder="1" applyAlignment="1">
      <alignment horizontal="center" vertical="center" wrapText="1"/>
    </xf>
    <xf numFmtId="0" fontId="1" fillId="2" borderId="7" xfId="1" applyBorder="1" applyAlignment="1">
      <alignment horizontal="center" vertical="center" wrapText="1"/>
    </xf>
    <xf numFmtId="0" fontId="1" fillId="2" borderId="8" xfId="1" applyBorder="1" applyAlignment="1">
      <alignment horizontal="center" vertical="center" wrapText="1"/>
    </xf>
    <xf numFmtId="0" fontId="1" fillId="2" borderId="5" xfId="1" applyBorder="1"/>
    <xf numFmtId="0" fontId="0" fillId="4" borderId="2" xfId="0" applyFill="1" applyBorder="1"/>
    <xf numFmtId="0" fontId="0" fillId="4" borderId="5" xfId="0" applyFill="1" applyBorder="1"/>
    <xf numFmtId="0" fontId="0" fillId="5" borderId="5" xfId="0" applyFill="1" applyBorder="1" applyAlignment="1">
      <alignment horizontal="center" vertical="center" wrapText="1"/>
    </xf>
    <xf numFmtId="164" fontId="0" fillId="3" borderId="9" xfId="0" applyNumberFormat="1" applyFill="1" applyBorder="1" applyAlignment="1">
      <alignment horizontal="center" vertical="center" textRotation="90" wrapText="1"/>
    </xf>
    <xf numFmtId="164" fontId="2" fillId="5" borderId="10" xfId="0" applyNumberFormat="1" applyFont="1" applyFill="1" applyBorder="1" applyAlignment="1">
      <alignment textRotation="90"/>
    </xf>
    <xf numFmtId="164" fontId="1" fillId="2" borderId="11" xfId="1" applyNumberFormat="1" applyBorder="1" applyAlignment="1">
      <alignment horizontal="center" vertical="center" textRotation="90" wrapText="1"/>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4" xfId="1" applyNumberFormat="1" applyFont="1" applyBorder="1" applyAlignment="1">
      <alignment horizontal="center" vertical="center" wrapText="1"/>
    </xf>
    <xf numFmtId="10" fontId="3" fillId="4" borderId="1" xfId="0" applyNumberFormat="1" applyFont="1" applyFill="1" applyBorder="1" applyAlignment="1">
      <alignment horizontal="center" vertical="center" wrapText="1"/>
    </xf>
    <xf numFmtId="10" fontId="3" fillId="4" borderId="0" xfId="0" applyNumberFormat="1" applyFont="1" applyFill="1" applyBorder="1" applyAlignment="1">
      <alignment horizontal="center" vertical="center" wrapText="1"/>
    </xf>
    <xf numFmtId="164" fontId="3" fillId="3" borderId="9" xfId="0" applyNumberFormat="1" applyFont="1" applyFill="1" applyBorder="1" applyAlignment="1">
      <alignment horizontal="center" vertical="center" textRotation="90"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4" xfId="1" applyFont="1" applyBorder="1" applyAlignment="1">
      <alignment horizontal="center" vertical="center" wrapText="1"/>
    </xf>
    <xf numFmtId="164" fontId="4" fillId="2" borderId="4"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1" fillId="2" borderId="0" xfId="1"/>
    <xf numFmtId="0" fontId="3" fillId="4" borderId="4" xfId="0" applyFont="1" applyFill="1" applyBorder="1" applyAlignment="1">
      <alignment horizontal="center" vertical="center" wrapText="1"/>
    </xf>
    <xf numFmtId="164" fontId="3" fillId="4" borderId="4" xfId="0" applyNumberFormat="1" applyFont="1" applyFill="1" applyBorder="1" applyAlignment="1">
      <alignment horizontal="center" vertical="center" wrapText="1"/>
    </xf>
    <xf numFmtId="10" fontId="3" fillId="4" borderId="4" xfId="0" applyNumberFormat="1" applyFont="1" applyFill="1" applyBorder="1" applyAlignment="1">
      <alignment horizontal="center" vertical="center" wrapText="1"/>
    </xf>
    <xf numFmtId="0" fontId="0" fillId="4" borderId="3" xfId="0" applyFill="1" applyBorder="1"/>
    <xf numFmtId="0" fontId="0" fillId="4" borderId="4" xfId="0" applyFill="1" applyBorder="1" applyAlignment="1">
      <alignment horizontal="center" vertical="center" wrapText="1"/>
    </xf>
    <xf numFmtId="0" fontId="1" fillId="2" borderId="0" xfId="1" applyBorder="1"/>
    <xf numFmtId="0" fontId="1" fillId="2" borderId="0" xfId="1" applyBorder="1" applyAlignment="1">
      <alignment horizontal="center" vertical="center" wrapText="1"/>
    </xf>
    <xf numFmtId="0" fontId="0" fillId="0" borderId="0" xfId="0" applyAlignment="1">
      <alignment horizontal="center" vertical="center"/>
    </xf>
    <xf numFmtId="0" fontId="0" fillId="3" borderId="0" xfId="0" applyFill="1"/>
    <xf numFmtId="0" fontId="6" fillId="10" borderId="0" xfId="3"/>
    <xf numFmtId="0" fontId="6" fillId="10" borderId="0" xfId="3" applyAlignment="1">
      <alignment horizontal="center" vertical="center"/>
    </xf>
    <xf numFmtId="0" fontId="6" fillId="10" borderId="0" xfId="3" applyBorder="1" applyAlignment="1">
      <alignment horizontal="center" vertical="center"/>
    </xf>
    <xf numFmtId="0" fontId="3" fillId="10" borderId="0" xfId="3" applyFont="1" applyAlignment="1">
      <alignment horizontal="center" vertical="center"/>
    </xf>
    <xf numFmtId="18" fontId="6" fillId="10" borderId="0" xfId="3" applyNumberFormat="1" applyBorder="1" applyAlignment="1">
      <alignment horizontal="center"/>
    </xf>
    <xf numFmtId="0" fontId="0" fillId="3" borderId="12" xfId="2" applyFont="1" applyFill="1"/>
    <xf numFmtId="0" fontId="0" fillId="3" borderId="12" xfId="2" applyFont="1" applyFill="1" applyAlignment="1">
      <alignment horizontal="center" vertical="center"/>
    </xf>
    <xf numFmtId="0" fontId="0" fillId="0" borderId="12" xfId="2" applyFont="1" applyFill="1"/>
    <xf numFmtId="164" fontId="8" fillId="4" borderId="0" xfId="0" applyNumberFormat="1" applyFont="1" applyFill="1" applyBorder="1" applyAlignment="1">
      <alignment horizontal="center" vertical="center" wrapText="1"/>
    </xf>
    <xf numFmtId="0" fontId="3" fillId="11" borderId="9" xfId="4" applyFont="1" applyBorder="1" applyAlignment="1">
      <alignment horizontal="center" vertical="center"/>
    </xf>
    <xf numFmtId="0" fontId="3" fillId="11" borderId="11" xfId="4" applyFont="1" applyBorder="1" applyAlignment="1">
      <alignment horizontal="center" vertical="center"/>
    </xf>
    <xf numFmtId="0" fontId="7" fillId="3" borderId="12" xfId="2" applyFont="1" applyFill="1"/>
    <xf numFmtId="0" fontId="3" fillId="11" borderId="9" xfId="4" applyFont="1" applyBorder="1" applyAlignment="1">
      <alignment horizontal="right"/>
    </xf>
    <xf numFmtId="0" fontId="3" fillId="11" borderId="10" xfId="4" applyFont="1" applyBorder="1" applyAlignment="1">
      <alignment horizontal="right" vertical="center"/>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16" xfId="0" applyFill="1" applyBorder="1" applyAlignment="1">
      <alignment horizontal="center" vertical="center" wrapText="1"/>
    </xf>
    <xf numFmtId="0" fontId="0" fillId="3" borderId="4" xfId="0" applyFill="1" applyBorder="1" applyAlignment="1">
      <alignment horizontal="center" vertical="center" wrapText="1"/>
    </xf>
    <xf numFmtId="0" fontId="0" fillId="3" borderId="18" xfId="0" applyFill="1" applyBorder="1" applyAlignment="1">
      <alignment horizontal="center" vertical="center" wrapText="1"/>
    </xf>
    <xf numFmtId="0" fontId="0" fillId="3" borderId="19"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5"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5"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8"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6" fillId="3" borderId="12" xfId="3" applyFill="1" applyBorder="1"/>
    <xf numFmtId="0" fontId="0" fillId="7" borderId="0" xfId="0" applyFill="1" applyAlignment="1">
      <alignment horizontal="center" vertical="center" wrapText="1"/>
    </xf>
    <xf numFmtId="14" fontId="0" fillId="7" borderId="0" xfId="0" applyNumberFormat="1" applyFill="1" applyAlignment="1">
      <alignment horizontal="center" vertical="center" wrapText="1"/>
    </xf>
    <xf numFmtId="0" fontId="0" fillId="13" borderId="0" xfId="0" applyFill="1" applyAlignment="1">
      <alignment horizontal="center" vertical="center" wrapText="1"/>
    </xf>
    <xf numFmtId="10" fontId="0" fillId="7" borderId="0" xfId="0" applyNumberFormat="1" applyFill="1" applyAlignment="1">
      <alignment horizontal="center" vertical="center" wrapText="1"/>
    </xf>
    <xf numFmtId="10" fontId="0" fillId="13" borderId="0" xfId="0" applyNumberFormat="1" applyFill="1" applyAlignment="1">
      <alignment horizontal="center" vertical="center"/>
    </xf>
    <xf numFmtId="10" fontId="0" fillId="0" borderId="0" xfId="0" applyNumberFormat="1" applyAlignment="1">
      <alignment horizontal="center" vertical="center"/>
    </xf>
    <xf numFmtId="0" fontId="3" fillId="10" borderId="0" xfId="3" applyFont="1" applyAlignment="1">
      <alignment horizontal="center" vertical="center" wrapText="1"/>
    </xf>
    <xf numFmtId="0" fontId="6" fillId="10" borderId="0" xfId="3" applyAlignment="1">
      <alignment vertical="center" wrapText="1"/>
    </xf>
    <xf numFmtId="0" fontId="0" fillId="4" borderId="2" xfId="0" applyFill="1" applyBorder="1" applyAlignment="1">
      <alignment vertical="center" wrapText="1"/>
    </xf>
    <xf numFmtId="14" fontId="0" fillId="9" borderId="13" xfId="2" applyNumberFormat="1" applyFont="1" applyBorder="1" applyAlignment="1">
      <alignment horizontal="center" vertical="center" wrapText="1"/>
    </xf>
    <xf numFmtId="0" fontId="0" fillId="9" borderId="13" xfId="2" applyFont="1" applyBorder="1" applyAlignment="1">
      <alignment horizontal="center" vertical="center" wrapText="1"/>
    </xf>
    <xf numFmtId="0" fontId="0" fillId="9" borderId="14" xfId="2" applyFont="1" applyBorder="1" applyAlignment="1">
      <alignment horizontal="center" vertical="center" wrapText="1"/>
    </xf>
    <xf numFmtId="18" fontId="0" fillId="9" borderId="15" xfId="2" applyNumberFormat="1" applyFont="1" applyBorder="1" applyAlignment="1">
      <alignment horizontal="center" vertical="center" wrapText="1"/>
    </xf>
    <xf numFmtId="18" fontId="0" fillId="9" borderId="17" xfId="2" applyNumberFormat="1" applyFont="1" applyBorder="1" applyAlignment="1">
      <alignment horizontal="center" vertical="center" wrapText="1"/>
    </xf>
    <xf numFmtId="0" fontId="0" fillId="14" borderId="0" xfId="0" applyFill="1" applyAlignment="1">
      <alignment horizontal="center" vertical="center" wrapText="1"/>
    </xf>
    <xf numFmtId="10" fontId="0" fillId="14" borderId="0" xfId="0" applyNumberFormat="1" applyFill="1" applyAlignment="1">
      <alignment horizontal="center" vertical="center" wrapText="1"/>
    </xf>
    <xf numFmtId="2" fontId="0" fillId="7" borderId="0" xfId="0" applyNumberFormat="1" applyFill="1" applyAlignment="1">
      <alignment horizontal="center" vertical="center" wrapText="1"/>
    </xf>
    <xf numFmtId="2" fontId="3" fillId="7" borderId="0" xfId="0" applyNumberFormat="1" applyFont="1" applyFill="1" applyAlignment="1">
      <alignment horizontal="center" vertical="center" wrapText="1"/>
    </xf>
    <xf numFmtId="10" fontId="0" fillId="3" borderId="0" xfId="0" applyNumberFormat="1" applyFill="1" applyAlignment="1">
      <alignment horizontal="center" vertical="center" wrapText="1"/>
    </xf>
    <xf numFmtId="2" fontId="0" fillId="7" borderId="0" xfId="0" applyNumberFormat="1" applyFont="1" applyFill="1" applyAlignment="1">
      <alignment horizontal="center" vertical="center" wrapText="1"/>
    </xf>
    <xf numFmtId="0" fontId="0" fillId="3" borderId="0" xfId="0" applyFont="1" applyFill="1" applyBorder="1" applyAlignment="1">
      <alignment horizontal="center" vertical="center" wrapText="1"/>
    </xf>
    <xf numFmtId="0" fontId="2" fillId="3"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164" fontId="0" fillId="0" borderId="0" xfId="0" applyNumberFormat="1" applyFill="1" applyBorder="1" applyAlignment="1">
      <alignment horizontal="center" vertical="center" wrapText="1"/>
    </xf>
    <xf numFmtId="0" fontId="9" fillId="0" borderId="0" xfId="0" applyFont="1" applyFill="1" applyBorder="1" applyAlignment="1">
      <alignment horizontal="center" vertical="center" wrapText="1"/>
    </xf>
    <xf numFmtId="2" fontId="0" fillId="16" borderId="0" xfId="0" applyNumberFormat="1" applyFont="1" applyFill="1" applyAlignment="1">
      <alignment horizontal="center" vertical="center" wrapText="1"/>
    </xf>
    <xf numFmtId="10" fontId="3" fillId="3" borderId="9" xfId="0" applyNumberFormat="1" applyFont="1" applyFill="1" applyBorder="1" applyAlignment="1">
      <alignment horizontal="center" vertical="center" textRotation="90" wrapText="1"/>
    </xf>
    <xf numFmtId="10" fontId="3" fillId="0" borderId="0" xfId="0" applyNumberFormat="1" applyFont="1" applyAlignment="1">
      <alignment horizontal="center" vertical="center"/>
    </xf>
    <xf numFmtId="10" fontId="3" fillId="0" borderId="0" xfId="0" quotePrefix="1" applyNumberFormat="1" applyFont="1" applyAlignment="1">
      <alignment horizontal="center" vertical="center"/>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17" borderId="0" xfId="0" applyFont="1" applyFill="1" applyAlignment="1">
      <alignment horizontal="center" vertical="center" wrapText="1"/>
    </xf>
    <xf numFmtId="2" fontId="0" fillId="17"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6" fillId="7" borderId="0" xfId="0" applyNumberFormat="1" applyFont="1" applyFill="1" applyAlignment="1">
      <alignment horizontal="center" vertical="center" wrapText="1"/>
    </xf>
    <xf numFmtId="165" fontId="17"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8" fillId="7" borderId="0" xfId="0" applyNumberFormat="1" applyFont="1" applyFill="1" applyAlignment="1">
      <alignment horizontal="center" vertical="center" wrapText="1"/>
    </xf>
    <xf numFmtId="2" fontId="14" fillId="7" borderId="0" xfId="0" applyNumberFormat="1" applyFont="1" applyFill="1" applyAlignment="1">
      <alignment horizontal="center" vertical="center" wrapText="1"/>
    </xf>
    <xf numFmtId="2" fontId="15" fillId="7" borderId="0" xfId="0" applyNumberFormat="1" applyFont="1" applyFill="1" applyAlignment="1">
      <alignment horizontal="center" vertical="center" wrapText="1"/>
    </xf>
    <xf numFmtId="165" fontId="19" fillId="0" borderId="0" xfId="0" applyNumberFormat="1" applyFont="1" applyFill="1" applyAlignment="1">
      <alignment horizontal="center" vertical="center" wrapText="1"/>
    </xf>
    <xf numFmtId="165" fontId="20" fillId="0" borderId="0" xfId="0" applyNumberFormat="1" applyFont="1" applyFill="1" applyAlignment="1">
      <alignment horizontal="center" vertical="center" wrapText="1"/>
    </xf>
    <xf numFmtId="0" fontId="14" fillId="0" borderId="0" xfId="0" applyNumberFormat="1" applyFont="1" applyFill="1" applyAlignment="1">
      <alignment horizontal="center" vertical="center" wrapText="1"/>
    </xf>
    <xf numFmtId="2" fontId="14" fillId="0" borderId="0" xfId="0" applyNumberFormat="1" applyFont="1" applyFill="1" applyAlignment="1">
      <alignment horizontal="center" vertical="center" wrapText="1"/>
    </xf>
    <xf numFmtId="0" fontId="20" fillId="0" borderId="0" xfId="0" applyNumberFormat="1" applyFont="1" applyFill="1" applyAlignment="1">
      <alignment horizontal="center" vertical="center" wrapText="1"/>
    </xf>
    <xf numFmtId="165" fontId="21"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4" fillId="7" borderId="0" xfId="0" applyNumberFormat="1" applyFont="1" applyFill="1" applyAlignment="1">
      <alignment horizontal="center" vertical="center" wrapText="1"/>
    </xf>
    <xf numFmtId="167" fontId="15" fillId="0" borderId="0" xfId="0" applyNumberFormat="1" applyFont="1" applyAlignment="1">
      <alignment horizontal="center" vertical="center" wrapText="1"/>
    </xf>
    <xf numFmtId="167" fontId="14"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8" fillId="0" borderId="0" xfId="0" applyFont="1" applyAlignment="1">
      <alignment horizontal="center" vertical="center" wrapText="1"/>
    </xf>
    <xf numFmtId="0" fontId="22" fillId="0" borderId="0" xfId="0" applyFont="1" applyAlignment="1">
      <alignment horizontal="center" vertical="center" wrapText="1"/>
    </xf>
    <xf numFmtId="10" fontId="14" fillId="7" borderId="0" xfId="0" applyNumberFormat="1" applyFont="1" applyFill="1" applyAlignment="1">
      <alignment horizontal="center" vertical="center" wrapText="1"/>
    </xf>
    <xf numFmtId="10" fontId="15" fillId="0" borderId="0" xfId="0" applyNumberFormat="1" applyFont="1" applyAlignment="1">
      <alignment horizontal="center" vertical="center" wrapText="1"/>
    </xf>
    <xf numFmtId="10" fontId="14" fillId="0" borderId="0" xfId="0" applyNumberFormat="1" applyFont="1" applyAlignment="1">
      <alignment horizontal="center" vertical="center" wrapText="1"/>
    </xf>
    <xf numFmtId="165" fontId="12" fillId="3" borderId="10" xfId="0" applyNumberFormat="1" applyFont="1" applyFill="1" applyBorder="1" applyAlignment="1">
      <alignment horizontal="center" vertical="center" wrapText="1"/>
    </xf>
    <xf numFmtId="165" fontId="12" fillId="3" borderId="5" xfId="0" applyNumberFormat="1" applyFont="1" applyFill="1" applyBorder="1" applyAlignment="1">
      <alignment horizontal="center" vertical="center" wrapText="1"/>
    </xf>
    <xf numFmtId="2" fontId="0" fillId="8" borderId="0" xfId="0" applyNumberFormat="1" applyFill="1" applyAlignment="1">
      <alignment horizontal="center" vertical="center" wrapText="1"/>
    </xf>
    <xf numFmtId="0" fontId="1" fillId="5" borderId="8" xfId="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10"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1" fillId="5" borderId="0" xfId="0" applyFont="1" applyFill="1" applyBorder="1" applyAlignment="1">
      <alignment horizontal="center" vertical="center" wrapText="1"/>
    </xf>
    <xf numFmtId="0" fontId="15" fillId="4" borderId="0" xfId="0" applyFont="1" applyFill="1" applyBorder="1" applyAlignment="1">
      <alignment horizontal="center" vertical="center" wrapText="1"/>
    </xf>
    <xf numFmtId="166" fontId="0" fillId="0" borderId="0" xfId="0" applyNumberFormat="1" applyFont="1" applyAlignment="1">
      <alignment horizontal="center" vertical="center" wrapText="1"/>
    </xf>
    <xf numFmtId="0" fontId="0" fillId="12" borderId="0" xfId="0" applyFill="1" applyAlignment="1">
      <alignment horizontal="center" vertical="center" wrapText="1"/>
    </xf>
    <xf numFmtId="10" fontId="0" fillId="12" borderId="0" xfId="0" applyNumberFormat="1" applyFill="1" applyAlignment="1">
      <alignment horizontal="center" vertical="center"/>
    </xf>
    <xf numFmtId="0" fontId="0" fillId="19" borderId="0" xfId="0" applyNumberFormat="1" applyFont="1" applyFill="1" applyAlignment="1">
      <alignment horizontal="center" vertical="center" wrapText="1"/>
    </xf>
    <xf numFmtId="0" fontId="14" fillId="19" borderId="0" xfId="0" applyNumberFormat="1" applyFont="1" applyFill="1" applyAlignment="1">
      <alignment horizontal="center" vertical="center" wrapText="1"/>
    </xf>
    <xf numFmtId="10" fontId="14" fillId="19" borderId="0" xfId="0" applyNumberFormat="1" applyFont="1" applyFill="1" applyAlignment="1">
      <alignment horizontal="center" vertical="center" wrapText="1"/>
    </xf>
    <xf numFmtId="167" fontId="14" fillId="19" borderId="0" xfId="0" applyNumberFormat="1" applyFont="1" applyFill="1" applyAlignment="1">
      <alignment horizontal="center" vertical="center" wrapText="1"/>
    </xf>
    <xf numFmtId="0" fontId="0" fillId="19" borderId="0" xfId="0" applyFont="1" applyFill="1" applyAlignment="1">
      <alignment horizontal="center" vertical="center" wrapText="1"/>
    </xf>
    <xf numFmtId="167" fontId="0" fillId="19" borderId="0" xfId="0" applyNumberFormat="1" applyFill="1" applyAlignment="1">
      <alignment horizontal="center" vertical="center" wrapText="1"/>
    </xf>
    <xf numFmtId="49" fontId="0" fillId="19" borderId="0" xfId="0" applyNumberFormat="1" applyFill="1" applyAlignment="1">
      <alignment horizontal="center" vertical="center" wrapText="1"/>
    </xf>
    <xf numFmtId="0" fontId="0" fillId="19" borderId="0" xfId="0" applyFill="1" applyAlignment="1">
      <alignment horizontal="center" vertical="center" wrapText="1"/>
    </xf>
    <xf numFmtId="0" fontId="0" fillId="18" borderId="0" xfId="0" applyNumberFormat="1" applyFont="1" applyFill="1" applyAlignment="1">
      <alignment horizontal="center" vertical="center" wrapText="1"/>
    </xf>
    <xf numFmtId="0" fontId="11" fillId="4" borderId="0" xfId="0" applyFont="1" applyFill="1" applyBorder="1" applyAlignment="1">
      <alignment horizontal="center" vertical="center" wrapText="1"/>
    </xf>
    <xf numFmtId="2" fontId="0" fillId="15" borderId="0" xfId="0" applyNumberFormat="1" applyFill="1" applyAlignment="1">
      <alignment horizontal="center" vertical="center" wrapText="1"/>
    </xf>
    <xf numFmtId="2" fontId="2" fillId="8" borderId="0" xfId="1" applyNumberFormat="1" applyFont="1" applyFill="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12" fillId="3" borderId="20" xfId="0" applyNumberFormat="1" applyFont="1" applyFill="1" applyBorder="1" applyAlignment="1">
      <alignment horizontal="center" vertical="center" wrapText="1"/>
    </xf>
    <xf numFmtId="49" fontId="12" fillId="3" borderId="1" xfId="0" applyNumberFormat="1" applyFont="1" applyFill="1" applyBorder="1" applyAlignment="1">
      <alignment horizontal="center" vertical="center" wrapText="1"/>
    </xf>
    <xf numFmtId="2" fontId="12"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12" fillId="3" borderId="21" xfId="0" applyNumberFormat="1" applyFont="1" applyFill="1" applyBorder="1" applyAlignment="1">
      <alignment horizontal="center" vertical="center" wrapText="1"/>
    </xf>
    <xf numFmtId="2" fontId="12" fillId="3" borderId="20" xfId="0" applyNumberFormat="1" applyFont="1" applyFill="1" applyBorder="1" applyAlignment="1">
      <alignment horizontal="center" vertical="center" wrapText="1"/>
    </xf>
    <xf numFmtId="0" fontId="0" fillId="3" borderId="20" xfId="0" applyFill="1" applyBorder="1" applyAlignment="1">
      <alignment horizontal="center" vertical="center" wrapText="1"/>
    </xf>
    <xf numFmtId="0" fontId="0" fillId="3" borderId="22" xfId="0" applyFill="1" applyBorder="1" applyAlignment="1">
      <alignment horizontal="center" vertical="center" wrapText="1"/>
    </xf>
    <xf numFmtId="49" fontId="13" fillId="3" borderId="21" xfId="0" applyNumberFormat="1" applyFont="1" applyFill="1" applyBorder="1" applyAlignment="1">
      <alignment horizontal="center" vertical="center" wrapText="1"/>
    </xf>
    <xf numFmtId="49" fontId="13" fillId="3" borderId="20" xfId="0" applyNumberFormat="1" applyFont="1" applyFill="1" applyBorder="1" applyAlignment="1">
      <alignment horizontal="center" vertical="center" wrapText="1"/>
    </xf>
    <xf numFmtId="0" fontId="1" fillId="20" borderId="0" xfId="1" applyFill="1" applyAlignment="1">
      <alignment horizontal="center" vertical="center" wrapText="1"/>
    </xf>
    <xf numFmtId="0" fontId="3" fillId="13" borderId="0" xfId="0" applyFont="1" applyFill="1" applyAlignment="1">
      <alignment horizontal="center" vertical="center" wrapText="1"/>
    </xf>
    <xf numFmtId="2" fontId="2" fillId="8" borderId="0" xfId="0" applyNumberFormat="1" applyFont="1" applyFill="1" applyAlignment="1">
      <alignment horizontal="center" vertical="center" wrapText="1"/>
    </xf>
    <xf numFmtId="2" fontId="3" fillId="23" borderId="0" xfId="0" applyNumberFormat="1" applyFont="1" applyFill="1" applyAlignment="1">
      <alignment horizontal="center" vertical="center" wrapText="1"/>
    </xf>
    <xf numFmtId="2" fontId="3" fillId="8" borderId="0" xfId="0" applyNumberFormat="1" applyFont="1" applyFill="1" applyAlignment="1">
      <alignment horizontal="center" vertical="center" wrapText="1"/>
    </xf>
    <xf numFmtId="2" fontId="3" fillId="24" borderId="0" xfId="0" applyNumberFormat="1" applyFont="1" applyFill="1" applyAlignment="1">
      <alignment horizontal="center" vertical="center" wrapText="1"/>
    </xf>
    <xf numFmtId="2" fontId="26" fillId="25" borderId="0" xfId="0" applyNumberFormat="1" applyFont="1" applyFill="1" applyAlignment="1">
      <alignment horizontal="center" vertical="center" wrapText="1"/>
    </xf>
    <xf numFmtId="166" fontId="0" fillId="24"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2" fontId="3" fillId="26" borderId="0" xfId="0" applyNumberFormat="1" applyFont="1" applyFill="1" applyAlignment="1">
      <alignment horizontal="center" vertical="center" wrapText="1"/>
    </xf>
    <xf numFmtId="2" fontId="3" fillId="18" borderId="0" xfId="0" applyNumberFormat="1" applyFont="1" applyFill="1" applyAlignment="1">
      <alignment horizontal="center" vertical="center" wrapText="1"/>
    </xf>
    <xf numFmtId="166" fontId="0" fillId="18" borderId="0" xfId="0" applyNumberFormat="1" applyFont="1" applyFill="1" applyAlignment="1">
      <alignment horizontal="center" vertical="center" wrapText="1"/>
    </xf>
    <xf numFmtId="166" fontId="0" fillId="26" borderId="0" xfId="0" applyNumberFormat="1" applyFont="1" applyFill="1" applyAlignment="1">
      <alignment horizontal="center" vertical="center" wrapText="1"/>
    </xf>
    <xf numFmtId="166" fontId="0" fillId="6" borderId="0" xfId="0" applyNumberFormat="1" applyFont="1" applyFill="1" applyAlignment="1">
      <alignment horizontal="center" vertical="center" wrapText="1"/>
    </xf>
    <xf numFmtId="166" fontId="0" fillId="23" borderId="0" xfId="0" applyNumberFormat="1" applyFont="1" applyFill="1" applyAlignment="1">
      <alignment horizontal="center" vertical="center" wrapText="1"/>
    </xf>
    <xf numFmtId="2" fontId="23" fillId="25" borderId="0" xfId="6" applyNumberFormat="1" applyFont="1" applyFill="1" applyAlignment="1">
      <alignment horizontal="center" vertical="center" wrapText="1"/>
    </xf>
    <xf numFmtId="0" fontId="3" fillId="7" borderId="0" xfId="1" applyFont="1" applyFill="1" applyAlignment="1">
      <alignment horizontal="center" vertical="center" wrapText="1"/>
    </xf>
    <xf numFmtId="2" fontId="3" fillId="24" borderId="0" xfId="1" applyNumberFormat="1" applyFont="1" applyFill="1" applyAlignment="1">
      <alignment horizontal="center" vertical="center" wrapText="1"/>
    </xf>
    <xf numFmtId="0" fontId="3" fillId="7" borderId="0" xfId="5" applyFont="1" applyFill="1" applyAlignment="1">
      <alignment horizontal="center" vertical="center" wrapText="1"/>
    </xf>
    <xf numFmtId="0" fontId="3" fillId="6" borderId="0" xfId="6" applyFont="1" applyFill="1" applyAlignment="1">
      <alignment horizontal="center" vertical="center" wrapText="1"/>
    </xf>
    <xf numFmtId="2" fontId="3" fillId="23" borderId="0" xfId="6" applyNumberFormat="1" applyFont="1" applyFill="1" applyAlignment="1">
      <alignment horizontal="center" vertical="center" wrapText="1"/>
    </xf>
  </cellXfs>
  <cellStyles count="7">
    <cellStyle name="20% - Accent1" xfId="3" builtinId="30"/>
    <cellStyle name="40% - Accent3" xfId="4" builtinId="39"/>
    <cellStyle name="Bad" xfId="5" builtinId="27"/>
    <cellStyle name="Good" xfId="1" builtinId="26"/>
    <cellStyle name="Neutral" xfId="6" builtinId="28"/>
    <cellStyle name="Normal" xfId="0" builtinId="0"/>
    <cellStyle name="Note" xfId="2" builtinId="10"/>
  </cellStyles>
  <dxfs count="151">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auto="1"/>
      </font>
    </dxf>
    <dxf>
      <font>
        <b/>
        <i val="0"/>
        <color theme="0"/>
      </font>
      <fill>
        <patternFill>
          <bgColor theme="1" tint="0.499984740745262"/>
        </patternFill>
      </fill>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auto="1"/>
      </font>
    </dxf>
    <dxf>
      <font>
        <b/>
        <i val="0"/>
        <color theme="0"/>
      </font>
      <fill>
        <patternFill>
          <bgColor theme="1" tint="0.499984740745262"/>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ill>
        <patternFill>
          <bgColor rgb="FFBFDDAB"/>
        </patternFill>
      </fill>
      <border>
        <top style="thin">
          <color auto="1"/>
        </top>
        <bottom style="thin">
          <color auto="1"/>
        </bottom>
      </border>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auto="1"/>
      </font>
    </dxf>
    <dxf>
      <font>
        <b/>
        <i val="0"/>
        <color theme="0"/>
      </font>
      <fill>
        <patternFill>
          <bgColor theme="1" tint="0.499984740745262"/>
        </patternFill>
      </fill>
    </dxf>
    <dxf>
      <font>
        <b/>
        <i val="0"/>
        <strike val="0"/>
        <color theme="0"/>
      </font>
      <fill>
        <patternFill>
          <bgColor rgb="FF4D4D4D"/>
        </patternFill>
      </fill>
    </dxf>
    <dxf>
      <font>
        <b/>
        <i val="0"/>
        <color auto="1"/>
      </font>
    </dxf>
    <dxf>
      <font>
        <b/>
        <i val="0"/>
        <color theme="0"/>
      </font>
      <fill>
        <patternFill>
          <bgColor theme="1" tint="0.499984740745262"/>
        </patternFill>
      </fill>
    </dxf>
    <dxf>
      <font>
        <b/>
        <i val="0"/>
        <strike val="0"/>
        <color theme="0"/>
      </font>
      <fill>
        <patternFill>
          <bgColor rgb="FF4D4D4D"/>
        </patternFill>
      </fill>
    </dxf>
    <dxf>
      <font>
        <b/>
        <i val="0"/>
        <color auto="1"/>
      </font>
    </dxf>
    <dxf>
      <font>
        <b/>
        <i val="0"/>
        <color theme="0"/>
      </font>
      <fill>
        <patternFill>
          <bgColor theme="1" tint="0.499984740745262"/>
        </patternFill>
      </fill>
    </dxf>
    <dxf>
      <font>
        <b/>
        <i val="0"/>
        <strike val="0"/>
        <color theme="0"/>
      </font>
      <fill>
        <patternFill>
          <bgColor rgb="FF4D4D4D"/>
        </patternFill>
      </fill>
    </dxf>
    <dxf>
      <font>
        <b/>
        <i val="0"/>
        <color auto="1"/>
      </font>
    </dxf>
    <dxf>
      <font>
        <b/>
        <i val="0"/>
        <color theme="0"/>
      </font>
      <fill>
        <patternFill>
          <bgColor theme="1" tint="0.499984740745262"/>
        </patternFill>
      </fill>
    </dxf>
    <dxf>
      <font>
        <b/>
        <i val="0"/>
        <strike val="0"/>
        <color theme="0"/>
      </font>
      <fill>
        <patternFill>
          <bgColor rgb="FF4D4D4D"/>
        </patternFill>
      </fill>
    </dxf>
    <dxf>
      <font>
        <b/>
        <i val="0"/>
        <color auto="1"/>
      </font>
    </dxf>
    <dxf>
      <font>
        <b/>
        <i val="0"/>
        <color theme="0"/>
      </font>
      <fill>
        <patternFill>
          <bgColor theme="1" tint="0.499984740745262"/>
        </patternFill>
      </fill>
    </dxf>
    <dxf>
      <font>
        <b/>
        <i val="0"/>
        <strike val="0"/>
        <color theme="0"/>
      </font>
      <fill>
        <patternFill>
          <bgColor rgb="FF4D4D4D"/>
        </patternFill>
      </fill>
    </dxf>
    <dxf>
      <font>
        <b/>
        <i val="0"/>
        <color auto="1"/>
      </font>
    </dxf>
    <dxf>
      <font>
        <b/>
        <i val="0"/>
        <color theme="0"/>
      </font>
      <fill>
        <patternFill>
          <bgColor theme="1" tint="0.499984740745262"/>
        </patternFill>
      </fill>
    </dxf>
    <dxf>
      <font>
        <b/>
        <i val="0"/>
        <strike val="0"/>
        <color theme="0"/>
      </font>
      <fill>
        <patternFill>
          <bgColor rgb="FF4D4D4D"/>
        </patternFill>
      </fill>
    </dxf>
    <dxf>
      <font>
        <b/>
        <i val="0"/>
        <color auto="1"/>
      </font>
    </dxf>
    <dxf>
      <font>
        <b/>
        <i val="0"/>
        <color theme="0"/>
      </font>
      <fill>
        <patternFill>
          <bgColor theme="1" tint="0.499984740745262"/>
        </patternFill>
      </fill>
    </dxf>
    <dxf>
      <font>
        <b/>
        <i val="0"/>
        <strike val="0"/>
        <color theme="0"/>
      </font>
      <fill>
        <patternFill>
          <bgColor rgb="FF4D4D4D"/>
        </patternFill>
      </fill>
    </dxf>
    <dxf>
      <font>
        <b/>
        <i val="0"/>
        <color auto="1"/>
      </font>
    </dxf>
    <dxf>
      <font>
        <b/>
        <i val="0"/>
        <color theme="0"/>
      </font>
      <fill>
        <patternFill>
          <bgColor theme="1" tint="0.499984740745262"/>
        </patternFill>
      </fill>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dxf>
  </dxfs>
  <tableStyles count="0" defaultTableStyle="TableStyleMedium2" defaultPivotStyle="PivotStyleLight16"/>
  <colors>
    <mruColors>
      <color rgb="FFFF5050"/>
      <color rgb="FFABDB77"/>
      <color rgb="FFFF2929"/>
      <color rgb="FFABE9FF"/>
      <color rgb="FFFBAFAF"/>
      <color rgb="FFA9DA74"/>
      <color rgb="FF43CEFF"/>
      <color rgb="FFA6D86E"/>
      <color rgb="FFC5EC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1"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Scroll" dx="22" fmlaLink="$H$3" horiz="1" max="389" page="10" val="374"/>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88900</xdr:colOff>
          <xdr:row>0</xdr:row>
          <xdr:rowOff>76200</xdr:rowOff>
        </xdr:from>
        <xdr:to>
          <xdr:col>23</xdr:col>
          <xdr:colOff>190500</xdr:colOff>
          <xdr:row>1</xdr:row>
          <xdr:rowOff>101600</xdr:rowOff>
        </xdr:to>
        <xdr:sp macro="" textlink="">
          <xdr:nvSpPr>
            <xdr:cNvPr id="1030" name="Scroll Ba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88900</xdr:rowOff>
        </xdr:from>
        <xdr:to>
          <xdr:col>11</xdr:col>
          <xdr:colOff>533400</xdr:colOff>
          <xdr:row>2</xdr:row>
          <xdr:rowOff>368300</xdr:rowOff>
        </xdr:to>
        <xdr:sp macro="" textlink="">
          <xdr:nvSpPr>
            <xdr:cNvPr id="1031" name="Scroll Bar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0000"/>
  </sheetPr>
  <dimension ref="A1:NC738"/>
  <sheetViews>
    <sheetView topLeftCell="A19" zoomScale="85" workbookViewId="0">
      <selection activeCell="Y45" sqref="Y45"/>
    </sheetView>
  </sheetViews>
  <sheetFormatPr baseColWidth="10" defaultColWidth="9.1640625" defaultRowHeight="15" outlineLevelRow="1" x14ac:dyDescent="0.2"/>
  <cols>
    <col min="1" max="1" width="9.1640625" style="10" customWidth="1"/>
    <col min="2" max="2" width="9.1640625" style="35"/>
    <col min="3" max="3" width="29.83203125" style="35" customWidth="1"/>
    <col min="4" max="4" width="15.83203125" style="36" customWidth="1"/>
    <col min="5" max="5" width="16.5" style="36" customWidth="1"/>
    <col min="6" max="6" width="32.83203125" style="25" customWidth="1"/>
    <col min="7" max="7" width="2.5" style="14" customWidth="1"/>
    <col min="8" max="8" width="15" style="2" customWidth="1"/>
    <col min="9" max="9" width="11.5" style="2" customWidth="1"/>
    <col min="10" max="10" width="11.83203125" style="2" customWidth="1"/>
    <col min="11" max="11" width="13.1640625" style="2" customWidth="1"/>
    <col min="12" max="12" width="9.1640625" style="2" customWidth="1"/>
    <col min="13" max="13" width="9.1640625" style="2"/>
    <col min="14" max="14" width="9.1640625" style="2" customWidth="1"/>
    <col min="15" max="15" width="13.33203125" style="2" customWidth="1"/>
    <col min="16" max="40" width="9.1640625" style="2" customWidth="1"/>
    <col min="41" max="367" width="9.1640625" style="2"/>
    <col min="368" max="16384" width="9.1640625" style="1"/>
  </cols>
  <sheetData>
    <row r="1" spans="1:367" s="3" customFormat="1" x14ac:dyDescent="0.2">
      <c r="A1" s="10"/>
      <c r="B1" s="26"/>
      <c r="C1" s="26"/>
      <c r="D1" s="27"/>
      <c r="E1" s="27"/>
      <c r="F1" s="20"/>
      <c r="G1" s="11"/>
      <c r="H1" s="51"/>
      <c r="I1" s="51"/>
      <c r="J1" s="51"/>
      <c r="K1" s="51"/>
      <c r="L1" s="51"/>
      <c r="M1" s="51"/>
      <c r="N1" s="51"/>
      <c r="O1" s="51"/>
      <c r="P1" s="51"/>
      <c r="Q1" s="51"/>
      <c r="R1" s="51"/>
      <c r="S1" s="51"/>
      <c r="T1" s="51"/>
      <c r="U1" s="51"/>
      <c r="V1" s="51"/>
      <c r="W1" s="51"/>
      <c r="X1" s="51"/>
      <c r="Y1" s="51"/>
      <c r="Z1" s="51"/>
      <c r="AA1" s="51"/>
      <c r="AB1" s="51"/>
      <c r="AC1" s="51"/>
      <c r="AD1" s="51"/>
      <c r="AE1" s="51"/>
      <c r="AF1" s="51"/>
      <c r="AG1" s="51"/>
      <c r="AH1" s="51"/>
      <c r="AI1" s="51"/>
      <c r="AJ1" s="51"/>
      <c r="AK1" s="51"/>
      <c r="AL1" s="51"/>
      <c r="AM1" s="51"/>
      <c r="AN1" s="51"/>
      <c r="AO1" s="51"/>
      <c r="AP1" s="51"/>
      <c r="AQ1" s="51"/>
      <c r="AR1" s="51"/>
      <c r="AS1" s="51"/>
      <c r="AT1" s="51"/>
      <c r="AU1" s="51"/>
      <c r="AV1" s="51"/>
      <c r="AW1" s="51"/>
      <c r="AX1" s="51"/>
      <c r="AY1" s="51"/>
      <c r="AZ1" s="51"/>
      <c r="BA1" s="51"/>
      <c r="BB1" s="51"/>
      <c r="BC1" s="51"/>
      <c r="BD1" s="51"/>
      <c r="BE1" s="51"/>
      <c r="BF1" s="51"/>
      <c r="BG1" s="51"/>
      <c r="BH1" s="51"/>
      <c r="BI1" s="51"/>
      <c r="BJ1" s="51"/>
      <c r="BK1" s="51"/>
      <c r="BL1" s="51"/>
      <c r="BM1" s="51"/>
      <c r="BN1" s="51"/>
      <c r="BO1" s="51"/>
      <c r="BP1" s="51"/>
      <c r="BQ1" s="51"/>
      <c r="BR1" s="51"/>
      <c r="BS1" s="51"/>
      <c r="BT1" s="51"/>
      <c r="BU1" s="51"/>
      <c r="BV1" s="51"/>
      <c r="BW1" s="51"/>
      <c r="BX1" s="51"/>
      <c r="BY1" s="51"/>
      <c r="BZ1" s="51"/>
      <c r="CA1" s="51"/>
      <c r="CB1" s="51"/>
      <c r="CC1" s="51"/>
      <c r="CD1" s="51"/>
      <c r="CE1" s="51"/>
      <c r="CF1" s="51"/>
      <c r="CG1" s="51"/>
      <c r="CH1" s="51"/>
      <c r="CI1" s="51"/>
      <c r="CJ1" s="51"/>
      <c r="CK1" s="51"/>
      <c r="CL1" s="51"/>
      <c r="CM1" s="51"/>
      <c r="CN1" s="51"/>
      <c r="CO1" s="51"/>
      <c r="CP1" s="51"/>
      <c r="CQ1" s="51"/>
      <c r="CR1" s="51"/>
      <c r="CS1" s="51"/>
      <c r="CT1" s="51"/>
      <c r="CU1" s="51"/>
      <c r="CV1" s="51"/>
      <c r="CW1" s="51"/>
      <c r="CX1" s="51"/>
      <c r="CY1" s="51"/>
      <c r="CZ1" s="51"/>
      <c r="DA1" s="51"/>
      <c r="DB1" s="51"/>
      <c r="DC1" s="51"/>
      <c r="DD1" s="51"/>
      <c r="DE1" s="51"/>
      <c r="DF1" s="51"/>
      <c r="DG1" s="51"/>
      <c r="DH1" s="51"/>
      <c r="DI1" s="51"/>
      <c r="DJ1" s="51"/>
      <c r="DK1" s="51"/>
      <c r="DL1" s="51"/>
      <c r="DM1" s="51"/>
      <c r="DN1" s="51"/>
      <c r="DO1" s="51"/>
      <c r="DP1" s="51"/>
      <c r="DQ1" s="51"/>
      <c r="DR1" s="51"/>
      <c r="DS1" s="51"/>
      <c r="DT1" s="51"/>
      <c r="DU1" s="51"/>
      <c r="DV1" s="51"/>
      <c r="DW1" s="51"/>
      <c r="DX1" s="51"/>
      <c r="DY1" s="51"/>
      <c r="DZ1" s="51"/>
      <c r="EA1" s="51"/>
      <c r="EB1" s="51"/>
      <c r="EC1" s="51"/>
      <c r="ED1" s="51"/>
      <c r="EE1" s="51"/>
      <c r="EF1" s="51"/>
      <c r="EG1" s="51"/>
      <c r="EH1" s="51"/>
      <c r="EI1" s="51"/>
      <c r="EJ1" s="51"/>
      <c r="EK1" s="51"/>
      <c r="EL1" s="51"/>
      <c r="EM1" s="51"/>
      <c r="EN1" s="51"/>
      <c r="EO1" s="51"/>
      <c r="EP1" s="51"/>
      <c r="EQ1" s="51"/>
      <c r="ER1" s="51"/>
      <c r="ES1" s="51"/>
      <c r="ET1" s="51"/>
      <c r="EU1" s="51"/>
      <c r="EV1" s="51"/>
      <c r="EW1" s="51"/>
      <c r="EX1" s="51"/>
      <c r="EY1" s="51"/>
      <c r="EZ1" s="51"/>
      <c r="FA1" s="51"/>
      <c r="FB1" s="51"/>
      <c r="FC1" s="51"/>
      <c r="FD1" s="51"/>
      <c r="FE1" s="51"/>
      <c r="FF1" s="51"/>
      <c r="FG1" s="51"/>
      <c r="FH1" s="51"/>
      <c r="FI1" s="51"/>
      <c r="FJ1" s="51"/>
      <c r="FK1" s="51"/>
      <c r="FL1" s="51"/>
      <c r="FM1" s="51"/>
      <c r="FN1" s="51"/>
      <c r="FO1" s="51"/>
      <c r="FP1" s="51"/>
      <c r="FQ1" s="51"/>
      <c r="FR1" s="51"/>
      <c r="FS1" s="51"/>
      <c r="FT1" s="51"/>
      <c r="FU1" s="51"/>
      <c r="FV1" s="51"/>
      <c r="FW1" s="51"/>
      <c r="FX1" s="51"/>
      <c r="FY1" s="51"/>
      <c r="FZ1" s="51"/>
      <c r="GA1" s="51"/>
      <c r="GB1" s="51"/>
      <c r="GC1" s="51"/>
      <c r="GD1" s="51"/>
      <c r="GE1" s="51"/>
      <c r="GF1" s="51"/>
      <c r="GG1" s="51"/>
      <c r="GH1" s="51"/>
      <c r="GI1" s="51"/>
      <c r="GJ1" s="51"/>
      <c r="GK1" s="51"/>
      <c r="GL1" s="51"/>
      <c r="GM1" s="51"/>
      <c r="GN1" s="51"/>
      <c r="GO1" s="51"/>
      <c r="GP1" s="51"/>
      <c r="GQ1" s="51"/>
      <c r="GR1" s="51"/>
      <c r="GS1" s="51"/>
      <c r="GT1" s="51"/>
      <c r="GU1" s="51"/>
      <c r="GV1" s="51"/>
      <c r="GW1" s="51"/>
      <c r="GX1" s="51"/>
      <c r="GY1" s="51"/>
      <c r="GZ1" s="51"/>
      <c r="HA1" s="51"/>
      <c r="HB1" s="51"/>
      <c r="HC1" s="51"/>
      <c r="HD1" s="51"/>
      <c r="HE1" s="51"/>
      <c r="HF1" s="51"/>
      <c r="HG1" s="51"/>
      <c r="HH1" s="51"/>
      <c r="HI1" s="51"/>
      <c r="HJ1" s="51"/>
      <c r="HK1" s="51"/>
      <c r="HL1" s="51"/>
      <c r="HM1" s="51"/>
      <c r="HN1" s="51"/>
      <c r="HO1" s="51"/>
      <c r="HP1" s="51"/>
      <c r="HQ1" s="51"/>
      <c r="HR1" s="51"/>
      <c r="HS1" s="51"/>
      <c r="HT1" s="51"/>
      <c r="HU1" s="51"/>
      <c r="HV1" s="51"/>
      <c r="HW1" s="51"/>
      <c r="HX1" s="51"/>
      <c r="HY1" s="51"/>
      <c r="HZ1" s="51"/>
      <c r="IA1" s="51"/>
      <c r="IB1" s="51"/>
      <c r="IC1" s="51"/>
      <c r="ID1" s="51"/>
      <c r="IE1" s="51"/>
      <c r="IF1" s="51"/>
      <c r="IG1" s="51"/>
      <c r="IH1" s="51"/>
      <c r="II1" s="51"/>
      <c r="IJ1" s="51"/>
      <c r="IK1" s="51"/>
      <c r="IL1" s="51"/>
      <c r="IM1" s="51"/>
      <c r="IN1" s="51"/>
      <c r="IO1" s="51"/>
      <c r="IP1" s="51"/>
      <c r="IQ1" s="51"/>
      <c r="IR1" s="51"/>
      <c r="IS1" s="51"/>
      <c r="IT1" s="51"/>
      <c r="IU1" s="51"/>
      <c r="IV1" s="51"/>
      <c r="IW1" s="51"/>
      <c r="IX1" s="51"/>
      <c r="IY1" s="51"/>
      <c r="IZ1" s="51"/>
      <c r="JA1" s="51"/>
      <c r="JB1" s="51"/>
      <c r="JC1" s="51"/>
      <c r="JD1" s="51"/>
      <c r="JE1" s="51"/>
      <c r="JF1" s="51"/>
      <c r="JG1" s="51"/>
      <c r="JH1" s="51"/>
      <c r="JI1" s="51"/>
      <c r="JJ1" s="51"/>
      <c r="JK1" s="51"/>
      <c r="JL1" s="51"/>
      <c r="JM1" s="51"/>
      <c r="JN1" s="51"/>
      <c r="JO1" s="51"/>
      <c r="JP1" s="51"/>
      <c r="JQ1" s="51"/>
      <c r="JR1" s="51"/>
      <c r="JS1" s="51"/>
      <c r="JT1" s="51"/>
      <c r="JU1" s="51"/>
      <c r="JV1" s="51"/>
      <c r="JW1" s="51"/>
      <c r="JX1" s="51"/>
      <c r="JY1" s="51"/>
      <c r="JZ1" s="51"/>
      <c r="KA1" s="51"/>
      <c r="KB1" s="51"/>
      <c r="KC1" s="51"/>
      <c r="KD1" s="51"/>
      <c r="KE1" s="51"/>
      <c r="KF1" s="51"/>
      <c r="KG1" s="51"/>
      <c r="KH1" s="51"/>
      <c r="KI1" s="51"/>
      <c r="KJ1" s="51"/>
      <c r="KK1" s="51"/>
      <c r="KL1" s="51"/>
      <c r="KM1" s="51"/>
      <c r="KN1" s="51"/>
      <c r="KO1" s="51"/>
      <c r="KP1" s="51"/>
      <c r="KQ1" s="51"/>
      <c r="KR1" s="51"/>
      <c r="KS1" s="51"/>
      <c r="KT1" s="51"/>
      <c r="KU1" s="51"/>
      <c r="KV1" s="51"/>
      <c r="KW1" s="51"/>
      <c r="KX1" s="51"/>
      <c r="KY1" s="51"/>
      <c r="KZ1" s="51"/>
      <c r="LA1" s="51"/>
      <c r="LB1" s="51"/>
      <c r="LC1" s="51"/>
      <c r="LD1" s="51"/>
      <c r="LE1" s="51"/>
      <c r="LF1" s="51"/>
      <c r="LG1" s="51"/>
      <c r="LH1" s="51"/>
      <c r="LI1" s="51"/>
      <c r="LJ1" s="51"/>
      <c r="LK1" s="51"/>
      <c r="LL1" s="51"/>
      <c r="LM1" s="51"/>
      <c r="LN1" s="51"/>
      <c r="LO1" s="51"/>
      <c r="LP1" s="51"/>
      <c r="LQ1" s="51"/>
      <c r="LR1" s="51"/>
      <c r="LS1" s="51"/>
      <c r="LT1" s="51"/>
      <c r="LU1" s="51"/>
      <c r="LV1" s="51"/>
      <c r="LW1" s="51"/>
      <c r="LX1" s="51"/>
      <c r="LY1" s="51"/>
      <c r="LZ1" s="51"/>
      <c r="MA1" s="51"/>
      <c r="MB1" s="51"/>
      <c r="MC1" s="51"/>
      <c r="MD1" s="51"/>
      <c r="ME1" s="51"/>
      <c r="MF1" s="51"/>
      <c r="MG1" s="51"/>
      <c r="MH1" s="51"/>
      <c r="MI1" s="51"/>
      <c r="MJ1" s="51"/>
      <c r="MK1" s="51"/>
      <c r="ML1" s="51"/>
      <c r="MM1" s="51"/>
      <c r="MN1" s="51"/>
      <c r="MO1" s="51"/>
      <c r="MP1" s="51"/>
      <c r="MQ1" s="51"/>
      <c r="MR1" s="51"/>
      <c r="MS1" s="51"/>
      <c r="MT1" s="51"/>
      <c r="MU1" s="51"/>
      <c r="MV1" s="51"/>
      <c r="MW1" s="51"/>
      <c r="MX1" s="51"/>
      <c r="MY1" s="51"/>
      <c r="MZ1" s="51"/>
      <c r="NA1" s="51"/>
      <c r="NB1" s="51"/>
      <c r="NC1" s="51"/>
    </row>
    <row r="2" spans="1:367" s="7" customFormat="1" x14ac:dyDescent="0.2">
      <c r="A2" s="9"/>
      <c r="B2" s="28"/>
      <c r="C2" s="28"/>
      <c r="D2" s="29"/>
      <c r="E2" s="29"/>
      <c r="F2" s="21"/>
      <c r="G2" s="11"/>
      <c r="H2" s="51"/>
      <c r="I2" s="51"/>
      <c r="J2" s="51"/>
      <c r="K2" s="51"/>
      <c r="L2" s="51"/>
      <c r="M2" s="51"/>
      <c r="N2" s="51"/>
      <c r="O2" s="51"/>
      <c r="P2" s="51"/>
      <c r="Q2" s="51"/>
      <c r="R2" s="51"/>
      <c r="S2" s="51"/>
      <c r="T2" s="51"/>
      <c r="U2" s="51"/>
      <c r="V2" s="51"/>
      <c r="W2" s="51"/>
      <c r="X2" s="51"/>
      <c r="Y2" s="51"/>
      <c r="Z2" s="51"/>
      <c r="AA2" s="51"/>
      <c r="AB2" s="51"/>
      <c r="AC2" s="51"/>
      <c r="AD2" s="51"/>
      <c r="AE2" s="51"/>
      <c r="AF2" s="51"/>
      <c r="AG2" s="51"/>
      <c r="AH2" s="51"/>
      <c r="AI2" s="51"/>
      <c r="AJ2" s="51"/>
      <c r="AK2" s="51"/>
      <c r="AL2" s="51"/>
      <c r="AM2" s="51"/>
      <c r="AN2" s="51"/>
      <c r="AO2" s="51"/>
      <c r="AP2" s="51"/>
      <c r="AQ2" s="51"/>
      <c r="AR2" s="51"/>
      <c r="AS2" s="51"/>
      <c r="AT2" s="51"/>
      <c r="AU2" s="51"/>
      <c r="AV2" s="51"/>
      <c r="AW2" s="51"/>
      <c r="AX2" s="51"/>
      <c r="AY2" s="51"/>
      <c r="AZ2" s="51"/>
      <c r="BA2" s="51"/>
      <c r="BB2" s="51"/>
      <c r="BC2" s="51"/>
      <c r="BD2" s="51"/>
      <c r="BE2" s="51"/>
      <c r="BF2" s="51"/>
      <c r="BG2" s="51"/>
      <c r="BH2" s="51"/>
      <c r="BI2" s="51"/>
      <c r="BJ2" s="51"/>
      <c r="BK2" s="51"/>
      <c r="BL2" s="51"/>
      <c r="BM2" s="51"/>
      <c r="BN2" s="51"/>
      <c r="BO2" s="51"/>
      <c r="BP2" s="51"/>
      <c r="BQ2" s="51"/>
      <c r="BR2" s="51"/>
      <c r="BS2" s="51"/>
      <c r="BT2" s="51"/>
      <c r="BU2" s="51"/>
      <c r="BV2" s="51"/>
      <c r="BW2" s="51"/>
      <c r="BX2" s="51"/>
      <c r="BY2" s="51"/>
      <c r="BZ2" s="51"/>
      <c r="CA2" s="51"/>
      <c r="CB2" s="51"/>
      <c r="CC2" s="51"/>
      <c r="CD2" s="51"/>
      <c r="CE2" s="51"/>
      <c r="CF2" s="51"/>
      <c r="CG2" s="51"/>
      <c r="CH2" s="51"/>
      <c r="CI2" s="51"/>
      <c r="CJ2" s="51"/>
      <c r="CK2" s="51"/>
      <c r="CL2" s="51"/>
      <c r="CM2" s="51"/>
      <c r="CN2" s="51"/>
      <c r="CO2" s="51"/>
      <c r="CP2" s="51"/>
      <c r="CQ2" s="51"/>
      <c r="CR2" s="51"/>
      <c r="CS2" s="51"/>
      <c r="CT2" s="51"/>
      <c r="CU2" s="51"/>
      <c r="CV2" s="51"/>
      <c r="CW2" s="51"/>
      <c r="CX2" s="51"/>
      <c r="CY2" s="51"/>
      <c r="CZ2" s="51"/>
      <c r="DA2" s="51"/>
      <c r="DB2" s="51"/>
      <c r="DC2" s="51"/>
      <c r="DD2" s="51"/>
      <c r="DE2" s="51"/>
      <c r="DF2" s="51"/>
      <c r="DG2" s="51"/>
      <c r="DH2" s="51"/>
      <c r="DI2" s="51"/>
      <c r="DJ2" s="51"/>
      <c r="DK2" s="51"/>
      <c r="DL2" s="51"/>
      <c r="DM2" s="51"/>
      <c r="DN2" s="51"/>
      <c r="DO2" s="51"/>
      <c r="DP2" s="51"/>
      <c r="DQ2" s="51"/>
      <c r="DR2" s="51"/>
      <c r="DS2" s="51"/>
      <c r="DT2" s="51"/>
      <c r="DU2" s="51"/>
      <c r="DV2" s="51"/>
      <c r="DW2" s="51"/>
      <c r="DX2" s="51"/>
      <c r="DY2" s="51"/>
      <c r="DZ2" s="51"/>
      <c r="EA2" s="51"/>
      <c r="EB2" s="51"/>
      <c r="EC2" s="51"/>
      <c r="ED2" s="51"/>
      <c r="EE2" s="51"/>
      <c r="EF2" s="51"/>
      <c r="EG2" s="51"/>
      <c r="EH2" s="51"/>
      <c r="EI2" s="51"/>
      <c r="EJ2" s="51"/>
      <c r="EK2" s="51"/>
      <c r="EL2" s="51"/>
      <c r="EM2" s="51"/>
      <c r="EN2" s="51"/>
      <c r="EO2" s="51"/>
      <c r="EP2" s="51"/>
      <c r="EQ2" s="51"/>
      <c r="ER2" s="51"/>
      <c r="ES2" s="51"/>
      <c r="ET2" s="51"/>
      <c r="EU2" s="51"/>
      <c r="EV2" s="51"/>
      <c r="EW2" s="51"/>
      <c r="EX2" s="51"/>
      <c r="EY2" s="51"/>
      <c r="EZ2" s="51"/>
      <c r="FA2" s="51"/>
      <c r="FB2" s="51"/>
      <c r="FC2" s="51"/>
      <c r="FD2" s="51"/>
      <c r="FE2" s="51"/>
      <c r="FF2" s="51"/>
      <c r="FG2" s="51"/>
      <c r="FH2" s="51"/>
      <c r="FI2" s="51"/>
      <c r="FJ2" s="51"/>
      <c r="FK2" s="51"/>
      <c r="FL2" s="51"/>
      <c r="FM2" s="51"/>
      <c r="FN2" s="51"/>
      <c r="FO2" s="51"/>
      <c r="FP2" s="51"/>
      <c r="FQ2" s="51"/>
      <c r="FR2" s="51"/>
      <c r="FS2" s="51"/>
      <c r="FT2" s="51"/>
      <c r="FU2" s="51"/>
      <c r="FV2" s="51"/>
      <c r="FW2" s="51"/>
      <c r="FX2" s="51"/>
      <c r="FY2" s="51"/>
      <c r="FZ2" s="51"/>
      <c r="GA2" s="51"/>
      <c r="GB2" s="51"/>
      <c r="GC2" s="51"/>
      <c r="GD2" s="51"/>
      <c r="GE2" s="51"/>
      <c r="GF2" s="51"/>
      <c r="GG2" s="51"/>
      <c r="GH2" s="51"/>
      <c r="GI2" s="51"/>
      <c r="GJ2" s="51"/>
      <c r="GK2" s="51"/>
      <c r="GL2" s="51"/>
      <c r="GM2" s="51"/>
      <c r="GN2" s="51"/>
      <c r="GO2" s="51"/>
      <c r="GP2" s="51"/>
      <c r="GQ2" s="51"/>
      <c r="GR2" s="51"/>
      <c r="GS2" s="51"/>
      <c r="GT2" s="51"/>
      <c r="GU2" s="51"/>
      <c r="GV2" s="51"/>
      <c r="GW2" s="51"/>
      <c r="GX2" s="51"/>
      <c r="GY2" s="51"/>
      <c r="GZ2" s="51"/>
      <c r="HA2" s="51"/>
      <c r="HB2" s="51"/>
      <c r="HC2" s="51"/>
      <c r="HD2" s="51"/>
      <c r="HE2" s="51"/>
      <c r="HF2" s="51"/>
      <c r="HG2" s="51"/>
      <c r="HH2" s="51"/>
      <c r="HI2" s="51"/>
      <c r="HJ2" s="51"/>
      <c r="HK2" s="51"/>
      <c r="HL2" s="51"/>
      <c r="HM2" s="51"/>
      <c r="HN2" s="51"/>
      <c r="HO2" s="51"/>
      <c r="HP2" s="51"/>
      <c r="HQ2" s="51"/>
      <c r="HR2" s="51"/>
      <c r="HS2" s="51"/>
      <c r="HT2" s="51"/>
      <c r="HU2" s="51"/>
      <c r="HV2" s="51"/>
      <c r="HW2" s="51"/>
      <c r="HX2" s="51"/>
      <c r="HY2" s="51"/>
      <c r="HZ2" s="51"/>
      <c r="IA2" s="51"/>
      <c r="IB2" s="51"/>
      <c r="IC2" s="51"/>
      <c r="ID2" s="51"/>
      <c r="IE2" s="51"/>
      <c r="IF2" s="51"/>
      <c r="IG2" s="51"/>
      <c r="IH2" s="51"/>
      <c r="II2" s="51"/>
      <c r="IJ2" s="51"/>
      <c r="IK2" s="51"/>
      <c r="IL2" s="51"/>
      <c r="IM2" s="51"/>
      <c r="IN2" s="51"/>
      <c r="IO2" s="51"/>
      <c r="IP2" s="51"/>
      <c r="IQ2" s="51"/>
      <c r="IR2" s="51"/>
      <c r="IS2" s="51"/>
      <c r="IT2" s="51"/>
      <c r="IU2" s="51"/>
      <c r="IV2" s="51"/>
      <c r="IW2" s="51"/>
      <c r="IX2" s="51"/>
      <c r="IY2" s="51"/>
      <c r="IZ2" s="51"/>
      <c r="JA2" s="51"/>
      <c r="JB2" s="51"/>
      <c r="JC2" s="51"/>
      <c r="JD2" s="51"/>
      <c r="JE2" s="51"/>
      <c r="JF2" s="51"/>
      <c r="JG2" s="51"/>
      <c r="JH2" s="51"/>
      <c r="JI2" s="51"/>
      <c r="JJ2" s="51"/>
      <c r="JK2" s="51"/>
      <c r="JL2" s="51"/>
      <c r="JM2" s="51"/>
      <c r="JN2" s="51"/>
      <c r="JO2" s="51"/>
      <c r="JP2" s="51"/>
      <c r="JQ2" s="51"/>
      <c r="JR2" s="51"/>
      <c r="JS2" s="51"/>
      <c r="JT2" s="51"/>
      <c r="JU2" s="51"/>
      <c r="JV2" s="51"/>
      <c r="JW2" s="51"/>
      <c r="JX2" s="51"/>
      <c r="JY2" s="51"/>
      <c r="JZ2" s="51"/>
      <c r="KA2" s="51"/>
      <c r="KB2" s="51"/>
      <c r="KC2" s="51"/>
      <c r="KD2" s="51"/>
      <c r="KE2" s="51"/>
      <c r="KF2" s="51"/>
      <c r="KG2" s="51"/>
      <c r="KH2" s="51"/>
      <c r="KI2" s="51"/>
      <c r="KJ2" s="51"/>
      <c r="KK2" s="51"/>
      <c r="KL2" s="51"/>
      <c r="KM2" s="51"/>
      <c r="KN2" s="51"/>
      <c r="KO2" s="51"/>
      <c r="KP2" s="51"/>
      <c r="KQ2" s="51"/>
      <c r="KR2" s="51"/>
      <c r="KS2" s="51"/>
      <c r="KT2" s="51"/>
      <c r="KU2" s="51"/>
      <c r="KV2" s="51"/>
      <c r="KW2" s="51"/>
      <c r="KX2" s="51"/>
      <c r="KY2" s="51"/>
      <c r="KZ2" s="51"/>
      <c r="LA2" s="51"/>
      <c r="LB2" s="51"/>
      <c r="LC2" s="51"/>
      <c r="LD2" s="51"/>
      <c r="LE2" s="51"/>
      <c r="LF2" s="51"/>
      <c r="LG2" s="51"/>
      <c r="LH2" s="51"/>
      <c r="LI2" s="51"/>
      <c r="LJ2" s="51"/>
      <c r="LK2" s="51"/>
      <c r="LL2" s="51"/>
      <c r="LM2" s="51"/>
      <c r="LN2" s="51"/>
      <c r="LO2" s="51"/>
      <c r="LP2" s="51"/>
      <c r="LQ2" s="51"/>
      <c r="LR2" s="51"/>
      <c r="LS2" s="51"/>
      <c r="LT2" s="51"/>
      <c r="LU2" s="51"/>
      <c r="LV2" s="51"/>
      <c r="LW2" s="51"/>
      <c r="LX2" s="51"/>
      <c r="LY2" s="51"/>
      <c r="LZ2" s="51"/>
      <c r="MA2" s="51"/>
      <c r="MB2" s="51"/>
      <c r="MC2" s="51"/>
      <c r="MD2" s="51"/>
      <c r="ME2" s="51"/>
      <c r="MF2" s="51"/>
      <c r="MG2" s="51"/>
      <c r="MH2" s="51"/>
      <c r="MI2" s="51"/>
      <c r="MJ2" s="51"/>
      <c r="MK2" s="51"/>
      <c r="ML2" s="51"/>
      <c r="MM2" s="51"/>
      <c r="MN2" s="51"/>
      <c r="MO2" s="51"/>
      <c r="MP2" s="51"/>
      <c r="MQ2" s="51"/>
      <c r="MR2" s="51"/>
      <c r="MS2" s="51"/>
      <c r="MT2" s="51"/>
      <c r="MU2" s="51"/>
      <c r="MV2" s="51"/>
      <c r="MW2" s="51"/>
      <c r="MX2" s="51"/>
      <c r="MY2" s="51"/>
      <c r="MZ2" s="51"/>
      <c r="NA2" s="51"/>
      <c r="NB2" s="51"/>
      <c r="NC2" s="51"/>
    </row>
    <row r="3" spans="1:367" s="5" customFormat="1" ht="39.75" customHeight="1" x14ac:dyDescent="0.2">
      <c r="A3" s="8"/>
      <c r="B3" s="30"/>
      <c r="C3" s="30" t="s">
        <v>5</v>
      </c>
      <c r="D3" s="31" t="s">
        <v>6</v>
      </c>
      <c r="E3" s="193" t="s">
        <v>289</v>
      </c>
      <c r="F3" s="192" t="s">
        <v>288</v>
      </c>
      <c r="G3" s="13"/>
      <c r="H3" s="6">
        <v>374</v>
      </c>
      <c r="I3" s="6"/>
      <c r="J3" s="6">
        <v>378</v>
      </c>
      <c r="K3" s="6"/>
      <c r="L3" s="6"/>
      <c r="M3" s="6" t="s">
        <v>244</v>
      </c>
      <c r="N3" s="189">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
      <c r="A4" s="10"/>
      <c r="B4" s="32"/>
      <c r="C4" s="40">
        <f ca="1">TODAY()</f>
        <v>43150</v>
      </c>
      <c r="D4" s="41" t="s">
        <v>7</v>
      </c>
      <c r="E4" s="33"/>
      <c r="F4" s="23"/>
      <c r="G4" s="13"/>
      <c r="H4" s="6">
        <f>$H$3 - 365</f>
        <v>9</v>
      </c>
      <c r="K4" s="176" t="s">
        <v>20</v>
      </c>
    </row>
    <row r="5" spans="1:367" s="6" customFormat="1" x14ac:dyDescent="0.2">
      <c r="A5" s="10"/>
      <c r="B5" s="32"/>
      <c r="C5" s="32"/>
      <c r="D5" s="33"/>
      <c r="E5" s="33"/>
      <c r="F5" s="23"/>
      <c r="G5" s="13"/>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5" customFormat="1" ht="62.25" customHeight="1" x14ac:dyDescent="0.2">
      <c r="A6" s="17"/>
      <c r="B6" s="24"/>
      <c r="C6" s="24"/>
      <c r="D6" s="24"/>
      <c r="E6" s="24"/>
      <c r="F6" s="122"/>
      <c r="G6" s="16"/>
      <c r="H6" s="15">
        <f t="shared" ref="H6:K6" ca="1" si="0">TODAY()+((COLUMN()-$H$4)*$N$3)</f>
        <v>43149</v>
      </c>
      <c r="I6" s="15">
        <f t="shared" ca="1" si="0"/>
        <v>43150</v>
      </c>
      <c r="J6" s="15">
        <f t="shared" ca="1" si="0"/>
        <v>43151</v>
      </c>
      <c r="K6" s="15">
        <f t="shared" ca="1" si="0"/>
        <v>43152</v>
      </c>
      <c r="L6" s="15">
        <f ca="1">TODAY()+((COLUMN()-$H$4)*$N$3)</f>
        <v>43153</v>
      </c>
      <c r="M6" s="15">
        <f ca="1">TODAY()+((COLUMN()-$H$4)*$N$3)</f>
        <v>43154</v>
      </c>
      <c r="N6" s="15">
        <f ca="1">TODAY()+((COLUMN()-$H$4)*$N$3)</f>
        <v>43155</v>
      </c>
      <c r="O6" s="15">
        <f t="shared" ref="O6:BZ6" ca="1" si="1">TODAY()+((COLUMN()-$H$4)*$N$3)</f>
        <v>43156</v>
      </c>
      <c r="P6" s="15">
        <f t="shared" ca="1" si="1"/>
        <v>43157</v>
      </c>
      <c r="Q6" s="15">
        <f t="shared" ca="1" si="1"/>
        <v>43158</v>
      </c>
      <c r="R6" s="15">
        <f t="shared" ca="1" si="1"/>
        <v>43159</v>
      </c>
      <c r="S6" s="15">
        <f t="shared" ca="1" si="1"/>
        <v>43160</v>
      </c>
      <c r="T6" s="15">
        <f ca="1">TODAY()+((COLUMN()-$H$4)*$N$3)</f>
        <v>43161</v>
      </c>
      <c r="U6" s="15">
        <f t="shared" ca="1" si="1"/>
        <v>43162</v>
      </c>
      <c r="V6" s="15">
        <f t="shared" ca="1" si="1"/>
        <v>43163</v>
      </c>
      <c r="W6" s="15">
        <f t="shared" ca="1" si="1"/>
        <v>43164</v>
      </c>
      <c r="X6" s="15">
        <f t="shared" ca="1" si="1"/>
        <v>43165</v>
      </c>
      <c r="Y6" s="15">
        <f t="shared" ca="1" si="1"/>
        <v>43166</v>
      </c>
      <c r="Z6" s="15">
        <f t="shared" ca="1" si="1"/>
        <v>43167</v>
      </c>
      <c r="AA6" s="15">
        <f t="shared" ca="1" si="1"/>
        <v>43168</v>
      </c>
      <c r="AB6" s="15">
        <f t="shared" ca="1" si="1"/>
        <v>43169</v>
      </c>
      <c r="AC6" s="15">
        <f t="shared" ca="1" si="1"/>
        <v>43170</v>
      </c>
      <c r="AD6" s="15">
        <f t="shared" ca="1" si="1"/>
        <v>43171</v>
      </c>
      <c r="AE6" s="15">
        <f t="shared" ca="1" si="1"/>
        <v>43172</v>
      </c>
      <c r="AF6" s="15">
        <f t="shared" ca="1" si="1"/>
        <v>43173</v>
      </c>
      <c r="AG6" s="15">
        <f t="shared" ca="1" si="1"/>
        <v>43174</v>
      </c>
      <c r="AH6" s="15">
        <f t="shared" ca="1" si="1"/>
        <v>43175</v>
      </c>
      <c r="AI6" s="15">
        <f t="shared" ca="1" si="1"/>
        <v>43176</v>
      </c>
      <c r="AJ6" s="15">
        <f t="shared" ca="1" si="1"/>
        <v>43177</v>
      </c>
      <c r="AK6" s="15">
        <f t="shared" ca="1" si="1"/>
        <v>43178</v>
      </c>
      <c r="AL6" s="15">
        <f t="shared" ca="1" si="1"/>
        <v>43179</v>
      </c>
      <c r="AM6" s="15">
        <f t="shared" ca="1" si="1"/>
        <v>43180</v>
      </c>
      <c r="AN6" s="15">
        <f t="shared" ca="1" si="1"/>
        <v>43181</v>
      </c>
      <c r="AO6" s="15">
        <f t="shared" ca="1" si="1"/>
        <v>43182</v>
      </c>
      <c r="AP6" s="15">
        <f t="shared" ca="1" si="1"/>
        <v>43183</v>
      </c>
      <c r="AQ6" s="15">
        <f t="shared" ca="1" si="1"/>
        <v>43184</v>
      </c>
      <c r="AR6" s="15">
        <f t="shared" ca="1" si="1"/>
        <v>43185</v>
      </c>
      <c r="AS6" s="15">
        <f t="shared" ca="1" si="1"/>
        <v>43186</v>
      </c>
      <c r="AT6" s="15">
        <f t="shared" ca="1" si="1"/>
        <v>43187</v>
      </c>
      <c r="AU6" s="15">
        <f t="shared" ca="1" si="1"/>
        <v>43188</v>
      </c>
      <c r="AV6" s="15">
        <f t="shared" ca="1" si="1"/>
        <v>43189</v>
      </c>
      <c r="AW6" s="15">
        <f t="shared" ca="1" si="1"/>
        <v>43190</v>
      </c>
      <c r="AX6" s="15">
        <f t="shared" ca="1" si="1"/>
        <v>43191</v>
      </c>
      <c r="AY6" s="15">
        <f t="shared" ca="1" si="1"/>
        <v>43192</v>
      </c>
      <c r="AZ6" s="15">
        <f t="shared" ca="1" si="1"/>
        <v>43193</v>
      </c>
      <c r="BA6" s="15">
        <f t="shared" ca="1" si="1"/>
        <v>43194</v>
      </c>
      <c r="BB6" s="15">
        <f t="shared" ca="1" si="1"/>
        <v>43195</v>
      </c>
      <c r="BC6" s="15">
        <f t="shared" ca="1" si="1"/>
        <v>43196</v>
      </c>
      <c r="BD6" s="15">
        <f t="shared" ca="1" si="1"/>
        <v>43197</v>
      </c>
      <c r="BE6" s="15">
        <f t="shared" ca="1" si="1"/>
        <v>43198</v>
      </c>
      <c r="BF6" s="15">
        <f t="shared" ca="1" si="1"/>
        <v>43199</v>
      </c>
      <c r="BG6" s="15">
        <f t="shared" ca="1" si="1"/>
        <v>43200</v>
      </c>
      <c r="BH6" s="15">
        <f t="shared" ca="1" si="1"/>
        <v>43201</v>
      </c>
      <c r="BI6" s="15">
        <f t="shared" ca="1" si="1"/>
        <v>43202</v>
      </c>
      <c r="BJ6" s="15">
        <f t="shared" ca="1" si="1"/>
        <v>43203</v>
      </c>
      <c r="BK6" s="15">
        <f t="shared" ca="1" si="1"/>
        <v>43204</v>
      </c>
      <c r="BL6" s="15">
        <f t="shared" ca="1" si="1"/>
        <v>43205</v>
      </c>
      <c r="BM6" s="15">
        <f t="shared" ca="1" si="1"/>
        <v>43206</v>
      </c>
      <c r="BN6" s="15">
        <f t="shared" ca="1" si="1"/>
        <v>43207</v>
      </c>
      <c r="BO6" s="15">
        <f t="shared" ca="1" si="1"/>
        <v>43208</v>
      </c>
      <c r="BP6" s="15">
        <f t="shared" ca="1" si="1"/>
        <v>43209</v>
      </c>
      <c r="BQ6" s="15">
        <f t="shared" ca="1" si="1"/>
        <v>43210</v>
      </c>
      <c r="BR6" s="15">
        <f t="shared" ca="1" si="1"/>
        <v>43211</v>
      </c>
      <c r="BS6" s="15">
        <f t="shared" ca="1" si="1"/>
        <v>43212</v>
      </c>
      <c r="BT6" s="15">
        <f t="shared" ca="1" si="1"/>
        <v>43213</v>
      </c>
      <c r="BU6" s="15">
        <f t="shared" ca="1" si="1"/>
        <v>43214</v>
      </c>
      <c r="BV6" s="15">
        <f t="shared" ca="1" si="1"/>
        <v>43215</v>
      </c>
      <c r="BW6" s="15">
        <f t="shared" ca="1" si="1"/>
        <v>43216</v>
      </c>
      <c r="BX6" s="15">
        <f t="shared" ca="1" si="1"/>
        <v>43217</v>
      </c>
      <c r="BY6" s="15">
        <f t="shared" ca="1" si="1"/>
        <v>43218</v>
      </c>
      <c r="BZ6" s="15">
        <f t="shared" ca="1" si="1"/>
        <v>43219</v>
      </c>
      <c r="CA6" s="15">
        <f t="shared" ref="CA6:EL6" ca="1" si="2">TODAY()+((COLUMN()-$H$4)*$N$3)</f>
        <v>43220</v>
      </c>
      <c r="CB6" s="15">
        <f t="shared" ca="1" si="2"/>
        <v>43221</v>
      </c>
      <c r="CC6" s="15">
        <f t="shared" ca="1" si="2"/>
        <v>43222</v>
      </c>
      <c r="CD6" s="15">
        <f t="shared" ca="1" si="2"/>
        <v>43223</v>
      </c>
      <c r="CE6" s="15">
        <f t="shared" ca="1" si="2"/>
        <v>43224</v>
      </c>
      <c r="CF6" s="15">
        <f t="shared" ca="1" si="2"/>
        <v>43225</v>
      </c>
      <c r="CG6" s="15">
        <f t="shared" ca="1" si="2"/>
        <v>43226</v>
      </c>
      <c r="CH6" s="15">
        <f t="shared" ca="1" si="2"/>
        <v>43227</v>
      </c>
      <c r="CI6" s="15">
        <f t="shared" ca="1" si="2"/>
        <v>43228</v>
      </c>
      <c r="CJ6" s="15">
        <f t="shared" ca="1" si="2"/>
        <v>43229</v>
      </c>
      <c r="CK6" s="15">
        <f t="shared" ca="1" si="2"/>
        <v>43230</v>
      </c>
      <c r="CL6" s="15">
        <f t="shared" ca="1" si="2"/>
        <v>43231</v>
      </c>
      <c r="CM6" s="15">
        <f t="shared" ca="1" si="2"/>
        <v>43232</v>
      </c>
      <c r="CN6" s="15">
        <f t="shared" ca="1" si="2"/>
        <v>43233</v>
      </c>
      <c r="CO6" s="15">
        <f t="shared" ca="1" si="2"/>
        <v>43234</v>
      </c>
      <c r="CP6" s="15">
        <f t="shared" ca="1" si="2"/>
        <v>43235</v>
      </c>
      <c r="CQ6" s="15">
        <f t="shared" ca="1" si="2"/>
        <v>43236</v>
      </c>
      <c r="CR6" s="15">
        <f t="shared" ca="1" si="2"/>
        <v>43237</v>
      </c>
      <c r="CS6" s="15">
        <f t="shared" ca="1" si="2"/>
        <v>43238</v>
      </c>
      <c r="CT6" s="15">
        <f t="shared" ca="1" si="2"/>
        <v>43239</v>
      </c>
      <c r="CU6" s="15">
        <f t="shared" ca="1" si="2"/>
        <v>43240</v>
      </c>
      <c r="CV6" s="15">
        <f t="shared" ca="1" si="2"/>
        <v>43241</v>
      </c>
      <c r="CW6" s="15">
        <f t="shared" ca="1" si="2"/>
        <v>43242</v>
      </c>
      <c r="CX6" s="15">
        <f t="shared" ca="1" si="2"/>
        <v>43243</v>
      </c>
      <c r="CY6" s="15">
        <f t="shared" ca="1" si="2"/>
        <v>43244</v>
      </c>
      <c r="CZ6" s="15">
        <f t="shared" ca="1" si="2"/>
        <v>43245</v>
      </c>
      <c r="DA6" s="15">
        <f t="shared" ca="1" si="2"/>
        <v>43246</v>
      </c>
      <c r="DB6" s="15">
        <f t="shared" ca="1" si="2"/>
        <v>43247</v>
      </c>
      <c r="DC6" s="15">
        <f t="shared" ca="1" si="2"/>
        <v>43248</v>
      </c>
      <c r="DD6" s="15">
        <f t="shared" ca="1" si="2"/>
        <v>43249</v>
      </c>
      <c r="DE6" s="15">
        <f t="shared" ca="1" si="2"/>
        <v>43250</v>
      </c>
      <c r="DF6" s="15">
        <f t="shared" ca="1" si="2"/>
        <v>43251</v>
      </c>
      <c r="DG6" s="15">
        <f t="shared" ca="1" si="2"/>
        <v>43252</v>
      </c>
      <c r="DH6" s="15">
        <f t="shared" ca="1" si="2"/>
        <v>43253</v>
      </c>
      <c r="DI6" s="15">
        <f t="shared" ca="1" si="2"/>
        <v>43254</v>
      </c>
      <c r="DJ6" s="15">
        <f t="shared" ca="1" si="2"/>
        <v>43255</v>
      </c>
      <c r="DK6" s="15">
        <f t="shared" ca="1" si="2"/>
        <v>43256</v>
      </c>
      <c r="DL6" s="15">
        <f t="shared" ca="1" si="2"/>
        <v>43257</v>
      </c>
      <c r="DM6" s="15">
        <f t="shared" ca="1" si="2"/>
        <v>43258</v>
      </c>
      <c r="DN6" s="15">
        <f t="shared" ca="1" si="2"/>
        <v>43259</v>
      </c>
      <c r="DO6" s="15">
        <f t="shared" ca="1" si="2"/>
        <v>43260</v>
      </c>
      <c r="DP6" s="15">
        <f t="shared" ca="1" si="2"/>
        <v>43261</v>
      </c>
      <c r="DQ6" s="15">
        <f t="shared" ca="1" si="2"/>
        <v>43262</v>
      </c>
      <c r="DR6" s="15">
        <f t="shared" ca="1" si="2"/>
        <v>43263</v>
      </c>
      <c r="DS6" s="15">
        <f t="shared" ca="1" si="2"/>
        <v>43264</v>
      </c>
      <c r="DT6" s="15">
        <f t="shared" ca="1" si="2"/>
        <v>43265</v>
      </c>
      <c r="DU6" s="15">
        <f t="shared" ca="1" si="2"/>
        <v>43266</v>
      </c>
      <c r="DV6" s="15">
        <f t="shared" ca="1" si="2"/>
        <v>43267</v>
      </c>
      <c r="DW6" s="15">
        <f t="shared" ca="1" si="2"/>
        <v>43268</v>
      </c>
      <c r="DX6" s="15">
        <f t="shared" ca="1" si="2"/>
        <v>43269</v>
      </c>
      <c r="DY6" s="15">
        <f t="shared" ca="1" si="2"/>
        <v>43270</v>
      </c>
      <c r="DZ6" s="15">
        <f t="shared" ca="1" si="2"/>
        <v>43271</v>
      </c>
      <c r="EA6" s="15">
        <f t="shared" ca="1" si="2"/>
        <v>43272</v>
      </c>
      <c r="EB6" s="15">
        <f t="shared" ca="1" si="2"/>
        <v>43273</v>
      </c>
      <c r="EC6" s="15">
        <f t="shared" ca="1" si="2"/>
        <v>43274</v>
      </c>
      <c r="ED6" s="15">
        <f t="shared" ca="1" si="2"/>
        <v>43275</v>
      </c>
      <c r="EE6" s="15">
        <f t="shared" ca="1" si="2"/>
        <v>43276</v>
      </c>
      <c r="EF6" s="15">
        <f t="shared" ca="1" si="2"/>
        <v>43277</v>
      </c>
      <c r="EG6" s="15">
        <f t="shared" ca="1" si="2"/>
        <v>43278</v>
      </c>
      <c r="EH6" s="15">
        <f t="shared" ca="1" si="2"/>
        <v>43279</v>
      </c>
      <c r="EI6" s="15">
        <f t="shared" ca="1" si="2"/>
        <v>43280</v>
      </c>
      <c r="EJ6" s="15">
        <f t="shared" ca="1" si="2"/>
        <v>43281</v>
      </c>
      <c r="EK6" s="15">
        <f t="shared" ca="1" si="2"/>
        <v>43282</v>
      </c>
      <c r="EL6" s="15">
        <f t="shared" ca="1" si="2"/>
        <v>43283</v>
      </c>
      <c r="EM6" s="15">
        <f t="shared" ref="EM6:GX6" ca="1" si="3">TODAY()+((COLUMN()-$H$4)*$N$3)</f>
        <v>43284</v>
      </c>
      <c r="EN6" s="15">
        <f t="shared" ca="1" si="3"/>
        <v>43285</v>
      </c>
      <c r="EO6" s="15">
        <f t="shared" ca="1" si="3"/>
        <v>43286</v>
      </c>
      <c r="EP6" s="15">
        <f t="shared" ca="1" si="3"/>
        <v>43287</v>
      </c>
      <c r="EQ6" s="15">
        <f t="shared" ca="1" si="3"/>
        <v>43288</v>
      </c>
      <c r="ER6" s="15">
        <f t="shared" ca="1" si="3"/>
        <v>43289</v>
      </c>
      <c r="ES6" s="15">
        <f t="shared" ca="1" si="3"/>
        <v>43290</v>
      </c>
      <c r="ET6" s="15">
        <f t="shared" ca="1" si="3"/>
        <v>43291</v>
      </c>
      <c r="EU6" s="15">
        <f t="shared" ca="1" si="3"/>
        <v>43292</v>
      </c>
      <c r="EV6" s="15">
        <f t="shared" ca="1" si="3"/>
        <v>43293</v>
      </c>
      <c r="EW6" s="15">
        <f t="shared" ca="1" si="3"/>
        <v>43294</v>
      </c>
      <c r="EX6" s="15">
        <f t="shared" ca="1" si="3"/>
        <v>43295</v>
      </c>
      <c r="EY6" s="15">
        <f t="shared" ca="1" si="3"/>
        <v>43296</v>
      </c>
      <c r="EZ6" s="15">
        <f t="shared" ca="1" si="3"/>
        <v>43297</v>
      </c>
      <c r="FA6" s="15">
        <f t="shared" ca="1" si="3"/>
        <v>43298</v>
      </c>
      <c r="FB6" s="15">
        <f t="shared" ca="1" si="3"/>
        <v>43299</v>
      </c>
      <c r="FC6" s="15">
        <f t="shared" ca="1" si="3"/>
        <v>43300</v>
      </c>
      <c r="FD6" s="15">
        <f t="shared" ca="1" si="3"/>
        <v>43301</v>
      </c>
      <c r="FE6" s="15">
        <f t="shared" ca="1" si="3"/>
        <v>43302</v>
      </c>
      <c r="FF6" s="15">
        <f t="shared" ca="1" si="3"/>
        <v>43303</v>
      </c>
      <c r="FG6" s="15">
        <f t="shared" ca="1" si="3"/>
        <v>43304</v>
      </c>
      <c r="FH6" s="15">
        <f t="shared" ca="1" si="3"/>
        <v>43305</v>
      </c>
      <c r="FI6" s="15">
        <f t="shared" ca="1" si="3"/>
        <v>43306</v>
      </c>
      <c r="FJ6" s="15">
        <f t="shared" ca="1" si="3"/>
        <v>43307</v>
      </c>
      <c r="FK6" s="15">
        <f t="shared" ca="1" si="3"/>
        <v>43308</v>
      </c>
      <c r="FL6" s="15">
        <f t="shared" ca="1" si="3"/>
        <v>43309</v>
      </c>
      <c r="FM6" s="15">
        <f t="shared" ca="1" si="3"/>
        <v>43310</v>
      </c>
      <c r="FN6" s="15">
        <f t="shared" ca="1" si="3"/>
        <v>43311</v>
      </c>
      <c r="FO6" s="15">
        <f t="shared" ca="1" si="3"/>
        <v>43312</v>
      </c>
      <c r="FP6" s="15">
        <f t="shared" ca="1" si="3"/>
        <v>43313</v>
      </c>
      <c r="FQ6" s="15">
        <f t="shared" ca="1" si="3"/>
        <v>43314</v>
      </c>
      <c r="FR6" s="15">
        <f t="shared" ca="1" si="3"/>
        <v>43315</v>
      </c>
      <c r="FS6" s="15">
        <f t="shared" ca="1" si="3"/>
        <v>43316</v>
      </c>
      <c r="FT6" s="15">
        <f t="shared" ca="1" si="3"/>
        <v>43317</v>
      </c>
      <c r="FU6" s="15">
        <f t="shared" ca="1" si="3"/>
        <v>43318</v>
      </c>
      <c r="FV6" s="15">
        <f t="shared" ca="1" si="3"/>
        <v>43319</v>
      </c>
      <c r="FW6" s="15">
        <f t="shared" ca="1" si="3"/>
        <v>43320</v>
      </c>
      <c r="FX6" s="15">
        <f t="shared" ca="1" si="3"/>
        <v>43321</v>
      </c>
      <c r="FY6" s="15">
        <f t="shared" ca="1" si="3"/>
        <v>43322</v>
      </c>
      <c r="FZ6" s="15">
        <f t="shared" ca="1" si="3"/>
        <v>43323</v>
      </c>
      <c r="GA6" s="15">
        <f t="shared" ca="1" si="3"/>
        <v>43324</v>
      </c>
      <c r="GB6" s="15">
        <f t="shared" ca="1" si="3"/>
        <v>43325</v>
      </c>
      <c r="GC6" s="15">
        <f t="shared" ca="1" si="3"/>
        <v>43326</v>
      </c>
      <c r="GD6" s="15">
        <f t="shared" ca="1" si="3"/>
        <v>43327</v>
      </c>
      <c r="GE6" s="15">
        <f t="shared" ca="1" si="3"/>
        <v>43328</v>
      </c>
      <c r="GF6" s="15">
        <f t="shared" ca="1" si="3"/>
        <v>43329</v>
      </c>
      <c r="GG6" s="15">
        <f t="shared" ca="1" si="3"/>
        <v>43330</v>
      </c>
      <c r="GH6" s="15">
        <f t="shared" ca="1" si="3"/>
        <v>43331</v>
      </c>
      <c r="GI6" s="15">
        <f t="shared" ca="1" si="3"/>
        <v>43332</v>
      </c>
      <c r="GJ6" s="15">
        <f t="shared" ca="1" si="3"/>
        <v>43333</v>
      </c>
      <c r="GK6" s="15">
        <f t="shared" ca="1" si="3"/>
        <v>43334</v>
      </c>
      <c r="GL6" s="15">
        <f t="shared" ca="1" si="3"/>
        <v>43335</v>
      </c>
      <c r="GM6" s="15">
        <f t="shared" ca="1" si="3"/>
        <v>43336</v>
      </c>
      <c r="GN6" s="15">
        <f t="shared" ca="1" si="3"/>
        <v>43337</v>
      </c>
      <c r="GO6" s="15">
        <f t="shared" ca="1" si="3"/>
        <v>43338</v>
      </c>
      <c r="GP6" s="15">
        <f t="shared" ca="1" si="3"/>
        <v>43339</v>
      </c>
      <c r="GQ6" s="15">
        <f t="shared" ca="1" si="3"/>
        <v>43340</v>
      </c>
      <c r="GR6" s="15">
        <f t="shared" ca="1" si="3"/>
        <v>43341</v>
      </c>
      <c r="GS6" s="15">
        <f t="shared" ca="1" si="3"/>
        <v>43342</v>
      </c>
      <c r="GT6" s="15">
        <f t="shared" ca="1" si="3"/>
        <v>43343</v>
      </c>
      <c r="GU6" s="15">
        <f t="shared" ca="1" si="3"/>
        <v>43344</v>
      </c>
      <c r="GV6" s="15">
        <f t="shared" ca="1" si="3"/>
        <v>43345</v>
      </c>
      <c r="GW6" s="15">
        <f t="shared" ca="1" si="3"/>
        <v>43346</v>
      </c>
      <c r="GX6" s="15">
        <f t="shared" ca="1" si="3"/>
        <v>43347</v>
      </c>
      <c r="GY6" s="15">
        <f t="shared" ref="GY6:JJ6" ca="1" si="4">TODAY()+((COLUMN()-$H$4)*$N$3)</f>
        <v>43348</v>
      </c>
      <c r="GZ6" s="15">
        <f t="shared" ca="1" si="4"/>
        <v>43349</v>
      </c>
      <c r="HA6" s="15">
        <f t="shared" ca="1" si="4"/>
        <v>43350</v>
      </c>
      <c r="HB6" s="15">
        <f t="shared" ca="1" si="4"/>
        <v>43351</v>
      </c>
      <c r="HC6" s="15">
        <f t="shared" ca="1" si="4"/>
        <v>43352</v>
      </c>
      <c r="HD6" s="15">
        <f t="shared" ca="1" si="4"/>
        <v>43353</v>
      </c>
      <c r="HE6" s="15">
        <f t="shared" ca="1" si="4"/>
        <v>43354</v>
      </c>
      <c r="HF6" s="15">
        <f t="shared" ca="1" si="4"/>
        <v>43355</v>
      </c>
      <c r="HG6" s="15">
        <f t="shared" ca="1" si="4"/>
        <v>43356</v>
      </c>
      <c r="HH6" s="15">
        <f t="shared" ca="1" si="4"/>
        <v>43357</v>
      </c>
      <c r="HI6" s="15">
        <f t="shared" ca="1" si="4"/>
        <v>43358</v>
      </c>
      <c r="HJ6" s="15">
        <f t="shared" ca="1" si="4"/>
        <v>43359</v>
      </c>
      <c r="HK6" s="15">
        <f t="shared" ca="1" si="4"/>
        <v>43360</v>
      </c>
      <c r="HL6" s="15">
        <f t="shared" ca="1" si="4"/>
        <v>43361</v>
      </c>
      <c r="HM6" s="15">
        <f t="shared" ca="1" si="4"/>
        <v>43362</v>
      </c>
      <c r="HN6" s="15">
        <f t="shared" ca="1" si="4"/>
        <v>43363</v>
      </c>
      <c r="HO6" s="15">
        <f t="shared" ca="1" si="4"/>
        <v>43364</v>
      </c>
      <c r="HP6" s="15">
        <f t="shared" ca="1" si="4"/>
        <v>43365</v>
      </c>
      <c r="HQ6" s="15">
        <f t="shared" ca="1" si="4"/>
        <v>43366</v>
      </c>
      <c r="HR6" s="15">
        <f t="shared" ca="1" si="4"/>
        <v>43367</v>
      </c>
      <c r="HS6" s="15">
        <f t="shared" ca="1" si="4"/>
        <v>43368</v>
      </c>
      <c r="HT6" s="15">
        <f t="shared" ca="1" si="4"/>
        <v>43369</v>
      </c>
      <c r="HU6" s="15">
        <f t="shared" ca="1" si="4"/>
        <v>43370</v>
      </c>
      <c r="HV6" s="15">
        <f t="shared" ca="1" si="4"/>
        <v>43371</v>
      </c>
      <c r="HW6" s="15">
        <f t="shared" ca="1" si="4"/>
        <v>43372</v>
      </c>
      <c r="HX6" s="15">
        <f t="shared" ca="1" si="4"/>
        <v>43373</v>
      </c>
      <c r="HY6" s="15">
        <f t="shared" ca="1" si="4"/>
        <v>43374</v>
      </c>
      <c r="HZ6" s="15">
        <f t="shared" ca="1" si="4"/>
        <v>43375</v>
      </c>
      <c r="IA6" s="15">
        <f t="shared" ca="1" si="4"/>
        <v>43376</v>
      </c>
      <c r="IB6" s="15">
        <f t="shared" ca="1" si="4"/>
        <v>43377</v>
      </c>
      <c r="IC6" s="15">
        <f t="shared" ca="1" si="4"/>
        <v>43378</v>
      </c>
      <c r="ID6" s="15">
        <f t="shared" ca="1" si="4"/>
        <v>43379</v>
      </c>
      <c r="IE6" s="15">
        <f t="shared" ca="1" si="4"/>
        <v>43380</v>
      </c>
      <c r="IF6" s="15">
        <f t="shared" ca="1" si="4"/>
        <v>43381</v>
      </c>
      <c r="IG6" s="15">
        <f t="shared" ca="1" si="4"/>
        <v>43382</v>
      </c>
      <c r="IH6" s="15">
        <f t="shared" ca="1" si="4"/>
        <v>43383</v>
      </c>
      <c r="II6" s="15">
        <f t="shared" ca="1" si="4"/>
        <v>43384</v>
      </c>
      <c r="IJ6" s="15">
        <f t="shared" ca="1" si="4"/>
        <v>43385</v>
      </c>
      <c r="IK6" s="15">
        <f t="shared" ca="1" si="4"/>
        <v>43386</v>
      </c>
      <c r="IL6" s="15">
        <f t="shared" ca="1" si="4"/>
        <v>43387</v>
      </c>
      <c r="IM6" s="15">
        <f t="shared" ca="1" si="4"/>
        <v>43388</v>
      </c>
      <c r="IN6" s="15">
        <f t="shared" ca="1" si="4"/>
        <v>43389</v>
      </c>
      <c r="IO6" s="15">
        <f t="shared" ca="1" si="4"/>
        <v>43390</v>
      </c>
      <c r="IP6" s="15">
        <f t="shared" ca="1" si="4"/>
        <v>43391</v>
      </c>
      <c r="IQ6" s="15">
        <f t="shared" ca="1" si="4"/>
        <v>43392</v>
      </c>
      <c r="IR6" s="15">
        <f t="shared" ca="1" si="4"/>
        <v>43393</v>
      </c>
      <c r="IS6" s="15">
        <f t="shared" ca="1" si="4"/>
        <v>43394</v>
      </c>
      <c r="IT6" s="15">
        <f t="shared" ca="1" si="4"/>
        <v>43395</v>
      </c>
      <c r="IU6" s="15">
        <f t="shared" ca="1" si="4"/>
        <v>43396</v>
      </c>
      <c r="IV6" s="15">
        <f t="shared" ca="1" si="4"/>
        <v>43397</v>
      </c>
      <c r="IW6" s="15">
        <f t="shared" ca="1" si="4"/>
        <v>43398</v>
      </c>
      <c r="IX6" s="15">
        <f t="shared" ca="1" si="4"/>
        <v>43399</v>
      </c>
      <c r="IY6" s="15">
        <f t="shared" ca="1" si="4"/>
        <v>43400</v>
      </c>
      <c r="IZ6" s="15">
        <f t="shared" ca="1" si="4"/>
        <v>43401</v>
      </c>
      <c r="JA6" s="15">
        <f t="shared" ca="1" si="4"/>
        <v>43402</v>
      </c>
      <c r="JB6" s="15">
        <f t="shared" ca="1" si="4"/>
        <v>43403</v>
      </c>
      <c r="JC6" s="15">
        <f t="shared" ca="1" si="4"/>
        <v>43404</v>
      </c>
      <c r="JD6" s="15">
        <f t="shared" ca="1" si="4"/>
        <v>43405</v>
      </c>
      <c r="JE6" s="15">
        <f t="shared" ca="1" si="4"/>
        <v>43406</v>
      </c>
      <c r="JF6" s="15">
        <f t="shared" ca="1" si="4"/>
        <v>43407</v>
      </c>
      <c r="JG6" s="15">
        <f t="shared" ca="1" si="4"/>
        <v>43408</v>
      </c>
      <c r="JH6" s="15">
        <f t="shared" ca="1" si="4"/>
        <v>43409</v>
      </c>
      <c r="JI6" s="15">
        <f t="shared" ca="1" si="4"/>
        <v>43410</v>
      </c>
      <c r="JJ6" s="15">
        <f t="shared" ca="1" si="4"/>
        <v>43411</v>
      </c>
      <c r="JK6" s="15">
        <f t="shared" ref="JK6:LV6" ca="1" si="5">TODAY()+((COLUMN()-$H$4)*$N$3)</f>
        <v>43412</v>
      </c>
      <c r="JL6" s="15">
        <f t="shared" ca="1" si="5"/>
        <v>43413</v>
      </c>
      <c r="JM6" s="15">
        <f t="shared" ca="1" si="5"/>
        <v>43414</v>
      </c>
      <c r="JN6" s="15">
        <f t="shared" ca="1" si="5"/>
        <v>43415</v>
      </c>
      <c r="JO6" s="15">
        <f t="shared" ca="1" si="5"/>
        <v>43416</v>
      </c>
      <c r="JP6" s="15">
        <f t="shared" ca="1" si="5"/>
        <v>43417</v>
      </c>
      <c r="JQ6" s="15">
        <f t="shared" ca="1" si="5"/>
        <v>43418</v>
      </c>
      <c r="JR6" s="15">
        <f t="shared" ca="1" si="5"/>
        <v>43419</v>
      </c>
      <c r="JS6" s="15">
        <f t="shared" ca="1" si="5"/>
        <v>43420</v>
      </c>
      <c r="JT6" s="15">
        <f t="shared" ca="1" si="5"/>
        <v>43421</v>
      </c>
      <c r="JU6" s="15">
        <f t="shared" ca="1" si="5"/>
        <v>43422</v>
      </c>
      <c r="JV6" s="15">
        <f t="shared" ca="1" si="5"/>
        <v>43423</v>
      </c>
      <c r="JW6" s="15">
        <f t="shared" ca="1" si="5"/>
        <v>43424</v>
      </c>
      <c r="JX6" s="15">
        <f t="shared" ca="1" si="5"/>
        <v>43425</v>
      </c>
      <c r="JY6" s="15">
        <f t="shared" ca="1" si="5"/>
        <v>43426</v>
      </c>
      <c r="JZ6" s="15">
        <f t="shared" ca="1" si="5"/>
        <v>43427</v>
      </c>
      <c r="KA6" s="15">
        <f t="shared" ca="1" si="5"/>
        <v>43428</v>
      </c>
      <c r="KB6" s="15">
        <f t="shared" ca="1" si="5"/>
        <v>43429</v>
      </c>
      <c r="KC6" s="15">
        <f t="shared" ca="1" si="5"/>
        <v>43430</v>
      </c>
      <c r="KD6" s="15">
        <f t="shared" ca="1" si="5"/>
        <v>43431</v>
      </c>
      <c r="KE6" s="15">
        <f t="shared" ca="1" si="5"/>
        <v>43432</v>
      </c>
      <c r="KF6" s="15">
        <f t="shared" ca="1" si="5"/>
        <v>43433</v>
      </c>
      <c r="KG6" s="15">
        <f t="shared" ca="1" si="5"/>
        <v>43434</v>
      </c>
      <c r="KH6" s="15">
        <f t="shared" ca="1" si="5"/>
        <v>43435</v>
      </c>
      <c r="KI6" s="15">
        <f t="shared" ca="1" si="5"/>
        <v>43436</v>
      </c>
      <c r="KJ6" s="15">
        <f t="shared" ca="1" si="5"/>
        <v>43437</v>
      </c>
      <c r="KK6" s="15">
        <f t="shared" ca="1" si="5"/>
        <v>43438</v>
      </c>
      <c r="KL6" s="15">
        <f t="shared" ca="1" si="5"/>
        <v>43439</v>
      </c>
      <c r="KM6" s="15">
        <f t="shared" ca="1" si="5"/>
        <v>43440</v>
      </c>
      <c r="KN6" s="15">
        <f t="shared" ca="1" si="5"/>
        <v>43441</v>
      </c>
      <c r="KO6" s="15">
        <f t="shared" ca="1" si="5"/>
        <v>43442</v>
      </c>
      <c r="KP6" s="15">
        <f t="shared" ca="1" si="5"/>
        <v>43443</v>
      </c>
      <c r="KQ6" s="15">
        <f t="shared" ca="1" si="5"/>
        <v>43444</v>
      </c>
      <c r="KR6" s="15">
        <f t="shared" ca="1" si="5"/>
        <v>43445</v>
      </c>
      <c r="KS6" s="15">
        <f t="shared" ca="1" si="5"/>
        <v>43446</v>
      </c>
      <c r="KT6" s="15">
        <f t="shared" ca="1" si="5"/>
        <v>43447</v>
      </c>
      <c r="KU6" s="15">
        <f t="shared" ca="1" si="5"/>
        <v>43448</v>
      </c>
      <c r="KV6" s="15">
        <f t="shared" ca="1" si="5"/>
        <v>43449</v>
      </c>
      <c r="KW6" s="15">
        <f t="shared" ca="1" si="5"/>
        <v>43450</v>
      </c>
      <c r="KX6" s="15">
        <f t="shared" ca="1" si="5"/>
        <v>43451</v>
      </c>
      <c r="KY6" s="15">
        <f t="shared" ca="1" si="5"/>
        <v>43452</v>
      </c>
      <c r="KZ6" s="15">
        <f t="shared" ca="1" si="5"/>
        <v>43453</v>
      </c>
      <c r="LA6" s="15">
        <f t="shared" ca="1" si="5"/>
        <v>43454</v>
      </c>
      <c r="LB6" s="15">
        <f t="shared" ca="1" si="5"/>
        <v>43455</v>
      </c>
      <c r="LC6" s="15">
        <f t="shared" ca="1" si="5"/>
        <v>43456</v>
      </c>
      <c r="LD6" s="15">
        <f t="shared" ca="1" si="5"/>
        <v>43457</v>
      </c>
      <c r="LE6" s="15">
        <f t="shared" ca="1" si="5"/>
        <v>43458</v>
      </c>
      <c r="LF6" s="15">
        <f t="shared" ca="1" si="5"/>
        <v>43459</v>
      </c>
      <c r="LG6" s="15">
        <f t="shared" ca="1" si="5"/>
        <v>43460</v>
      </c>
      <c r="LH6" s="15">
        <f t="shared" ca="1" si="5"/>
        <v>43461</v>
      </c>
      <c r="LI6" s="15">
        <f t="shared" ca="1" si="5"/>
        <v>43462</v>
      </c>
      <c r="LJ6" s="15">
        <f t="shared" ca="1" si="5"/>
        <v>43463</v>
      </c>
      <c r="LK6" s="15">
        <f t="shared" ca="1" si="5"/>
        <v>43464</v>
      </c>
      <c r="LL6" s="15">
        <f t="shared" ca="1" si="5"/>
        <v>43465</v>
      </c>
      <c r="LM6" s="15">
        <f t="shared" ca="1" si="5"/>
        <v>43466</v>
      </c>
      <c r="LN6" s="15">
        <f t="shared" ca="1" si="5"/>
        <v>43467</v>
      </c>
      <c r="LO6" s="15">
        <f t="shared" ca="1" si="5"/>
        <v>43468</v>
      </c>
      <c r="LP6" s="15">
        <f t="shared" ca="1" si="5"/>
        <v>43469</v>
      </c>
      <c r="LQ6" s="15">
        <f t="shared" ca="1" si="5"/>
        <v>43470</v>
      </c>
      <c r="LR6" s="15">
        <f t="shared" ca="1" si="5"/>
        <v>43471</v>
      </c>
      <c r="LS6" s="15">
        <f t="shared" ca="1" si="5"/>
        <v>43472</v>
      </c>
      <c r="LT6" s="15">
        <f t="shared" ca="1" si="5"/>
        <v>43473</v>
      </c>
      <c r="LU6" s="15">
        <f t="shared" ca="1" si="5"/>
        <v>43474</v>
      </c>
      <c r="LV6" s="15">
        <f t="shared" ca="1" si="5"/>
        <v>43475</v>
      </c>
      <c r="LW6" s="15">
        <f t="shared" ref="LW6:NA6" ca="1" si="6">TODAY()+((COLUMN()-$H$4)*$N$3)</f>
        <v>43476</v>
      </c>
      <c r="LX6" s="15">
        <f t="shared" ca="1" si="6"/>
        <v>43477</v>
      </c>
      <c r="LY6" s="15">
        <f t="shared" ca="1" si="6"/>
        <v>43478</v>
      </c>
      <c r="LZ6" s="15">
        <f t="shared" ca="1" si="6"/>
        <v>43479</v>
      </c>
      <c r="MA6" s="15">
        <f t="shared" ca="1" si="6"/>
        <v>43480</v>
      </c>
      <c r="MB6" s="15">
        <f t="shared" ca="1" si="6"/>
        <v>43481</v>
      </c>
      <c r="MC6" s="15">
        <f t="shared" ca="1" si="6"/>
        <v>43482</v>
      </c>
      <c r="MD6" s="15">
        <f t="shared" ca="1" si="6"/>
        <v>43483</v>
      </c>
      <c r="ME6" s="15">
        <f t="shared" ca="1" si="6"/>
        <v>43484</v>
      </c>
      <c r="MF6" s="15">
        <f t="shared" ca="1" si="6"/>
        <v>43485</v>
      </c>
      <c r="MG6" s="15">
        <f t="shared" ca="1" si="6"/>
        <v>43486</v>
      </c>
      <c r="MH6" s="15">
        <f t="shared" ca="1" si="6"/>
        <v>43487</v>
      </c>
      <c r="MI6" s="15">
        <f t="shared" ca="1" si="6"/>
        <v>43488</v>
      </c>
      <c r="MJ6" s="15">
        <f t="shared" ca="1" si="6"/>
        <v>43489</v>
      </c>
      <c r="MK6" s="15">
        <f t="shared" ca="1" si="6"/>
        <v>43490</v>
      </c>
      <c r="ML6" s="15">
        <f t="shared" ca="1" si="6"/>
        <v>43491</v>
      </c>
      <c r="MM6" s="15">
        <f t="shared" ca="1" si="6"/>
        <v>43492</v>
      </c>
      <c r="MN6" s="15">
        <f t="shared" ca="1" si="6"/>
        <v>43493</v>
      </c>
      <c r="MO6" s="15">
        <f t="shared" ca="1" si="6"/>
        <v>43494</v>
      </c>
      <c r="MP6" s="15">
        <f t="shared" ca="1" si="6"/>
        <v>43495</v>
      </c>
      <c r="MQ6" s="15">
        <f t="shared" ca="1" si="6"/>
        <v>43496</v>
      </c>
      <c r="MR6" s="15">
        <f t="shared" ca="1" si="6"/>
        <v>43497</v>
      </c>
      <c r="MS6" s="15">
        <f t="shared" ca="1" si="6"/>
        <v>43498</v>
      </c>
      <c r="MT6" s="15">
        <f t="shared" ca="1" si="6"/>
        <v>43499</v>
      </c>
      <c r="MU6" s="15">
        <f t="shared" ca="1" si="6"/>
        <v>43500</v>
      </c>
      <c r="MV6" s="15">
        <f t="shared" ca="1" si="6"/>
        <v>43501</v>
      </c>
      <c r="MW6" s="15">
        <f t="shared" ca="1" si="6"/>
        <v>43502</v>
      </c>
      <c r="MX6" s="15">
        <f t="shared" ca="1" si="6"/>
        <v>43503</v>
      </c>
      <c r="MY6" s="15">
        <f t="shared" ca="1" si="6"/>
        <v>43504</v>
      </c>
      <c r="MZ6" s="15">
        <f t="shared" ca="1" si="6"/>
        <v>43505</v>
      </c>
      <c r="NA6" s="15">
        <f t="shared" ca="1" si="6"/>
        <v>43506</v>
      </c>
    </row>
    <row r="7" spans="1:367" s="2" customFormat="1" ht="24" customHeight="1" x14ac:dyDescent="0.2">
      <c r="A7" s="10"/>
      <c r="B7" s="38" t="s">
        <v>4</v>
      </c>
      <c r="C7" s="38" t="s">
        <v>0</v>
      </c>
      <c r="D7" s="37" t="s">
        <v>1</v>
      </c>
      <c r="E7" s="37" t="s">
        <v>2</v>
      </c>
      <c r="F7" s="39" t="s">
        <v>3</v>
      </c>
      <c r="G7" s="14"/>
      <c r="H7" s="43"/>
      <c r="I7" s="43"/>
      <c r="J7" s="43"/>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367" s="174" customFormat="1" ht="24" customHeight="1" x14ac:dyDescent="0.2">
      <c r="A8" s="170"/>
      <c r="B8" s="171"/>
      <c r="C8" s="175" t="s">
        <v>225</v>
      </c>
      <c r="D8" s="172"/>
      <c r="E8" s="172"/>
      <c r="F8" s="173"/>
      <c r="G8" s="14"/>
    </row>
    <row r="9" spans="1:367" s="2" customFormat="1" ht="20" hidden="1" customHeight="1" outlineLevel="1" x14ac:dyDescent="0.2">
      <c r="A9" s="10"/>
      <c r="B9" s="34" t="s">
        <v>9</v>
      </c>
      <c r="C9" s="18" t="s">
        <v>8</v>
      </c>
      <c r="D9" s="18">
        <v>43127</v>
      </c>
      <c r="E9" s="19">
        <v>43129</v>
      </c>
      <c r="F9" s="123">
        <v>1</v>
      </c>
      <c r="G9" s="14"/>
      <c r="H9" s="43"/>
      <c r="I9" s="43"/>
      <c r="J9" s="43"/>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row>
    <row r="10" spans="1:367" ht="20" hidden="1" customHeight="1" outlineLevel="1" x14ac:dyDescent="0.2">
      <c r="B10" s="34" t="s">
        <v>9</v>
      </c>
      <c r="C10" s="18" t="s">
        <v>10</v>
      </c>
      <c r="D10" s="18">
        <v>43127</v>
      </c>
      <c r="E10" s="19">
        <v>43129</v>
      </c>
      <c r="F10" s="123">
        <v>1</v>
      </c>
      <c r="H10" s="43"/>
      <c r="I10" s="43"/>
      <c r="J10" s="43"/>
      <c r="K10" s="43"/>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row>
    <row r="11" spans="1:367" ht="20" hidden="1" customHeight="1" outlineLevel="1" x14ac:dyDescent="0.2">
      <c r="B11" s="34" t="s">
        <v>9</v>
      </c>
      <c r="C11" s="18" t="s">
        <v>30</v>
      </c>
      <c r="D11" s="18">
        <v>43128</v>
      </c>
      <c r="E11" s="19">
        <v>43129</v>
      </c>
      <c r="F11" s="124">
        <v>1</v>
      </c>
      <c r="H11" s="43"/>
      <c r="I11" s="43"/>
      <c r="J11" s="43"/>
      <c r="K11" s="43"/>
      <c r="L11" s="43"/>
      <c r="M11" s="43"/>
      <c r="N11" s="43"/>
      <c r="O11" s="43"/>
      <c r="P11" s="116"/>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row>
    <row r="12" spans="1:367" ht="20" hidden="1" customHeight="1" outlineLevel="1" x14ac:dyDescent="0.2">
      <c r="B12" s="34" t="s">
        <v>9</v>
      </c>
      <c r="C12" s="18" t="s">
        <v>31</v>
      </c>
      <c r="D12" s="18">
        <v>43129</v>
      </c>
      <c r="E12" s="19">
        <v>43147</v>
      </c>
      <c r="F12" s="124">
        <v>1</v>
      </c>
      <c r="H12" s="43"/>
      <c r="I12" s="43"/>
      <c r="J12" s="43"/>
      <c r="K12" s="43"/>
      <c r="L12" s="117"/>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row>
    <row r="13" spans="1:367" ht="21.75" hidden="1" customHeight="1" outlineLevel="1" x14ac:dyDescent="0.2">
      <c r="B13" s="34" t="s">
        <v>9</v>
      </c>
      <c r="C13" s="18" t="s">
        <v>224</v>
      </c>
      <c r="D13" s="18">
        <v>43131</v>
      </c>
      <c r="E13" s="19">
        <v>43150</v>
      </c>
      <c r="F13" s="124">
        <v>1</v>
      </c>
      <c r="H13" s="43"/>
      <c r="I13" s="43"/>
      <c r="J13" s="43"/>
      <c r="K13" s="43"/>
      <c r="L13" s="43"/>
      <c r="M13" s="43"/>
      <c r="N13" s="43"/>
      <c r="O13" s="118"/>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c r="AS13" s="43"/>
    </row>
    <row r="14" spans="1:367" ht="21" hidden="1" customHeight="1" outlineLevel="1" x14ac:dyDescent="0.2">
      <c r="B14" s="34" t="s">
        <v>59</v>
      </c>
      <c r="C14" s="18" t="s">
        <v>223</v>
      </c>
      <c r="D14" s="18">
        <v>43131</v>
      </c>
      <c r="E14" s="19">
        <v>43156</v>
      </c>
      <c r="F14" s="123">
        <v>1</v>
      </c>
      <c r="H14" s="43"/>
      <c r="I14" s="43"/>
      <c r="J14" s="43"/>
      <c r="K14" s="43"/>
      <c r="L14" s="43"/>
      <c r="M14" s="43"/>
      <c r="N14" s="43"/>
      <c r="O14" s="118"/>
      <c r="P14" s="43"/>
      <c r="Q14" s="43"/>
      <c r="R14" s="43"/>
      <c r="S14" s="43"/>
      <c r="T14" s="43"/>
      <c r="U14" s="119"/>
      <c r="V14" s="43"/>
      <c r="W14" s="43"/>
      <c r="X14" s="43"/>
      <c r="Y14" s="43"/>
      <c r="Z14" s="43"/>
      <c r="AA14" s="43"/>
      <c r="AB14" s="43"/>
      <c r="AC14" s="43"/>
      <c r="AD14" s="43"/>
      <c r="AE14" s="43"/>
      <c r="AF14" s="43"/>
      <c r="AG14" s="43"/>
      <c r="AH14" s="43"/>
      <c r="AI14" s="43"/>
      <c r="AJ14" s="43"/>
      <c r="AK14" s="43"/>
      <c r="AL14" s="43"/>
      <c r="AM14" s="43"/>
      <c r="AN14" s="43"/>
      <c r="AO14" s="43"/>
      <c r="AP14" s="43"/>
      <c r="AQ14" s="43"/>
      <c r="AR14" s="43"/>
      <c r="AS14" s="43"/>
    </row>
    <row r="15" spans="1:367" ht="20" hidden="1" customHeight="1" outlineLevel="1" x14ac:dyDescent="0.2">
      <c r="B15" s="34" t="s">
        <v>9</v>
      </c>
      <c r="C15" s="18" t="s">
        <v>34</v>
      </c>
      <c r="D15" s="18">
        <v>43129</v>
      </c>
      <c r="E15" s="19">
        <v>43159</v>
      </c>
      <c r="F15" s="123">
        <v>1</v>
      </c>
      <c r="H15" s="43"/>
      <c r="I15" s="43"/>
      <c r="J15" s="43"/>
      <c r="K15" s="43"/>
      <c r="L15" s="117"/>
      <c r="M15" s="43"/>
      <c r="N15" s="43"/>
      <c r="O15" s="43"/>
      <c r="P15" s="43"/>
      <c r="Q15" s="43"/>
      <c r="R15" s="43"/>
      <c r="S15" s="43"/>
      <c r="T15" s="43"/>
      <c r="U15" s="43"/>
      <c r="V15" s="119"/>
      <c r="W15" s="43"/>
      <c r="X15" s="43"/>
      <c r="Y15" s="43"/>
      <c r="Z15" s="43"/>
      <c r="AA15" s="43"/>
      <c r="AB15" s="43"/>
      <c r="AC15" s="43"/>
      <c r="AD15" s="43"/>
      <c r="AE15" s="43"/>
      <c r="AF15" s="43"/>
      <c r="AG15" s="43"/>
      <c r="AH15" s="43"/>
      <c r="AI15" s="43"/>
      <c r="AJ15" s="43"/>
      <c r="AK15" s="43"/>
      <c r="AL15" s="43"/>
      <c r="AM15" s="43"/>
      <c r="AN15" s="43"/>
      <c r="AO15" s="43"/>
      <c r="AP15" s="43"/>
      <c r="AQ15" s="43"/>
      <c r="AR15" s="43"/>
      <c r="AS15" s="43"/>
    </row>
    <row r="16" spans="1:367" ht="20" hidden="1" customHeight="1" outlineLevel="1" x14ac:dyDescent="0.2">
      <c r="B16" s="34" t="s">
        <v>32</v>
      </c>
      <c r="C16" s="18" t="s">
        <v>239</v>
      </c>
      <c r="D16" s="18">
        <v>43144</v>
      </c>
      <c r="E16" s="19">
        <v>43152</v>
      </c>
      <c r="F16" s="123">
        <v>0</v>
      </c>
      <c r="H16" s="43"/>
      <c r="I16" s="43"/>
      <c r="J16" s="43"/>
      <c r="K16" s="43"/>
      <c r="L16" s="117"/>
      <c r="M16" s="43"/>
      <c r="N16" s="43"/>
      <c r="O16" s="43"/>
      <c r="P16" s="43"/>
      <c r="Q16" s="43"/>
      <c r="R16" s="43"/>
      <c r="S16" s="43"/>
      <c r="T16" s="43"/>
      <c r="U16" s="43"/>
      <c r="V16" s="119"/>
      <c r="W16" s="43"/>
      <c r="X16" s="43"/>
      <c r="Y16" s="43"/>
      <c r="Z16" s="43"/>
      <c r="AA16" s="43"/>
      <c r="AB16" s="43"/>
      <c r="AC16" s="43"/>
      <c r="AD16" s="43"/>
      <c r="AE16" s="43"/>
      <c r="AF16" s="43"/>
      <c r="AG16" s="43"/>
      <c r="AH16" s="43"/>
      <c r="AI16" s="43"/>
      <c r="AJ16" s="43"/>
      <c r="AK16" s="43"/>
      <c r="AL16" s="43"/>
      <c r="AM16" s="43"/>
      <c r="AN16" s="43"/>
      <c r="AO16" s="43"/>
      <c r="AP16" s="43"/>
      <c r="AQ16" s="43"/>
      <c r="AR16" s="43"/>
      <c r="AS16" s="43"/>
    </row>
    <row r="17" spans="1:45" ht="20" hidden="1" customHeight="1" outlineLevel="1" x14ac:dyDescent="0.2">
      <c r="B17" s="34" t="s">
        <v>32</v>
      </c>
      <c r="C17" s="18" t="s">
        <v>33</v>
      </c>
      <c r="D17" s="18">
        <v>43127</v>
      </c>
      <c r="E17" s="19">
        <v>43135</v>
      </c>
      <c r="F17" s="123">
        <v>1</v>
      </c>
      <c r="H17" s="43"/>
      <c r="I17" s="43"/>
      <c r="J17" s="43"/>
      <c r="K17" s="120"/>
      <c r="L17" s="43"/>
      <c r="M17" s="43"/>
      <c r="N17" s="43"/>
      <c r="O17" s="43"/>
      <c r="P17" s="43"/>
      <c r="Q17" s="43"/>
      <c r="R17" s="43"/>
      <c r="S17" s="43"/>
      <c r="T17" s="43"/>
      <c r="U17" s="116"/>
      <c r="V17" s="116"/>
      <c r="W17" s="116"/>
      <c r="X17" s="116"/>
      <c r="Y17" s="116"/>
      <c r="Z17" s="43"/>
      <c r="AA17" s="43"/>
      <c r="AB17" s="43"/>
      <c r="AC17" s="43"/>
      <c r="AD17" s="43"/>
      <c r="AE17" s="43"/>
      <c r="AF17" s="43"/>
      <c r="AG17" s="43"/>
      <c r="AH17" s="43"/>
      <c r="AI17" s="43"/>
      <c r="AJ17" s="43"/>
      <c r="AK17" s="43"/>
      <c r="AL17" s="43"/>
      <c r="AM17" s="43"/>
      <c r="AN17" s="43"/>
      <c r="AO17" s="43"/>
      <c r="AP17" s="43"/>
      <c r="AQ17" s="43"/>
      <c r="AR17" s="43"/>
      <c r="AS17" s="43"/>
    </row>
    <row r="18" spans="1:45" ht="20" customHeight="1" collapsed="1" x14ac:dyDescent="0.2">
      <c r="B18" s="34"/>
      <c r="C18" s="18"/>
      <c r="D18" s="18"/>
      <c r="E18" s="19"/>
      <c r="F18" s="4"/>
      <c r="H18" s="43"/>
      <c r="I18" s="43"/>
      <c r="J18" s="43"/>
      <c r="K18" s="43"/>
      <c r="L18" s="43"/>
      <c r="M18" s="43"/>
      <c r="N18" s="43"/>
      <c r="O18" s="43"/>
      <c r="P18" s="43"/>
      <c r="Q18" s="43"/>
      <c r="R18" s="43"/>
      <c r="S18" s="43"/>
      <c r="T18" s="43"/>
      <c r="U18" s="43"/>
      <c r="V18" s="43"/>
      <c r="W18" s="43"/>
      <c r="X18" s="43"/>
      <c r="Y18" s="43"/>
      <c r="Z18" s="43"/>
      <c r="AA18" s="43"/>
      <c r="AB18" s="43"/>
      <c r="AC18" s="43"/>
      <c r="AD18" s="43"/>
      <c r="AE18" s="43"/>
      <c r="AF18" s="43"/>
      <c r="AG18" s="43"/>
      <c r="AH18" s="43"/>
      <c r="AI18" s="43"/>
      <c r="AJ18" s="43"/>
      <c r="AK18" s="43"/>
      <c r="AL18" s="43"/>
      <c r="AM18" s="43"/>
      <c r="AN18" s="43"/>
      <c r="AO18" s="43"/>
      <c r="AP18" s="43"/>
      <c r="AQ18" s="43"/>
      <c r="AR18" s="43"/>
      <c r="AS18" s="43"/>
    </row>
    <row r="19" spans="1:45" s="174" customFormat="1" ht="24" customHeight="1" x14ac:dyDescent="0.2">
      <c r="A19" s="170"/>
      <c r="B19" s="171"/>
      <c r="C19" s="175" t="s">
        <v>269</v>
      </c>
      <c r="D19" s="172"/>
      <c r="E19" s="172"/>
      <c r="F19" s="173"/>
      <c r="G19" s="14"/>
    </row>
    <row r="20" spans="1:45" ht="20" customHeight="1" outlineLevel="1" x14ac:dyDescent="0.2">
      <c r="B20" s="34" t="s">
        <v>287</v>
      </c>
      <c r="C20" s="18" t="s">
        <v>271</v>
      </c>
      <c r="D20" s="18">
        <v>43141</v>
      </c>
      <c r="E20" s="19">
        <v>43144</v>
      </c>
      <c r="F20" s="4">
        <v>1</v>
      </c>
      <c r="H20" s="43"/>
      <c r="I20" s="43"/>
      <c r="J20" s="43"/>
      <c r="K20" s="43"/>
      <c r="L20" s="43"/>
      <c r="M20" s="43"/>
      <c r="N20" s="43"/>
      <c r="O20" s="43"/>
      <c r="P20" s="43"/>
      <c r="Q20" s="43"/>
      <c r="R20" s="43"/>
      <c r="S20" s="43"/>
      <c r="T20" s="43"/>
      <c r="U20" s="43"/>
      <c r="V20" s="43"/>
      <c r="W20" s="43"/>
      <c r="X20" s="43"/>
      <c r="Y20" s="43"/>
      <c r="Z20" s="43"/>
      <c r="AA20" s="43"/>
      <c r="AB20" s="43"/>
      <c r="AC20" s="43"/>
      <c r="AD20" s="43"/>
      <c r="AE20" s="43"/>
      <c r="AF20" s="43"/>
      <c r="AG20" s="43"/>
      <c r="AH20" s="43"/>
      <c r="AI20" s="43"/>
      <c r="AJ20" s="43"/>
      <c r="AK20" s="43"/>
      <c r="AL20" s="43"/>
      <c r="AM20" s="43"/>
      <c r="AN20" s="43"/>
      <c r="AO20" s="43"/>
      <c r="AP20" s="43"/>
      <c r="AQ20" s="43"/>
      <c r="AR20" s="43"/>
      <c r="AS20" s="43"/>
    </row>
    <row r="21" spans="1:45" ht="20" customHeight="1" outlineLevel="1" x14ac:dyDescent="0.2">
      <c r="B21" s="34" t="s">
        <v>287</v>
      </c>
      <c r="C21" s="18" t="s">
        <v>272</v>
      </c>
      <c r="D21" s="18">
        <v>43144</v>
      </c>
      <c r="E21" s="19">
        <v>43148</v>
      </c>
      <c r="F21" s="4">
        <v>1</v>
      </c>
      <c r="H21" s="43"/>
      <c r="I21" s="43"/>
      <c r="J21" s="43"/>
      <c r="K21" s="43"/>
      <c r="L21" s="43"/>
      <c r="M21" s="43"/>
      <c r="N21" s="43"/>
      <c r="O21" s="43"/>
      <c r="P21" s="43"/>
      <c r="Q21" s="43"/>
      <c r="R21" s="43"/>
      <c r="S21" s="43"/>
      <c r="T21" s="43"/>
      <c r="U21" s="43"/>
      <c r="V21" s="43"/>
      <c r="W21" s="43"/>
      <c r="X21" s="43"/>
      <c r="Y21" s="43"/>
      <c r="Z21" s="43"/>
      <c r="AA21" s="43"/>
      <c r="AB21" s="43"/>
      <c r="AC21" s="43"/>
      <c r="AD21" s="43"/>
      <c r="AE21" s="43"/>
      <c r="AF21" s="43"/>
      <c r="AG21" s="43"/>
      <c r="AH21" s="43"/>
      <c r="AI21" s="43"/>
      <c r="AJ21" s="43"/>
      <c r="AK21" s="43"/>
      <c r="AL21" s="43"/>
      <c r="AM21" s="43"/>
      <c r="AN21" s="43"/>
      <c r="AO21" s="43"/>
      <c r="AP21" s="43"/>
      <c r="AQ21" s="43"/>
      <c r="AR21" s="43"/>
      <c r="AS21" s="43"/>
    </row>
    <row r="22" spans="1:45" ht="20" customHeight="1" x14ac:dyDescent="0.2">
      <c r="B22" s="34"/>
      <c r="C22" s="18"/>
      <c r="D22" s="18"/>
      <c r="E22" s="19"/>
      <c r="F22" s="4"/>
      <c r="H22" s="43"/>
      <c r="I22" s="43"/>
      <c r="J22" s="43"/>
      <c r="K22" s="43"/>
      <c r="L22" s="43"/>
      <c r="M22" s="43"/>
      <c r="N22" s="43"/>
      <c r="O22" s="43"/>
      <c r="P22" s="43"/>
      <c r="Q22" s="43"/>
      <c r="R22" s="43"/>
      <c r="S22" s="43"/>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row>
    <row r="23" spans="1:45" s="174" customFormat="1" ht="24" customHeight="1" x14ac:dyDescent="0.2">
      <c r="A23" s="170"/>
      <c r="B23" s="171"/>
      <c r="C23" s="175" t="s">
        <v>270</v>
      </c>
      <c r="D23" s="172">
        <v>43132</v>
      </c>
      <c r="E23" s="19">
        <v>43181</v>
      </c>
      <c r="F23" s="173">
        <v>0.3</v>
      </c>
      <c r="G23" s="14"/>
    </row>
    <row r="24" spans="1:45" ht="20" customHeight="1" outlineLevel="1" x14ac:dyDescent="0.2">
      <c r="B24" s="34" t="s">
        <v>229</v>
      </c>
      <c r="C24" s="18" t="s">
        <v>277</v>
      </c>
      <c r="D24" s="18">
        <v>43132</v>
      </c>
      <c r="E24" s="19">
        <v>43136</v>
      </c>
      <c r="F24" s="4">
        <v>1</v>
      </c>
      <c r="H24" s="43"/>
      <c r="I24" s="43"/>
      <c r="J24" s="43"/>
      <c r="K24" s="43"/>
      <c r="L24" s="43"/>
      <c r="M24" s="43"/>
      <c r="N24" s="43"/>
      <c r="O24" s="43"/>
      <c r="P24" s="43"/>
      <c r="Q24" s="43"/>
      <c r="R24" s="43"/>
      <c r="S24" s="43"/>
      <c r="T24" s="43"/>
      <c r="U24" s="43"/>
      <c r="V24" s="43"/>
      <c r="W24" s="43"/>
      <c r="X24" s="43"/>
      <c r="Y24" s="43"/>
      <c r="Z24" s="43"/>
      <c r="AA24" s="43"/>
      <c r="AB24" s="43"/>
      <c r="AC24" s="43"/>
      <c r="AD24" s="43"/>
      <c r="AE24" s="43"/>
      <c r="AF24" s="43"/>
      <c r="AG24" s="43"/>
      <c r="AH24" s="43"/>
      <c r="AI24" s="43"/>
      <c r="AJ24" s="43"/>
      <c r="AK24" s="43"/>
      <c r="AL24" s="43"/>
      <c r="AM24" s="43"/>
      <c r="AN24" s="43"/>
      <c r="AO24" s="43"/>
      <c r="AP24" s="43"/>
      <c r="AQ24" s="43"/>
      <c r="AR24" s="43"/>
      <c r="AS24" s="43"/>
    </row>
    <row r="25" spans="1:45" ht="20" customHeight="1" outlineLevel="1" x14ac:dyDescent="0.2">
      <c r="B25" s="34" t="s">
        <v>229</v>
      </c>
      <c r="C25" s="18" t="s">
        <v>278</v>
      </c>
      <c r="D25" s="18">
        <v>43134</v>
      </c>
      <c r="E25" s="19">
        <v>43136</v>
      </c>
      <c r="F25" s="4">
        <v>1</v>
      </c>
      <c r="H25" s="43"/>
      <c r="I25" s="43"/>
      <c r="J25" s="43"/>
      <c r="K25" s="43"/>
      <c r="L25" s="43"/>
      <c r="M25" s="43"/>
      <c r="N25" s="43"/>
      <c r="O25" s="43"/>
      <c r="P25" s="43"/>
      <c r="Q25" s="43"/>
      <c r="R25" s="43"/>
      <c r="S25" s="43"/>
      <c r="T25" s="43"/>
      <c r="U25" s="43"/>
      <c r="V25" s="43"/>
      <c r="W25" s="43"/>
      <c r="X25" s="43"/>
      <c r="Y25" s="43"/>
      <c r="Z25" s="43"/>
      <c r="AA25" s="43"/>
      <c r="AB25" s="43"/>
      <c r="AC25" s="43"/>
      <c r="AD25" s="43"/>
      <c r="AE25" s="43"/>
      <c r="AF25" s="43"/>
      <c r="AG25" s="43"/>
      <c r="AH25" s="43"/>
      <c r="AI25" s="43"/>
      <c r="AJ25" s="43"/>
      <c r="AK25" s="43"/>
      <c r="AL25" s="43"/>
      <c r="AM25" s="43"/>
      <c r="AN25" s="43"/>
      <c r="AO25" s="43"/>
      <c r="AP25" s="43"/>
      <c r="AQ25" s="43"/>
      <c r="AR25" s="43"/>
      <c r="AS25" s="43"/>
    </row>
    <row r="26" spans="1:45" ht="20" customHeight="1" outlineLevel="1" x14ac:dyDescent="0.2">
      <c r="B26" s="34" t="s">
        <v>290</v>
      </c>
      <c r="C26" s="18" t="s">
        <v>291</v>
      </c>
      <c r="D26" s="18">
        <v>43147</v>
      </c>
      <c r="E26" s="19">
        <v>43159</v>
      </c>
      <c r="F26" s="4">
        <v>0.1</v>
      </c>
      <c r="H26" s="43"/>
      <c r="I26" s="43"/>
      <c r="J26" s="43"/>
      <c r="K26" s="43"/>
      <c r="L26" s="43"/>
      <c r="M26" s="43"/>
      <c r="N26" s="43"/>
      <c r="O26" s="43"/>
      <c r="P26" s="43"/>
      <c r="Q26" s="43"/>
      <c r="R26" s="43"/>
      <c r="S26" s="43"/>
      <c r="T26" s="43"/>
      <c r="U26" s="43"/>
      <c r="V26" s="43"/>
      <c r="W26" s="43"/>
      <c r="X26" s="43"/>
      <c r="Y26" s="43"/>
      <c r="Z26" s="43"/>
      <c r="AA26" s="43"/>
      <c r="AB26" s="43"/>
      <c r="AC26" s="43"/>
      <c r="AD26" s="43"/>
      <c r="AE26" s="43"/>
      <c r="AF26" s="43"/>
      <c r="AG26" s="43"/>
      <c r="AH26" s="43"/>
      <c r="AI26" s="43"/>
      <c r="AJ26" s="43"/>
      <c r="AK26" s="43"/>
      <c r="AL26" s="43"/>
      <c r="AM26" s="43"/>
      <c r="AN26" s="43"/>
      <c r="AO26" s="43"/>
      <c r="AP26" s="43"/>
      <c r="AQ26" s="43"/>
      <c r="AR26" s="43"/>
      <c r="AS26" s="43"/>
    </row>
    <row r="27" spans="1:45" ht="20" customHeight="1" outlineLevel="1" x14ac:dyDescent="0.2">
      <c r="B27" s="34" t="s">
        <v>229</v>
      </c>
      <c r="C27" s="18" t="s">
        <v>273</v>
      </c>
      <c r="D27" s="18">
        <v>43136</v>
      </c>
      <c r="E27" s="19">
        <v>43159</v>
      </c>
      <c r="F27" s="4">
        <v>0.99</v>
      </c>
      <c r="H27" s="43"/>
      <c r="I27" s="43"/>
      <c r="J27" s="43"/>
      <c r="K27" s="43"/>
      <c r="L27" s="43"/>
      <c r="M27" s="43"/>
      <c r="N27" s="43"/>
      <c r="O27" s="43"/>
      <c r="P27" s="43"/>
      <c r="Q27" s="43"/>
      <c r="R27" s="43"/>
      <c r="S27" s="43"/>
      <c r="T27" s="43"/>
      <c r="U27" s="43"/>
      <c r="V27" s="43"/>
      <c r="W27" s="43"/>
      <c r="X27" s="43"/>
      <c r="Y27" s="43"/>
      <c r="Z27" s="43"/>
      <c r="AA27" s="43"/>
      <c r="AB27" s="43"/>
      <c r="AC27" s="43"/>
      <c r="AD27" s="43"/>
      <c r="AE27" s="43"/>
      <c r="AF27" s="43"/>
      <c r="AG27" s="43"/>
      <c r="AH27" s="43"/>
      <c r="AI27" s="43"/>
      <c r="AJ27" s="43"/>
      <c r="AK27" s="43"/>
      <c r="AL27" s="43"/>
      <c r="AM27" s="43"/>
      <c r="AN27" s="43"/>
      <c r="AO27" s="43"/>
      <c r="AP27" s="43"/>
      <c r="AQ27" s="43"/>
      <c r="AR27" s="43"/>
      <c r="AS27" s="43"/>
    </row>
    <row r="28" spans="1:45" ht="20" customHeight="1" outlineLevel="1" x14ac:dyDescent="0.2">
      <c r="B28" s="34" t="s">
        <v>229</v>
      </c>
      <c r="C28" s="18" t="s">
        <v>135</v>
      </c>
      <c r="D28" s="18">
        <v>43141</v>
      </c>
      <c r="E28" s="19">
        <v>43160</v>
      </c>
      <c r="F28" s="4">
        <v>0.3</v>
      </c>
      <c r="H28" s="43"/>
      <c r="I28" s="43"/>
      <c r="J28" s="43"/>
      <c r="K28" s="43"/>
      <c r="L28" s="43"/>
      <c r="M28" s="43"/>
      <c r="N28" s="43"/>
      <c r="O28" s="43"/>
      <c r="P28" s="43"/>
      <c r="Q28" s="43"/>
      <c r="R28" s="43"/>
      <c r="S28" s="43"/>
      <c r="T28" s="43"/>
      <c r="U28" s="43"/>
      <c r="V28" s="43"/>
      <c r="W28" s="43"/>
      <c r="X28" s="43"/>
      <c r="Y28" s="43"/>
      <c r="Z28" s="43"/>
      <c r="AA28" s="43"/>
      <c r="AB28" s="43"/>
      <c r="AC28" s="43"/>
      <c r="AD28" s="43"/>
      <c r="AE28" s="43"/>
      <c r="AF28" s="43"/>
      <c r="AG28" s="43"/>
      <c r="AH28" s="43"/>
      <c r="AI28" s="43"/>
      <c r="AJ28" s="43"/>
      <c r="AK28" s="43"/>
      <c r="AL28" s="43"/>
      <c r="AM28" s="43"/>
      <c r="AN28" s="43"/>
      <c r="AO28" s="43"/>
      <c r="AP28" s="43"/>
      <c r="AQ28" s="43"/>
      <c r="AR28" s="43"/>
      <c r="AS28" s="43"/>
    </row>
    <row r="29" spans="1:45" ht="20" customHeight="1" outlineLevel="1" x14ac:dyDescent="0.2">
      <c r="B29" s="34" t="s">
        <v>229</v>
      </c>
      <c r="C29" s="18" t="s">
        <v>279</v>
      </c>
      <c r="D29" s="18">
        <v>43152</v>
      </c>
      <c r="E29" s="19">
        <v>43158</v>
      </c>
      <c r="F29" s="4">
        <v>0.1</v>
      </c>
      <c r="H29" s="43"/>
      <c r="I29" s="43"/>
      <c r="J29" s="43"/>
      <c r="K29" s="43"/>
      <c r="L29" s="43"/>
      <c r="M29" s="43"/>
      <c r="N29" s="43"/>
      <c r="O29" s="43"/>
      <c r="P29" s="43"/>
      <c r="Q29" s="43"/>
      <c r="R29" s="43"/>
      <c r="S29" s="43"/>
      <c r="T29" s="43"/>
      <c r="U29" s="43"/>
      <c r="V29" s="43"/>
      <c r="W29" s="43"/>
      <c r="X29" s="43"/>
      <c r="Y29" s="43"/>
      <c r="Z29" s="43"/>
      <c r="AA29" s="43"/>
      <c r="AB29" s="43"/>
      <c r="AC29" s="43"/>
      <c r="AD29" s="43"/>
      <c r="AE29" s="43"/>
      <c r="AF29" s="43"/>
      <c r="AG29" s="43"/>
      <c r="AH29" s="43"/>
      <c r="AI29" s="43"/>
      <c r="AJ29" s="43"/>
      <c r="AK29" s="43"/>
      <c r="AL29" s="43"/>
      <c r="AM29" s="43"/>
      <c r="AN29" s="43"/>
      <c r="AO29" s="43"/>
      <c r="AP29" s="43"/>
      <c r="AQ29" s="43"/>
      <c r="AR29" s="43"/>
      <c r="AS29" s="43"/>
    </row>
    <row r="30" spans="1:45" ht="20" customHeight="1" outlineLevel="1" x14ac:dyDescent="0.2">
      <c r="B30" s="34" t="s">
        <v>229</v>
      </c>
      <c r="C30" s="18" t="s">
        <v>280</v>
      </c>
      <c r="D30" s="18">
        <v>43154</v>
      </c>
      <c r="E30" s="19">
        <v>43159</v>
      </c>
      <c r="F30" s="4">
        <v>0.3</v>
      </c>
      <c r="H30" s="43"/>
      <c r="I30" s="43"/>
      <c r="J30" s="43"/>
      <c r="K30" s="43"/>
      <c r="L30" s="43"/>
      <c r="M30" s="43"/>
      <c r="N30" s="43"/>
      <c r="O30" s="43"/>
      <c r="P30" s="43"/>
      <c r="Q30" s="43"/>
      <c r="R30" s="43"/>
      <c r="S30" s="43"/>
      <c r="T30" s="43"/>
      <c r="U30" s="43"/>
      <c r="V30" s="43"/>
      <c r="W30" s="43"/>
      <c r="X30" s="43"/>
      <c r="Y30" s="43"/>
      <c r="Z30" s="43"/>
      <c r="AA30" s="43"/>
      <c r="AB30" s="43"/>
      <c r="AC30" s="43"/>
      <c r="AD30" s="43"/>
      <c r="AE30" s="43"/>
      <c r="AF30" s="43"/>
      <c r="AG30" s="43"/>
      <c r="AH30" s="43"/>
      <c r="AI30" s="43"/>
      <c r="AJ30" s="43"/>
      <c r="AK30" s="43"/>
      <c r="AL30" s="43"/>
      <c r="AM30" s="43"/>
      <c r="AN30" s="43"/>
      <c r="AO30" s="43"/>
      <c r="AP30" s="43"/>
      <c r="AQ30" s="43"/>
      <c r="AR30" s="43"/>
      <c r="AS30" s="43"/>
    </row>
    <row r="31" spans="1:45" ht="37.5" customHeight="1" outlineLevel="1" x14ac:dyDescent="0.2">
      <c r="B31" s="34" t="s">
        <v>229</v>
      </c>
      <c r="C31" s="18" t="s">
        <v>281</v>
      </c>
      <c r="D31" s="18">
        <v>43159</v>
      </c>
      <c r="E31" s="19">
        <v>43161</v>
      </c>
      <c r="F31" s="4">
        <v>0</v>
      </c>
      <c r="H31" s="43"/>
      <c r="I31" s="43"/>
      <c r="J31" s="43"/>
      <c r="K31" s="43"/>
      <c r="L31" s="43"/>
      <c r="M31" s="43"/>
      <c r="N31" s="43"/>
      <c r="O31" s="43"/>
      <c r="P31" s="43"/>
      <c r="Q31" s="43"/>
      <c r="R31" s="43"/>
      <c r="S31" s="43"/>
      <c r="T31" s="43"/>
      <c r="U31" s="43"/>
      <c r="V31" s="43"/>
      <c r="W31" s="43"/>
      <c r="X31" s="43"/>
      <c r="Y31" s="43"/>
      <c r="Z31" s="43"/>
      <c r="AA31" s="43"/>
      <c r="AB31" s="43"/>
      <c r="AC31" s="43"/>
      <c r="AD31" s="43"/>
      <c r="AE31" s="43"/>
      <c r="AF31" s="43"/>
      <c r="AG31" s="43"/>
      <c r="AH31" s="43"/>
      <c r="AI31" s="43"/>
      <c r="AJ31" s="43"/>
      <c r="AK31" s="43"/>
      <c r="AL31" s="43"/>
      <c r="AM31" s="43"/>
      <c r="AN31" s="43"/>
      <c r="AO31" s="43"/>
      <c r="AP31" s="43"/>
      <c r="AQ31" s="43"/>
      <c r="AR31" s="43"/>
      <c r="AS31" s="43"/>
    </row>
    <row r="32" spans="1:45" ht="20" customHeight="1" outlineLevel="1" x14ac:dyDescent="0.2">
      <c r="B32" s="34" t="s">
        <v>229</v>
      </c>
      <c r="C32" s="18" t="s">
        <v>282</v>
      </c>
      <c r="D32" s="18">
        <v>43161</v>
      </c>
      <c r="E32" s="19">
        <v>43163</v>
      </c>
      <c r="F32" s="4">
        <v>0</v>
      </c>
      <c r="H32" s="43"/>
      <c r="I32" s="43"/>
      <c r="J32" s="43"/>
      <c r="K32" s="43"/>
      <c r="L32" s="43"/>
      <c r="M32" s="43"/>
      <c r="N32" s="43"/>
      <c r="O32" s="43"/>
      <c r="P32" s="43"/>
      <c r="Q32" s="43"/>
      <c r="R32" s="43"/>
      <c r="S32" s="43"/>
      <c r="T32" s="43"/>
      <c r="U32" s="43"/>
      <c r="V32" s="43"/>
      <c r="W32" s="43"/>
      <c r="X32" s="43"/>
      <c r="Y32" s="43"/>
      <c r="Z32" s="43"/>
      <c r="AA32" s="43"/>
      <c r="AB32" s="43"/>
      <c r="AC32" s="43"/>
      <c r="AD32" s="43"/>
      <c r="AE32" s="43"/>
      <c r="AF32" s="43"/>
      <c r="AG32" s="43"/>
      <c r="AH32" s="43"/>
      <c r="AI32" s="43"/>
      <c r="AJ32" s="43"/>
      <c r="AK32" s="43"/>
      <c r="AL32" s="43"/>
      <c r="AM32" s="43"/>
      <c r="AN32" s="43"/>
      <c r="AO32" s="43"/>
      <c r="AP32" s="43"/>
      <c r="AQ32" s="43"/>
      <c r="AR32" s="43"/>
      <c r="AS32" s="43"/>
    </row>
    <row r="33" spans="1:45" ht="20" customHeight="1" outlineLevel="1" x14ac:dyDescent="0.2">
      <c r="B33" s="34" t="s">
        <v>229</v>
      </c>
      <c r="C33" s="18" t="s">
        <v>274</v>
      </c>
      <c r="D33" s="18">
        <v>43163</v>
      </c>
      <c r="E33" s="19">
        <v>43168</v>
      </c>
      <c r="F33" s="4">
        <v>0.1</v>
      </c>
      <c r="H33" s="43"/>
      <c r="I33" s="43"/>
      <c r="J33" s="43"/>
      <c r="K33" s="43"/>
      <c r="L33" s="43"/>
      <c r="M33" s="43"/>
      <c r="N33" s="43"/>
      <c r="O33" s="43"/>
      <c r="P33" s="43"/>
      <c r="Q33" s="43"/>
      <c r="R33" s="43"/>
      <c r="S33" s="43"/>
      <c r="T33" s="43"/>
      <c r="U33" s="43"/>
      <c r="V33" s="43"/>
      <c r="W33" s="43"/>
      <c r="X33" s="43"/>
      <c r="Y33" s="43"/>
      <c r="Z33" s="43"/>
      <c r="AA33" s="43"/>
      <c r="AB33" s="43"/>
      <c r="AC33" s="43"/>
      <c r="AD33" s="43"/>
      <c r="AE33" s="43"/>
      <c r="AF33" s="43"/>
      <c r="AG33" s="43"/>
      <c r="AH33" s="43"/>
      <c r="AI33" s="43"/>
      <c r="AJ33" s="43"/>
      <c r="AK33" s="43"/>
      <c r="AL33" s="43"/>
      <c r="AM33" s="43"/>
      <c r="AN33" s="43"/>
      <c r="AO33" s="43"/>
      <c r="AP33" s="43"/>
      <c r="AQ33" s="43"/>
      <c r="AR33" s="43"/>
      <c r="AS33" s="43"/>
    </row>
    <row r="34" spans="1:45" ht="20" customHeight="1" outlineLevel="1" x14ac:dyDescent="0.2">
      <c r="B34" s="34" t="s">
        <v>229</v>
      </c>
      <c r="C34" s="18" t="s">
        <v>275</v>
      </c>
      <c r="D34" s="18">
        <v>43165</v>
      </c>
      <c r="E34" s="19">
        <v>43169</v>
      </c>
      <c r="F34" s="4">
        <v>0.2</v>
      </c>
      <c r="H34" s="43"/>
      <c r="I34" s="43"/>
      <c r="J34" s="43"/>
      <c r="K34" s="43"/>
      <c r="L34" s="43"/>
      <c r="M34" s="43"/>
      <c r="N34" s="43"/>
      <c r="O34" s="43"/>
      <c r="P34" s="43"/>
      <c r="Q34" s="43"/>
      <c r="R34" s="43"/>
      <c r="S34" s="43"/>
      <c r="T34" s="43"/>
      <c r="U34" s="43"/>
      <c r="V34" s="43"/>
      <c r="W34" s="43"/>
      <c r="X34" s="43"/>
      <c r="Y34" s="43"/>
      <c r="Z34" s="43"/>
      <c r="AA34" s="43"/>
      <c r="AB34" s="43"/>
      <c r="AC34" s="43"/>
      <c r="AD34" s="43"/>
      <c r="AE34" s="43"/>
      <c r="AF34" s="43"/>
      <c r="AG34" s="43"/>
      <c r="AH34" s="43"/>
      <c r="AI34" s="43"/>
      <c r="AJ34" s="43"/>
      <c r="AK34" s="43"/>
      <c r="AL34" s="43"/>
      <c r="AM34" s="43"/>
      <c r="AN34" s="43"/>
      <c r="AO34" s="43"/>
      <c r="AP34" s="43"/>
      <c r="AQ34" s="43"/>
      <c r="AR34" s="43"/>
      <c r="AS34" s="43"/>
    </row>
    <row r="35" spans="1:45" ht="20" customHeight="1" outlineLevel="1" x14ac:dyDescent="0.2">
      <c r="B35" s="34" t="s">
        <v>229</v>
      </c>
      <c r="C35" s="18" t="s">
        <v>284</v>
      </c>
      <c r="D35" s="18">
        <v>43170</v>
      </c>
      <c r="E35" s="19">
        <v>43179</v>
      </c>
      <c r="F35" s="4">
        <v>0</v>
      </c>
      <c r="H35" s="43"/>
      <c r="I35" s="43"/>
      <c r="J35" s="43"/>
      <c r="K35" s="43"/>
      <c r="L35" s="43"/>
      <c r="M35" s="43"/>
      <c r="N35" s="43"/>
      <c r="O35" s="43"/>
      <c r="P35" s="43"/>
      <c r="Q35" s="43"/>
      <c r="R35" s="43"/>
      <c r="S35" s="43"/>
      <c r="T35" s="43"/>
      <c r="U35" s="43"/>
      <c r="V35" s="43"/>
      <c r="W35" s="43"/>
      <c r="X35" s="43"/>
      <c r="Y35" s="43"/>
      <c r="Z35" s="43"/>
      <c r="AA35" s="43"/>
      <c r="AB35" s="43"/>
      <c r="AC35" s="43"/>
      <c r="AD35" s="43"/>
      <c r="AE35" s="43"/>
      <c r="AF35" s="43"/>
      <c r="AG35" s="43"/>
      <c r="AH35" s="43"/>
      <c r="AI35" s="43"/>
      <c r="AJ35" s="43"/>
      <c r="AK35" s="43"/>
      <c r="AL35" s="43"/>
      <c r="AM35" s="43"/>
      <c r="AN35" s="43"/>
      <c r="AO35" s="43"/>
      <c r="AP35" s="43"/>
      <c r="AQ35" s="43"/>
      <c r="AR35" s="43"/>
      <c r="AS35" s="43"/>
    </row>
    <row r="36" spans="1:45" ht="20" customHeight="1" outlineLevel="1" x14ac:dyDescent="0.2">
      <c r="B36" s="34" t="s">
        <v>229</v>
      </c>
      <c r="C36" s="18" t="s">
        <v>276</v>
      </c>
      <c r="D36" s="18">
        <v>43172</v>
      </c>
      <c r="E36" s="19">
        <v>43179</v>
      </c>
      <c r="F36" s="4">
        <v>0</v>
      </c>
      <c r="H36" s="43"/>
      <c r="I36" s="43"/>
      <c r="J36" s="43"/>
      <c r="K36" s="43"/>
      <c r="L36" s="43"/>
      <c r="M36" s="43"/>
      <c r="N36" s="43"/>
      <c r="O36" s="43"/>
      <c r="P36" s="43"/>
      <c r="Q36" s="43"/>
      <c r="R36" s="43"/>
      <c r="S36" s="43"/>
      <c r="T36" s="43"/>
      <c r="U36" s="43"/>
      <c r="V36" s="43"/>
      <c r="W36" s="43"/>
      <c r="X36" s="43"/>
      <c r="Y36" s="43"/>
      <c r="Z36" s="43"/>
      <c r="AA36" s="43"/>
      <c r="AB36" s="43"/>
      <c r="AC36" s="43"/>
      <c r="AD36" s="43"/>
      <c r="AE36" s="43"/>
      <c r="AF36" s="43"/>
      <c r="AG36" s="43"/>
      <c r="AH36" s="43"/>
      <c r="AI36" s="43"/>
      <c r="AJ36" s="43"/>
      <c r="AK36" s="43"/>
      <c r="AL36" s="43"/>
      <c r="AM36" s="43"/>
      <c r="AN36" s="43"/>
      <c r="AO36" s="43"/>
      <c r="AP36" s="43"/>
      <c r="AQ36" s="43"/>
      <c r="AR36" s="43"/>
      <c r="AS36" s="43"/>
    </row>
    <row r="37" spans="1:45" ht="20" customHeight="1" outlineLevel="1" x14ac:dyDescent="0.2">
      <c r="B37" s="34" t="s">
        <v>229</v>
      </c>
      <c r="C37" s="18" t="s">
        <v>283</v>
      </c>
      <c r="D37" s="18">
        <v>43177</v>
      </c>
      <c r="E37" s="19">
        <v>43180</v>
      </c>
      <c r="F37" s="4">
        <v>0</v>
      </c>
      <c r="H37" s="43"/>
      <c r="I37" s="43"/>
      <c r="J37" s="43"/>
      <c r="K37" s="43"/>
      <c r="L37" s="43"/>
      <c r="M37" s="43"/>
      <c r="N37" s="43"/>
      <c r="O37" s="43"/>
      <c r="P37" s="43"/>
      <c r="Q37" s="43"/>
      <c r="R37" s="43"/>
      <c r="S37" s="43"/>
      <c r="T37" s="43"/>
      <c r="U37" s="43"/>
      <c r="V37" s="43"/>
      <c r="W37" s="43"/>
      <c r="X37" s="43"/>
      <c r="Y37" s="43"/>
      <c r="Z37" s="43"/>
      <c r="AA37" s="43"/>
      <c r="AB37" s="43"/>
      <c r="AC37" s="43"/>
      <c r="AD37" s="43"/>
      <c r="AE37" s="43"/>
      <c r="AF37" s="43"/>
      <c r="AG37" s="43"/>
      <c r="AH37" s="43"/>
      <c r="AI37" s="43"/>
      <c r="AJ37" s="43"/>
      <c r="AK37" s="43"/>
      <c r="AL37" s="43"/>
      <c r="AM37" s="43"/>
      <c r="AN37" s="43"/>
      <c r="AO37" s="43"/>
      <c r="AP37" s="43"/>
      <c r="AQ37" s="43"/>
      <c r="AR37" s="43"/>
      <c r="AS37" s="43"/>
    </row>
    <row r="38" spans="1:45" ht="20" customHeight="1" outlineLevel="1" x14ac:dyDescent="0.2">
      <c r="B38" s="34" t="s">
        <v>229</v>
      </c>
      <c r="C38" s="18" t="s">
        <v>285</v>
      </c>
      <c r="D38" s="18">
        <v>43180</v>
      </c>
      <c r="E38" s="19">
        <v>43181</v>
      </c>
      <c r="F38" s="4">
        <v>0</v>
      </c>
      <c r="H38" s="43"/>
      <c r="I38" s="43"/>
      <c r="J38" s="43"/>
      <c r="K38" s="43"/>
      <c r="L38" s="43"/>
      <c r="M38" s="43"/>
      <c r="N38" s="43"/>
      <c r="O38" s="43"/>
      <c r="P38" s="43"/>
      <c r="Q38" s="43"/>
      <c r="R38" s="43"/>
      <c r="S38" s="43"/>
      <c r="T38" s="43"/>
      <c r="U38" s="43"/>
      <c r="V38" s="43"/>
      <c r="W38" s="43"/>
      <c r="X38" s="43"/>
      <c r="Y38" s="43"/>
      <c r="Z38" s="43"/>
      <c r="AA38" s="43"/>
      <c r="AB38" s="43"/>
      <c r="AC38" s="43"/>
      <c r="AD38" s="43"/>
      <c r="AE38" s="43"/>
      <c r="AF38" s="43"/>
      <c r="AG38" s="43"/>
      <c r="AH38" s="43"/>
      <c r="AI38" s="43"/>
      <c r="AJ38" s="43"/>
      <c r="AK38" s="43"/>
      <c r="AL38" s="43"/>
      <c r="AM38" s="43"/>
      <c r="AN38" s="43"/>
      <c r="AO38" s="43"/>
      <c r="AP38" s="43"/>
      <c r="AQ38" s="43"/>
      <c r="AR38" s="43"/>
      <c r="AS38" s="43"/>
    </row>
    <row r="39" spans="1:45" ht="18" customHeight="1" x14ac:dyDescent="0.2">
      <c r="B39" s="34"/>
      <c r="C39" s="18"/>
      <c r="D39" s="18"/>
      <c r="E39" s="19"/>
      <c r="F39" s="4"/>
      <c r="H39" s="43"/>
      <c r="I39" s="43"/>
      <c r="J39" s="43"/>
      <c r="K39" s="43"/>
      <c r="L39" s="43"/>
      <c r="M39" s="43"/>
      <c r="N39" s="43"/>
      <c r="O39" s="43"/>
      <c r="P39" s="43"/>
      <c r="Q39" s="43"/>
      <c r="R39" s="43"/>
      <c r="S39" s="43"/>
      <c r="T39" s="43"/>
      <c r="U39" s="43"/>
      <c r="V39" s="43"/>
      <c r="W39" s="43"/>
      <c r="X39" s="43"/>
      <c r="Y39" s="43"/>
      <c r="Z39" s="43"/>
      <c r="AA39" s="43"/>
      <c r="AB39" s="43"/>
      <c r="AC39" s="43"/>
      <c r="AD39" s="43"/>
      <c r="AE39" s="43"/>
      <c r="AF39" s="43"/>
      <c r="AG39" s="43"/>
      <c r="AH39" s="43"/>
      <c r="AI39" s="43"/>
      <c r="AJ39" s="43"/>
      <c r="AK39" s="43"/>
      <c r="AL39" s="43"/>
      <c r="AM39" s="43"/>
      <c r="AN39" s="43"/>
      <c r="AO39" s="43"/>
      <c r="AP39" s="43"/>
      <c r="AQ39" s="43"/>
      <c r="AR39" s="43"/>
      <c r="AS39" s="43"/>
    </row>
    <row r="40" spans="1:45" s="174" customFormat="1" ht="24" customHeight="1" x14ac:dyDescent="0.2">
      <c r="A40" s="170"/>
      <c r="B40" s="171"/>
      <c r="C40" s="175" t="s">
        <v>286</v>
      </c>
      <c r="D40" s="172"/>
      <c r="E40" s="172"/>
      <c r="F40" s="173"/>
      <c r="G40" s="14"/>
    </row>
    <row r="41" spans="1:45" ht="20" customHeight="1" outlineLevel="1" x14ac:dyDescent="0.2">
      <c r="B41" s="34" t="s">
        <v>226</v>
      </c>
      <c r="C41" s="18" t="s">
        <v>121</v>
      </c>
      <c r="D41" s="18">
        <v>43142</v>
      </c>
      <c r="E41" s="19">
        <v>43149</v>
      </c>
      <c r="F41" s="4">
        <v>1</v>
      </c>
    </row>
    <row r="42" spans="1:45" ht="20" customHeight="1" outlineLevel="1" x14ac:dyDescent="0.2">
      <c r="B42" s="34" t="s">
        <v>226</v>
      </c>
      <c r="C42" s="18" t="s">
        <v>228</v>
      </c>
      <c r="D42" s="18">
        <v>43143</v>
      </c>
      <c r="E42" s="19">
        <v>43150</v>
      </c>
      <c r="F42" s="4">
        <v>1</v>
      </c>
    </row>
    <row r="43" spans="1:45" ht="20" customHeight="1" x14ac:dyDescent="0.2">
      <c r="B43" s="34"/>
      <c r="C43" s="18"/>
      <c r="D43" s="18"/>
      <c r="E43" s="19"/>
      <c r="F43" s="4"/>
    </row>
    <row r="44" spans="1:45" s="174" customFormat="1" ht="24" customHeight="1" x14ac:dyDescent="0.2">
      <c r="A44" s="170"/>
      <c r="B44" s="171"/>
      <c r="C44" s="175" t="s">
        <v>237</v>
      </c>
      <c r="D44" s="172">
        <v>43163</v>
      </c>
      <c r="E44" s="19">
        <v>43195</v>
      </c>
      <c r="F44" s="173">
        <v>0.1</v>
      </c>
      <c r="G44" s="14"/>
    </row>
    <row r="45" spans="1:45" ht="20" customHeight="1" outlineLevel="1" x14ac:dyDescent="0.2">
      <c r="B45" s="34" t="s">
        <v>238</v>
      </c>
      <c r="C45" s="18" t="s">
        <v>142</v>
      </c>
      <c r="D45" s="18">
        <v>43163</v>
      </c>
      <c r="E45" s="19">
        <v>43177</v>
      </c>
      <c r="F45" s="4">
        <v>0</v>
      </c>
    </row>
    <row r="46" spans="1:45" ht="20" customHeight="1" outlineLevel="1" x14ac:dyDescent="0.2">
      <c r="B46" s="34" t="s">
        <v>238</v>
      </c>
      <c r="C46" s="18" t="s">
        <v>257</v>
      </c>
      <c r="D46" s="18">
        <v>43163</v>
      </c>
      <c r="E46" s="19">
        <v>43172</v>
      </c>
      <c r="F46" s="4">
        <v>0.1</v>
      </c>
    </row>
    <row r="47" spans="1:45" ht="20" customHeight="1" outlineLevel="1" x14ac:dyDescent="0.2">
      <c r="B47" s="34" t="s">
        <v>238</v>
      </c>
      <c r="C47" s="18" t="s">
        <v>296</v>
      </c>
      <c r="D47" s="18">
        <v>43173</v>
      </c>
      <c r="E47" s="19">
        <v>43184</v>
      </c>
      <c r="F47" s="4">
        <v>0</v>
      </c>
    </row>
    <row r="48" spans="1:45" ht="20" customHeight="1" outlineLevel="1" x14ac:dyDescent="0.2">
      <c r="B48" s="34" t="s">
        <v>238</v>
      </c>
      <c r="C48" s="18" t="s">
        <v>236</v>
      </c>
      <c r="D48" s="18">
        <v>43180</v>
      </c>
      <c r="E48" s="19">
        <v>43195</v>
      </c>
      <c r="F48" s="4">
        <v>0</v>
      </c>
    </row>
    <row r="49" spans="1:7" ht="20" customHeight="1" x14ac:dyDescent="0.2">
      <c r="B49" s="34"/>
      <c r="C49" s="18"/>
      <c r="D49" s="18"/>
      <c r="E49" s="19"/>
      <c r="F49" s="4"/>
    </row>
    <row r="50" spans="1:7" s="174" customFormat="1" ht="24" customHeight="1" x14ac:dyDescent="0.2">
      <c r="A50" s="170"/>
      <c r="B50" s="171"/>
      <c r="C50" s="175" t="s">
        <v>241</v>
      </c>
      <c r="D50" s="172">
        <v>43195</v>
      </c>
      <c r="E50" s="19">
        <v>43271</v>
      </c>
      <c r="F50" s="173">
        <v>0</v>
      </c>
      <c r="G50" s="14"/>
    </row>
    <row r="51" spans="1:7" ht="20" customHeight="1" outlineLevel="1" x14ac:dyDescent="0.2">
      <c r="B51" s="34" t="s">
        <v>245</v>
      </c>
      <c r="C51" s="18" t="s">
        <v>152</v>
      </c>
      <c r="D51" s="18">
        <v>43195</v>
      </c>
      <c r="E51" s="19">
        <v>43217</v>
      </c>
      <c r="F51" s="4">
        <v>0</v>
      </c>
    </row>
    <row r="52" spans="1:7" ht="20" customHeight="1" outlineLevel="1" x14ac:dyDescent="0.2">
      <c r="B52" s="34" t="s">
        <v>245</v>
      </c>
      <c r="C52" s="18" t="s">
        <v>246</v>
      </c>
      <c r="D52" s="18">
        <v>43217</v>
      </c>
      <c r="E52" s="19">
        <v>43230</v>
      </c>
      <c r="F52" s="4">
        <v>0</v>
      </c>
    </row>
    <row r="53" spans="1:7" ht="20" customHeight="1" outlineLevel="1" x14ac:dyDescent="0.2">
      <c r="B53" s="34" t="s">
        <v>245</v>
      </c>
      <c r="C53" s="18" t="s">
        <v>154</v>
      </c>
      <c r="D53" s="18">
        <v>43230</v>
      </c>
      <c r="E53" s="19">
        <v>43240</v>
      </c>
      <c r="F53" s="4">
        <v>0</v>
      </c>
    </row>
    <row r="54" spans="1:7" ht="20" customHeight="1" outlineLevel="1" x14ac:dyDescent="0.2">
      <c r="B54" s="34" t="s">
        <v>245</v>
      </c>
      <c r="C54" s="18" t="s">
        <v>247</v>
      </c>
      <c r="D54" s="18">
        <v>43240</v>
      </c>
      <c r="E54" s="19">
        <v>43243</v>
      </c>
      <c r="F54" s="4">
        <v>0</v>
      </c>
    </row>
    <row r="55" spans="1:7" ht="20" customHeight="1" outlineLevel="1" x14ac:dyDescent="0.2">
      <c r="B55" s="34" t="s">
        <v>245</v>
      </c>
      <c r="C55" s="18" t="s">
        <v>253</v>
      </c>
      <c r="D55" s="18">
        <v>43240</v>
      </c>
      <c r="E55" s="19">
        <v>43250</v>
      </c>
      <c r="F55" s="4">
        <v>0</v>
      </c>
    </row>
    <row r="56" spans="1:7" ht="20" customHeight="1" outlineLevel="1" x14ac:dyDescent="0.2">
      <c r="B56" s="34" t="s">
        <v>245</v>
      </c>
      <c r="C56" s="18" t="s">
        <v>254</v>
      </c>
      <c r="D56" s="18">
        <v>43250</v>
      </c>
      <c r="E56" s="19">
        <v>43261</v>
      </c>
      <c r="F56" s="4">
        <v>0</v>
      </c>
    </row>
    <row r="57" spans="1:7" ht="20" customHeight="1" outlineLevel="1" x14ac:dyDescent="0.2">
      <c r="B57" s="34" t="s">
        <v>245</v>
      </c>
      <c r="C57" s="18" t="s">
        <v>255</v>
      </c>
      <c r="D57" s="18">
        <v>43261</v>
      </c>
      <c r="E57" s="19">
        <v>43271</v>
      </c>
      <c r="F57" s="4">
        <v>0</v>
      </c>
    </row>
    <row r="58" spans="1:7" ht="20" customHeight="1" x14ac:dyDescent="0.2">
      <c r="B58" s="34"/>
      <c r="C58" s="18"/>
      <c r="D58" s="18"/>
      <c r="E58" s="19"/>
      <c r="F58" s="4"/>
    </row>
    <row r="59" spans="1:7" ht="20" customHeight="1" x14ac:dyDescent="0.2">
      <c r="B59" s="34"/>
      <c r="C59" s="18"/>
      <c r="D59" s="18"/>
      <c r="E59" s="19"/>
      <c r="F59" s="4"/>
    </row>
    <row r="60" spans="1:7" ht="20" customHeight="1" x14ac:dyDescent="0.2">
      <c r="B60" s="34"/>
      <c r="C60" s="18"/>
      <c r="D60" s="18"/>
      <c r="E60" s="19"/>
      <c r="F60" s="4"/>
    </row>
    <row r="61" spans="1:7" ht="20" customHeight="1" x14ac:dyDescent="0.2">
      <c r="B61" s="34"/>
      <c r="C61" s="18"/>
      <c r="D61" s="18"/>
      <c r="E61" s="19"/>
      <c r="F61" s="4"/>
    </row>
    <row r="62" spans="1:7" ht="20" customHeight="1" x14ac:dyDescent="0.2">
      <c r="B62" s="34"/>
      <c r="C62" s="18"/>
      <c r="D62" s="18"/>
      <c r="E62" s="19"/>
      <c r="F62" s="4"/>
    </row>
    <row r="63" spans="1:7" ht="20" customHeight="1" x14ac:dyDescent="0.2">
      <c r="B63" s="34"/>
      <c r="C63" s="18"/>
      <c r="D63" s="18"/>
      <c r="E63" s="19"/>
      <c r="F63" s="4"/>
    </row>
    <row r="64" spans="1:7" ht="20" customHeight="1" x14ac:dyDescent="0.2">
      <c r="B64" s="34"/>
      <c r="C64" s="18"/>
      <c r="D64" s="18"/>
      <c r="E64" s="19"/>
      <c r="F64" s="4"/>
    </row>
    <row r="65" spans="2:6" ht="20" customHeight="1" x14ac:dyDescent="0.2">
      <c r="B65" s="34"/>
      <c r="C65" s="18"/>
      <c r="D65" s="18"/>
      <c r="E65" s="19"/>
      <c r="F65" s="4"/>
    </row>
    <row r="66" spans="2:6" ht="20" customHeight="1" x14ac:dyDescent="0.2">
      <c r="B66" s="34"/>
      <c r="C66" s="18"/>
      <c r="D66" s="18"/>
      <c r="E66" s="19"/>
      <c r="F66" s="4"/>
    </row>
    <row r="67" spans="2:6" ht="20" customHeight="1" x14ac:dyDescent="0.2">
      <c r="B67" s="34"/>
      <c r="C67" s="18"/>
      <c r="D67" s="18"/>
      <c r="E67" s="19"/>
      <c r="F67" s="4"/>
    </row>
    <row r="68" spans="2:6" ht="20" customHeight="1" x14ac:dyDescent="0.2">
      <c r="B68" s="34"/>
      <c r="C68" s="18"/>
      <c r="D68" s="18"/>
      <c r="E68" s="19"/>
      <c r="F68" s="4"/>
    </row>
    <row r="69" spans="2:6" ht="20" customHeight="1" x14ac:dyDescent="0.2">
      <c r="B69" s="34"/>
      <c r="C69" s="18"/>
      <c r="D69" s="18"/>
      <c r="E69" s="19"/>
      <c r="F69" s="4"/>
    </row>
    <row r="70" spans="2:6" ht="20" customHeight="1" x14ac:dyDescent="0.2">
      <c r="B70" s="34"/>
      <c r="C70" s="18"/>
      <c r="D70" s="18"/>
      <c r="E70" s="19"/>
      <c r="F70" s="4"/>
    </row>
    <row r="71" spans="2:6" ht="20" customHeight="1" x14ac:dyDescent="0.2">
      <c r="B71" s="34"/>
      <c r="C71" s="18"/>
      <c r="D71" s="18"/>
      <c r="E71" s="19"/>
      <c r="F71" s="4"/>
    </row>
    <row r="72" spans="2:6" ht="20" customHeight="1" x14ac:dyDescent="0.2">
      <c r="B72" s="34"/>
      <c r="C72" s="18"/>
      <c r="D72" s="18"/>
      <c r="E72" s="19"/>
      <c r="F72" s="4"/>
    </row>
    <row r="73" spans="2:6" ht="20" customHeight="1" x14ac:dyDescent="0.2">
      <c r="B73" s="34"/>
      <c r="C73" s="18"/>
      <c r="D73" s="18"/>
      <c r="E73" s="19"/>
      <c r="F73" s="4"/>
    </row>
    <row r="74" spans="2:6" ht="20" customHeight="1" x14ac:dyDescent="0.2">
      <c r="B74" s="34"/>
      <c r="C74" s="18"/>
      <c r="D74" s="18"/>
      <c r="E74" s="19"/>
      <c r="F74" s="4"/>
    </row>
    <row r="75" spans="2:6" ht="20" customHeight="1" x14ac:dyDescent="0.2">
      <c r="B75" s="34"/>
      <c r="C75" s="18"/>
      <c r="D75" s="18"/>
      <c r="E75" s="19"/>
      <c r="F75" s="4"/>
    </row>
    <row r="76" spans="2:6" ht="20" customHeight="1" x14ac:dyDescent="0.2">
      <c r="B76" s="34"/>
      <c r="C76" s="18"/>
      <c r="D76" s="18"/>
      <c r="E76" s="19"/>
      <c r="F76" s="4"/>
    </row>
    <row r="77" spans="2:6" ht="20" customHeight="1" x14ac:dyDescent="0.2">
      <c r="B77" s="34"/>
      <c r="C77" s="18"/>
      <c r="D77" s="18"/>
      <c r="E77" s="19"/>
      <c r="F77" s="4"/>
    </row>
    <row r="78" spans="2:6" ht="20" customHeight="1" x14ac:dyDescent="0.2">
      <c r="B78" s="34"/>
      <c r="C78" s="18"/>
      <c r="D78" s="18"/>
      <c r="E78" s="19"/>
      <c r="F78" s="4"/>
    </row>
    <row r="79" spans="2:6" ht="20" customHeight="1" x14ac:dyDescent="0.2">
      <c r="B79" s="34"/>
      <c r="C79" s="18"/>
      <c r="D79" s="18"/>
      <c r="E79" s="19"/>
      <c r="F79" s="4"/>
    </row>
    <row r="80" spans="2:6" ht="20" customHeight="1" x14ac:dyDescent="0.2">
      <c r="B80" s="34"/>
      <c r="C80" s="18"/>
      <c r="D80" s="18"/>
      <c r="E80" s="19"/>
      <c r="F80" s="4"/>
    </row>
    <row r="81" spans="2:6" ht="20" customHeight="1" x14ac:dyDescent="0.2">
      <c r="B81" s="34"/>
      <c r="C81" s="18"/>
      <c r="D81" s="18"/>
      <c r="E81" s="19"/>
      <c r="F81" s="4"/>
    </row>
    <row r="82" spans="2:6" ht="20" customHeight="1" x14ac:dyDescent="0.2">
      <c r="B82" s="34"/>
      <c r="C82" s="18"/>
      <c r="D82" s="18"/>
      <c r="E82" s="19"/>
      <c r="F82" s="4"/>
    </row>
    <row r="83" spans="2:6" ht="20" customHeight="1" x14ac:dyDescent="0.2">
      <c r="B83" s="34"/>
      <c r="C83" s="18"/>
      <c r="D83" s="18"/>
      <c r="E83" s="19"/>
      <c r="F83" s="4"/>
    </row>
    <row r="84" spans="2:6" ht="20" customHeight="1" x14ac:dyDescent="0.2">
      <c r="B84" s="34"/>
      <c r="C84" s="18"/>
      <c r="D84" s="18"/>
      <c r="E84" s="19"/>
      <c r="F84" s="4"/>
    </row>
    <row r="85" spans="2:6" ht="20" customHeight="1" x14ac:dyDescent="0.2">
      <c r="B85" s="34"/>
      <c r="C85" s="18"/>
      <c r="D85" s="18"/>
      <c r="E85" s="19"/>
      <c r="F85" s="4"/>
    </row>
    <row r="86" spans="2:6" ht="20" customHeight="1" x14ac:dyDescent="0.2">
      <c r="B86" s="34"/>
      <c r="C86" s="18"/>
      <c r="D86" s="18"/>
      <c r="E86" s="19"/>
      <c r="F86" s="4"/>
    </row>
    <row r="87" spans="2:6" ht="20" customHeight="1" x14ac:dyDescent="0.2">
      <c r="B87" s="34"/>
      <c r="C87" s="18"/>
      <c r="D87" s="18"/>
      <c r="E87" s="19"/>
      <c r="F87" s="4"/>
    </row>
    <row r="88" spans="2:6" ht="20" customHeight="1" x14ac:dyDescent="0.2">
      <c r="B88" s="34"/>
      <c r="C88" s="18"/>
      <c r="D88" s="18"/>
      <c r="E88" s="19"/>
      <c r="F88" s="4"/>
    </row>
    <row r="89" spans="2:6" ht="20" customHeight="1" x14ac:dyDescent="0.2">
      <c r="B89" s="34"/>
      <c r="C89" s="18"/>
      <c r="D89" s="18"/>
      <c r="E89" s="19"/>
      <c r="F89" s="4"/>
    </row>
    <row r="90" spans="2:6" ht="20" customHeight="1" x14ac:dyDescent="0.2">
      <c r="B90" s="34"/>
      <c r="C90" s="18"/>
      <c r="D90" s="18"/>
      <c r="E90" s="19"/>
      <c r="F90" s="4"/>
    </row>
    <row r="91" spans="2:6" ht="20" customHeight="1" x14ac:dyDescent="0.2">
      <c r="B91" s="34"/>
      <c r="C91" s="18"/>
      <c r="D91" s="18"/>
      <c r="E91" s="19"/>
      <c r="F91" s="4"/>
    </row>
    <row r="92" spans="2:6" ht="20" customHeight="1" x14ac:dyDescent="0.2">
      <c r="B92" s="34"/>
      <c r="C92" s="18"/>
      <c r="D92" s="18"/>
      <c r="E92" s="19"/>
      <c r="F92" s="4"/>
    </row>
    <row r="93" spans="2:6" ht="20" customHeight="1" x14ac:dyDescent="0.2">
      <c r="B93" s="34"/>
      <c r="C93" s="18"/>
      <c r="D93" s="18"/>
      <c r="E93" s="19"/>
      <c r="F93" s="4"/>
    </row>
    <row r="94" spans="2:6" ht="20" customHeight="1" x14ac:dyDescent="0.2">
      <c r="B94" s="34"/>
      <c r="C94" s="18"/>
      <c r="D94" s="18"/>
      <c r="E94" s="19"/>
      <c r="F94" s="4"/>
    </row>
    <row r="95" spans="2:6" ht="20" customHeight="1" x14ac:dyDescent="0.2">
      <c r="B95" s="34"/>
      <c r="C95" s="18"/>
      <c r="D95" s="18"/>
      <c r="E95" s="19"/>
      <c r="F95" s="4"/>
    </row>
    <row r="96" spans="2:6" ht="20" customHeight="1" x14ac:dyDescent="0.2">
      <c r="B96" s="34"/>
      <c r="C96" s="18"/>
      <c r="D96" s="18"/>
      <c r="E96" s="19"/>
      <c r="F96" s="4"/>
    </row>
    <row r="97" spans="2:6" ht="20" customHeight="1" x14ac:dyDescent="0.2">
      <c r="B97" s="34"/>
      <c r="C97" s="18"/>
      <c r="D97" s="18"/>
      <c r="E97" s="19"/>
      <c r="F97" s="4"/>
    </row>
    <row r="98" spans="2:6" ht="20" customHeight="1" x14ac:dyDescent="0.2">
      <c r="B98" s="34"/>
      <c r="C98" s="18"/>
      <c r="D98" s="18"/>
      <c r="E98" s="19"/>
      <c r="F98" s="4"/>
    </row>
    <row r="99" spans="2:6" ht="20" customHeight="1" x14ac:dyDescent="0.2">
      <c r="B99" s="34"/>
      <c r="C99" s="18"/>
      <c r="D99" s="18"/>
      <c r="E99" s="19"/>
      <c r="F99" s="4"/>
    </row>
    <row r="100" spans="2:6" ht="20" customHeight="1" x14ac:dyDescent="0.2">
      <c r="B100" s="34"/>
      <c r="C100" s="18"/>
      <c r="D100" s="18"/>
      <c r="E100" s="19"/>
      <c r="F100" s="4"/>
    </row>
    <row r="101" spans="2:6" ht="20" customHeight="1" x14ac:dyDescent="0.2">
      <c r="B101" s="34"/>
      <c r="C101" s="18"/>
      <c r="D101" s="18"/>
      <c r="E101" s="19"/>
      <c r="F101" s="4"/>
    </row>
    <row r="102" spans="2:6" ht="20" customHeight="1" x14ac:dyDescent="0.2">
      <c r="B102" s="34"/>
      <c r="C102" s="18"/>
      <c r="D102" s="18"/>
      <c r="E102" s="19"/>
      <c r="F102" s="4"/>
    </row>
    <row r="103" spans="2:6" ht="20" customHeight="1" x14ac:dyDescent="0.2">
      <c r="B103" s="34"/>
      <c r="C103" s="18"/>
      <c r="D103" s="18"/>
      <c r="E103" s="19"/>
      <c r="F103" s="4"/>
    </row>
    <row r="104" spans="2:6" ht="20" customHeight="1" x14ac:dyDescent="0.2">
      <c r="B104" s="34"/>
      <c r="C104" s="18"/>
      <c r="D104" s="18"/>
      <c r="E104" s="19"/>
      <c r="F104" s="4"/>
    </row>
    <row r="105" spans="2:6" ht="20" customHeight="1" x14ac:dyDescent="0.2">
      <c r="B105" s="34"/>
      <c r="C105" s="18"/>
      <c r="D105" s="18"/>
      <c r="E105" s="19"/>
      <c r="F105" s="4"/>
    </row>
    <row r="106" spans="2:6" ht="20" customHeight="1" x14ac:dyDescent="0.2">
      <c r="B106" s="34"/>
      <c r="C106" s="18"/>
      <c r="D106" s="18"/>
      <c r="E106" s="19"/>
      <c r="F106" s="4"/>
    </row>
    <row r="107" spans="2:6" ht="20" customHeight="1" x14ac:dyDescent="0.2">
      <c r="B107" s="34"/>
      <c r="C107" s="18"/>
      <c r="D107" s="18"/>
      <c r="E107" s="19"/>
      <c r="F107" s="4"/>
    </row>
    <row r="108" spans="2:6" ht="20" customHeight="1" x14ac:dyDescent="0.2">
      <c r="B108" s="34"/>
      <c r="C108" s="18"/>
      <c r="D108" s="18"/>
      <c r="E108" s="19"/>
      <c r="F108" s="4"/>
    </row>
    <row r="109" spans="2:6" ht="20" customHeight="1" x14ac:dyDescent="0.2">
      <c r="B109" s="34"/>
      <c r="C109" s="18"/>
      <c r="D109" s="18"/>
      <c r="E109" s="19"/>
      <c r="F109" s="4"/>
    </row>
    <row r="110" spans="2:6" ht="20" customHeight="1" x14ac:dyDescent="0.2">
      <c r="B110" s="34"/>
      <c r="C110" s="18"/>
      <c r="D110" s="18"/>
      <c r="E110" s="19"/>
      <c r="F110" s="4"/>
    </row>
    <row r="111" spans="2:6" ht="20" customHeight="1" x14ac:dyDescent="0.2">
      <c r="B111" s="34"/>
      <c r="C111" s="18"/>
      <c r="D111" s="18"/>
      <c r="E111" s="19"/>
      <c r="F111" s="4"/>
    </row>
    <row r="112" spans="2:6" ht="20" customHeight="1" x14ac:dyDescent="0.2">
      <c r="B112" s="34"/>
      <c r="C112" s="18"/>
      <c r="D112" s="18"/>
      <c r="E112" s="19"/>
      <c r="F112" s="4"/>
    </row>
    <row r="113" spans="2:6" ht="20" customHeight="1" x14ac:dyDescent="0.2">
      <c r="B113" s="34"/>
      <c r="C113" s="18"/>
      <c r="D113" s="18"/>
      <c r="E113" s="19"/>
      <c r="F113" s="4"/>
    </row>
    <row r="114" spans="2:6" ht="20" customHeight="1" x14ac:dyDescent="0.2">
      <c r="B114" s="34"/>
      <c r="C114" s="18"/>
      <c r="D114" s="18"/>
      <c r="E114" s="19"/>
      <c r="F114" s="4"/>
    </row>
    <row r="115" spans="2:6" ht="20" customHeight="1" x14ac:dyDescent="0.2">
      <c r="B115" s="34"/>
      <c r="C115" s="18"/>
      <c r="D115" s="18"/>
      <c r="E115" s="19"/>
      <c r="F115" s="4"/>
    </row>
    <row r="116" spans="2:6" ht="20" customHeight="1" x14ac:dyDescent="0.2">
      <c r="B116" s="34"/>
      <c r="C116" s="18"/>
      <c r="D116" s="18"/>
      <c r="E116" s="19"/>
      <c r="F116" s="4"/>
    </row>
    <row r="117" spans="2:6" ht="20" customHeight="1" x14ac:dyDescent="0.2">
      <c r="B117" s="34"/>
      <c r="C117" s="18"/>
      <c r="D117" s="18"/>
      <c r="E117" s="19"/>
      <c r="F117" s="4"/>
    </row>
    <row r="118" spans="2:6" ht="20" customHeight="1" x14ac:dyDescent="0.2">
      <c r="B118" s="34"/>
      <c r="C118" s="18"/>
      <c r="D118" s="18"/>
      <c r="E118" s="19"/>
      <c r="F118" s="4"/>
    </row>
    <row r="119" spans="2:6" ht="20" customHeight="1" x14ac:dyDescent="0.2">
      <c r="B119" s="34"/>
      <c r="C119" s="18"/>
      <c r="D119" s="18"/>
      <c r="E119" s="19"/>
      <c r="F119" s="4"/>
    </row>
    <row r="120" spans="2:6" ht="20" customHeight="1" x14ac:dyDescent="0.2">
      <c r="B120" s="34"/>
      <c r="C120" s="18"/>
      <c r="D120" s="18"/>
      <c r="E120" s="19"/>
      <c r="F120" s="4"/>
    </row>
    <row r="121" spans="2:6" ht="20" customHeight="1" x14ac:dyDescent="0.2">
      <c r="B121" s="34"/>
      <c r="C121" s="18"/>
      <c r="D121" s="18"/>
      <c r="E121" s="19"/>
      <c r="F121" s="4"/>
    </row>
    <row r="122" spans="2:6" ht="20" customHeight="1" x14ac:dyDescent="0.2">
      <c r="B122" s="34"/>
      <c r="C122" s="18"/>
      <c r="D122" s="18"/>
      <c r="E122" s="19"/>
      <c r="F122" s="4"/>
    </row>
    <row r="123" spans="2:6" ht="20" customHeight="1" x14ac:dyDescent="0.2">
      <c r="B123" s="34"/>
      <c r="C123" s="18"/>
      <c r="D123" s="18"/>
      <c r="E123" s="19"/>
      <c r="F123" s="4"/>
    </row>
    <row r="124" spans="2:6" ht="20" customHeight="1" x14ac:dyDescent="0.2">
      <c r="B124" s="34"/>
      <c r="C124" s="18"/>
      <c r="D124" s="18"/>
      <c r="E124" s="19"/>
      <c r="F124" s="4"/>
    </row>
    <row r="125" spans="2:6" ht="20" customHeight="1" x14ac:dyDescent="0.2">
      <c r="B125" s="34"/>
      <c r="C125" s="18"/>
      <c r="D125" s="18"/>
      <c r="E125" s="19"/>
      <c r="F125" s="4"/>
    </row>
    <row r="126" spans="2:6" ht="20" customHeight="1" x14ac:dyDescent="0.2">
      <c r="B126" s="34"/>
      <c r="C126" s="18"/>
      <c r="D126" s="18"/>
      <c r="E126" s="19"/>
      <c r="F126" s="4"/>
    </row>
    <row r="127" spans="2:6" ht="20" customHeight="1" x14ac:dyDescent="0.2">
      <c r="B127" s="34"/>
      <c r="C127" s="18"/>
      <c r="D127" s="18"/>
      <c r="E127" s="19"/>
      <c r="F127" s="4"/>
    </row>
    <row r="128" spans="2:6" ht="20" customHeight="1" x14ac:dyDescent="0.2">
      <c r="B128" s="34"/>
      <c r="C128" s="18"/>
      <c r="D128" s="18"/>
      <c r="E128" s="19"/>
      <c r="F128" s="4"/>
    </row>
    <row r="129" spans="2:6" ht="20" customHeight="1" x14ac:dyDescent="0.2">
      <c r="B129" s="34"/>
      <c r="C129" s="18"/>
      <c r="D129" s="18"/>
      <c r="E129" s="19"/>
      <c r="F129" s="4"/>
    </row>
    <row r="130" spans="2:6" ht="20" customHeight="1" x14ac:dyDescent="0.2">
      <c r="B130" s="34"/>
      <c r="C130" s="18"/>
      <c r="D130" s="18"/>
      <c r="E130" s="19"/>
      <c r="F130" s="4"/>
    </row>
    <row r="131" spans="2:6" ht="20" customHeight="1" x14ac:dyDescent="0.2">
      <c r="B131" s="34"/>
      <c r="C131" s="18"/>
      <c r="D131" s="18"/>
      <c r="E131" s="19"/>
      <c r="F131" s="4"/>
    </row>
    <row r="132" spans="2:6" ht="20" customHeight="1" x14ac:dyDescent="0.2">
      <c r="B132" s="34"/>
      <c r="C132" s="18"/>
      <c r="D132" s="18"/>
      <c r="E132" s="19"/>
      <c r="F132" s="4"/>
    </row>
    <row r="133" spans="2:6" ht="20" customHeight="1" x14ac:dyDescent="0.2">
      <c r="B133" s="34"/>
      <c r="C133" s="18"/>
      <c r="D133" s="18"/>
      <c r="E133" s="19"/>
      <c r="F133" s="4"/>
    </row>
    <row r="134" spans="2:6" ht="20" customHeight="1" x14ac:dyDescent="0.2">
      <c r="B134" s="34"/>
      <c r="C134" s="18"/>
      <c r="D134" s="18"/>
      <c r="E134" s="19"/>
      <c r="F134" s="4"/>
    </row>
    <row r="135" spans="2:6" ht="20" customHeight="1" x14ac:dyDescent="0.2">
      <c r="B135" s="34"/>
      <c r="C135" s="18"/>
      <c r="D135" s="18"/>
      <c r="E135" s="19"/>
      <c r="F135" s="4"/>
    </row>
    <row r="136" spans="2:6" ht="20" customHeight="1" x14ac:dyDescent="0.2">
      <c r="B136" s="34"/>
      <c r="C136" s="18"/>
      <c r="D136" s="18"/>
      <c r="E136" s="19"/>
      <c r="F136" s="4"/>
    </row>
    <row r="137" spans="2:6" ht="20" customHeight="1" x14ac:dyDescent="0.2">
      <c r="B137" s="34"/>
      <c r="C137" s="18"/>
      <c r="D137" s="18"/>
      <c r="E137" s="19"/>
      <c r="F137" s="4"/>
    </row>
    <row r="138" spans="2:6" ht="20" customHeight="1" x14ac:dyDescent="0.2">
      <c r="B138" s="34"/>
      <c r="C138" s="18"/>
      <c r="D138" s="18"/>
      <c r="E138" s="19"/>
      <c r="F138" s="4"/>
    </row>
    <row r="139" spans="2:6" ht="20" customHeight="1" x14ac:dyDescent="0.2">
      <c r="B139" s="34"/>
      <c r="C139" s="18"/>
      <c r="D139" s="18"/>
      <c r="E139" s="19"/>
      <c r="F139" s="4"/>
    </row>
    <row r="140" spans="2:6" ht="20" customHeight="1" x14ac:dyDescent="0.2">
      <c r="B140" s="34"/>
      <c r="C140" s="18"/>
      <c r="D140" s="18"/>
      <c r="E140" s="19"/>
      <c r="F140" s="4"/>
    </row>
    <row r="141" spans="2:6" ht="20" customHeight="1" x14ac:dyDescent="0.2">
      <c r="B141" s="34"/>
      <c r="C141" s="18"/>
      <c r="D141" s="18"/>
      <c r="E141" s="19"/>
      <c r="F141" s="4"/>
    </row>
    <row r="142" spans="2:6" ht="20" customHeight="1" x14ac:dyDescent="0.2">
      <c r="B142" s="34"/>
      <c r="C142" s="18"/>
      <c r="D142" s="18"/>
      <c r="E142" s="19"/>
      <c r="F142" s="4"/>
    </row>
    <row r="143" spans="2:6" ht="20" customHeight="1" x14ac:dyDescent="0.2">
      <c r="B143" s="34"/>
      <c r="C143" s="18"/>
      <c r="D143" s="18"/>
      <c r="E143" s="19"/>
      <c r="F143" s="4"/>
    </row>
    <row r="144" spans="2:6" ht="20" customHeight="1" x14ac:dyDescent="0.2">
      <c r="B144" s="34"/>
      <c r="C144" s="18"/>
      <c r="D144" s="18"/>
      <c r="E144" s="19"/>
      <c r="F144" s="4"/>
    </row>
    <row r="145" spans="2:6" ht="20" customHeight="1" x14ac:dyDescent="0.2">
      <c r="B145" s="34"/>
      <c r="C145" s="18"/>
      <c r="D145" s="18"/>
      <c r="E145" s="19"/>
      <c r="F145" s="4"/>
    </row>
    <row r="146" spans="2:6" ht="20" customHeight="1" x14ac:dyDescent="0.2">
      <c r="B146" s="34"/>
      <c r="C146" s="18"/>
      <c r="D146" s="18"/>
      <c r="E146" s="19"/>
      <c r="F146" s="4"/>
    </row>
    <row r="147" spans="2:6" ht="20" customHeight="1" x14ac:dyDescent="0.2">
      <c r="B147" s="34"/>
      <c r="C147" s="18"/>
      <c r="D147" s="18"/>
      <c r="E147" s="19"/>
      <c r="F147" s="4"/>
    </row>
    <row r="148" spans="2:6" ht="20" customHeight="1" x14ac:dyDescent="0.2">
      <c r="B148" s="34"/>
      <c r="C148" s="18"/>
      <c r="D148" s="18"/>
      <c r="E148" s="19"/>
      <c r="F148" s="4"/>
    </row>
    <row r="149" spans="2:6" ht="20" customHeight="1" x14ac:dyDescent="0.2">
      <c r="B149" s="34"/>
      <c r="C149" s="18"/>
      <c r="D149" s="18"/>
      <c r="E149" s="19"/>
      <c r="F149" s="4"/>
    </row>
    <row r="150" spans="2:6" ht="20" customHeight="1" x14ac:dyDescent="0.2">
      <c r="B150" s="34"/>
      <c r="C150" s="18"/>
      <c r="D150" s="18"/>
      <c r="E150" s="19"/>
      <c r="F150" s="4"/>
    </row>
    <row r="151" spans="2:6" ht="20" customHeight="1" x14ac:dyDescent="0.2">
      <c r="B151" s="34"/>
      <c r="C151" s="18"/>
      <c r="D151" s="18"/>
      <c r="E151" s="19"/>
      <c r="F151" s="4"/>
    </row>
    <row r="152" spans="2:6" ht="20" customHeight="1" x14ac:dyDescent="0.2">
      <c r="B152" s="34"/>
      <c r="C152" s="18"/>
      <c r="D152" s="18"/>
      <c r="E152" s="19"/>
      <c r="F152" s="4"/>
    </row>
    <row r="153" spans="2:6" ht="20" customHeight="1" x14ac:dyDescent="0.2">
      <c r="B153" s="34"/>
      <c r="C153" s="18"/>
      <c r="D153" s="18"/>
      <c r="E153" s="19"/>
      <c r="F153" s="4"/>
    </row>
    <row r="154" spans="2:6" ht="20" customHeight="1" x14ac:dyDescent="0.2">
      <c r="B154" s="34"/>
      <c r="C154" s="18"/>
      <c r="D154" s="18"/>
      <c r="E154" s="19"/>
      <c r="F154" s="4"/>
    </row>
    <row r="155" spans="2:6" ht="20" customHeight="1" x14ac:dyDescent="0.2">
      <c r="B155" s="34"/>
      <c r="C155" s="18"/>
      <c r="D155" s="18"/>
      <c r="E155" s="19"/>
      <c r="F155" s="4"/>
    </row>
    <row r="156" spans="2:6" ht="20" customHeight="1" x14ac:dyDescent="0.2">
      <c r="B156" s="34"/>
      <c r="C156" s="18"/>
      <c r="D156" s="18"/>
      <c r="E156" s="19"/>
      <c r="F156" s="4"/>
    </row>
    <row r="157" spans="2:6" ht="20" customHeight="1" x14ac:dyDescent="0.2">
      <c r="B157" s="34"/>
      <c r="C157" s="18"/>
      <c r="D157" s="18"/>
      <c r="E157" s="19"/>
      <c r="F157" s="4"/>
    </row>
    <row r="158" spans="2:6" ht="20" customHeight="1" x14ac:dyDescent="0.2">
      <c r="B158" s="34"/>
      <c r="C158" s="18"/>
      <c r="D158" s="18"/>
      <c r="E158" s="19"/>
      <c r="F158" s="4"/>
    </row>
    <row r="159" spans="2:6" ht="20" customHeight="1" x14ac:dyDescent="0.2">
      <c r="B159" s="34"/>
      <c r="C159" s="18"/>
      <c r="D159" s="18"/>
      <c r="E159" s="19"/>
      <c r="F159" s="4"/>
    </row>
    <row r="160" spans="2:6" ht="20" customHeight="1" x14ac:dyDescent="0.2">
      <c r="B160" s="34"/>
      <c r="C160" s="18"/>
      <c r="D160" s="18"/>
      <c r="E160" s="19"/>
      <c r="F160" s="4"/>
    </row>
    <row r="161" spans="2:6" ht="20" customHeight="1" x14ac:dyDescent="0.2">
      <c r="B161" s="34"/>
      <c r="C161" s="18"/>
      <c r="D161" s="18"/>
      <c r="E161" s="19"/>
      <c r="F161" s="4"/>
    </row>
    <row r="162" spans="2:6" ht="20" customHeight="1" x14ac:dyDescent="0.2">
      <c r="B162" s="34"/>
      <c r="C162" s="18"/>
      <c r="D162" s="18"/>
      <c r="E162" s="19"/>
      <c r="F162" s="4"/>
    </row>
    <row r="163" spans="2:6" ht="20" customHeight="1" x14ac:dyDescent="0.2">
      <c r="B163" s="34"/>
      <c r="C163" s="18"/>
      <c r="D163" s="18"/>
      <c r="E163" s="19"/>
      <c r="F163" s="4"/>
    </row>
    <row r="164" spans="2:6" ht="20" customHeight="1" x14ac:dyDescent="0.2">
      <c r="B164" s="34"/>
      <c r="C164" s="18"/>
      <c r="D164" s="18"/>
      <c r="E164" s="19"/>
      <c r="F164" s="4"/>
    </row>
    <row r="165" spans="2:6" ht="20" customHeight="1" x14ac:dyDescent="0.2">
      <c r="B165" s="34"/>
      <c r="C165" s="18"/>
      <c r="D165" s="18"/>
      <c r="E165" s="19"/>
      <c r="F165" s="4"/>
    </row>
    <row r="166" spans="2:6" ht="20" customHeight="1" x14ac:dyDescent="0.2">
      <c r="B166" s="34"/>
      <c r="C166" s="18"/>
      <c r="D166" s="18"/>
      <c r="E166" s="19"/>
      <c r="F166" s="4"/>
    </row>
    <row r="167" spans="2:6" ht="20" customHeight="1" x14ac:dyDescent="0.2">
      <c r="B167" s="34"/>
      <c r="C167" s="18"/>
      <c r="D167" s="18"/>
      <c r="E167" s="19"/>
      <c r="F167" s="4"/>
    </row>
    <row r="168" spans="2:6" ht="20" customHeight="1" x14ac:dyDescent="0.2">
      <c r="B168" s="34"/>
      <c r="C168" s="18"/>
      <c r="D168" s="18"/>
      <c r="E168" s="19"/>
      <c r="F168" s="4"/>
    </row>
    <row r="169" spans="2:6" ht="20" customHeight="1" x14ac:dyDescent="0.2">
      <c r="B169" s="34"/>
      <c r="C169" s="18"/>
      <c r="D169" s="18"/>
      <c r="E169" s="19"/>
      <c r="F169" s="4"/>
    </row>
    <row r="170" spans="2:6" ht="20" customHeight="1" x14ac:dyDescent="0.2">
      <c r="B170" s="34"/>
      <c r="C170" s="18"/>
      <c r="D170" s="18"/>
      <c r="E170" s="19"/>
      <c r="F170" s="4"/>
    </row>
    <row r="171" spans="2:6" ht="20" customHeight="1" x14ac:dyDescent="0.2">
      <c r="B171" s="34"/>
      <c r="C171" s="18"/>
      <c r="D171" s="18"/>
      <c r="E171" s="19"/>
      <c r="F171" s="4"/>
    </row>
    <row r="172" spans="2:6" ht="20" customHeight="1" x14ac:dyDescent="0.2">
      <c r="B172" s="34"/>
      <c r="C172" s="18"/>
      <c r="D172" s="18"/>
      <c r="E172" s="19"/>
      <c r="F172" s="4"/>
    </row>
    <row r="173" spans="2:6" ht="20" customHeight="1" x14ac:dyDescent="0.2">
      <c r="B173" s="34"/>
      <c r="C173" s="18"/>
      <c r="D173" s="18"/>
      <c r="E173" s="19"/>
      <c r="F173" s="4"/>
    </row>
    <row r="174" spans="2:6" ht="20" customHeight="1" x14ac:dyDescent="0.2">
      <c r="B174" s="34"/>
      <c r="C174" s="18"/>
      <c r="D174" s="18"/>
      <c r="E174" s="19"/>
      <c r="F174" s="4"/>
    </row>
    <row r="175" spans="2:6" ht="20" customHeight="1" x14ac:dyDescent="0.2">
      <c r="B175" s="34"/>
      <c r="C175" s="18"/>
      <c r="D175" s="18"/>
      <c r="E175" s="19"/>
      <c r="F175" s="4"/>
    </row>
    <row r="176" spans="2:6" ht="20" customHeight="1" x14ac:dyDescent="0.2">
      <c r="B176" s="34"/>
      <c r="C176" s="18"/>
      <c r="D176" s="18"/>
      <c r="E176" s="19"/>
      <c r="F176" s="4"/>
    </row>
    <row r="177" spans="2:6" ht="20" customHeight="1" x14ac:dyDescent="0.2">
      <c r="B177" s="34"/>
      <c r="C177" s="18"/>
      <c r="D177" s="18"/>
      <c r="E177" s="19"/>
      <c r="F177" s="4"/>
    </row>
    <row r="178" spans="2:6" ht="20" customHeight="1" x14ac:dyDescent="0.2">
      <c r="B178" s="34"/>
      <c r="C178" s="18"/>
      <c r="D178" s="18"/>
      <c r="E178" s="19"/>
      <c r="F178" s="4"/>
    </row>
    <row r="179" spans="2:6" ht="20" customHeight="1" x14ac:dyDescent="0.2">
      <c r="B179" s="34"/>
      <c r="C179" s="18"/>
      <c r="D179" s="18"/>
      <c r="E179" s="19"/>
      <c r="F179" s="4"/>
    </row>
    <row r="180" spans="2:6" ht="20" customHeight="1" x14ac:dyDescent="0.2">
      <c r="B180" s="34"/>
      <c r="C180" s="18"/>
      <c r="D180" s="18"/>
      <c r="E180" s="19"/>
      <c r="F180" s="4"/>
    </row>
    <row r="181" spans="2:6" ht="20" customHeight="1" x14ac:dyDescent="0.2">
      <c r="B181" s="34"/>
      <c r="C181" s="18"/>
      <c r="D181" s="18"/>
      <c r="E181" s="19"/>
      <c r="F181" s="4"/>
    </row>
    <row r="182" spans="2:6" ht="20" customHeight="1" x14ac:dyDescent="0.2">
      <c r="B182" s="34"/>
      <c r="C182" s="18"/>
      <c r="D182" s="18"/>
      <c r="E182" s="19"/>
      <c r="F182" s="4"/>
    </row>
    <row r="183" spans="2:6" ht="20" customHeight="1" x14ac:dyDescent="0.2">
      <c r="B183" s="34"/>
      <c r="C183" s="18"/>
      <c r="D183" s="18"/>
      <c r="E183" s="19"/>
      <c r="F183" s="4"/>
    </row>
    <row r="184" spans="2:6" ht="20" customHeight="1" x14ac:dyDescent="0.2">
      <c r="B184" s="34"/>
      <c r="C184" s="18"/>
      <c r="D184" s="18"/>
      <c r="E184" s="19"/>
      <c r="F184" s="4"/>
    </row>
    <row r="185" spans="2:6" ht="20" customHeight="1" x14ac:dyDescent="0.2">
      <c r="B185" s="34"/>
      <c r="C185" s="18"/>
      <c r="D185" s="18"/>
      <c r="E185" s="19"/>
      <c r="F185" s="4"/>
    </row>
    <row r="186" spans="2:6" ht="20" customHeight="1" x14ac:dyDescent="0.2">
      <c r="B186" s="34"/>
      <c r="C186" s="18"/>
      <c r="D186" s="18"/>
      <c r="E186" s="19"/>
      <c r="F186" s="4"/>
    </row>
    <row r="187" spans="2:6" ht="20" customHeight="1" x14ac:dyDescent="0.2">
      <c r="B187" s="34"/>
      <c r="C187" s="18"/>
      <c r="D187" s="18"/>
      <c r="E187" s="19"/>
      <c r="F187" s="4"/>
    </row>
    <row r="188" spans="2:6" ht="20" customHeight="1" x14ac:dyDescent="0.2">
      <c r="B188" s="34"/>
      <c r="C188" s="18"/>
      <c r="D188" s="18"/>
      <c r="E188" s="19"/>
      <c r="F188" s="4"/>
    </row>
    <row r="189" spans="2:6" ht="20" customHeight="1" x14ac:dyDescent="0.2">
      <c r="B189" s="34"/>
      <c r="C189" s="18"/>
      <c r="D189" s="18"/>
      <c r="E189" s="19"/>
      <c r="F189" s="4"/>
    </row>
    <row r="190" spans="2:6" ht="20" customHeight="1" x14ac:dyDescent="0.2">
      <c r="B190" s="34"/>
      <c r="C190" s="18"/>
      <c r="D190" s="18"/>
      <c r="E190" s="19"/>
      <c r="F190" s="4"/>
    </row>
    <row r="191" spans="2:6" ht="20" customHeight="1" x14ac:dyDescent="0.2">
      <c r="B191" s="34"/>
      <c r="C191" s="18"/>
      <c r="D191" s="18"/>
      <c r="E191" s="19"/>
      <c r="F191" s="4"/>
    </row>
    <row r="192" spans="2:6" ht="20" customHeight="1" x14ac:dyDescent="0.2">
      <c r="B192" s="34"/>
      <c r="C192" s="18"/>
      <c r="D192" s="18"/>
      <c r="E192" s="19"/>
      <c r="F192" s="4"/>
    </row>
    <row r="193" spans="2:6" ht="20" customHeight="1" x14ac:dyDescent="0.2">
      <c r="B193" s="34"/>
      <c r="C193" s="18"/>
      <c r="D193" s="18"/>
      <c r="E193" s="19"/>
      <c r="F193" s="4"/>
    </row>
    <row r="194" spans="2:6" ht="20" customHeight="1" x14ac:dyDescent="0.2">
      <c r="B194" s="34"/>
      <c r="C194" s="18"/>
      <c r="D194" s="18"/>
      <c r="E194" s="19"/>
      <c r="F194" s="4"/>
    </row>
    <row r="195" spans="2:6" ht="20" customHeight="1" x14ac:dyDescent="0.2">
      <c r="B195" s="34"/>
      <c r="C195" s="18"/>
      <c r="D195" s="18"/>
      <c r="E195" s="19"/>
      <c r="F195" s="4"/>
    </row>
    <row r="196" spans="2:6" ht="20" customHeight="1" x14ac:dyDescent="0.2">
      <c r="B196" s="34"/>
      <c r="C196" s="18"/>
      <c r="D196" s="18"/>
      <c r="E196" s="19"/>
      <c r="F196" s="4"/>
    </row>
    <row r="197" spans="2:6" ht="20" customHeight="1" x14ac:dyDescent="0.2">
      <c r="B197" s="34"/>
      <c r="C197" s="18"/>
      <c r="D197" s="18"/>
      <c r="E197" s="19"/>
      <c r="F197" s="4"/>
    </row>
    <row r="198" spans="2:6" ht="20" customHeight="1" x14ac:dyDescent="0.2">
      <c r="B198" s="34"/>
      <c r="C198" s="18"/>
      <c r="D198" s="18"/>
      <c r="E198" s="19"/>
      <c r="F198" s="4"/>
    </row>
    <row r="199" spans="2:6" ht="20" customHeight="1" x14ac:dyDescent="0.2">
      <c r="B199" s="34"/>
      <c r="C199" s="18"/>
      <c r="D199" s="18"/>
      <c r="E199" s="19"/>
      <c r="F199" s="4"/>
    </row>
    <row r="200" spans="2:6" ht="20" customHeight="1" x14ac:dyDescent="0.2">
      <c r="B200" s="34"/>
      <c r="C200" s="18"/>
      <c r="D200" s="18"/>
      <c r="E200" s="19"/>
      <c r="F200" s="4"/>
    </row>
    <row r="201" spans="2:6" ht="20" customHeight="1" x14ac:dyDescent="0.2">
      <c r="B201" s="34"/>
      <c r="C201" s="18"/>
      <c r="D201" s="18"/>
      <c r="E201" s="19"/>
      <c r="F201" s="4"/>
    </row>
    <row r="202" spans="2:6" ht="20" customHeight="1" x14ac:dyDescent="0.2">
      <c r="B202" s="34"/>
      <c r="C202" s="18"/>
      <c r="D202" s="18"/>
      <c r="E202" s="19"/>
      <c r="F202" s="4"/>
    </row>
    <row r="203" spans="2:6" ht="20" customHeight="1" x14ac:dyDescent="0.2">
      <c r="B203" s="34"/>
      <c r="C203" s="18"/>
      <c r="D203" s="18"/>
      <c r="E203" s="19"/>
      <c r="F203" s="4"/>
    </row>
    <row r="204" spans="2:6" ht="20" customHeight="1" x14ac:dyDescent="0.2">
      <c r="B204" s="34"/>
      <c r="C204" s="18"/>
      <c r="D204" s="18"/>
      <c r="E204" s="19"/>
      <c r="F204" s="4"/>
    </row>
    <row r="205" spans="2:6" ht="20" customHeight="1" x14ac:dyDescent="0.2">
      <c r="B205" s="34"/>
      <c r="C205" s="18"/>
      <c r="D205" s="18"/>
      <c r="E205" s="19"/>
      <c r="F205" s="4"/>
    </row>
    <row r="206" spans="2:6" ht="20" customHeight="1" x14ac:dyDescent="0.2">
      <c r="B206" s="34"/>
      <c r="C206" s="18"/>
      <c r="D206" s="18"/>
      <c r="E206" s="19"/>
      <c r="F206" s="4"/>
    </row>
    <row r="207" spans="2:6" ht="20" customHeight="1" x14ac:dyDescent="0.2">
      <c r="B207" s="34"/>
      <c r="C207" s="18"/>
      <c r="D207" s="18"/>
      <c r="E207" s="19"/>
      <c r="F207" s="4"/>
    </row>
    <row r="208" spans="2:6" ht="20" customHeight="1" x14ac:dyDescent="0.2">
      <c r="B208" s="34"/>
      <c r="C208" s="18"/>
      <c r="D208" s="18"/>
      <c r="E208" s="19"/>
      <c r="F208" s="4"/>
    </row>
    <row r="209" spans="2:6" ht="20" customHeight="1" x14ac:dyDescent="0.2">
      <c r="B209" s="34"/>
      <c r="C209" s="18"/>
      <c r="D209" s="18"/>
      <c r="E209" s="19"/>
      <c r="F209" s="4"/>
    </row>
    <row r="210" spans="2:6" ht="20" customHeight="1" x14ac:dyDescent="0.2">
      <c r="B210" s="34"/>
      <c r="C210" s="18"/>
      <c r="D210" s="18"/>
      <c r="E210" s="19"/>
      <c r="F210" s="4"/>
    </row>
    <row r="211" spans="2:6" ht="20" customHeight="1" x14ac:dyDescent="0.2">
      <c r="B211" s="34"/>
      <c r="C211" s="18"/>
      <c r="D211" s="18"/>
      <c r="E211" s="19"/>
      <c r="F211" s="4"/>
    </row>
    <row r="212" spans="2:6" ht="20" customHeight="1" x14ac:dyDescent="0.2">
      <c r="B212" s="34"/>
      <c r="C212" s="18"/>
      <c r="D212" s="18"/>
      <c r="E212" s="19"/>
      <c r="F212" s="4"/>
    </row>
    <row r="213" spans="2:6" ht="20" customHeight="1" x14ac:dyDescent="0.2">
      <c r="B213" s="34"/>
      <c r="C213" s="18"/>
      <c r="D213" s="18"/>
      <c r="E213" s="19"/>
      <c r="F213" s="4"/>
    </row>
    <row r="214" spans="2:6" ht="20" customHeight="1" x14ac:dyDescent="0.2">
      <c r="B214" s="34"/>
      <c r="C214" s="18"/>
      <c r="D214" s="18"/>
      <c r="E214" s="19"/>
      <c r="F214" s="4"/>
    </row>
    <row r="215" spans="2:6" ht="20" customHeight="1" x14ac:dyDescent="0.2">
      <c r="B215" s="34"/>
      <c r="C215" s="18"/>
      <c r="D215" s="18"/>
      <c r="E215" s="19"/>
      <c r="F215" s="4"/>
    </row>
    <row r="216" spans="2:6" ht="20" customHeight="1" x14ac:dyDescent="0.2">
      <c r="B216" s="34"/>
      <c r="C216" s="18"/>
      <c r="D216" s="18"/>
      <c r="E216" s="19"/>
      <c r="F216" s="4"/>
    </row>
    <row r="217" spans="2:6" ht="20" customHeight="1" x14ac:dyDescent="0.2">
      <c r="B217" s="34"/>
      <c r="C217" s="18"/>
      <c r="D217" s="18"/>
      <c r="E217" s="19"/>
      <c r="F217" s="4"/>
    </row>
    <row r="218" spans="2:6" ht="20" customHeight="1" x14ac:dyDescent="0.2">
      <c r="B218" s="34"/>
      <c r="C218" s="18"/>
      <c r="D218" s="18"/>
      <c r="E218" s="19"/>
      <c r="F218" s="4"/>
    </row>
    <row r="219" spans="2:6" ht="20" customHeight="1" x14ac:dyDescent="0.2">
      <c r="B219" s="34"/>
      <c r="C219" s="18"/>
      <c r="D219" s="18"/>
      <c r="E219" s="19"/>
      <c r="F219" s="4"/>
    </row>
    <row r="220" spans="2:6" ht="20" customHeight="1" x14ac:dyDescent="0.2">
      <c r="B220" s="34"/>
      <c r="C220" s="18"/>
      <c r="D220" s="18"/>
      <c r="E220" s="19"/>
      <c r="F220" s="4"/>
    </row>
    <row r="221" spans="2:6" ht="20" customHeight="1" x14ac:dyDescent="0.2">
      <c r="B221" s="34"/>
      <c r="C221" s="18"/>
      <c r="D221" s="18"/>
      <c r="E221" s="19"/>
      <c r="F221" s="4"/>
    </row>
    <row r="222" spans="2:6" ht="20" customHeight="1" x14ac:dyDescent="0.2">
      <c r="B222" s="34"/>
      <c r="C222" s="18"/>
      <c r="D222" s="18"/>
      <c r="E222" s="19"/>
      <c r="F222" s="4"/>
    </row>
    <row r="223" spans="2:6" ht="20" customHeight="1" x14ac:dyDescent="0.2">
      <c r="B223" s="34"/>
      <c r="C223" s="18"/>
      <c r="D223" s="18"/>
      <c r="E223" s="19"/>
      <c r="F223" s="4"/>
    </row>
    <row r="224" spans="2:6" ht="20" customHeight="1" x14ac:dyDescent="0.2">
      <c r="B224" s="34"/>
      <c r="C224" s="18"/>
      <c r="D224" s="18"/>
      <c r="E224" s="19"/>
      <c r="F224" s="4"/>
    </row>
    <row r="225" spans="2:6" ht="20" customHeight="1" x14ac:dyDescent="0.2">
      <c r="B225" s="34"/>
      <c r="C225" s="18"/>
      <c r="D225" s="18"/>
      <c r="E225" s="19"/>
      <c r="F225" s="4"/>
    </row>
    <row r="226" spans="2:6" ht="20" customHeight="1" x14ac:dyDescent="0.2">
      <c r="B226" s="34"/>
      <c r="C226" s="18"/>
      <c r="D226" s="18"/>
      <c r="E226" s="19"/>
      <c r="F226" s="4"/>
    </row>
    <row r="227" spans="2:6" ht="20" customHeight="1" x14ac:dyDescent="0.2">
      <c r="B227" s="34"/>
      <c r="C227" s="18"/>
      <c r="D227" s="18"/>
      <c r="E227" s="19"/>
      <c r="F227" s="4"/>
    </row>
    <row r="228" spans="2:6" ht="20" customHeight="1" x14ac:dyDescent="0.2">
      <c r="B228" s="34"/>
      <c r="C228" s="18"/>
      <c r="D228" s="18"/>
      <c r="E228" s="19"/>
      <c r="F228" s="4"/>
    </row>
    <row r="229" spans="2:6" ht="20" customHeight="1" x14ac:dyDescent="0.2">
      <c r="B229" s="34"/>
      <c r="C229" s="18"/>
      <c r="D229" s="18"/>
      <c r="E229" s="19"/>
      <c r="F229" s="4"/>
    </row>
    <row r="230" spans="2:6" ht="20" customHeight="1" x14ac:dyDescent="0.2">
      <c r="B230" s="34"/>
      <c r="C230" s="18"/>
      <c r="D230" s="18"/>
      <c r="E230" s="19"/>
      <c r="F230" s="4"/>
    </row>
    <row r="231" spans="2:6" ht="20" customHeight="1" x14ac:dyDescent="0.2">
      <c r="B231" s="34"/>
      <c r="C231" s="18"/>
      <c r="D231" s="18"/>
      <c r="E231" s="19"/>
      <c r="F231" s="4"/>
    </row>
    <row r="232" spans="2:6" ht="20" customHeight="1" x14ac:dyDescent="0.2">
      <c r="B232" s="34"/>
      <c r="C232" s="18"/>
      <c r="D232" s="18"/>
      <c r="E232" s="19"/>
      <c r="F232" s="4"/>
    </row>
    <row r="233" spans="2:6" ht="20" customHeight="1" x14ac:dyDescent="0.2">
      <c r="B233" s="34"/>
      <c r="C233" s="18"/>
      <c r="D233" s="18"/>
      <c r="E233" s="19"/>
      <c r="F233" s="4"/>
    </row>
    <row r="234" spans="2:6" ht="20" customHeight="1" x14ac:dyDescent="0.2">
      <c r="B234" s="34"/>
      <c r="C234" s="18"/>
      <c r="D234" s="18"/>
      <c r="E234" s="19"/>
      <c r="F234" s="4"/>
    </row>
    <row r="235" spans="2:6" ht="20" customHeight="1" x14ac:dyDescent="0.2">
      <c r="B235" s="34"/>
      <c r="C235" s="18"/>
      <c r="D235" s="18"/>
      <c r="E235" s="19"/>
      <c r="F235" s="4"/>
    </row>
    <row r="236" spans="2:6" ht="20" customHeight="1" x14ac:dyDescent="0.2">
      <c r="B236" s="34"/>
      <c r="C236" s="18"/>
      <c r="D236" s="18"/>
      <c r="E236" s="19"/>
      <c r="F236" s="4"/>
    </row>
    <row r="237" spans="2:6" ht="20" customHeight="1" x14ac:dyDescent="0.2">
      <c r="B237" s="34"/>
      <c r="C237" s="18"/>
      <c r="D237" s="18"/>
      <c r="E237" s="19"/>
      <c r="F237" s="4"/>
    </row>
    <row r="238" spans="2:6" ht="20" customHeight="1" x14ac:dyDescent="0.2">
      <c r="B238" s="34"/>
      <c r="C238" s="18"/>
      <c r="D238" s="18"/>
      <c r="E238" s="19"/>
      <c r="F238" s="4"/>
    </row>
    <row r="239" spans="2:6" ht="20" customHeight="1" x14ac:dyDescent="0.2">
      <c r="B239" s="34"/>
      <c r="C239" s="18"/>
      <c r="D239" s="18"/>
      <c r="E239" s="19"/>
      <c r="F239" s="4"/>
    </row>
    <row r="240" spans="2:6" ht="20" customHeight="1" x14ac:dyDescent="0.2">
      <c r="B240" s="34"/>
      <c r="C240" s="18"/>
      <c r="D240" s="18"/>
      <c r="E240" s="19"/>
      <c r="F240" s="4"/>
    </row>
    <row r="241" spans="2:6" ht="20" customHeight="1" x14ac:dyDescent="0.2">
      <c r="B241" s="34"/>
      <c r="C241" s="18"/>
      <c r="D241" s="18"/>
      <c r="E241" s="19"/>
      <c r="F241" s="4"/>
    </row>
    <row r="242" spans="2:6" ht="20" customHeight="1" x14ac:dyDescent="0.2">
      <c r="B242" s="34"/>
      <c r="C242" s="18"/>
      <c r="D242" s="18"/>
      <c r="E242" s="19"/>
      <c r="F242" s="4"/>
    </row>
    <row r="243" spans="2:6" ht="20" customHeight="1" x14ac:dyDescent="0.2">
      <c r="B243" s="34"/>
      <c r="C243" s="18"/>
      <c r="D243" s="18"/>
      <c r="E243" s="19"/>
      <c r="F243" s="4"/>
    </row>
    <row r="244" spans="2:6" ht="20" customHeight="1" x14ac:dyDescent="0.2">
      <c r="B244" s="34"/>
      <c r="C244" s="18"/>
      <c r="D244" s="18"/>
      <c r="E244" s="19"/>
      <c r="F244" s="4"/>
    </row>
    <row r="245" spans="2:6" ht="20" customHeight="1" x14ac:dyDescent="0.2">
      <c r="B245" s="34"/>
      <c r="C245" s="18"/>
      <c r="D245" s="18"/>
      <c r="E245" s="19"/>
      <c r="F245" s="4"/>
    </row>
    <row r="246" spans="2:6" ht="20" customHeight="1" x14ac:dyDescent="0.2">
      <c r="B246" s="34"/>
      <c r="C246" s="18"/>
      <c r="D246" s="18"/>
      <c r="E246" s="19"/>
      <c r="F246" s="4"/>
    </row>
    <row r="247" spans="2:6" ht="20" customHeight="1" x14ac:dyDescent="0.2">
      <c r="B247" s="34"/>
      <c r="C247" s="18"/>
      <c r="D247" s="18"/>
      <c r="E247" s="19"/>
      <c r="F247" s="4"/>
    </row>
    <row r="248" spans="2:6" ht="20" customHeight="1" x14ac:dyDescent="0.2">
      <c r="B248" s="34"/>
      <c r="C248" s="18"/>
      <c r="D248" s="18"/>
      <c r="E248" s="19"/>
      <c r="F248" s="4"/>
    </row>
    <row r="249" spans="2:6" ht="20" customHeight="1" x14ac:dyDescent="0.2">
      <c r="B249" s="34"/>
      <c r="C249" s="18"/>
      <c r="D249" s="18"/>
      <c r="E249" s="19"/>
      <c r="F249" s="4"/>
    </row>
    <row r="250" spans="2:6" ht="20" customHeight="1" x14ac:dyDescent="0.2">
      <c r="B250" s="34"/>
      <c r="C250" s="18"/>
      <c r="D250" s="18"/>
      <c r="E250" s="19"/>
      <c r="F250" s="4"/>
    </row>
    <row r="251" spans="2:6" ht="20" customHeight="1" x14ac:dyDescent="0.2">
      <c r="B251" s="34"/>
      <c r="C251" s="18"/>
      <c r="D251" s="18"/>
      <c r="E251" s="19"/>
      <c r="F251" s="4"/>
    </row>
    <row r="252" spans="2:6" ht="20" customHeight="1" x14ac:dyDescent="0.2">
      <c r="B252" s="34"/>
      <c r="C252" s="18"/>
      <c r="D252" s="18"/>
      <c r="E252" s="19"/>
      <c r="F252" s="4"/>
    </row>
    <row r="253" spans="2:6" ht="20" customHeight="1" x14ac:dyDescent="0.2">
      <c r="B253" s="34"/>
      <c r="C253" s="18"/>
      <c r="D253" s="18"/>
      <c r="E253" s="19"/>
      <c r="F253" s="4"/>
    </row>
    <row r="254" spans="2:6" ht="20" customHeight="1" x14ac:dyDescent="0.2">
      <c r="B254" s="34"/>
      <c r="C254" s="18"/>
      <c r="D254" s="18"/>
      <c r="E254" s="19"/>
      <c r="F254" s="4"/>
    </row>
    <row r="255" spans="2:6" ht="20" customHeight="1" x14ac:dyDescent="0.2">
      <c r="B255" s="34"/>
      <c r="C255" s="18"/>
      <c r="D255" s="18"/>
      <c r="E255" s="19"/>
      <c r="F255" s="4"/>
    </row>
    <row r="256" spans="2:6" ht="20" customHeight="1" x14ac:dyDescent="0.2">
      <c r="B256" s="34"/>
      <c r="C256" s="18"/>
      <c r="D256" s="18"/>
      <c r="E256" s="19"/>
      <c r="F256" s="4"/>
    </row>
    <row r="257" spans="2:6" ht="20" customHeight="1" x14ac:dyDescent="0.2">
      <c r="B257" s="34"/>
      <c r="C257" s="18"/>
      <c r="D257" s="18"/>
      <c r="E257" s="19"/>
      <c r="F257" s="4"/>
    </row>
    <row r="258" spans="2:6" ht="20" customHeight="1" x14ac:dyDescent="0.2">
      <c r="B258" s="34"/>
      <c r="C258" s="18"/>
      <c r="D258" s="18"/>
      <c r="E258" s="19"/>
      <c r="F258" s="4"/>
    </row>
    <row r="259" spans="2:6" ht="20" customHeight="1" x14ac:dyDescent="0.2">
      <c r="B259" s="34"/>
      <c r="C259" s="18"/>
      <c r="D259" s="18"/>
      <c r="E259" s="19"/>
      <c r="F259" s="4"/>
    </row>
    <row r="260" spans="2:6" ht="20" customHeight="1" x14ac:dyDescent="0.2">
      <c r="B260" s="34"/>
      <c r="C260" s="18"/>
      <c r="D260" s="18"/>
      <c r="E260" s="19"/>
      <c r="F260" s="4"/>
    </row>
    <row r="261" spans="2:6" ht="20" customHeight="1" x14ac:dyDescent="0.2">
      <c r="B261" s="34"/>
      <c r="C261" s="18"/>
      <c r="D261" s="18"/>
      <c r="E261" s="19"/>
      <c r="F261" s="4"/>
    </row>
    <row r="262" spans="2:6" ht="20" customHeight="1" x14ac:dyDescent="0.2">
      <c r="B262" s="34"/>
      <c r="C262" s="18"/>
      <c r="D262" s="18"/>
      <c r="E262" s="19"/>
      <c r="F262" s="4"/>
    </row>
    <row r="263" spans="2:6" ht="20" customHeight="1" x14ac:dyDescent="0.2">
      <c r="B263" s="34"/>
      <c r="C263" s="18"/>
      <c r="D263" s="18"/>
      <c r="E263" s="19"/>
      <c r="F263" s="4"/>
    </row>
    <row r="264" spans="2:6" ht="20" customHeight="1" x14ac:dyDescent="0.2">
      <c r="B264" s="34"/>
      <c r="C264" s="18"/>
      <c r="D264" s="18"/>
      <c r="E264" s="19"/>
      <c r="F264" s="4"/>
    </row>
    <row r="265" spans="2:6" ht="20" customHeight="1" x14ac:dyDescent="0.2">
      <c r="B265" s="34"/>
      <c r="C265" s="18"/>
      <c r="D265" s="18"/>
      <c r="E265" s="19"/>
      <c r="F265" s="4"/>
    </row>
    <row r="266" spans="2:6" ht="20" customHeight="1" x14ac:dyDescent="0.2">
      <c r="B266" s="34"/>
      <c r="C266" s="18"/>
      <c r="D266" s="18"/>
      <c r="E266" s="19"/>
      <c r="F266" s="4"/>
    </row>
    <row r="267" spans="2:6" ht="20" customHeight="1" x14ac:dyDescent="0.2">
      <c r="B267" s="34"/>
      <c r="C267" s="18"/>
      <c r="D267" s="18"/>
      <c r="E267" s="19"/>
      <c r="F267" s="4"/>
    </row>
    <row r="268" spans="2:6" ht="20" customHeight="1" x14ac:dyDescent="0.2">
      <c r="B268" s="34"/>
      <c r="C268" s="18"/>
      <c r="D268" s="18"/>
      <c r="E268" s="19"/>
      <c r="F268" s="4"/>
    </row>
    <row r="269" spans="2:6" ht="20" customHeight="1" x14ac:dyDescent="0.2">
      <c r="B269" s="34"/>
      <c r="C269" s="18"/>
      <c r="D269" s="18"/>
      <c r="E269" s="19"/>
      <c r="F269" s="4"/>
    </row>
    <row r="270" spans="2:6" ht="20" customHeight="1" x14ac:dyDescent="0.2">
      <c r="B270" s="34"/>
      <c r="C270" s="18"/>
      <c r="D270" s="18"/>
      <c r="E270" s="19"/>
      <c r="F270" s="4"/>
    </row>
    <row r="271" spans="2:6" ht="20" customHeight="1" x14ac:dyDescent="0.2">
      <c r="B271" s="34"/>
      <c r="C271" s="18"/>
      <c r="D271" s="18"/>
      <c r="E271" s="19"/>
      <c r="F271" s="4"/>
    </row>
    <row r="272" spans="2:6" ht="20" customHeight="1" x14ac:dyDescent="0.2">
      <c r="B272" s="34"/>
      <c r="C272" s="18"/>
      <c r="D272" s="18"/>
      <c r="E272" s="19"/>
      <c r="F272" s="4"/>
    </row>
    <row r="273" spans="2:6" ht="20" customHeight="1" x14ac:dyDescent="0.2">
      <c r="B273" s="34"/>
      <c r="C273" s="18"/>
      <c r="D273" s="18"/>
      <c r="E273" s="19"/>
      <c r="F273" s="4"/>
    </row>
    <row r="274" spans="2:6" ht="20" customHeight="1" x14ac:dyDescent="0.2">
      <c r="B274" s="34"/>
      <c r="C274" s="18"/>
      <c r="D274" s="18"/>
      <c r="E274" s="19"/>
      <c r="F274" s="4"/>
    </row>
    <row r="275" spans="2:6" ht="20" customHeight="1" x14ac:dyDescent="0.2">
      <c r="B275" s="34"/>
      <c r="C275" s="18"/>
      <c r="D275" s="18"/>
      <c r="E275" s="19"/>
      <c r="F275" s="4"/>
    </row>
    <row r="276" spans="2:6" ht="20" customHeight="1" x14ac:dyDescent="0.2">
      <c r="B276" s="34"/>
      <c r="C276" s="18"/>
      <c r="D276" s="18"/>
      <c r="E276" s="19"/>
      <c r="F276" s="4"/>
    </row>
    <row r="277" spans="2:6" ht="20" customHeight="1" x14ac:dyDescent="0.2">
      <c r="B277" s="34"/>
      <c r="C277" s="18"/>
      <c r="D277" s="18"/>
      <c r="E277" s="19"/>
      <c r="F277" s="4"/>
    </row>
    <row r="278" spans="2:6" ht="20" customHeight="1" x14ac:dyDescent="0.2">
      <c r="B278" s="34"/>
      <c r="C278" s="18"/>
      <c r="D278" s="18"/>
      <c r="E278" s="19"/>
      <c r="F278" s="4"/>
    </row>
    <row r="279" spans="2:6" ht="20" customHeight="1" x14ac:dyDescent="0.2">
      <c r="B279" s="34"/>
      <c r="C279" s="18"/>
      <c r="D279" s="18"/>
      <c r="E279" s="19"/>
      <c r="F279" s="4"/>
    </row>
    <row r="280" spans="2:6" ht="20" customHeight="1" x14ac:dyDescent="0.2">
      <c r="B280" s="34"/>
      <c r="C280" s="18"/>
      <c r="D280" s="18"/>
      <c r="E280" s="19"/>
      <c r="F280" s="4"/>
    </row>
    <row r="281" spans="2:6" ht="20" customHeight="1" x14ac:dyDescent="0.2">
      <c r="B281" s="34"/>
      <c r="C281" s="18"/>
      <c r="D281" s="18"/>
      <c r="E281" s="19"/>
      <c r="F281" s="4"/>
    </row>
    <row r="282" spans="2:6" ht="20" customHeight="1" x14ac:dyDescent="0.2">
      <c r="B282" s="34"/>
      <c r="C282" s="18"/>
      <c r="D282" s="18"/>
      <c r="E282" s="19"/>
      <c r="F282" s="4"/>
    </row>
    <row r="283" spans="2:6" ht="20" customHeight="1" x14ac:dyDescent="0.2">
      <c r="B283" s="34"/>
      <c r="C283" s="18"/>
      <c r="D283" s="18"/>
      <c r="E283" s="19"/>
      <c r="F283" s="4"/>
    </row>
    <row r="284" spans="2:6" ht="20" customHeight="1" x14ac:dyDescent="0.2">
      <c r="B284" s="34"/>
      <c r="C284" s="18"/>
      <c r="D284" s="18"/>
      <c r="E284" s="19"/>
      <c r="F284" s="4"/>
    </row>
    <row r="285" spans="2:6" ht="20" customHeight="1" x14ac:dyDescent="0.2">
      <c r="B285" s="34"/>
      <c r="C285" s="18"/>
      <c r="D285" s="18"/>
      <c r="E285" s="19"/>
      <c r="F285" s="4"/>
    </row>
    <row r="286" spans="2:6" ht="20" customHeight="1" x14ac:dyDescent="0.2">
      <c r="B286" s="34"/>
      <c r="C286" s="18"/>
      <c r="D286" s="18"/>
      <c r="E286" s="19"/>
      <c r="F286" s="4"/>
    </row>
    <row r="287" spans="2:6" ht="20" customHeight="1" x14ac:dyDescent="0.2">
      <c r="B287" s="34"/>
      <c r="C287" s="18"/>
      <c r="D287" s="18"/>
      <c r="E287" s="19"/>
      <c r="F287" s="4"/>
    </row>
    <row r="288" spans="2:6" ht="20" customHeight="1" x14ac:dyDescent="0.2">
      <c r="B288" s="34"/>
      <c r="C288" s="18"/>
      <c r="D288" s="18"/>
      <c r="E288" s="19"/>
      <c r="F288" s="4"/>
    </row>
    <row r="289" spans="2:6" ht="20" customHeight="1" x14ac:dyDescent="0.2">
      <c r="B289" s="34"/>
      <c r="C289" s="18"/>
      <c r="D289" s="18"/>
      <c r="E289" s="19"/>
      <c r="F289" s="4"/>
    </row>
    <row r="290" spans="2:6" ht="20" customHeight="1" x14ac:dyDescent="0.2">
      <c r="B290" s="34"/>
      <c r="C290" s="18"/>
      <c r="D290" s="18"/>
      <c r="E290" s="19"/>
      <c r="F290" s="4"/>
    </row>
    <row r="291" spans="2:6" ht="20" customHeight="1" x14ac:dyDescent="0.2">
      <c r="B291" s="34"/>
      <c r="C291" s="18"/>
      <c r="D291" s="18"/>
      <c r="E291" s="19"/>
      <c r="F291" s="4"/>
    </row>
    <row r="292" spans="2:6" ht="20" customHeight="1" x14ac:dyDescent="0.2">
      <c r="B292" s="34"/>
      <c r="C292" s="18"/>
      <c r="D292" s="18"/>
      <c r="E292" s="19"/>
      <c r="F292" s="4"/>
    </row>
    <row r="293" spans="2:6" ht="20" customHeight="1" x14ac:dyDescent="0.2">
      <c r="B293" s="34"/>
      <c r="C293" s="18"/>
      <c r="D293" s="18"/>
      <c r="E293" s="19"/>
      <c r="F293" s="4"/>
    </row>
    <row r="294" spans="2:6" ht="20" customHeight="1" x14ac:dyDescent="0.2">
      <c r="B294" s="34"/>
      <c r="C294" s="18"/>
      <c r="D294" s="18"/>
      <c r="E294" s="19"/>
      <c r="F294" s="4"/>
    </row>
    <row r="295" spans="2:6" ht="20" customHeight="1" x14ac:dyDescent="0.2">
      <c r="B295" s="34"/>
      <c r="C295" s="18"/>
      <c r="D295" s="18"/>
      <c r="E295" s="19"/>
      <c r="F295" s="4"/>
    </row>
    <row r="296" spans="2:6" ht="20" customHeight="1" x14ac:dyDescent="0.2">
      <c r="B296" s="34"/>
      <c r="C296" s="18"/>
      <c r="D296" s="18"/>
      <c r="E296" s="19"/>
      <c r="F296" s="4"/>
    </row>
    <row r="297" spans="2:6" ht="20" customHeight="1" x14ac:dyDescent="0.2">
      <c r="B297" s="34"/>
      <c r="C297" s="18"/>
      <c r="D297" s="18"/>
      <c r="E297" s="19"/>
      <c r="F297" s="4"/>
    </row>
    <row r="298" spans="2:6" ht="20" customHeight="1" x14ac:dyDescent="0.2">
      <c r="B298" s="34"/>
      <c r="C298" s="18"/>
      <c r="D298" s="18"/>
      <c r="E298" s="19"/>
      <c r="F298" s="4"/>
    </row>
    <row r="299" spans="2:6" ht="20" customHeight="1" x14ac:dyDescent="0.2">
      <c r="B299" s="34"/>
      <c r="C299" s="18"/>
      <c r="D299" s="18"/>
      <c r="E299" s="19"/>
      <c r="F299" s="4"/>
    </row>
    <row r="300" spans="2:6" ht="20" customHeight="1" x14ac:dyDescent="0.2">
      <c r="B300" s="34"/>
      <c r="C300" s="18"/>
      <c r="D300" s="18"/>
      <c r="E300" s="19"/>
      <c r="F300" s="4"/>
    </row>
    <row r="301" spans="2:6" ht="20" customHeight="1" x14ac:dyDescent="0.2">
      <c r="B301" s="34"/>
      <c r="C301" s="18"/>
      <c r="D301" s="18"/>
      <c r="E301" s="19"/>
      <c r="F301" s="4"/>
    </row>
    <row r="302" spans="2:6" ht="20" customHeight="1" x14ac:dyDescent="0.2">
      <c r="B302" s="34"/>
      <c r="C302" s="18"/>
      <c r="D302" s="18"/>
      <c r="E302" s="19"/>
      <c r="F302" s="4"/>
    </row>
    <row r="303" spans="2:6" ht="20" customHeight="1" x14ac:dyDescent="0.2">
      <c r="B303" s="34"/>
      <c r="C303" s="18"/>
      <c r="D303" s="18"/>
      <c r="E303" s="19"/>
      <c r="F303" s="4"/>
    </row>
    <row r="304" spans="2:6" ht="20" customHeight="1" x14ac:dyDescent="0.2">
      <c r="B304" s="34"/>
      <c r="C304" s="18"/>
      <c r="D304" s="18"/>
      <c r="E304" s="19"/>
      <c r="F304" s="4"/>
    </row>
    <row r="305" spans="2:6" ht="20" customHeight="1" x14ac:dyDescent="0.2">
      <c r="B305" s="34"/>
      <c r="C305" s="18"/>
      <c r="D305" s="18"/>
      <c r="E305" s="19"/>
      <c r="F305" s="4"/>
    </row>
    <row r="306" spans="2:6" ht="20" customHeight="1" x14ac:dyDescent="0.2">
      <c r="B306" s="34"/>
      <c r="C306" s="18"/>
      <c r="D306" s="18"/>
      <c r="E306" s="19"/>
      <c r="F306" s="4"/>
    </row>
    <row r="307" spans="2:6" ht="20" customHeight="1" x14ac:dyDescent="0.2">
      <c r="B307" s="34"/>
      <c r="C307" s="18"/>
      <c r="D307" s="18"/>
      <c r="E307" s="19"/>
      <c r="F307" s="4"/>
    </row>
    <row r="308" spans="2:6" ht="20" customHeight="1" x14ac:dyDescent="0.2">
      <c r="B308" s="34"/>
      <c r="C308" s="18"/>
      <c r="D308" s="18"/>
      <c r="E308" s="19"/>
      <c r="F308" s="4"/>
    </row>
    <row r="309" spans="2:6" ht="20" customHeight="1" x14ac:dyDescent="0.2">
      <c r="B309" s="34"/>
      <c r="C309" s="18"/>
      <c r="D309" s="18"/>
      <c r="E309" s="19"/>
      <c r="F309" s="4"/>
    </row>
    <row r="310" spans="2:6" ht="20" customHeight="1" x14ac:dyDescent="0.2">
      <c r="B310" s="34"/>
      <c r="C310" s="18"/>
      <c r="D310" s="18"/>
      <c r="E310" s="19"/>
      <c r="F310" s="4"/>
    </row>
    <row r="311" spans="2:6" ht="20" customHeight="1" x14ac:dyDescent="0.2">
      <c r="B311" s="34"/>
      <c r="C311" s="18"/>
      <c r="D311" s="18"/>
      <c r="E311" s="19"/>
      <c r="F311" s="4"/>
    </row>
    <row r="312" spans="2:6" ht="20" customHeight="1" x14ac:dyDescent="0.2">
      <c r="B312" s="34"/>
      <c r="C312" s="18"/>
      <c r="D312" s="18"/>
      <c r="E312" s="19"/>
      <c r="F312" s="4"/>
    </row>
    <row r="313" spans="2:6" ht="20" customHeight="1" x14ac:dyDescent="0.2">
      <c r="B313" s="34"/>
      <c r="C313" s="18"/>
      <c r="D313" s="18"/>
      <c r="E313" s="19"/>
      <c r="F313" s="4"/>
    </row>
    <row r="314" spans="2:6" ht="20" customHeight="1" x14ac:dyDescent="0.2">
      <c r="B314" s="34"/>
      <c r="C314" s="18"/>
      <c r="D314" s="18"/>
      <c r="E314" s="19"/>
      <c r="F314" s="4"/>
    </row>
    <row r="315" spans="2:6" ht="20" customHeight="1" x14ac:dyDescent="0.2">
      <c r="B315" s="34"/>
      <c r="C315" s="18"/>
      <c r="D315" s="18"/>
      <c r="E315" s="19"/>
      <c r="F315" s="4"/>
    </row>
    <row r="316" spans="2:6" ht="20" customHeight="1" x14ac:dyDescent="0.2">
      <c r="B316" s="34"/>
      <c r="C316" s="18"/>
      <c r="D316" s="18"/>
      <c r="E316" s="19"/>
      <c r="F316" s="4"/>
    </row>
    <row r="317" spans="2:6" ht="20" customHeight="1" x14ac:dyDescent="0.2">
      <c r="B317" s="34"/>
      <c r="C317" s="18"/>
      <c r="D317" s="18"/>
      <c r="E317" s="19"/>
      <c r="F317" s="4"/>
    </row>
    <row r="318" spans="2:6" ht="20" customHeight="1" x14ac:dyDescent="0.2">
      <c r="B318" s="34"/>
      <c r="C318" s="18"/>
      <c r="D318" s="18"/>
      <c r="E318" s="19"/>
      <c r="F318" s="4"/>
    </row>
    <row r="319" spans="2:6" ht="20" customHeight="1" x14ac:dyDescent="0.2">
      <c r="B319" s="34"/>
      <c r="C319" s="18"/>
      <c r="D319" s="18"/>
      <c r="E319" s="19"/>
      <c r="F319" s="4"/>
    </row>
    <row r="320" spans="2:6" ht="20" customHeight="1" x14ac:dyDescent="0.2">
      <c r="B320" s="34"/>
      <c r="C320" s="18"/>
      <c r="D320" s="18"/>
      <c r="E320" s="19"/>
      <c r="F320" s="4"/>
    </row>
    <row r="321" spans="2:6" ht="20" customHeight="1" x14ac:dyDescent="0.2">
      <c r="B321" s="34"/>
      <c r="C321" s="18"/>
      <c r="D321" s="18"/>
      <c r="E321" s="19"/>
      <c r="F321" s="4"/>
    </row>
    <row r="322" spans="2:6" ht="20" customHeight="1" x14ac:dyDescent="0.2">
      <c r="B322" s="34"/>
      <c r="C322" s="18"/>
      <c r="D322" s="18"/>
      <c r="E322" s="19"/>
      <c r="F322" s="4"/>
    </row>
    <row r="323" spans="2:6" ht="20" customHeight="1" x14ac:dyDescent="0.2">
      <c r="B323" s="34"/>
      <c r="C323" s="18"/>
      <c r="D323" s="18"/>
      <c r="E323" s="19"/>
      <c r="F323" s="4"/>
    </row>
    <row r="324" spans="2:6" ht="20" customHeight="1" x14ac:dyDescent="0.2">
      <c r="B324" s="34"/>
      <c r="C324" s="18"/>
      <c r="D324" s="18"/>
      <c r="E324" s="19"/>
      <c r="F324" s="4"/>
    </row>
    <row r="325" spans="2:6" ht="20" customHeight="1" x14ac:dyDescent="0.2">
      <c r="B325" s="34"/>
      <c r="C325" s="18"/>
      <c r="D325" s="18"/>
      <c r="E325" s="19"/>
      <c r="F325" s="4"/>
    </row>
    <row r="326" spans="2:6" ht="20" customHeight="1" x14ac:dyDescent="0.2">
      <c r="B326" s="34"/>
      <c r="C326" s="18"/>
      <c r="D326" s="18"/>
      <c r="E326" s="19"/>
      <c r="F326" s="4"/>
    </row>
    <row r="327" spans="2:6" ht="20" customHeight="1" x14ac:dyDescent="0.2">
      <c r="B327" s="34"/>
      <c r="C327" s="18"/>
      <c r="D327" s="18"/>
      <c r="E327" s="19"/>
      <c r="F327" s="4"/>
    </row>
    <row r="328" spans="2:6" ht="20" customHeight="1" x14ac:dyDescent="0.2">
      <c r="B328" s="34"/>
      <c r="C328" s="18"/>
      <c r="D328" s="18"/>
      <c r="E328" s="19"/>
      <c r="F328" s="4"/>
    </row>
    <row r="329" spans="2:6" ht="20" customHeight="1" x14ac:dyDescent="0.2">
      <c r="B329" s="34"/>
      <c r="C329" s="18"/>
      <c r="D329" s="18"/>
      <c r="E329" s="19"/>
      <c r="F329" s="4"/>
    </row>
    <row r="330" spans="2:6" ht="20" customHeight="1" x14ac:dyDescent="0.2">
      <c r="B330" s="34"/>
      <c r="C330" s="18"/>
      <c r="D330" s="18"/>
      <c r="E330" s="19"/>
      <c r="F330" s="4"/>
    </row>
    <row r="331" spans="2:6" ht="20" customHeight="1" x14ac:dyDescent="0.2">
      <c r="B331" s="34"/>
      <c r="C331" s="18"/>
      <c r="D331" s="18"/>
      <c r="E331" s="19"/>
      <c r="F331" s="4"/>
    </row>
    <row r="332" spans="2:6" ht="20" customHeight="1" x14ac:dyDescent="0.2">
      <c r="B332" s="34"/>
      <c r="C332" s="18"/>
      <c r="D332" s="18"/>
      <c r="E332" s="19"/>
      <c r="F332" s="4"/>
    </row>
    <row r="333" spans="2:6" ht="20" customHeight="1" x14ac:dyDescent="0.2">
      <c r="B333" s="34"/>
      <c r="C333" s="18"/>
      <c r="D333" s="18"/>
      <c r="E333" s="19"/>
      <c r="F333" s="4"/>
    </row>
    <row r="334" spans="2:6" ht="20" customHeight="1" x14ac:dyDescent="0.2">
      <c r="B334" s="34"/>
      <c r="C334" s="18"/>
      <c r="D334" s="18"/>
      <c r="E334" s="19"/>
      <c r="F334" s="4"/>
    </row>
    <row r="335" spans="2:6" ht="20" customHeight="1" x14ac:dyDescent="0.2">
      <c r="B335" s="34"/>
      <c r="C335" s="18"/>
      <c r="D335" s="18"/>
      <c r="E335" s="19"/>
      <c r="F335" s="4"/>
    </row>
    <row r="336" spans="2:6" ht="20" customHeight="1" x14ac:dyDescent="0.2">
      <c r="B336" s="34"/>
      <c r="C336" s="18"/>
      <c r="D336" s="18"/>
      <c r="E336" s="19"/>
      <c r="F336" s="4"/>
    </row>
    <row r="337" spans="2:6" ht="20" customHeight="1" x14ac:dyDescent="0.2">
      <c r="B337" s="34"/>
      <c r="C337" s="18"/>
      <c r="D337" s="18"/>
      <c r="E337" s="19"/>
      <c r="F337" s="4"/>
    </row>
    <row r="338" spans="2:6" ht="20" customHeight="1" x14ac:dyDescent="0.2">
      <c r="B338" s="34"/>
      <c r="C338" s="18"/>
      <c r="D338" s="18"/>
      <c r="E338" s="19"/>
      <c r="F338" s="4"/>
    </row>
    <row r="339" spans="2:6" ht="20" customHeight="1" x14ac:dyDescent="0.2">
      <c r="B339" s="34"/>
      <c r="C339" s="18"/>
      <c r="D339" s="18"/>
      <c r="E339" s="19"/>
      <c r="F339" s="4"/>
    </row>
    <row r="340" spans="2:6" ht="20" customHeight="1" x14ac:dyDescent="0.2">
      <c r="B340" s="34"/>
      <c r="C340" s="18"/>
      <c r="D340" s="18"/>
      <c r="E340" s="19"/>
      <c r="F340" s="4"/>
    </row>
    <row r="341" spans="2:6" ht="20" customHeight="1" x14ac:dyDescent="0.2">
      <c r="B341" s="34"/>
      <c r="C341" s="18"/>
      <c r="D341" s="18"/>
      <c r="E341" s="19"/>
      <c r="F341" s="4"/>
    </row>
    <row r="342" spans="2:6" ht="20" customHeight="1" x14ac:dyDescent="0.2">
      <c r="B342" s="34"/>
      <c r="C342" s="18"/>
      <c r="D342" s="18"/>
      <c r="E342" s="19"/>
      <c r="F342" s="4"/>
    </row>
    <row r="343" spans="2:6" ht="20" customHeight="1" x14ac:dyDescent="0.2">
      <c r="B343" s="34"/>
      <c r="C343" s="18"/>
      <c r="D343" s="18"/>
      <c r="E343" s="19"/>
      <c r="F343" s="4"/>
    </row>
    <row r="344" spans="2:6" ht="20" customHeight="1" x14ac:dyDescent="0.2">
      <c r="B344" s="34"/>
      <c r="C344" s="18"/>
      <c r="D344" s="18"/>
      <c r="E344" s="19"/>
      <c r="F344" s="4"/>
    </row>
    <row r="345" spans="2:6" ht="20" customHeight="1" x14ac:dyDescent="0.2">
      <c r="B345" s="34"/>
      <c r="C345" s="18"/>
      <c r="D345" s="18"/>
      <c r="E345" s="19"/>
      <c r="F345" s="4"/>
    </row>
    <row r="346" spans="2:6" ht="20" customHeight="1" x14ac:dyDescent="0.2">
      <c r="B346" s="34"/>
      <c r="C346" s="18"/>
      <c r="D346" s="18"/>
      <c r="E346" s="19"/>
      <c r="F346" s="4"/>
    </row>
    <row r="347" spans="2:6" ht="20" customHeight="1" x14ac:dyDescent="0.2">
      <c r="B347" s="34"/>
      <c r="C347" s="18"/>
      <c r="D347" s="18"/>
      <c r="E347" s="19"/>
      <c r="F347" s="4"/>
    </row>
    <row r="348" spans="2:6" ht="20" customHeight="1" x14ac:dyDescent="0.2">
      <c r="B348" s="34"/>
      <c r="C348" s="18"/>
      <c r="D348" s="18"/>
      <c r="E348" s="19"/>
      <c r="F348" s="4"/>
    </row>
    <row r="349" spans="2:6" ht="20" customHeight="1" x14ac:dyDescent="0.2"/>
    <row r="350" spans="2:6" ht="20" customHeight="1" x14ac:dyDescent="0.2"/>
    <row r="351" spans="2:6" ht="20" customHeight="1" x14ac:dyDescent="0.2"/>
    <row r="352" spans="2:6" ht="20" customHeight="1" x14ac:dyDescent="0.2"/>
    <row r="353" ht="20" customHeight="1" x14ac:dyDescent="0.2"/>
    <row r="354" ht="20" customHeight="1" x14ac:dyDescent="0.2"/>
    <row r="355" ht="20" customHeight="1" x14ac:dyDescent="0.2"/>
    <row r="356" ht="20" customHeight="1" x14ac:dyDescent="0.2"/>
    <row r="357" ht="20" customHeight="1" x14ac:dyDescent="0.2"/>
    <row r="358" ht="20" customHeight="1" x14ac:dyDescent="0.2"/>
    <row r="359" ht="20" customHeight="1" x14ac:dyDescent="0.2"/>
    <row r="360" ht="20" customHeight="1" x14ac:dyDescent="0.2"/>
    <row r="361" ht="20" customHeight="1" x14ac:dyDescent="0.2"/>
    <row r="362" ht="20" customHeight="1" x14ac:dyDescent="0.2"/>
    <row r="363" ht="20" customHeight="1" x14ac:dyDescent="0.2"/>
    <row r="364" ht="20" customHeight="1" x14ac:dyDescent="0.2"/>
    <row r="365" ht="20" customHeight="1" x14ac:dyDescent="0.2"/>
    <row r="366" ht="20" customHeight="1" x14ac:dyDescent="0.2"/>
    <row r="367" ht="20" customHeight="1" x14ac:dyDescent="0.2"/>
    <row r="368" ht="20" customHeight="1" x14ac:dyDescent="0.2"/>
    <row r="369" ht="20" customHeight="1" x14ac:dyDescent="0.2"/>
    <row r="370" ht="20" customHeight="1" x14ac:dyDescent="0.2"/>
    <row r="371" ht="20" customHeight="1" x14ac:dyDescent="0.2"/>
    <row r="372" ht="20" customHeight="1" x14ac:dyDescent="0.2"/>
    <row r="373" ht="20" customHeight="1" x14ac:dyDescent="0.2"/>
    <row r="374" ht="20" customHeight="1" x14ac:dyDescent="0.2"/>
    <row r="375" ht="20" customHeight="1" x14ac:dyDescent="0.2"/>
    <row r="376" ht="20" customHeight="1" x14ac:dyDescent="0.2"/>
    <row r="377" ht="20" customHeight="1" x14ac:dyDescent="0.2"/>
    <row r="378" ht="20" customHeight="1" x14ac:dyDescent="0.2"/>
    <row r="379" ht="20" customHeight="1" x14ac:dyDescent="0.2"/>
    <row r="380" ht="20" customHeight="1" x14ac:dyDescent="0.2"/>
    <row r="381" ht="20" customHeight="1" x14ac:dyDescent="0.2"/>
    <row r="382" ht="20" customHeight="1" x14ac:dyDescent="0.2"/>
    <row r="383" ht="20" customHeight="1" x14ac:dyDescent="0.2"/>
    <row r="384" ht="20" customHeight="1" x14ac:dyDescent="0.2"/>
    <row r="385" ht="20" customHeight="1" x14ac:dyDescent="0.2"/>
    <row r="386" ht="20" customHeight="1" x14ac:dyDescent="0.2"/>
    <row r="387" ht="20" customHeight="1" x14ac:dyDescent="0.2"/>
    <row r="388" ht="20" customHeight="1" x14ac:dyDescent="0.2"/>
    <row r="389" ht="20" customHeight="1" x14ac:dyDescent="0.2"/>
    <row r="390" ht="20" customHeight="1" x14ac:dyDescent="0.2"/>
    <row r="391" ht="20" customHeight="1" x14ac:dyDescent="0.2"/>
    <row r="392" ht="20" customHeight="1" x14ac:dyDescent="0.2"/>
    <row r="393" ht="20" customHeight="1" x14ac:dyDescent="0.2"/>
    <row r="394" ht="20" customHeight="1" x14ac:dyDescent="0.2"/>
    <row r="395" ht="20" customHeight="1" x14ac:dyDescent="0.2"/>
    <row r="396" ht="20" customHeight="1" x14ac:dyDescent="0.2"/>
    <row r="397" ht="20" customHeight="1" x14ac:dyDescent="0.2"/>
    <row r="398" ht="20" customHeight="1" x14ac:dyDescent="0.2"/>
    <row r="399" ht="20" customHeight="1" x14ac:dyDescent="0.2"/>
    <row r="400" ht="20" customHeight="1" x14ac:dyDescent="0.2"/>
    <row r="401" ht="20" customHeight="1" x14ac:dyDescent="0.2"/>
    <row r="402" ht="20" customHeight="1" x14ac:dyDescent="0.2"/>
    <row r="403" ht="20" customHeight="1" x14ac:dyDescent="0.2"/>
    <row r="404" ht="20" customHeight="1" x14ac:dyDescent="0.2"/>
    <row r="405" ht="20" customHeight="1" x14ac:dyDescent="0.2"/>
    <row r="406" ht="20" customHeight="1" x14ac:dyDescent="0.2"/>
    <row r="407" ht="20" customHeight="1" x14ac:dyDescent="0.2"/>
    <row r="408" ht="20" customHeight="1" x14ac:dyDescent="0.2"/>
    <row r="409" ht="20" customHeight="1" x14ac:dyDescent="0.2"/>
    <row r="410" ht="20" customHeight="1" x14ac:dyDescent="0.2"/>
    <row r="411" ht="20" customHeight="1" x14ac:dyDescent="0.2"/>
    <row r="412" ht="20" customHeight="1" x14ac:dyDescent="0.2"/>
    <row r="413" ht="20" customHeight="1" x14ac:dyDescent="0.2"/>
    <row r="414" ht="20" customHeight="1" x14ac:dyDescent="0.2"/>
    <row r="415" ht="20" customHeight="1" x14ac:dyDescent="0.2"/>
    <row r="416" ht="20" customHeight="1" x14ac:dyDescent="0.2"/>
    <row r="417" ht="20" customHeight="1" x14ac:dyDescent="0.2"/>
    <row r="418" ht="20" customHeight="1" x14ac:dyDescent="0.2"/>
    <row r="419" ht="20" customHeight="1" x14ac:dyDescent="0.2"/>
    <row r="420" ht="20" customHeight="1" x14ac:dyDescent="0.2"/>
    <row r="421" ht="20" customHeight="1" x14ac:dyDescent="0.2"/>
    <row r="422" ht="20" customHeight="1" x14ac:dyDescent="0.2"/>
    <row r="423" ht="20" customHeight="1" x14ac:dyDescent="0.2"/>
    <row r="424" ht="20" customHeight="1" x14ac:dyDescent="0.2"/>
    <row r="425" ht="20" customHeight="1" x14ac:dyDescent="0.2"/>
    <row r="426" ht="20" customHeight="1" x14ac:dyDescent="0.2"/>
    <row r="427" ht="20" customHeight="1" x14ac:dyDescent="0.2"/>
    <row r="428" ht="20" customHeight="1" x14ac:dyDescent="0.2"/>
    <row r="429" ht="20" customHeight="1" x14ac:dyDescent="0.2"/>
    <row r="430" ht="20" customHeight="1" x14ac:dyDescent="0.2"/>
    <row r="431" ht="20" customHeight="1" x14ac:dyDescent="0.2"/>
    <row r="432" ht="20" customHeight="1" x14ac:dyDescent="0.2"/>
    <row r="433" ht="20" customHeight="1" x14ac:dyDescent="0.2"/>
    <row r="434" ht="20" customHeight="1" x14ac:dyDescent="0.2"/>
    <row r="435" ht="20" customHeight="1" x14ac:dyDescent="0.2"/>
    <row r="436" ht="20" customHeight="1" x14ac:dyDescent="0.2"/>
    <row r="437" ht="20" customHeight="1" x14ac:dyDescent="0.2"/>
    <row r="438" ht="20" customHeight="1" x14ac:dyDescent="0.2"/>
    <row r="439" ht="20" customHeight="1" x14ac:dyDescent="0.2"/>
    <row r="440" ht="20" customHeight="1" x14ac:dyDescent="0.2"/>
    <row r="441" ht="20" customHeight="1" x14ac:dyDescent="0.2"/>
    <row r="442" ht="20" customHeight="1" x14ac:dyDescent="0.2"/>
    <row r="443" ht="20" customHeight="1" x14ac:dyDescent="0.2"/>
    <row r="444" ht="20" customHeight="1" x14ac:dyDescent="0.2"/>
    <row r="445" ht="20" customHeight="1" x14ac:dyDescent="0.2"/>
    <row r="446" ht="20" customHeight="1" x14ac:dyDescent="0.2"/>
    <row r="447" ht="20" customHeight="1" x14ac:dyDescent="0.2"/>
    <row r="448" ht="20" customHeight="1" x14ac:dyDescent="0.2"/>
    <row r="449" ht="20" customHeight="1" x14ac:dyDescent="0.2"/>
    <row r="450" ht="20" customHeight="1" x14ac:dyDescent="0.2"/>
    <row r="451" ht="20" customHeight="1" x14ac:dyDescent="0.2"/>
    <row r="452" ht="20" customHeight="1" x14ac:dyDescent="0.2"/>
    <row r="453" ht="20" customHeight="1" x14ac:dyDescent="0.2"/>
    <row r="454" ht="20" customHeight="1" x14ac:dyDescent="0.2"/>
    <row r="455" ht="20" customHeight="1" x14ac:dyDescent="0.2"/>
    <row r="456" ht="20" customHeight="1" x14ac:dyDescent="0.2"/>
    <row r="457" ht="20" customHeight="1" x14ac:dyDescent="0.2"/>
    <row r="458" ht="20" customHeight="1" x14ac:dyDescent="0.2"/>
    <row r="459" ht="20" customHeight="1" x14ac:dyDescent="0.2"/>
    <row r="460" ht="20" customHeight="1" x14ac:dyDescent="0.2"/>
    <row r="461" ht="20" customHeight="1" x14ac:dyDescent="0.2"/>
    <row r="462" ht="20" customHeight="1" x14ac:dyDescent="0.2"/>
    <row r="463" ht="20" customHeight="1" x14ac:dyDescent="0.2"/>
    <row r="464" ht="20" customHeight="1" x14ac:dyDescent="0.2"/>
    <row r="465" ht="20" customHeight="1" x14ac:dyDescent="0.2"/>
    <row r="466" ht="20" customHeight="1" x14ac:dyDescent="0.2"/>
    <row r="467" ht="20" customHeight="1" x14ac:dyDescent="0.2"/>
    <row r="468" ht="20" customHeight="1" x14ac:dyDescent="0.2"/>
    <row r="469" ht="20" customHeight="1" x14ac:dyDescent="0.2"/>
    <row r="470" ht="20" customHeight="1" x14ac:dyDescent="0.2"/>
    <row r="471" ht="20" customHeight="1" x14ac:dyDescent="0.2"/>
    <row r="472" ht="20" customHeight="1" x14ac:dyDescent="0.2"/>
    <row r="473" ht="20" customHeight="1" x14ac:dyDescent="0.2"/>
    <row r="474" ht="20" customHeight="1" x14ac:dyDescent="0.2"/>
    <row r="475" ht="20" customHeight="1" x14ac:dyDescent="0.2"/>
    <row r="476" ht="20" customHeight="1" x14ac:dyDescent="0.2"/>
    <row r="477" ht="20" customHeight="1" x14ac:dyDescent="0.2"/>
    <row r="478" ht="20" customHeight="1" x14ac:dyDescent="0.2"/>
    <row r="479" ht="20" customHeight="1" x14ac:dyDescent="0.2"/>
    <row r="480" ht="20" customHeight="1" x14ac:dyDescent="0.2"/>
    <row r="481" ht="20" customHeight="1" x14ac:dyDescent="0.2"/>
    <row r="482" ht="20" customHeight="1" x14ac:dyDescent="0.2"/>
    <row r="483" ht="20" customHeight="1" x14ac:dyDescent="0.2"/>
    <row r="484" ht="20" customHeight="1" x14ac:dyDescent="0.2"/>
    <row r="485" ht="20" customHeight="1" x14ac:dyDescent="0.2"/>
    <row r="486" ht="20" customHeight="1" x14ac:dyDescent="0.2"/>
    <row r="487" ht="20" customHeight="1" x14ac:dyDescent="0.2"/>
    <row r="488" ht="20" customHeight="1" x14ac:dyDescent="0.2"/>
    <row r="489" ht="20" customHeight="1" x14ac:dyDescent="0.2"/>
    <row r="490" ht="20" customHeight="1" x14ac:dyDescent="0.2"/>
    <row r="491" ht="20" customHeight="1" x14ac:dyDescent="0.2"/>
    <row r="492" ht="20" customHeight="1" x14ac:dyDescent="0.2"/>
    <row r="493" ht="20" customHeight="1" x14ac:dyDescent="0.2"/>
    <row r="494" ht="20" customHeight="1" x14ac:dyDescent="0.2"/>
    <row r="495" ht="20" customHeight="1" x14ac:dyDescent="0.2"/>
    <row r="496" ht="20" customHeight="1" x14ac:dyDescent="0.2"/>
    <row r="497" ht="20" customHeight="1" x14ac:dyDescent="0.2"/>
    <row r="498" ht="20" customHeight="1" x14ac:dyDescent="0.2"/>
    <row r="499" ht="20" customHeight="1" x14ac:dyDescent="0.2"/>
    <row r="500" ht="20" customHeight="1" x14ac:dyDescent="0.2"/>
    <row r="501" ht="20" customHeight="1" x14ac:dyDescent="0.2"/>
    <row r="502" ht="20" customHeight="1" x14ac:dyDescent="0.2"/>
    <row r="503" ht="20" customHeight="1" x14ac:dyDescent="0.2"/>
    <row r="504" ht="20" customHeight="1" x14ac:dyDescent="0.2"/>
    <row r="505" ht="20" customHeight="1" x14ac:dyDescent="0.2"/>
    <row r="506" ht="20" customHeight="1" x14ac:dyDescent="0.2"/>
    <row r="507" ht="20" customHeight="1" x14ac:dyDescent="0.2"/>
    <row r="508" ht="20" customHeight="1" x14ac:dyDescent="0.2"/>
    <row r="509" ht="20" customHeight="1" x14ac:dyDescent="0.2"/>
    <row r="510" ht="20" customHeight="1" x14ac:dyDescent="0.2"/>
    <row r="511" ht="20" customHeight="1" x14ac:dyDescent="0.2"/>
    <row r="512" ht="20" customHeight="1" x14ac:dyDescent="0.2"/>
    <row r="513" ht="20" customHeight="1" x14ac:dyDescent="0.2"/>
    <row r="514" ht="20" customHeight="1" x14ac:dyDescent="0.2"/>
    <row r="515" ht="20" customHeight="1" x14ac:dyDescent="0.2"/>
    <row r="516" ht="20" customHeight="1" x14ac:dyDescent="0.2"/>
    <row r="517" ht="20" customHeight="1" x14ac:dyDescent="0.2"/>
    <row r="518" ht="20" customHeight="1" x14ac:dyDescent="0.2"/>
    <row r="519" ht="20" customHeight="1" x14ac:dyDescent="0.2"/>
    <row r="520" ht="20" customHeight="1" x14ac:dyDescent="0.2"/>
    <row r="521" ht="20" customHeight="1" x14ac:dyDescent="0.2"/>
    <row r="522" ht="20" customHeight="1" x14ac:dyDescent="0.2"/>
    <row r="523" ht="20" customHeight="1" x14ac:dyDescent="0.2"/>
    <row r="524" ht="20" customHeight="1" x14ac:dyDescent="0.2"/>
    <row r="525" ht="20" customHeight="1" x14ac:dyDescent="0.2"/>
    <row r="526" ht="20" customHeight="1" x14ac:dyDescent="0.2"/>
    <row r="527" ht="20" customHeight="1" x14ac:dyDescent="0.2"/>
    <row r="528" ht="20" customHeight="1" x14ac:dyDescent="0.2"/>
    <row r="529" ht="20" customHeight="1" x14ac:dyDescent="0.2"/>
    <row r="530" ht="20" customHeight="1" x14ac:dyDescent="0.2"/>
    <row r="531" ht="20" customHeight="1" x14ac:dyDescent="0.2"/>
    <row r="532" ht="20" customHeight="1" x14ac:dyDescent="0.2"/>
    <row r="533" ht="20" customHeight="1" x14ac:dyDescent="0.2"/>
    <row r="534" ht="20" customHeight="1" x14ac:dyDescent="0.2"/>
    <row r="535" ht="20" customHeight="1" x14ac:dyDescent="0.2"/>
    <row r="536" ht="20" customHeight="1" x14ac:dyDescent="0.2"/>
    <row r="537" ht="20" customHeight="1" x14ac:dyDescent="0.2"/>
    <row r="538" ht="20" customHeight="1" x14ac:dyDescent="0.2"/>
    <row r="539" ht="20" customHeight="1" x14ac:dyDescent="0.2"/>
    <row r="540" ht="20" customHeight="1" x14ac:dyDescent="0.2"/>
    <row r="541" ht="20" customHeight="1" x14ac:dyDescent="0.2"/>
    <row r="542" ht="20" customHeight="1" x14ac:dyDescent="0.2"/>
    <row r="543" ht="20" customHeight="1" x14ac:dyDescent="0.2"/>
    <row r="544" ht="20" customHeight="1" x14ac:dyDescent="0.2"/>
    <row r="545" ht="20" customHeight="1" x14ac:dyDescent="0.2"/>
    <row r="546" ht="20" customHeight="1" x14ac:dyDescent="0.2"/>
    <row r="547" ht="20" customHeight="1" x14ac:dyDescent="0.2"/>
    <row r="548" ht="20" customHeight="1" x14ac:dyDescent="0.2"/>
    <row r="549" ht="20" customHeight="1" x14ac:dyDescent="0.2"/>
    <row r="550" ht="20" customHeight="1" x14ac:dyDescent="0.2"/>
    <row r="551" ht="20" customHeight="1" x14ac:dyDescent="0.2"/>
    <row r="552" ht="20" customHeight="1" x14ac:dyDescent="0.2"/>
    <row r="553" ht="20" customHeight="1" x14ac:dyDescent="0.2"/>
    <row r="554" ht="20" customHeight="1" x14ac:dyDescent="0.2"/>
    <row r="555" ht="20" customHeight="1" x14ac:dyDescent="0.2"/>
    <row r="556" ht="20" customHeight="1" x14ac:dyDescent="0.2"/>
    <row r="557" ht="20" customHeight="1" x14ac:dyDescent="0.2"/>
    <row r="558" ht="20" customHeight="1" x14ac:dyDescent="0.2"/>
    <row r="559" ht="20" customHeight="1" x14ac:dyDescent="0.2"/>
    <row r="560" ht="20" customHeight="1" x14ac:dyDescent="0.2"/>
    <row r="561" ht="20" customHeight="1" x14ac:dyDescent="0.2"/>
    <row r="562" ht="20" customHeight="1" x14ac:dyDescent="0.2"/>
    <row r="563" ht="20" customHeight="1" x14ac:dyDescent="0.2"/>
    <row r="564" ht="20" customHeight="1" x14ac:dyDescent="0.2"/>
    <row r="565" ht="20" customHeight="1" x14ac:dyDescent="0.2"/>
    <row r="566" ht="20" customHeight="1" x14ac:dyDescent="0.2"/>
    <row r="567" ht="20" customHeight="1" x14ac:dyDescent="0.2"/>
    <row r="568" ht="20" customHeight="1" x14ac:dyDescent="0.2"/>
    <row r="569" ht="20" customHeight="1" x14ac:dyDescent="0.2"/>
    <row r="570" ht="20" customHeight="1" x14ac:dyDescent="0.2"/>
    <row r="571" ht="20" customHeight="1" x14ac:dyDescent="0.2"/>
    <row r="572" ht="20" customHeight="1" x14ac:dyDescent="0.2"/>
    <row r="573" ht="20" customHeight="1" x14ac:dyDescent="0.2"/>
    <row r="574" ht="20" customHeight="1" x14ac:dyDescent="0.2"/>
    <row r="575" ht="20" customHeight="1" x14ac:dyDescent="0.2"/>
    <row r="576" ht="20" customHeight="1" x14ac:dyDescent="0.2"/>
    <row r="577" ht="20" customHeight="1" x14ac:dyDescent="0.2"/>
    <row r="578" ht="20" customHeight="1" x14ac:dyDescent="0.2"/>
    <row r="579" ht="20" customHeight="1" x14ac:dyDescent="0.2"/>
    <row r="580" ht="20" customHeight="1" x14ac:dyDescent="0.2"/>
    <row r="581" ht="20" customHeight="1" x14ac:dyDescent="0.2"/>
    <row r="582" ht="20" customHeight="1" x14ac:dyDescent="0.2"/>
    <row r="583" ht="20" customHeight="1" x14ac:dyDescent="0.2"/>
    <row r="584" ht="20" customHeight="1" x14ac:dyDescent="0.2"/>
    <row r="585" ht="20" customHeight="1" x14ac:dyDescent="0.2"/>
    <row r="586" ht="20" customHeight="1" x14ac:dyDescent="0.2"/>
    <row r="587" ht="20" customHeight="1" x14ac:dyDescent="0.2"/>
    <row r="588" ht="20" customHeight="1" x14ac:dyDescent="0.2"/>
    <row r="589" ht="20" customHeight="1" x14ac:dyDescent="0.2"/>
    <row r="590" ht="20" customHeight="1" x14ac:dyDescent="0.2"/>
    <row r="591" ht="20" customHeight="1" x14ac:dyDescent="0.2"/>
    <row r="592" ht="20" customHeight="1" x14ac:dyDescent="0.2"/>
    <row r="593" ht="20" customHeight="1" x14ac:dyDescent="0.2"/>
    <row r="594" ht="20" customHeight="1" x14ac:dyDescent="0.2"/>
    <row r="595" ht="20" customHeight="1" x14ac:dyDescent="0.2"/>
    <row r="596" ht="20" customHeight="1" x14ac:dyDescent="0.2"/>
    <row r="597" ht="20" customHeight="1" x14ac:dyDescent="0.2"/>
    <row r="598" ht="20" customHeight="1" x14ac:dyDescent="0.2"/>
    <row r="599" ht="20" customHeight="1" x14ac:dyDescent="0.2"/>
    <row r="600" ht="20" customHeight="1" x14ac:dyDescent="0.2"/>
    <row r="601" ht="20" customHeight="1" x14ac:dyDescent="0.2"/>
    <row r="602" ht="20" customHeight="1" x14ac:dyDescent="0.2"/>
    <row r="603" ht="20" customHeight="1" x14ac:dyDescent="0.2"/>
    <row r="604" ht="20" customHeight="1" x14ac:dyDescent="0.2"/>
    <row r="605" ht="20" customHeight="1" x14ac:dyDescent="0.2"/>
    <row r="606" ht="20" customHeight="1" x14ac:dyDescent="0.2"/>
    <row r="607" ht="20" customHeight="1" x14ac:dyDescent="0.2"/>
    <row r="608" ht="20" customHeight="1" x14ac:dyDescent="0.2"/>
    <row r="609" ht="20" customHeight="1" x14ac:dyDescent="0.2"/>
    <row r="610" ht="20" customHeight="1" x14ac:dyDescent="0.2"/>
    <row r="611" ht="20" customHeight="1" x14ac:dyDescent="0.2"/>
    <row r="612" ht="20" customHeight="1" x14ac:dyDescent="0.2"/>
    <row r="613" ht="20" customHeight="1" x14ac:dyDescent="0.2"/>
    <row r="614" ht="20" customHeight="1" x14ac:dyDescent="0.2"/>
    <row r="615" ht="20" customHeight="1" x14ac:dyDescent="0.2"/>
    <row r="616" ht="20" customHeight="1" x14ac:dyDescent="0.2"/>
    <row r="617" ht="20" customHeight="1" x14ac:dyDescent="0.2"/>
    <row r="618" ht="20" customHeight="1" x14ac:dyDescent="0.2"/>
    <row r="619" ht="20" customHeight="1" x14ac:dyDescent="0.2"/>
    <row r="620" ht="20" customHeight="1" x14ac:dyDescent="0.2"/>
    <row r="621" ht="20" customHeight="1" x14ac:dyDescent="0.2"/>
    <row r="622" ht="20" customHeight="1" x14ac:dyDescent="0.2"/>
    <row r="623" ht="20" customHeight="1" x14ac:dyDescent="0.2"/>
    <row r="624" ht="20" customHeight="1" x14ac:dyDescent="0.2"/>
    <row r="625" ht="20" customHeight="1" x14ac:dyDescent="0.2"/>
    <row r="626" ht="20" customHeight="1" x14ac:dyDescent="0.2"/>
    <row r="627" ht="20" customHeight="1" x14ac:dyDescent="0.2"/>
    <row r="628" ht="20" customHeight="1" x14ac:dyDescent="0.2"/>
    <row r="629" ht="20" customHeight="1" x14ac:dyDescent="0.2"/>
    <row r="630" ht="20" customHeight="1" x14ac:dyDescent="0.2"/>
    <row r="631" ht="20" customHeight="1" x14ac:dyDescent="0.2"/>
    <row r="632" ht="20" customHeight="1" x14ac:dyDescent="0.2"/>
    <row r="633" ht="20" customHeight="1" x14ac:dyDescent="0.2"/>
    <row r="634" ht="20" customHeight="1" x14ac:dyDescent="0.2"/>
    <row r="635" ht="20" customHeight="1" x14ac:dyDescent="0.2"/>
    <row r="636" ht="20" customHeight="1" x14ac:dyDescent="0.2"/>
    <row r="637" ht="20" customHeight="1" x14ac:dyDescent="0.2"/>
    <row r="638" ht="20" customHeight="1" x14ac:dyDescent="0.2"/>
    <row r="639" ht="20" customHeight="1" x14ac:dyDescent="0.2"/>
    <row r="640" ht="20" customHeight="1" x14ac:dyDescent="0.2"/>
    <row r="641" ht="20" customHeight="1" x14ac:dyDescent="0.2"/>
    <row r="642" ht="20" customHeight="1" x14ac:dyDescent="0.2"/>
    <row r="643" ht="20" customHeight="1" x14ac:dyDescent="0.2"/>
    <row r="644" ht="20" customHeight="1" x14ac:dyDescent="0.2"/>
    <row r="645" ht="20" customHeight="1" x14ac:dyDescent="0.2"/>
    <row r="646" ht="20" customHeight="1" x14ac:dyDescent="0.2"/>
    <row r="647" ht="20" customHeight="1" x14ac:dyDescent="0.2"/>
    <row r="648" ht="20" customHeight="1" x14ac:dyDescent="0.2"/>
    <row r="649" ht="20" customHeight="1" x14ac:dyDescent="0.2"/>
    <row r="650" ht="20" customHeight="1" x14ac:dyDescent="0.2"/>
    <row r="651" ht="20" customHeight="1" x14ac:dyDescent="0.2"/>
    <row r="652" ht="20" customHeight="1" x14ac:dyDescent="0.2"/>
    <row r="653" ht="20" customHeight="1" x14ac:dyDescent="0.2"/>
    <row r="654" ht="20" customHeight="1" x14ac:dyDescent="0.2"/>
    <row r="655" ht="20" customHeight="1" x14ac:dyDescent="0.2"/>
    <row r="656" ht="20" customHeight="1" x14ac:dyDescent="0.2"/>
    <row r="657" ht="20" customHeight="1" x14ac:dyDescent="0.2"/>
    <row r="658" ht="20" customHeight="1" x14ac:dyDescent="0.2"/>
    <row r="659" ht="20" customHeight="1" x14ac:dyDescent="0.2"/>
    <row r="660" ht="20" customHeight="1" x14ac:dyDescent="0.2"/>
    <row r="661" ht="20" customHeight="1" x14ac:dyDescent="0.2"/>
    <row r="662" ht="20" customHeight="1" x14ac:dyDescent="0.2"/>
    <row r="663" ht="20" customHeight="1" x14ac:dyDescent="0.2"/>
    <row r="664" ht="20" customHeight="1" x14ac:dyDescent="0.2"/>
    <row r="665" ht="20" customHeight="1" x14ac:dyDescent="0.2"/>
    <row r="666" ht="20" customHeight="1" x14ac:dyDescent="0.2"/>
    <row r="667" ht="20" customHeight="1" x14ac:dyDescent="0.2"/>
    <row r="668" ht="20" customHeight="1" x14ac:dyDescent="0.2"/>
    <row r="669" ht="20" customHeight="1" x14ac:dyDescent="0.2"/>
    <row r="670" ht="20" customHeight="1" x14ac:dyDescent="0.2"/>
    <row r="671" ht="20" customHeight="1" x14ac:dyDescent="0.2"/>
    <row r="672" ht="20" customHeight="1" x14ac:dyDescent="0.2"/>
    <row r="673" ht="20" customHeight="1" x14ac:dyDescent="0.2"/>
    <row r="674" ht="20" customHeight="1" x14ac:dyDescent="0.2"/>
    <row r="675" ht="20" customHeight="1" x14ac:dyDescent="0.2"/>
    <row r="676" ht="20" customHeight="1" x14ac:dyDescent="0.2"/>
    <row r="677" ht="20" customHeight="1" x14ac:dyDescent="0.2"/>
    <row r="678" ht="20" customHeight="1" x14ac:dyDescent="0.2"/>
    <row r="679" ht="20" customHeight="1" x14ac:dyDescent="0.2"/>
    <row r="680" ht="20" customHeight="1" x14ac:dyDescent="0.2"/>
    <row r="681" ht="20" customHeight="1" x14ac:dyDescent="0.2"/>
    <row r="682" ht="20" customHeight="1" x14ac:dyDescent="0.2"/>
    <row r="683" ht="20" customHeight="1" x14ac:dyDescent="0.2"/>
    <row r="684" ht="20" customHeight="1" x14ac:dyDescent="0.2"/>
    <row r="685" ht="20" customHeight="1" x14ac:dyDescent="0.2"/>
    <row r="686" ht="20" customHeight="1" x14ac:dyDescent="0.2"/>
    <row r="687" ht="20" customHeight="1" x14ac:dyDescent="0.2"/>
    <row r="688" ht="20" customHeight="1" x14ac:dyDescent="0.2"/>
    <row r="689" ht="20" customHeight="1" x14ac:dyDescent="0.2"/>
    <row r="690" ht="20" customHeight="1" x14ac:dyDescent="0.2"/>
    <row r="691" ht="20" customHeight="1" x14ac:dyDescent="0.2"/>
    <row r="692" ht="20" customHeight="1" x14ac:dyDescent="0.2"/>
    <row r="693" ht="20" customHeight="1" x14ac:dyDescent="0.2"/>
    <row r="694" ht="20" customHeight="1" x14ac:dyDescent="0.2"/>
    <row r="695" ht="20" customHeight="1" x14ac:dyDescent="0.2"/>
    <row r="696" ht="20" customHeight="1" x14ac:dyDescent="0.2"/>
    <row r="697" ht="20" customHeight="1" x14ac:dyDescent="0.2"/>
    <row r="698" ht="20" customHeight="1" x14ac:dyDescent="0.2"/>
    <row r="699" ht="20" customHeight="1" x14ac:dyDescent="0.2"/>
    <row r="700" ht="20" customHeight="1" x14ac:dyDescent="0.2"/>
    <row r="701" ht="20" customHeight="1" x14ac:dyDescent="0.2"/>
    <row r="702" ht="20" customHeight="1" x14ac:dyDescent="0.2"/>
    <row r="703" ht="20" customHeight="1" x14ac:dyDescent="0.2"/>
    <row r="704" ht="20" customHeight="1" x14ac:dyDescent="0.2"/>
    <row r="705" ht="20" customHeight="1" x14ac:dyDescent="0.2"/>
    <row r="706" ht="20" customHeight="1" x14ac:dyDescent="0.2"/>
    <row r="707" ht="20" customHeight="1" x14ac:dyDescent="0.2"/>
    <row r="708" ht="20" customHeight="1" x14ac:dyDescent="0.2"/>
    <row r="709" ht="20" customHeight="1" x14ac:dyDescent="0.2"/>
    <row r="710" ht="20" customHeight="1" x14ac:dyDescent="0.2"/>
    <row r="711" ht="20" customHeight="1" x14ac:dyDescent="0.2"/>
    <row r="712" ht="20" customHeight="1" x14ac:dyDescent="0.2"/>
    <row r="713" ht="20" customHeight="1" x14ac:dyDescent="0.2"/>
    <row r="714" ht="20" customHeight="1" x14ac:dyDescent="0.2"/>
    <row r="715" ht="20" customHeight="1" x14ac:dyDescent="0.2"/>
    <row r="716" ht="20" customHeight="1" x14ac:dyDescent="0.2"/>
    <row r="717" ht="20" customHeight="1" x14ac:dyDescent="0.2"/>
    <row r="718" ht="20" customHeight="1" x14ac:dyDescent="0.2"/>
    <row r="719" ht="20" customHeight="1" x14ac:dyDescent="0.2"/>
    <row r="720" ht="20" customHeight="1" x14ac:dyDescent="0.2"/>
    <row r="721" ht="20" customHeight="1" x14ac:dyDescent="0.2"/>
    <row r="722" ht="20" customHeight="1" x14ac:dyDescent="0.2"/>
    <row r="723" ht="20" customHeight="1" x14ac:dyDescent="0.2"/>
    <row r="724" ht="20" customHeight="1" x14ac:dyDescent="0.2"/>
    <row r="725" ht="20" customHeight="1" x14ac:dyDescent="0.2"/>
    <row r="726" ht="20" customHeight="1" x14ac:dyDescent="0.2"/>
    <row r="727" ht="20" customHeight="1" x14ac:dyDescent="0.2"/>
    <row r="728" ht="20" customHeight="1" x14ac:dyDescent="0.2"/>
    <row r="729" ht="20" customHeight="1" x14ac:dyDescent="0.2"/>
    <row r="730" ht="20" customHeight="1" x14ac:dyDescent="0.2"/>
    <row r="731" ht="20" customHeight="1" x14ac:dyDescent="0.2"/>
    <row r="732" ht="20" customHeight="1" x14ac:dyDescent="0.2"/>
    <row r="733" ht="20" customHeight="1" x14ac:dyDescent="0.2"/>
    <row r="734" ht="20" customHeight="1" x14ac:dyDescent="0.2"/>
    <row r="735" ht="20" customHeight="1" x14ac:dyDescent="0.2"/>
    <row r="736" ht="20" customHeight="1" x14ac:dyDescent="0.2"/>
    <row r="737" ht="20" customHeight="1" x14ac:dyDescent="0.2"/>
    <row r="738" ht="20" customHeight="1" x14ac:dyDescent="0.2"/>
  </sheetData>
  <conditionalFormatting sqref="A6:XFD6">
    <cfRule type="timePeriod" dxfId="114" priority="114" timePeriod="yesterday">
      <formula>FLOOR(A6,1)=TODAY()-1</formula>
    </cfRule>
    <cfRule type="timePeriod" dxfId="113" priority="157" timePeriod="tomorrow">
      <formula>FLOOR(A6,1)=TODAY()+1</formula>
    </cfRule>
    <cfRule type="timePeriod" dxfId="112" priority="158" timePeriod="yesterday">
      <formula>FLOOR(A6,1)=TODAY()-1</formula>
    </cfRule>
    <cfRule type="timePeriod" dxfId="111" priority="159" timePeriod="yesterday">
      <formula>FLOOR(A6,1)=TODAY()-1</formula>
    </cfRule>
    <cfRule type="timePeriod" dxfId="110" priority="160" timePeriod="today">
      <formula>FLOOR(A6,1)=TODAY()</formula>
    </cfRule>
  </conditionalFormatting>
  <conditionalFormatting sqref="F9:F18 F48:F49 F20:F22 F42:F43 F24:F39 F45:F46 F51:F345">
    <cfRule type="colorScale" priority="151">
      <colorScale>
        <cfvo type="num" val="0"/>
        <cfvo type="num" val="0.5"/>
        <cfvo type="num" val="1"/>
        <color rgb="FFFF3300"/>
        <color rgb="FFFFC000"/>
        <color rgb="FF92D050"/>
      </colorScale>
    </cfRule>
  </conditionalFormatting>
  <conditionalFormatting sqref="F1:F2 F48:F49 F20:F22 F42:F43 F24:F39 F45:F46 F51:F1048576 F4:F18">
    <cfRule type="colorScale" priority="150">
      <colorScale>
        <cfvo type="num" val="0"/>
        <cfvo type="num" val="0.5"/>
        <cfvo type="num" val="1"/>
        <color rgb="FFF8696B"/>
        <color rgb="FFFFEB84"/>
        <color rgb="FF63BE7B"/>
      </colorScale>
    </cfRule>
  </conditionalFormatting>
  <conditionalFormatting sqref="E1:E8 E346:E1048576">
    <cfRule type="cellIs" priority="146" operator="lessThan">
      <formula>TODAY()</formula>
    </cfRule>
  </conditionalFormatting>
  <conditionalFormatting sqref="E9 E12:E18 E48:E49 E20:E22 E42:E43 E24:E39 E45:E46 E51:E345">
    <cfRule type="cellIs" dxfId="109" priority="140" operator="lessThanOrEqual">
      <formula>TODAY()</formula>
    </cfRule>
    <cfRule type="cellIs" dxfId="108" priority="141" operator="greaterThan">
      <formula>TODAY()</formula>
    </cfRule>
  </conditionalFormatting>
  <conditionalFormatting sqref="B9:D9">
    <cfRule type="expression" dxfId="107" priority="125">
      <formula>ISBLANK(INDIRECT("E"&amp;ROW()))*ISBLANK(INDIRECT("F"&amp;ROW()))</formula>
    </cfRule>
    <cfRule type="expression" dxfId="106" priority="132">
      <formula>INDIRECT("F"&amp;ROW()) &gt;= 0.9</formula>
    </cfRule>
    <cfRule type="expression" dxfId="105" priority="133">
      <formula>INDIRECT("F"&amp;ROW())&lt;0.9 * NOT(ISBLANK("F"&amp;ROW()))</formula>
    </cfRule>
    <cfRule type="expression" dxfId="104" priority="134">
      <formula>INDIRECT("E"&amp;ROW())&lt;TODAY() * NOT(ISBLANK(INDIRECT("E"&amp;ROW())))</formula>
    </cfRule>
  </conditionalFormatting>
  <conditionalFormatting sqref="E9 E12:E18 E48:E49 E20:E22 E42:E43 E24:E39 E45:E46 E51:E345">
    <cfRule type="expression" dxfId="103" priority="124">
      <formula>ISBLANK(INDIRECT("E"&amp;ROW()))</formula>
    </cfRule>
  </conditionalFormatting>
  <conditionalFormatting sqref="E10:E11">
    <cfRule type="cellIs" dxfId="102" priority="120" operator="lessThanOrEqual">
      <formula>TODAY()</formula>
    </cfRule>
    <cfRule type="cellIs" dxfId="101" priority="121" operator="greaterThan">
      <formula>TODAY()</formula>
    </cfRule>
  </conditionalFormatting>
  <conditionalFormatting sqref="B10:D18 B48:D49 B20:D22 B42:D43 B45:D46 B51:D345 B24:D39">
    <cfRule type="expression" dxfId="100" priority="116">
      <formula>ISBLANK(INDIRECT("E"&amp;ROW()))*ISBLANK(INDIRECT("F"&amp;ROW()))</formula>
    </cfRule>
    <cfRule type="expression" dxfId="99" priority="117">
      <formula>INDIRECT("F"&amp;ROW()) &gt;= 0.9</formula>
    </cfRule>
    <cfRule type="expression" dxfId="98" priority="118">
      <formula>INDIRECT("F"&amp;ROW())&lt;0.9</formula>
    </cfRule>
    <cfRule type="expression" dxfId="97" priority="119">
      <formula>INDIRECT("E"&amp;ROW())&lt;TODAY() * NOT(ISBLANK(INDIRECT("E"&amp;ROW())))</formula>
    </cfRule>
  </conditionalFormatting>
  <conditionalFormatting sqref="E10:E11">
    <cfRule type="expression" dxfId="96" priority="115">
      <formula>ISBLANK(INDIRECT("E"&amp;ROW()))</formula>
    </cfRule>
  </conditionalFormatting>
  <conditionalFormatting sqref="B1:D18 B48:D49 B20:D22 B42:D43 B45:D46 B51:D1048576 B24:D39">
    <cfRule type="expression" dxfId="95" priority="110">
      <formula xml:space="preserve"> (INDIRECT("F" &amp; ROW()) &lt; 0.9) * (INDIRECT("E" &amp; ROW()) &gt; TODAY())</formula>
    </cfRule>
  </conditionalFormatting>
  <conditionalFormatting sqref="I7:DZ7 H8:DZ18 H48:DZ49 H20:DZ22 H42:DZ43 H24:DZ39 H45:DZ46 H51:DZ735">
    <cfRule type="expression" dxfId="94" priority="108">
      <formula xml:space="preserve"> INDIRECT(SUBSTITUTE(ADDRESS(1,COLUMN(),4),1,"") &amp; 6) = TODAY()</formula>
    </cfRule>
  </conditionalFormatting>
  <conditionalFormatting sqref="A7:G7 I7:XFD7 A8:XFD18 A48:XFD49 A20:XFD22 A42:XFD43 A45:XFD46 A51:XFD1048576 A24:XFD39 A5:XFD6 A4:T4 V4:XFD4 A1:XFD3">
    <cfRule type="expression" dxfId="93" priority="104">
      <formula xml:space="preserve"> NOT(ISBLANK(INDIRECT("D"&amp;ROW()))) * NOT(ISODD(ROW())) *NOT(ISBLANK(INDIRECT("E"&amp;ROW())))*(INDIRECT(SUBSTITUTE(ADDRESS(1,COLUMN(),4),1,"") &amp; 6) &lt;= INDIRECT("E" &amp; ROW()))*(INDIRECT(SUBSTITUTE(ADDRESS(1,COLUMN(),4),1,"") &amp; 6) &gt;= INDIRECT("D" &amp; ROW()))</formula>
    </cfRule>
    <cfRule type="expression" dxfId="92" priority="105">
      <formula xml:space="preserve"> NOT(ISBLANK(INDIRECT("D"&amp;ROW()))) * ISODD(ROW()) *NOT(ISBLANK(INDIRECT("E"&amp;ROW())))*(INDIRECT(SUBSTITUTE(ADDRESS(1,COLUMN(),4),1,"") &amp; 6) &lt;= INDIRECT("E" &amp; ROW()))*(INDIRECT(SUBSTITUTE(ADDRESS(1,COLUMN(),4),1,"") &amp; 6) &gt;= INDIRECT("D" &amp; ROW()))</formula>
    </cfRule>
  </conditionalFormatting>
  <conditionalFormatting sqref="S18 S20:S22 S24:S38">
    <cfRule type="expression" dxfId="91" priority="97">
      <formula>"'NOT(ISBLANK(INDIRECT(""E"" &amp; ROW()))) * NOT (ISBLANK(INDIRECT(""D"" &amp; ROW() ))) * (INDIRECT(""E"" &amp; ROW()) &lt; TODAY()) * INDIRECT(SUBSTITUTE(ADDRESS(1,COLUMN(),4),1,"""") &amp; 6) &gt; INDIRECT(""E"" &amp; ROW()) "</formula>
    </cfRule>
  </conditionalFormatting>
  <conditionalFormatting sqref="F41">
    <cfRule type="colorScale" priority="80">
      <colorScale>
        <cfvo type="num" val="0"/>
        <cfvo type="num" val="0.5"/>
        <cfvo type="num" val="1"/>
        <color rgb="FFF8696B"/>
        <color rgb="FFFFEB84"/>
        <color rgb="FF63BE7B"/>
      </colorScale>
    </cfRule>
  </conditionalFormatting>
  <conditionalFormatting sqref="E41">
    <cfRule type="cellIs" priority="79" operator="lessThan">
      <formula>TODAY()</formula>
    </cfRule>
  </conditionalFormatting>
  <conditionalFormatting sqref="B41:D41">
    <cfRule type="expression" dxfId="90" priority="78">
      <formula xml:space="preserve"> (INDIRECT("F" &amp; ROW()) &lt; 0.9) * (INDIRECT("E" &amp; ROW()) &gt; TODAY())</formula>
    </cfRule>
  </conditionalFormatting>
  <conditionalFormatting sqref="H41:DZ41">
    <cfRule type="expression" dxfId="89" priority="75">
      <formula xml:space="preserve"> INDIRECT(SUBSTITUTE(ADDRESS(1,COLUMN(),4),1,"") &amp; 6) = TODAY()</formula>
    </cfRule>
  </conditionalFormatting>
  <conditionalFormatting sqref="A41:XFD41">
    <cfRule type="expression" dxfId="88" priority="76">
      <formula xml:space="preserve"> NOT(ISBLANK(INDIRECT("D"&amp;ROW()))) * NOT(ISODD(ROW())) *NOT(ISBLANK(INDIRECT("E"&amp;ROW())))*(INDIRECT(SUBSTITUTE(ADDRESS(1,COLUMN(),4),1,"") &amp; 6) &lt;= INDIRECT("E" &amp; ROW()))*(INDIRECT(SUBSTITUTE(ADDRESS(1,COLUMN(),4),1,"") &amp; 6) &gt;= INDIRECT("D" &amp; ROW()))</formula>
    </cfRule>
    <cfRule type="expression" dxfId="87" priority="77">
      <formula xml:space="preserve"> NOT(ISBLANK(INDIRECT("D"&amp;ROW()))) * ISODD(ROW()) *NOT(ISBLANK(INDIRECT("E"&amp;ROW())))*(INDIRECT(SUBSTITUTE(ADDRESS(1,COLUMN(),4),1,"") &amp; 6) &lt;= INDIRECT("E" &amp; ROW()))*(INDIRECT(SUBSTITUTE(ADDRESS(1,COLUMN(),4),1,"") &amp; 6) &gt;= INDIRECT("D" &amp; ROW()))</formula>
    </cfRule>
  </conditionalFormatting>
  <conditionalFormatting sqref="B8:D18 B48:D49 B20:D22 B41:D43 B45:D46 B51:D733 B24:D39">
    <cfRule type="expression" dxfId="86" priority="59">
      <formula xml:space="preserve"> NOT(ISBLANK(INDIRECT("F" &amp; ROW()))) *( INDIRECT("D" &amp; ROW()) &gt; TODAY()) * INDIRECT("F"&amp;ROW()) &gt; 0.01</formula>
    </cfRule>
    <cfRule type="expression" dxfId="85" priority="81">
      <formula>INDIRECT("D" &amp; ROW()) &gt; TODAY()</formula>
    </cfRule>
  </conditionalFormatting>
  <conditionalFormatting sqref="F47">
    <cfRule type="colorScale" priority="66">
      <colorScale>
        <cfvo type="num" val="0"/>
        <cfvo type="num" val="0.5"/>
        <cfvo type="num" val="1"/>
        <color rgb="FFF8696B"/>
        <color rgb="FFFFEB84"/>
        <color rgb="FF63BE7B"/>
      </colorScale>
    </cfRule>
  </conditionalFormatting>
  <conditionalFormatting sqref="E47">
    <cfRule type="cellIs" priority="65" operator="lessThan">
      <formula>TODAY()</formula>
    </cfRule>
  </conditionalFormatting>
  <conditionalFormatting sqref="B47:D47">
    <cfRule type="expression" dxfId="84" priority="64">
      <formula xml:space="preserve"> (INDIRECT("F" &amp; ROW()) &lt; 0.9) * (INDIRECT("E" &amp; ROW()) &gt; TODAY())</formula>
    </cfRule>
  </conditionalFormatting>
  <conditionalFormatting sqref="H47:DZ47">
    <cfRule type="expression" dxfId="83" priority="61">
      <formula xml:space="preserve"> INDIRECT(SUBSTITUTE(ADDRESS(1,COLUMN(),4),1,"") &amp; 6) = TODAY()</formula>
    </cfRule>
  </conditionalFormatting>
  <conditionalFormatting sqref="A47:XFD47">
    <cfRule type="expression" dxfId="82" priority="62">
      <formula xml:space="preserve"> NOT(ISBLANK(INDIRECT("D"&amp;ROW()))) * NOT(ISODD(ROW())) *NOT(ISBLANK(INDIRECT("E"&amp;ROW())))*(INDIRECT(SUBSTITUTE(ADDRESS(1,COLUMN(),4),1,"") &amp; 6) &lt;= INDIRECT("E" &amp; ROW()))*(INDIRECT(SUBSTITUTE(ADDRESS(1,COLUMN(),4),1,"") &amp; 6) &gt;= INDIRECT("D" &amp; ROW()))</formula>
    </cfRule>
    <cfRule type="expression" dxfId="81" priority="63">
      <formula xml:space="preserve"> NOT(ISBLANK(INDIRECT("D"&amp;ROW()))) * ISODD(ROW()) *NOT(ISBLANK(INDIRECT("E"&amp;ROW())))*(INDIRECT(SUBSTITUTE(ADDRESS(1,COLUMN(),4),1,"") &amp; 6) &lt;= INDIRECT("E" &amp; ROW()))*(INDIRECT(SUBSTITUTE(ADDRESS(1,COLUMN(),4),1,"") &amp; 6) &gt;= INDIRECT("D" &amp; ROW()))</formula>
    </cfRule>
  </conditionalFormatting>
  <conditionalFormatting sqref="E48:E49 E9:E17 E42:E43 E39 E45 E51:E825">
    <cfRule type="expression" dxfId="80" priority="60">
      <formula xml:space="preserve"> INDIRECT("D" &amp; ROW()) &gt; TODAY()</formula>
    </cfRule>
  </conditionalFormatting>
  <conditionalFormatting sqref="F19">
    <cfRule type="colorScale" priority="58">
      <colorScale>
        <cfvo type="num" val="0"/>
        <cfvo type="num" val="0.5"/>
        <cfvo type="num" val="1"/>
        <color rgb="FFF8696B"/>
        <color rgb="FFFFEB84"/>
        <color rgb="FF63BE7B"/>
      </colorScale>
    </cfRule>
  </conditionalFormatting>
  <conditionalFormatting sqref="E19">
    <cfRule type="cellIs" priority="57" operator="lessThan">
      <formula>TODAY()</formula>
    </cfRule>
  </conditionalFormatting>
  <conditionalFormatting sqref="B19:D19">
    <cfRule type="expression" dxfId="79" priority="56">
      <formula xml:space="preserve"> (INDIRECT("F" &amp; ROW()) &lt; 0.9) * (INDIRECT("E" &amp; ROW()) &gt; TODAY())</formula>
    </cfRule>
  </conditionalFormatting>
  <conditionalFormatting sqref="H19:DZ19">
    <cfRule type="expression" dxfId="78" priority="53">
      <formula xml:space="preserve"> INDIRECT(SUBSTITUTE(ADDRESS(1,COLUMN(),4),1,"") &amp; 6) = TODAY()</formula>
    </cfRule>
  </conditionalFormatting>
  <conditionalFormatting sqref="A19:XFD19">
    <cfRule type="expression" dxfId="77" priority="54">
      <formula xml:space="preserve"> NOT(ISBLANK(INDIRECT("D"&amp;ROW()))) * NOT(ISODD(ROW())) *NOT(ISBLANK(INDIRECT("E"&amp;ROW())))*(INDIRECT(SUBSTITUTE(ADDRESS(1,COLUMN(),4),1,"") &amp; 6) &lt;= INDIRECT("E" &amp; ROW()))*(INDIRECT(SUBSTITUTE(ADDRESS(1,COLUMN(),4),1,"") &amp; 6) &gt;= INDIRECT("D" &amp; ROW()))</formula>
    </cfRule>
    <cfRule type="expression" dxfId="76" priority="55">
      <formula xml:space="preserve"> NOT(ISBLANK(INDIRECT("D"&amp;ROW()))) * ISODD(ROW()) *NOT(ISBLANK(INDIRECT("E"&amp;ROW())))*(INDIRECT(SUBSTITUTE(ADDRESS(1,COLUMN(),4),1,"") &amp; 6) &lt;= INDIRECT("E" &amp; ROW()))*(INDIRECT(SUBSTITUTE(ADDRESS(1,COLUMN(),4),1,"") &amp; 6) &gt;= INDIRECT("D" &amp; ROW()))</formula>
    </cfRule>
  </conditionalFormatting>
  <conditionalFormatting sqref="B19:D19">
    <cfRule type="expression" dxfId="75" priority="51">
      <formula xml:space="preserve"> NOT(ISBLANK(INDIRECT("F" &amp; ROW()))) *( INDIRECT("D" &amp; ROW()) &gt; TODAY()) * INDIRECT("F"&amp;ROW()) &gt; 0.01</formula>
    </cfRule>
    <cfRule type="expression" dxfId="74" priority="52">
      <formula>INDIRECT("D" &amp; ROW()) &gt; TODAY()</formula>
    </cfRule>
  </conditionalFormatting>
  <conditionalFormatting sqref="F23">
    <cfRule type="colorScale" priority="50">
      <colorScale>
        <cfvo type="num" val="0"/>
        <cfvo type="num" val="0.5"/>
        <cfvo type="num" val="1"/>
        <color rgb="FFF8696B"/>
        <color rgb="FFFFEB84"/>
        <color rgb="FF63BE7B"/>
      </colorScale>
    </cfRule>
  </conditionalFormatting>
  <conditionalFormatting sqref="B23:D23">
    <cfRule type="expression" dxfId="73" priority="48">
      <formula xml:space="preserve"> (INDIRECT("F" &amp; ROW()) &lt; 0.9) * (INDIRECT("E" &amp; ROW()) &gt; TODAY())</formula>
    </cfRule>
  </conditionalFormatting>
  <conditionalFormatting sqref="H23:DZ23">
    <cfRule type="expression" dxfId="72" priority="45">
      <formula xml:space="preserve"> INDIRECT(SUBSTITUTE(ADDRESS(1,COLUMN(),4),1,"") &amp; 6) = TODAY()</formula>
    </cfRule>
  </conditionalFormatting>
  <conditionalFormatting sqref="A23:D23 F23:XFD23">
    <cfRule type="expression" dxfId="71" priority="46">
      <formula xml:space="preserve"> NOT(ISBLANK(INDIRECT("D"&amp;ROW()))) * NOT(ISODD(ROW())) *NOT(ISBLANK(INDIRECT("E"&amp;ROW())))*(INDIRECT(SUBSTITUTE(ADDRESS(1,COLUMN(),4),1,"") &amp; 6) &lt;= INDIRECT("E" &amp; ROW()))*(INDIRECT(SUBSTITUTE(ADDRESS(1,COLUMN(),4),1,"") &amp; 6) &gt;= INDIRECT("D" &amp; ROW()))</formula>
    </cfRule>
    <cfRule type="expression" dxfId="70" priority="47">
      <formula xml:space="preserve"> NOT(ISBLANK(INDIRECT("D"&amp;ROW()))) * ISODD(ROW()) *NOT(ISBLANK(INDIRECT("E"&amp;ROW())))*(INDIRECT(SUBSTITUTE(ADDRESS(1,COLUMN(),4),1,"") &amp; 6) &lt;= INDIRECT("E" &amp; ROW()))*(INDIRECT(SUBSTITUTE(ADDRESS(1,COLUMN(),4),1,"") &amp; 6) &gt;= INDIRECT("D" &amp; ROW()))</formula>
    </cfRule>
  </conditionalFormatting>
  <conditionalFormatting sqref="B23:D23">
    <cfRule type="expression" dxfId="69" priority="43">
      <formula xml:space="preserve"> NOT(ISBLANK(INDIRECT("F" &amp; ROW()))) *( INDIRECT("D" &amp; ROW()) &gt; TODAY()) * INDIRECT("F"&amp;ROW()) &gt; 0.01</formula>
    </cfRule>
    <cfRule type="expression" dxfId="68" priority="44">
      <formula>INDIRECT("D" &amp; ROW()) &gt; TODAY()</formula>
    </cfRule>
  </conditionalFormatting>
  <conditionalFormatting sqref="B50:D50">
    <cfRule type="expression" dxfId="67" priority="19">
      <formula xml:space="preserve"> NOT(ISBLANK(INDIRECT("F" &amp; ROW()))) *( INDIRECT("D" &amp; ROW()) &gt; TODAY()) * INDIRECT("F"&amp;ROW()) &gt; 0.01</formula>
    </cfRule>
    <cfRule type="expression" dxfId="66" priority="20">
      <formula>INDIRECT("D" &amp; ROW()) &gt; TODAY()</formula>
    </cfRule>
  </conditionalFormatting>
  <conditionalFormatting sqref="F40">
    <cfRule type="colorScale" priority="42">
      <colorScale>
        <cfvo type="num" val="0"/>
        <cfvo type="num" val="0.5"/>
        <cfvo type="num" val="1"/>
        <color rgb="FFF8696B"/>
        <color rgb="FFFFEB84"/>
        <color rgb="FF63BE7B"/>
      </colorScale>
    </cfRule>
  </conditionalFormatting>
  <conditionalFormatting sqref="E40">
    <cfRule type="cellIs" priority="41" operator="lessThan">
      <formula>TODAY()</formula>
    </cfRule>
  </conditionalFormatting>
  <conditionalFormatting sqref="B40:D40">
    <cfRule type="expression" dxfId="65" priority="40">
      <formula xml:space="preserve"> (INDIRECT("F" &amp; ROW()) &lt; 0.9) * (INDIRECT("E" &amp; ROW()) &gt; TODAY())</formula>
    </cfRule>
  </conditionalFormatting>
  <conditionalFormatting sqref="H40:DZ40">
    <cfRule type="expression" dxfId="64" priority="37">
      <formula xml:space="preserve"> INDIRECT(SUBSTITUTE(ADDRESS(1,COLUMN(),4),1,"") &amp; 6) = TODAY()</formula>
    </cfRule>
  </conditionalFormatting>
  <conditionalFormatting sqref="A40:XFD40">
    <cfRule type="expression" dxfId="63" priority="38">
      <formula xml:space="preserve"> NOT(ISBLANK(INDIRECT("D"&amp;ROW()))) * NOT(ISODD(ROW())) *NOT(ISBLANK(INDIRECT("E"&amp;ROW())))*(INDIRECT(SUBSTITUTE(ADDRESS(1,COLUMN(),4),1,"") &amp; 6) &lt;= INDIRECT("E" &amp; ROW()))*(INDIRECT(SUBSTITUTE(ADDRESS(1,COLUMN(),4),1,"") &amp; 6) &gt;= INDIRECT("D" &amp; ROW()))</formula>
    </cfRule>
    <cfRule type="expression" dxfId="62" priority="39">
      <formula xml:space="preserve"> NOT(ISBLANK(INDIRECT("D"&amp;ROW()))) * ISODD(ROW()) *NOT(ISBLANK(INDIRECT("E"&amp;ROW())))*(INDIRECT(SUBSTITUTE(ADDRESS(1,COLUMN(),4),1,"") &amp; 6) &lt;= INDIRECT("E" &amp; ROW()))*(INDIRECT(SUBSTITUTE(ADDRESS(1,COLUMN(),4),1,"") &amp; 6) &gt;= INDIRECT("D" &amp; ROW()))</formula>
    </cfRule>
  </conditionalFormatting>
  <conditionalFormatting sqref="B40:D40">
    <cfRule type="expression" dxfId="61" priority="35">
      <formula xml:space="preserve"> NOT(ISBLANK(INDIRECT("F" &amp; ROW()))) *( INDIRECT("D" &amp; ROW()) &gt; TODAY()) * INDIRECT("F"&amp;ROW()) &gt; 0.01</formula>
    </cfRule>
    <cfRule type="expression" dxfId="60" priority="36">
      <formula>INDIRECT("D" &amp; ROW()) &gt; TODAY()</formula>
    </cfRule>
  </conditionalFormatting>
  <conditionalFormatting sqref="F44">
    <cfRule type="colorScale" priority="34">
      <colorScale>
        <cfvo type="num" val="0"/>
        <cfvo type="num" val="0.5"/>
        <cfvo type="num" val="1"/>
        <color rgb="FFF8696B"/>
        <color rgb="FFFFEB84"/>
        <color rgb="FF63BE7B"/>
      </colorScale>
    </cfRule>
  </conditionalFormatting>
  <conditionalFormatting sqref="B44:D44">
    <cfRule type="expression" dxfId="59" priority="32">
      <formula xml:space="preserve"> (INDIRECT("F" &amp; ROW()) &lt; 0.9) * (INDIRECT("E" &amp; ROW()) &gt; TODAY())</formula>
    </cfRule>
  </conditionalFormatting>
  <conditionalFormatting sqref="H44:DZ44">
    <cfRule type="expression" dxfId="58" priority="29">
      <formula xml:space="preserve"> INDIRECT(SUBSTITUTE(ADDRESS(1,COLUMN(),4),1,"") &amp; 6) = TODAY()</formula>
    </cfRule>
  </conditionalFormatting>
  <conditionalFormatting sqref="A44:D44 F44:XFD44">
    <cfRule type="expression" dxfId="57" priority="30">
      <formula xml:space="preserve"> NOT(ISBLANK(INDIRECT("D"&amp;ROW()))) * NOT(ISODD(ROW())) *NOT(ISBLANK(INDIRECT("E"&amp;ROW())))*(INDIRECT(SUBSTITUTE(ADDRESS(1,COLUMN(),4),1,"") &amp; 6) &lt;= INDIRECT("E" &amp; ROW()))*(INDIRECT(SUBSTITUTE(ADDRESS(1,COLUMN(),4),1,"") &amp; 6) &gt;= INDIRECT("D" &amp; ROW()))</formula>
    </cfRule>
    <cfRule type="expression" dxfId="56" priority="31">
      <formula xml:space="preserve"> NOT(ISBLANK(INDIRECT("D"&amp;ROW()))) * ISODD(ROW()) *NOT(ISBLANK(INDIRECT("E"&amp;ROW())))*(INDIRECT(SUBSTITUTE(ADDRESS(1,COLUMN(),4),1,"") &amp; 6) &lt;= INDIRECT("E" &amp; ROW()))*(INDIRECT(SUBSTITUTE(ADDRESS(1,COLUMN(),4),1,"") &amp; 6) &gt;= INDIRECT("D" &amp; ROW()))</formula>
    </cfRule>
  </conditionalFormatting>
  <conditionalFormatting sqref="B44:D44">
    <cfRule type="expression" dxfId="55" priority="27">
      <formula xml:space="preserve"> NOT(ISBLANK(INDIRECT("F" &amp; ROW()))) *( INDIRECT("D" &amp; ROW()) &gt; TODAY()) * INDIRECT("F"&amp;ROW()) &gt; 0.01</formula>
    </cfRule>
    <cfRule type="expression" dxfId="54" priority="28">
      <formula>INDIRECT("D" &amp; ROW()) &gt; TODAY()</formula>
    </cfRule>
  </conditionalFormatting>
  <conditionalFormatting sqref="F50">
    <cfRule type="colorScale" priority="26">
      <colorScale>
        <cfvo type="num" val="0"/>
        <cfvo type="num" val="0.5"/>
        <cfvo type="num" val="1"/>
        <color rgb="FFF8696B"/>
        <color rgb="FFFFEB84"/>
        <color rgb="FF63BE7B"/>
      </colorScale>
    </cfRule>
  </conditionalFormatting>
  <conditionalFormatting sqref="B50:D50">
    <cfRule type="expression" dxfId="53" priority="24">
      <formula xml:space="preserve"> (INDIRECT("F" &amp; ROW()) &lt; 0.9) * (INDIRECT("E" &amp; ROW()) &gt; TODAY())</formula>
    </cfRule>
  </conditionalFormatting>
  <conditionalFormatting sqref="H50:DZ50">
    <cfRule type="expression" dxfId="52" priority="21">
      <formula xml:space="preserve"> INDIRECT(SUBSTITUTE(ADDRESS(1,COLUMN(),4),1,"") &amp; 6) = TODAY()</formula>
    </cfRule>
  </conditionalFormatting>
  <conditionalFormatting sqref="A50:D50 F50:XFD50">
    <cfRule type="expression" dxfId="51" priority="22">
      <formula xml:space="preserve"> NOT(ISBLANK(INDIRECT("D"&amp;ROW()))) * NOT(ISODD(ROW())) *NOT(ISBLANK(INDIRECT("E"&amp;ROW())))*(INDIRECT(SUBSTITUTE(ADDRESS(1,COLUMN(),4),1,"") &amp; 6) &lt;= INDIRECT("E" &amp; ROW()))*(INDIRECT(SUBSTITUTE(ADDRESS(1,COLUMN(),4),1,"") &amp; 6) &gt;= INDIRECT("D" &amp; ROW()))</formula>
    </cfRule>
    <cfRule type="expression" dxfId="50" priority="23">
      <formula xml:space="preserve"> NOT(ISBLANK(INDIRECT("D"&amp;ROW()))) * ISODD(ROW()) *NOT(ISBLANK(INDIRECT("E"&amp;ROW())))*(INDIRECT(SUBSTITUTE(ADDRESS(1,COLUMN(),4),1,"") &amp; 6) &lt;= INDIRECT("E" &amp; ROW()))*(INDIRECT(SUBSTITUTE(ADDRESS(1,COLUMN(),4),1,"") &amp; 6) &gt;= INDIRECT("D" &amp; ROW()))</formula>
    </cfRule>
  </conditionalFormatting>
  <conditionalFormatting sqref="E23">
    <cfRule type="cellIs" dxfId="49" priority="17" operator="lessThanOrEqual">
      <formula>TODAY()</formula>
    </cfRule>
    <cfRule type="cellIs" dxfId="48" priority="18" operator="greaterThan">
      <formula>TODAY()</formula>
    </cfRule>
  </conditionalFormatting>
  <conditionalFormatting sqref="E23">
    <cfRule type="expression" dxfId="47" priority="16">
      <formula>ISBLANK(INDIRECT("E"&amp;ROW()))</formula>
    </cfRule>
  </conditionalFormatting>
  <conditionalFormatting sqref="E23">
    <cfRule type="expression" dxfId="46" priority="14">
      <formula xml:space="preserve"> NOT(ISBLANK(INDIRECT("D"&amp;ROW()))) * NOT(ISODD(ROW())) *NOT(ISBLANK(INDIRECT("E"&amp;ROW())))*(INDIRECT(SUBSTITUTE(ADDRESS(1,COLUMN(),4),1,"") &amp; 6) &lt;= INDIRECT("E" &amp; ROW()))*(INDIRECT(SUBSTITUTE(ADDRESS(1,COLUMN(),4),1,"") &amp; 6) &gt;= INDIRECT("D" &amp; ROW()))</formula>
    </cfRule>
    <cfRule type="expression" dxfId="45" priority="15">
      <formula xml:space="preserve"> NOT(ISBLANK(INDIRECT("D"&amp;ROW()))) * ISODD(ROW()) *NOT(ISBLANK(INDIRECT("E"&amp;ROW())))*(INDIRECT(SUBSTITUTE(ADDRESS(1,COLUMN(),4),1,"") &amp; 6) &lt;= INDIRECT("E" &amp; ROW()))*(INDIRECT(SUBSTITUTE(ADDRESS(1,COLUMN(),4),1,"") &amp; 6) &gt;= INDIRECT("D" &amp; ROW()))</formula>
    </cfRule>
  </conditionalFormatting>
  <conditionalFormatting sqref="E23">
    <cfRule type="expression" dxfId="44" priority="13">
      <formula xml:space="preserve"> INDIRECT("D" &amp; ROW()) &gt; TODAY()</formula>
    </cfRule>
  </conditionalFormatting>
  <conditionalFormatting sqref="E44">
    <cfRule type="cellIs" dxfId="43" priority="11" operator="lessThanOrEqual">
      <formula>TODAY()</formula>
    </cfRule>
    <cfRule type="cellIs" dxfId="42" priority="12" operator="greaterThan">
      <formula>TODAY()</formula>
    </cfRule>
  </conditionalFormatting>
  <conditionalFormatting sqref="E44">
    <cfRule type="expression" dxfId="41" priority="10">
      <formula>ISBLANK(INDIRECT("E"&amp;ROW()))</formula>
    </cfRule>
  </conditionalFormatting>
  <conditionalFormatting sqref="E44">
    <cfRule type="expression" dxfId="40" priority="8">
      <formula xml:space="preserve"> NOT(ISBLANK(INDIRECT("D"&amp;ROW()))) * NOT(ISODD(ROW())) *NOT(ISBLANK(INDIRECT("E"&amp;ROW())))*(INDIRECT(SUBSTITUTE(ADDRESS(1,COLUMN(),4),1,"") &amp; 6) &lt;= INDIRECT("E" &amp; ROW()))*(INDIRECT(SUBSTITUTE(ADDRESS(1,COLUMN(),4),1,"") &amp; 6) &gt;= INDIRECT("D" &amp; ROW()))</formula>
    </cfRule>
    <cfRule type="expression" dxfId="39" priority="9">
      <formula xml:space="preserve"> NOT(ISBLANK(INDIRECT("D"&amp;ROW()))) * ISODD(ROW()) *NOT(ISBLANK(INDIRECT("E"&amp;ROW())))*(INDIRECT(SUBSTITUTE(ADDRESS(1,COLUMN(),4),1,"") &amp; 6) &lt;= INDIRECT("E" &amp; ROW()))*(INDIRECT(SUBSTITUTE(ADDRESS(1,COLUMN(),4),1,"") &amp; 6) &gt;= INDIRECT("D" &amp; ROW()))</formula>
    </cfRule>
  </conditionalFormatting>
  <conditionalFormatting sqref="E44">
    <cfRule type="expression" dxfId="38" priority="7">
      <formula xml:space="preserve"> INDIRECT("D" &amp; ROW()) &gt; TODAY()</formula>
    </cfRule>
  </conditionalFormatting>
  <conditionalFormatting sqref="E50">
    <cfRule type="cellIs" dxfId="37" priority="5" operator="lessThanOrEqual">
      <formula>TODAY()</formula>
    </cfRule>
    <cfRule type="cellIs" dxfId="36" priority="6" operator="greaterThan">
      <formula>TODAY()</formula>
    </cfRule>
  </conditionalFormatting>
  <conditionalFormatting sqref="E50">
    <cfRule type="expression" dxfId="35" priority="4">
      <formula>ISBLANK(INDIRECT("E"&amp;ROW()))</formula>
    </cfRule>
  </conditionalFormatting>
  <conditionalFormatting sqref="E50">
    <cfRule type="expression" dxfId="34" priority="2">
      <formula xml:space="preserve"> NOT(ISBLANK(INDIRECT("D"&amp;ROW()))) * NOT(ISODD(ROW())) *NOT(ISBLANK(INDIRECT("E"&amp;ROW())))*(INDIRECT(SUBSTITUTE(ADDRESS(1,COLUMN(),4),1,"") &amp; 6) &lt;= INDIRECT("E" &amp; ROW()))*(INDIRECT(SUBSTITUTE(ADDRESS(1,COLUMN(),4),1,"") &amp; 6) &gt;= INDIRECT("D" &amp; ROW()))</formula>
    </cfRule>
    <cfRule type="expression" dxfId="33" priority="3">
      <formula xml:space="preserve"> NOT(ISBLANK(INDIRECT("D"&amp;ROW()))) * ISODD(ROW()) *NOT(ISBLANK(INDIRECT("E"&amp;ROW())))*(INDIRECT(SUBSTITUTE(ADDRESS(1,COLUMN(),4),1,"") &amp; 6) &lt;= INDIRECT("E" &amp; ROW()))*(INDIRECT(SUBSTITUTE(ADDRESS(1,COLUMN(),4),1,"") &amp; 6) &gt;= INDIRECT("D" &amp; ROW()))</formula>
    </cfRule>
  </conditionalFormatting>
  <conditionalFormatting sqref="E50">
    <cfRule type="expression" dxfId="32" priority="1">
      <formula xml:space="preserve"> 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88900</xdr:colOff>
                    <xdr:row>0</xdr:row>
                    <xdr:rowOff>76200</xdr:rowOff>
                  </from>
                  <to>
                    <xdr:col>23</xdr:col>
                    <xdr:colOff>190500</xdr:colOff>
                    <xdr:row>1</xdr:row>
                    <xdr:rowOff>101600</xdr:rowOff>
                  </to>
                </anchor>
              </controlPr>
            </control>
          </mc:Choice>
          <mc:Fallback/>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88900</xdr:rowOff>
                  </from>
                  <to>
                    <xdr:col>11</xdr:col>
                    <xdr:colOff>533400</xdr:colOff>
                    <xdr:row>2</xdr:row>
                    <xdr:rowOff>368300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L83"/>
  <sheetViews>
    <sheetView topLeftCell="C60" zoomScale="135" workbookViewId="0">
      <selection activeCell="D74" sqref="D74"/>
    </sheetView>
  </sheetViews>
  <sheetFormatPr baseColWidth="10" defaultColWidth="8.83203125" defaultRowHeight="15" outlineLevelRow="2" x14ac:dyDescent="0.2"/>
  <cols>
    <col min="1" max="1" width="12.5" style="113" customWidth="1"/>
    <col min="2" max="2" width="12.5" style="147" customWidth="1"/>
    <col min="3" max="3" width="10.33203125" style="166" customWidth="1"/>
    <col min="4" max="4" width="20.1640625" style="155" customWidth="1"/>
    <col min="5" max="5" width="30.33203125" style="133" customWidth="1"/>
    <col min="6" max="6" width="24.5" style="161" customWidth="1"/>
    <col min="7" max="7" width="40.83203125" style="87" customWidth="1"/>
    <col min="8" max="8" width="27.5" style="1" customWidth="1"/>
    <col min="9" max="9" width="56" style="1" customWidth="1"/>
    <col min="10" max="10" width="54.83203125" style="1" customWidth="1"/>
    <col min="11" max="11" width="8.83203125" style="1"/>
    <col min="12" max="12" width="18.5" style="1" customWidth="1"/>
    <col min="13" max="16384" width="8.83203125" style="1"/>
  </cols>
  <sheetData>
    <row r="1" spans="1:12" s="125" customFormat="1" ht="27.75" customHeight="1" x14ac:dyDescent="0.2">
      <c r="A1" s="113"/>
      <c r="B1" s="142"/>
      <c r="C1" s="164"/>
      <c r="D1" s="153"/>
      <c r="E1" s="129">
        <f ca="1">TODAY()</f>
        <v>43150</v>
      </c>
      <c r="G1" s="157" t="s">
        <v>104</v>
      </c>
      <c r="H1" s="136">
        <f ca="1">HOUR(I1)</f>
        <v>20</v>
      </c>
      <c r="I1" s="137">
        <f ca="1">NOW()</f>
        <v>43150.859781481478</v>
      </c>
      <c r="J1" s="125" t="s">
        <v>37</v>
      </c>
      <c r="L1" s="125" t="s">
        <v>36</v>
      </c>
    </row>
    <row r="2" spans="1:12" s="125" customFormat="1" ht="29.25" customHeight="1" x14ac:dyDescent="0.2">
      <c r="A2" s="111"/>
      <c r="B2" s="143"/>
      <c r="C2" s="164"/>
      <c r="D2" s="153"/>
      <c r="F2" s="158"/>
      <c r="G2" s="140"/>
      <c r="H2" s="127"/>
    </row>
    <row r="4" spans="1:12" x14ac:dyDescent="0.2">
      <c r="A4" s="139" t="s">
        <v>103</v>
      </c>
      <c r="B4" s="144" t="s">
        <v>97</v>
      </c>
      <c r="C4" s="165" t="s">
        <v>99</v>
      </c>
      <c r="D4" s="154" t="s">
        <v>146</v>
      </c>
      <c r="E4" s="150" t="s">
        <v>96</v>
      </c>
      <c r="F4" s="159" t="s">
        <v>98</v>
      </c>
      <c r="G4" s="151" t="s">
        <v>15</v>
      </c>
      <c r="H4" s="150" t="s">
        <v>100</v>
      </c>
      <c r="I4" s="150" t="s">
        <v>101</v>
      </c>
      <c r="J4" s="150" t="s">
        <v>102</v>
      </c>
    </row>
    <row r="5" spans="1:12" x14ac:dyDescent="0.2">
      <c r="A5" s="139"/>
      <c r="B5" s="144"/>
      <c r="C5" s="165"/>
      <c r="D5" s="154"/>
      <c r="E5" s="150"/>
      <c r="F5" s="159"/>
      <c r="G5" s="151"/>
      <c r="H5" s="150"/>
      <c r="I5" s="150"/>
      <c r="J5" s="150"/>
    </row>
    <row r="6" spans="1:12" ht="16" x14ac:dyDescent="0.2">
      <c r="A6" s="139"/>
      <c r="B6" s="144"/>
      <c r="C6" s="165"/>
      <c r="D6" s="154"/>
      <c r="E6" s="163" t="s">
        <v>181</v>
      </c>
      <c r="F6" s="159"/>
      <c r="G6" s="151"/>
      <c r="H6" s="150"/>
      <c r="I6" s="150"/>
      <c r="J6" s="150"/>
    </row>
    <row r="8" spans="1:12" s="133" customFormat="1" outlineLevel="1" x14ac:dyDescent="0.2">
      <c r="A8" s="141"/>
      <c r="B8" s="149"/>
      <c r="C8" s="166">
        <f>AVERAGE(C9:C12)</f>
        <v>0.75</v>
      </c>
      <c r="D8" s="155">
        <f ca="1">TODAY()</f>
        <v>43150</v>
      </c>
      <c r="E8" s="150" t="s">
        <v>116</v>
      </c>
      <c r="F8" s="161">
        <v>43146</v>
      </c>
      <c r="G8" s="152"/>
    </row>
    <row r="9" spans="1:12" s="133" customFormat="1" ht="40.5" hidden="1" customHeight="1" outlineLevel="2" x14ac:dyDescent="0.2">
      <c r="A9" s="141"/>
      <c r="B9" s="145" t="s">
        <v>110</v>
      </c>
      <c r="C9" s="166">
        <v>1</v>
      </c>
      <c r="D9" s="156">
        <v>43141</v>
      </c>
      <c r="E9" s="133" t="s">
        <v>109</v>
      </c>
      <c r="F9" s="160">
        <f ca="1">TODAY()+1</f>
        <v>43151</v>
      </c>
      <c r="G9" s="152"/>
    </row>
    <row r="10" spans="1:12" ht="47.25" hidden="1" customHeight="1" outlineLevel="2" x14ac:dyDescent="0.2">
      <c r="A10" s="138"/>
      <c r="B10" s="148" t="s">
        <v>111</v>
      </c>
      <c r="C10" s="166">
        <v>1</v>
      </c>
      <c r="D10" s="155">
        <v>43141</v>
      </c>
      <c r="E10" s="133" t="s">
        <v>106</v>
      </c>
      <c r="F10" s="161">
        <v>43146</v>
      </c>
    </row>
    <row r="11" spans="1:12" ht="67.5" hidden="1" customHeight="1" outlineLevel="2" x14ac:dyDescent="0.2">
      <c r="A11" s="136"/>
      <c r="B11" s="148" t="s">
        <v>112</v>
      </c>
      <c r="C11" s="166">
        <v>1</v>
      </c>
      <c r="D11" s="155">
        <f ca="1">TODAY()</f>
        <v>43150</v>
      </c>
      <c r="E11" s="133" t="s">
        <v>105</v>
      </c>
      <c r="F11" s="161">
        <v>43146</v>
      </c>
    </row>
    <row r="12" spans="1:12" ht="72" hidden="1" customHeight="1" outlineLevel="2" x14ac:dyDescent="0.2">
      <c r="A12" s="136"/>
      <c r="B12" s="148" t="s">
        <v>113</v>
      </c>
      <c r="C12" s="166">
        <v>0</v>
      </c>
      <c r="D12" s="155">
        <f ca="1">TODAY()</f>
        <v>43150</v>
      </c>
      <c r="E12" s="133" t="s">
        <v>107</v>
      </c>
      <c r="F12" s="161">
        <v>43146</v>
      </c>
      <c r="G12" s="87" t="s">
        <v>108</v>
      </c>
    </row>
    <row r="13" spans="1:12" outlineLevel="1" collapsed="1" x14ac:dyDescent="0.2"/>
    <row r="14" spans="1:12" ht="16.5" customHeight="1" outlineLevel="1" x14ac:dyDescent="0.2">
      <c r="A14" s="136"/>
      <c r="B14" s="148"/>
      <c r="C14" s="166">
        <v>0</v>
      </c>
      <c r="D14" s="155">
        <v>43144</v>
      </c>
      <c r="E14" s="150" t="s">
        <v>117</v>
      </c>
      <c r="F14" s="161">
        <v>43151</v>
      </c>
    </row>
    <row r="15" spans="1:12" ht="75" hidden="1" customHeight="1" outlineLevel="2" x14ac:dyDescent="0.2">
      <c r="A15" s="136"/>
      <c r="B15" s="146" t="s">
        <v>114</v>
      </c>
      <c r="C15" s="166">
        <v>1</v>
      </c>
      <c r="D15" s="155">
        <v>43142</v>
      </c>
      <c r="E15" s="133" t="s">
        <v>115</v>
      </c>
      <c r="F15" s="161">
        <f ca="1">TODAY()+2</f>
        <v>43152</v>
      </c>
    </row>
    <row r="16" spans="1:12" ht="87" hidden="1" customHeight="1" outlineLevel="2" x14ac:dyDescent="0.2">
      <c r="A16" s="136"/>
      <c r="B16" s="146" t="s">
        <v>118</v>
      </c>
      <c r="C16" s="166">
        <v>0.1</v>
      </c>
      <c r="D16" s="155">
        <v>43144</v>
      </c>
      <c r="E16" s="133" t="s">
        <v>119</v>
      </c>
      <c r="F16" s="161">
        <f ca="1">TODAY()+5</f>
        <v>43155</v>
      </c>
      <c r="G16" s="87" t="s">
        <v>231</v>
      </c>
      <c r="I16" s="1" t="s">
        <v>230</v>
      </c>
    </row>
    <row r="17" spans="1:9" ht="101.25" hidden="1" customHeight="1" outlineLevel="2" x14ac:dyDescent="0.2">
      <c r="A17" s="188"/>
      <c r="B17" s="146" t="s">
        <v>127</v>
      </c>
      <c r="C17" s="166">
        <v>1</v>
      </c>
      <c r="D17" s="155">
        <v>43144</v>
      </c>
      <c r="E17" s="133" t="s">
        <v>128</v>
      </c>
      <c r="F17" s="161">
        <v>43149</v>
      </c>
      <c r="I17" s="1" t="s">
        <v>129</v>
      </c>
    </row>
    <row r="18" spans="1:9" s="187" customFormat="1" ht="131" hidden="1" customHeight="1" outlineLevel="2" x14ac:dyDescent="0.2">
      <c r="A18" s="180"/>
      <c r="B18" s="181" t="s">
        <v>120</v>
      </c>
      <c r="C18" s="182">
        <v>1</v>
      </c>
      <c r="D18" s="183">
        <v>43142</v>
      </c>
      <c r="E18" s="184" t="s">
        <v>121</v>
      </c>
      <c r="F18" s="185">
        <f ca="1">TODAY()+7</f>
        <v>43157</v>
      </c>
      <c r="G18" s="186"/>
      <c r="I18" s="187" t="s">
        <v>130</v>
      </c>
    </row>
    <row r="19" spans="1:9" s="187" customFormat="1" ht="51" hidden="1" customHeight="1" outlineLevel="2" x14ac:dyDescent="0.2">
      <c r="A19" s="180"/>
      <c r="B19" s="181" t="s">
        <v>122</v>
      </c>
      <c r="C19" s="182">
        <v>1</v>
      </c>
      <c r="D19" s="183">
        <v>43144</v>
      </c>
      <c r="E19" s="184" t="s">
        <v>123</v>
      </c>
      <c r="F19" s="185">
        <v>43150</v>
      </c>
      <c r="G19" s="186"/>
    </row>
    <row r="20" spans="1:9" s="187" customFormat="1" ht="66" hidden="1" customHeight="1" outlineLevel="2" x14ac:dyDescent="0.2">
      <c r="A20" s="180"/>
      <c r="B20" s="181" t="s">
        <v>124</v>
      </c>
      <c r="C20" s="182">
        <v>1</v>
      </c>
      <c r="D20" s="183">
        <v>43144</v>
      </c>
      <c r="E20" s="184" t="s">
        <v>126</v>
      </c>
      <c r="F20" s="185">
        <v>43151</v>
      </c>
      <c r="G20" s="186"/>
    </row>
    <row r="21" spans="1:9" outlineLevel="1" collapsed="1" x14ac:dyDescent="0.2"/>
    <row r="22" spans="1:9" outlineLevel="1" x14ac:dyDescent="0.2">
      <c r="A22" s="136"/>
      <c r="B22" s="146"/>
      <c r="C22" s="166">
        <f>AVERAGE(C23:C30)</f>
        <v>3.125E-2</v>
      </c>
      <c r="D22" s="155">
        <f ca="1">TODAY()</f>
        <v>43150</v>
      </c>
      <c r="E22" s="150" t="s">
        <v>131</v>
      </c>
      <c r="F22" s="161">
        <v>43166</v>
      </c>
    </row>
    <row r="23" spans="1:9" ht="30" customHeight="1" outlineLevel="2" x14ac:dyDescent="0.2">
      <c r="A23" s="136"/>
      <c r="B23" s="146" t="s">
        <v>214</v>
      </c>
      <c r="C23" s="166">
        <v>0.25</v>
      </c>
      <c r="D23" s="155">
        <f ca="1">TODAY()</f>
        <v>43150</v>
      </c>
      <c r="E23" s="133" t="s">
        <v>132</v>
      </c>
      <c r="F23" s="161">
        <v>43148</v>
      </c>
    </row>
    <row r="24" spans="1:9" ht="31.5" customHeight="1" outlineLevel="2" x14ac:dyDescent="0.2">
      <c r="A24" s="136"/>
      <c r="B24" s="146" t="s">
        <v>215</v>
      </c>
      <c r="C24" s="166">
        <v>0</v>
      </c>
      <c r="D24" s="161">
        <v>43142</v>
      </c>
      <c r="E24" s="133" t="s">
        <v>133</v>
      </c>
      <c r="F24" s="156">
        <v>43160</v>
      </c>
      <c r="G24" s="87" t="s">
        <v>141</v>
      </c>
    </row>
    <row r="25" spans="1:9" ht="26.25" customHeight="1" outlineLevel="2" x14ac:dyDescent="0.2">
      <c r="A25" s="136"/>
      <c r="B25" s="146" t="s">
        <v>220</v>
      </c>
      <c r="C25" s="166">
        <v>0</v>
      </c>
      <c r="D25" s="161">
        <v>43143</v>
      </c>
      <c r="E25" s="133" t="s">
        <v>139</v>
      </c>
      <c r="F25" s="161">
        <v>43161</v>
      </c>
    </row>
    <row r="26" spans="1:9" ht="26.25" customHeight="1" outlineLevel="2" x14ac:dyDescent="0.2">
      <c r="A26" s="136"/>
      <c r="B26" s="146" t="s">
        <v>216</v>
      </c>
      <c r="C26" s="166">
        <v>0</v>
      </c>
      <c r="D26" s="161">
        <v>43144</v>
      </c>
      <c r="E26" s="133" t="s">
        <v>134</v>
      </c>
      <c r="F26" s="161">
        <v>43162</v>
      </c>
    </row>
    <row r="27" spans="1:9" ht="24" customHeight="1" outlineLevel="2" x14ac:dyDescent="0.2">
      <c r="A27" s="136"/>
      <c r="B27" s="146" t="s">
        <v>216</v>
      </c>
      <c r="C27" s="166">
        <v>0</v>
      </c>
      <c r="D27" s="161">
        <v>43145</v>
      </c>
      <c r="E27" s="133" t="s">
        <v>135</v>
      </c>
      <c r="F27" s="161">
        <v>43163</v>
      </c>
    </row>
    <row r="28" spans="1:9" ht="22.5" customHeight="1" outlineLevel="2" x14ac:dyDescent="0.2">
      <c r="A28" s="136"/>
      <c r="B28" s="146" t="s">
        <v>219</v>
      </c>
      <c r="C28" s="166">
        <v>0</v>
      </c>
      <c r="D28" s="161">
        <v>43146</v>
      </c>
      <c r="E28" s="133" t="s">
        <v>136</v>
      </c>
      <c r="F28" s="161">
        <v>43164</v>
      </c>
    </row>
    <row r="29" spans="1:9" ht="30" outlineLevel="2" x14ac:dyDescent="0.2">
      <c r="A29" s="136"/>
      <c r="B29" s="146" t="s">
        <v>217</v>
      </c>
      <c r="C29" s="166">
        <v>0</v>
      </c>
      <c r="D29" s="161">
        <v>43147</v>
      </c>
      <c r="E29" s="133" t="s">
        <v>137</v>
      </c>
      <c r="F29" s="161">
        <v>43165</v>
      </c>
      <c r="G29" s="87" t="s">
        <v>140</v>
      </c>
    </row>
    <row r="30" spans="1:9" ht="35.25" customHeight="1" outlineLevel="2" x14ac:dyDescent="0.2">
      <c r="A30" s="136"/>
      <c r="B30" s="146" t="s">
        <v>218</v>
      </c>
      <c r="C30" s="166">
        <v>0</v>
      </c>
      <c r="D30" s="161">
        <v>43148</v>
      </c>
      <c r="E30" s="133" t="s">
        <v>138</v>
      </c>
      <c r="F30" s="161">
        <v>43166</v>
      </c>
    </row>
    <row r="31" spans="1:9" outlineLevel="1" x14ac:dyDescent="0.2">
      <c r="A31" s="135"/>
    </row>
    <row r="32" spans="1:9" outlineLevel="1" x14ac:dyDescent="0.2">
      <c r="A32" s="135"/>
      <c r="C32" s="166">
        <v>0.2</v>
      </c>
      <c r="D32" s="155">
        <v>43163</v>
      </c>
      <c r="E32" s="150" t="s">
        <v>148</v>
      </c>
      <c r="F32" s="161">
        <v>43195</v>
      </c>
    </row>
    <row r="33" spans="3:9" ht="165" outlineLevel="2" x14ac:dyDescent="0.2">
      <c r="C33" s="166">
        <v>0.01</v>
      </c>
      <c r="D33" s="155">
        <v>43163</v>
      </c>
      <c r="E33" s="133" t="s">
        <v>235</v>
      </c>
      <c r="F33" s="161">
        <v>43177</v>
      </c>
      <c r="G33" s="87" t="s">
        <v>160</v>
      </c>
      <c r="I33" s="1" t="s">
        <v>144</v>
      </c>
    </row>
    <row r="34" spans="3:9" ht="45" outlineLevel="2" x14ac:dyDescent="0.2">
      <c r="C34" s="166">
        <v>0</v>
      </c>
      <c r="D34" s="155">
        <v>43173</v>
      </c>
      <c r="E34" s="133" t="s">
        <v>143</v>
      </c>
      <c r="F34" s="161">
        <f>F33+7</f>
        <v>43184</v>
      </c>
      <c r="I34" s="1" t="s">
        <v>145</v>
      </c>
    </row>
    <row r="35" spans="3:9" ht="48" customHeight="1" outlineLevel="2" x14ac:dyDescent="0.2">
      <c r="C35" s="166">
        <v>0</v>
      </c>
      <c r="D35" s="155">
        <v>43180</v>
      </c>
      <c r="E35" s="133" t="s">
        <v>149</v>
      </c>
      <c r="F35" s="161" t="s">
        <v>150</v>
      </c>
      <c r="G35" s="87" t="s">
        <v>151</v>
      </c>
    </row>
    <row r="36" spans="3:9" outlineLevel="1" x14ac:dyDescent="0.2"/>
    <row r="37" spans="3:9" outlineLevel="1" x14ac:dyDescent="0.2">
      <c r="C37" s="166">
        <v>0.2</v>
      </c>
      <c r="D37" s="155">
        <v>43195</v>
      </c>
      <c r="E37" s="150" t="s">
        <v>153</v>
      </c>
      <c r="F37" s="161">
        <v>43252</v>
      </c>
    </row>
    <row r="38" spans="3:9" ht="135" outlineLevel="2" x14ac:dyDescent="0.2">
      <c r="C38" s="166">
        <v>0</v>
      </c>
      <c r="D38" s="155">
        <v>43195</v>
      </c>
      <c r="E38" s="133" t="s">
        <v>152</v>
      </c>
      <c r="F38" s="161">
        <v>43217</v>
      </c>
      <c r="G38" s="87" t="s">
        <v>157</v>
      </c>
      <c r="H38" s="1" t="s">
        <v>250</v>
      </c>
      <c r="I38" s="1" t="s">
        <v>256</v>
      </c>
    </row>
    <row r="39" spans="3:9" ht="107.25" customHeight="1" outlineLevel="2" x14ac:dyDescent="0.2">
      <c r="C39" s="166">
        <v>0</v>
      </c>
      <c r="D39" s="155">
        <v>43217</v>
      </c>
      <c r="E39" s="133" t="s">
        <v>155</v>
      </c>
      <c r="F39" s="161">
        <v>43230</v>
      </c>
      <c r="G39" s="87" t="s">
        <v>156</v>
      </c>
      <c r="H39" s="1" t="s">
        <v>252</v>
      </c>
      <c r="I39" s="1" t="s">
        <v>161</v>
      </c>
    </row>
    <row r="40" spans="3:9" ht="90" outlineLevel="2" x14ac:dyDescent="0.2">
      <c r="C40" s="166">
        <v>0</v>
      </c>
      <c r="D40" s="155">
        <v>43230</v>
      </c>
      <c r="E40" s="133" t="s">
        <v>154</v>
      </c>
      <c r="F40" s="161">
        <v>43240</v>
      </c>
      <c r="G40" s="87" t="s">
        <v>158</v>
      </c>
      <c r="H40" s="1" t="s">
        <v>252</v>
      </c>
      <c r="I40" s="1" t="s">
        <v>159</v>
      </c>
    </row>
    <row r="41" spans="3:9" ht="63" customHeight="1" outlineLevel="2" x14ac:dyDescent="0.2">
      <c r="C41" s="166">
        <v>0</v>
      </c>
      <c r="D41" s="155">
        <v>43240</v>
      </c>
      <c r="E41" s="133" t="s">
        <v>197</v>
      </c>
      <c r="F41" s="161">
        <v>43243</v>
      </c>
      <c r="G41" s="87" t="s">
        <v>198</v>
      </c>
      <c r="H41" s="1" t="s">
        <v>252</v>
      </c>
    </row>
    <row r="42" spans="3:9" ht="102" customHeight="1" outlineLevel="2" x14ac:dyDescent="0.2">
      <c r="C42" s="166">
        <v>0</v>
      </c>
      <c r="D42" s="155">
        <v>43240</v>
      </c>
      <c r="E42" s="133" t="s">
        <v>163</v>
      </c>
      <c r="F42" s="161">
        <v>43250</v>
      </c>
      <c r="G42" s="87" t="s">
        <v>164</v>
      </c>
      <c r="H42" s="1" t="s">
        <v>252</v>
      </c>
      <c r="I42" s="1" t="s">
        <v>252</v>
      </c>
    </row>
    <row r="43" spans="3:9" ht="102" customHeight="1" outlineLevel="2" x14ac:dyDescent="0.2">
      <c r="D43" s="155">
        <v>43261</v>
      </c>
      <c r="E43" s="133" t="s">
        <v>248</v>
      </c>
      <c r="F43" s="161">
        <v>43271</v>
      </c>
      <c r="G43" s="87" t="s">
        <v>249</v>
      </c>
      <c r="H43" s="1" t="s">
        <v>251</v>
      </c>
      <c r="I43" s="1" t="s">
        <v>252</v>
      </c>
    </row>
    <row r="44" spans="3:9" ht="125.25" customHeight="1" outlineLevel="2" x14ac:dyDescent="0.2">
      <c r="C44" s="166">
        <v>0</v>
      </c>
      <c r="D44" s="155">
        <v>43250</v>
      </c>
      <c r="E44" s="133" t="s">
        <v>165</v>
      </c>
      <c r="F44" s="161">
        <v>43261</v>
      </c>
      <c r="G44" s="87" t="s">
        <v>242</v>
      </c>
      <c r="H44" s="1" t="s">
        <v>252</v>
      </c>
    </row>
    <row r="45" spans="3:9" ht="17" customHeight="1" outlineLevel="1" x14ac:dyDescent="0.2"/>
    <row r="46" spans="3:9" outlineLevel="1" x14ac:dyDescent="0.2">
      <c r="C46" s="166">
        <v>1E-3</v>
      </c>
      <c r="E46" s="150" t="s">
        <v>166</v>
      </c>
    </row>
    <row r="47" spans="3:9" ht="45.75" customHeight="1" outlineLevel="2" x14ac:dyDescent="0.2">
      <c r="C47" s="166">
        <v>0</v>
      </c>
      <c r="E47" s="133" t="s">
        <v>167</v>
      </c>
      <c r="G47" s="87" t="s">
        <v>168</v>
      </c>
    </row>
    <row r="48" spans="3:9" ht="30" outlineLevel="2" x14ac:dyDescent="0.2">
      <c r="C48" s="166">
        <v>0</v>
      </c>
      <c r="E48" s="133" t="s">
        <v>169</v>
      </c>
      <c r="G48" s="160" t="s">
        <v>170</v>
      </c>
    </row>
    <row r="49" spans="3:7" ht="58.5" customHeight="1" outlineLevel="2" x14ac:dyDescent="0.2">
      <c r="C49" s="166">
        <v>0</v>
      </c>
      <c r="E49" s="133" t="s">
        <v>171</v>
      </c>
      <c r="G49" s="87" t="s">
        <v>172</v>
      </c>
    </row>
    <row r="50" spans="3:7" ht="99.75" customHeight="1" outlineLevel="2" x14ac:dyDescent="0.2">
      <c r="C50" s="166">
        <v>0</v>
      </c>
      <c r="E50" s="133" t="s">
        <v>192</v>
      </c>
      <c r="G50" s="87" t="s">
        <v>193</v>
      </c>
    </row>
    <row r="51" spans="3:7" ht="195.75" customHeight="1" outlineLevel="2" x14ac:dyDescent="0.2">
      <c r="C51" s="166">
        <v>0</v>
      </c>
      <c r="E51" s="133" t="s">
        <v>173</v>
      </c>
      <c r="G51" s="87" t="s">
        <v>174</v>
      </c>
    </row>
    <row r="52" spans="3:7" outlineLevel="1" x14ac:dyDescent="0.2"/>
    <row r="53" spans="3:7" outlineLevel="1" x14ac:dyDescent="0.2">
      <c r="C53" s="166">
        <v>1E-3</v>
      </c>
      <c r="E53" s="150" t="s">
        <v>175</v>
      </c>
    </row>
    <row r="54" spans="3:7" ht="30" outlineLevel="2" x14ac:dyDescent="0.2">
      <c r="C54" s="166">
        <v>0</v>
      </c>
      <c r="E54" s="133" t="s">
        <v>176</v>
      </c>
      <c r="G54" s="87" t="s">
        <v>177</v>
      </c>
    </row>
    <row r="55" spans="3:7" ht="96.75" customHeight="1" outlineLevel="2" x14ac:dyDescent="0.2">
      <c r="C55" s="166">
        <v>0</v>
      </c>
      <c r="E55" s="133" t="s">
        <v>178</v>
      </c>
      <c r="G55" s="87" t="s">
        <v>162</v>
      </c>
    </row>
    <row r="56" spans="3:7" ht="57" customHeight="1" outlineLevel="2" x14ac:dyDescent="0.2">
      <c r="C56" s="166">
        <v>0</v>
      </c>
      <c r="E56" s="133" t="s">
        <v>179</v>
      </c>
      <c r="G56" s="87" t="s">
        <v>180</v>
      </c>
    </row>
    <row r="57" spans="3:7" outlineLevel="1" x14ac:dyDescent="0.2"/>
    <row r="58" spans="3:7" ht="20.25" customHeight="1" outlineLevel="1" x14ac:dyDescent="0.2">
      <c r="C58" s="166">
        <v>1E-3</v>
      </c>
      <c r="E58" s="150" t="s">
        <v>182</v>
      </c>
    </row>
    <row r="59" spans="3:7" ht="36.75" customHeight="1" outlineLevel="2" x14ac:dyDescent="0.2">
      <c r="C59" s="166">
        <v>0</v>
      </c>
      <c r="E59" s="133" t="s">
        <v>194</v>
      </c>
      <c r="G59" s="87" t="s">
        <v>196</v>
      </c>
    </row>
    <row r="60" spans="3:7" ht="34.5" customHeight="1" outlineLevel="2" x14ac:dyDescent="0.2">
      <c r="C60" s="166">
        <v>0</v>
      </c>
      <c r="E60" s="133" t="s">
        <v>183</v>
      </c>
      <c r="G60" s="87" t="s">
        <v>195</v>
      </c>
    </row>
    <row r="61" spans="3:7" ht="60" outlineLevel="2" x14ac:dyDescent="0.2">
      <c r="C61" s="166">
        <v>0</v>
      </c>
      <c r="E61" s="133" t="s">
        <v>184</v>
      </c>
      <c r="G61" s="87" t="s">
        <v>185</v>
      </c>
    </row>
    <row r="62" spans="3:7" ht="30" outlineLevel="2" x14ac:dyDescent="0.2">
      <c r="C62" s="166">
        <v>0</v>
      </c>
      <c r="E62" s="133" t="s">
        <v>186</v>
      </c>
      <c r="G62" s="87" t="s">
        <v>189</v>
      </c>
    </row>
    <row r="63" spans="3:7" ht="45.75" customHeight="1" outlineLevel="2" x14ac:dyDescent="0.2">
      <c r="C63" s="166">
        <v>0</v>
      </c>
      <c r="E63" s="133" t="s">
        <v>187</v>
      </c>
      <c r="G63" s="87" t="s">
        <v>190</v>
      </c>
    </row>
    <row r="64" spans="3:7" ht="32.25" customHeight="1" outlineLevel="2" x14ac:dyDescent="0.2">
      <c r="C64" s="166">
        <v>0</v>
      </c>
      <c r="E64" s="133" t="s">
        <v>188</v>
      </c>
      <c r="G64" s="87" t="s">
        <v>191</v>
      </c>
    </row>
    <row r="65" spans="1:8" ht="18" customHeight="1" outlineLevel="1" x14ac:dyDescent="0.2"/>
    <row r="66" spans="1:8" outlineLevel="1" x14ac:dyDescent="0.2">
      <c r="C66" s="166">
        <v>1E-3</v>
      </c>
      <c r="E66" s="150" t="s">
        <v>199</v>
      </c>
    </row>
    <row r="67" spans="1:8" ht="45" outlineLevel="2" x14ac:dyDescent="0.2">
      <c r="E67" s="133" t="s">
        <v>200</v>
      </c>
      <c r="G67" s="87" t="s">
        <v>201</v>
      </c>
    </row>
    <row r="68" spans="1:8" ht="47.25" customHeight="1" outlineLevel="2" x14ac:dyDescent="0.2">
      <c r="E68" s="133" t="s">
        <v>202</v>
      </c>
      <c r="G68" s="87" t="s">
        <v>203</v>
      </c>
    </row>
    <row r="69" spans="1:8" ht="39" customHeight="1" outlineLevel="2" x14ac:dyDescent="0.2">
      <c r="E69" s="133" t="s">
        <v>204</v>
      </c>
      <c r="G69" s="87" t="s">
        <v>205</v>
      </c>
    </row>
    <row r="70" spans="1:8" ht="27" customHeight="1" outlineLevel="2" x14ac:dyDescent="0.2">
      <c r="E70" s="133" t="s">
        <v>206</v>
      </c>
      <c r="G70" s="87" t="s">
        <v>207</v>
      </c>
    </row>
    <row r="71" spans="1:8" ht="51" customHeight="1" outlineLevel="2" x14ac:dyDescent="0.2">
      <c r="E71" s="133" t="s">
        <v>208</v>
      </c>
    </row>
    <row r="72" spans="1:8" outlineLevel="1" x14ac:dyDescent="0.2"/>
    <row r="73" spans="1:8" outlineLevel="1" x14ac:dyDescent="0.2">
      <c r="A73" s="136"/>
      <c r="B73" s="146"/>
      <c r="C73" s="166">
        <v>0.5</v>
      </c>
      <c r="D73" s="155" t="s">
        <v>147</v>
      </c>
      <c r="E73" s="150" t="s">
        <v>125</v>
      </c>
    </row>
    <row r="74" spans="1:8" ht="24" customHeight="1" outlineLevel="1" x14ac:dyDescent="0.2">
      <c r="E74" s="163" t="s">
        <v>209</v>
      </c>
    </row>
    <row r="75" spans="1:8" hidden="1" outlineLevel="2" x14ac:dyDescent="0.2">
      <c r="H75" s="162"/>
    </row>
    <row r="76" spans="1:8" ht="16" hidden="1" outlineLevel="2" x14ac:dyDescent="0.2">
      <c r="E76" s="163" t="s">
        <v>210</v>
      </c>
    </row>
    <row r="77" spans="1:8" hidden="1" outlineLevel="2" x14ac:dyDescent="0.2"/>
    <row r="78" spans="1:8" ht="16" hidden="1" outlineLevel="2" x14ac:dyDescent="0.2">
      <c r="E78" s="163" t="s">
        <v>211</v>
      </c>
    </row>
    <row r="79" spans="1:8" hidden="1" outlineLevel="2" x14ac:dyDescent="0.2"/>
    <row r="80" spans="1:8" ht="16" hidden="1" outlineLevel="2" x14ac:dyDescent="0.2">
      <c r="E80" s="163" t="s">
        <v>212</v>
      </c>
    </row>
    <row r="81" spans="5:7" ht="180" outlineLevel="1" collapsed="1" x14ac:dyDescent="0.2">
      <c r="E81" s="152" t="s">
        <v>213</v>
      </c>
      <c r="G81" s="161" t="s">
        <v>243</v>
      </c>
    </row>
    <row r="83" spans="5:7" ht="17" customHeight="1" x14ac:dyDescent="0.2"/>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31" priority="5">
      <formula>NOT(ISODD(ROW())) * (INDIRECT("D" &amp; ROW()) &lt;= TODAY()) * (INDIRECT("F" &amp; ROW()) &gt;= TODAY()) * NOT(ISBLANK("D"&amp;ROW()))</formula>
    </cfRule>
    <cfRule type="expression" dxfId="30"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29"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28" priority="16">
      <formula xml:space="preserve"> (INDIRECT("D" &amp; ROW()) &lt;= TODAY()) * (INDIRECT("F" &amp; ROW()) &gt;= TODAY()) * NOT(ISBLANK("D"&amp;ROW()))</formula>
    </cfRule>
  </conditionalFormatting>
  <conditionalFormatting sqref="F26">
    <cfRule type="expression" dxfId="27" priority="13">
      <formula xml:space="preserve"> (INDIRECT("D" &amp; ROW()) &lt;= TODAY()) * (INDIRECT("F" &amp; ROW()) &gt;= TODAY()) * NOT(ISBLANK("D"&amp;ROW()))</formula>
    </cfRule>
  </conditionalFormatting>
  <conditionalFormatting sqref="B1:E1 G1:XFD1 B82:XFD1048576 B81:E81 G81:XFD81 B2:XFD80">
    <cfRule type="expression" dxfId="26" priority="3">
      <formula>NOT(ISODD(ROW())) * INDIRECT("C"&amp;ROW()) &gt;= 0.9</formula>
    </cfRule>
    <cfRule type="expression" dxfId="25" priority="4">
      <formula xml:space="preserve"> ISODD(ROW()) * INDIRECT("C"&amp;ROW()) &gt;= 0.9</formula>
    </cfRule>
    <cfRule type="expression" dxfId="24" priority="7">
      <formula xml:space="preserve"> ISODD(ROW()) * (INDIRECT("C"&amp;ROW()) &lt; 0.9) * INDIRECT("C"&amp;ROW()) &gt; 0</formula>
    </cfRule>
    <cfRule type="expression" dxfId="23"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22" priority="1">
      <formula>NOT(ISODD(ROW())) * (INDIRECT("D" &amp; ROW()) &lt;= TODAY()) * (INDIRECT("F" &amp; ROW()) &gt;= TODAY()) * NOT(ISBLANK("D"&amp;ROW()))</formula>
    </cfRule>
    <cfRule type="expression" dxfId="21"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CH39"/>
  <sheetViews>
    <sheetView topLeftCell="A6" zoomScale="108" workbookViewId="0">
      <selection activeCell="E19" sqref="E19"/>
    </sheetView>
  </sheetViews>
  <sheetFormatPr baseColWidth="10" defaultColWidth="8.83203125" defaultRowHeight="15" x14ac:dyDescent="0.2"/>
  <cols>
    <col min="1" max="1" width="19.33203125" style="113" customWidth="1"/>
    <col min="2" max="2" width="14.83203125" style="128" customWidth="1"/>
    <col min="3" max="116" width="20.6640625" style="133" customWidth="1"/>
    <col min="117" max="16384" width="8.83203125" style="133"/>
  </cols>
  <sheetData>
    <row r="1" spans="1:86" s="125" customFormat="1" x14ac:dyDescent="0.2">
      <c r="A1" s="126">
        <f ca="1">TODAY()</f>
        <v>43150</v>
      </c>
    </row>
    <row r="2" spans="1:86" s="125" customFormat="1" ht="29.25" customHeight="1" x14ac:dyDescent="0.2">
      <c r="A2" s="137">
        <f ca="1">NOW()</f>
        <v>43150.859781481478</v>
      </c>
    </row>
    <row r="3" spans="1:86" s="128" customFormat="1" x14ac:dyDescent="0.2">
      <c r="A3" s="136">
        <f ca="1">HOUR(A2)</f>
        <v>20</v>
      </c>
      <c r="C3" s="128" t="s">
        <v>75</v>
      </c>
      <c r="D3" s="128" t="s">
        <v>69</v>
      </c>
      <c r="E3" s="128" t="s">
        <v>70</v>
      </c>
      <c r="F3" s="128" t="s">
        <v>71</v>
      </c>
      <c r="G3" s="128" t="s">
        <v>72</v>
      </c>
      <c r="H3" s="128" t="s">
        <v>73</v>
      </c>
      <c r="I3" s="128" t="s">
        <v>74</v>
      </c>
      <c r="J3" s="128" t="s">
        <v>75</v>
      </c>
      <c r="K3" s="128" t="s">
        <v>69</v>
      </c>
      <c r="L3" s="128" t="s">
        <v>70</v>
      </c>
      <c r="M3" s="128" t="s">
        <v>71</v>
      </c>
      <c r="N3" s="128" t="s">
        <v>72</v>
      </c>
      <c r="O3" s="128" t="s">
        <v>73</v>
      </c>
      <c r="P3" s="128" t="s">
        <v>74</v>
      </c>
      <c r="Q3" s="128" t="s">
        <v>75</v>
      </c>
      <c r="R3" s="128" t="s">
        <v>69</v>
      </c>
      <c r="S3" s="128" t="s">
        <v>70</v>
      </c>
      <c r="T3" s="128" t="s">
        <v>71</v>
      </c>
      <c r="U3" s="128" t="s">
        <v>72</v>
      </c>
      <c r="V3" s="128" t="s">
        <v>73</v>
      </c>
      <c r="W3" s="128" t="s">
        <v>74</v>
      </c>
      <c r="X3" s="128" t="s">
        <v>75</v>
      </c>
      <c r="Y3" s="128" t="s">
        <v>69</v>
      </c>
      <c r="Z3" s="128" t="s">
        <v>70</v>
      </c>
      <c r="AA3" s="128" t="s">
        <v>71</v>
      </c>
      <c r="AB3" s="128" t="s">
        <v>72</v>
      </c>
      <c r="AC3" s="128" t="s">
        <v>73</v>
      </c>
      <c r="AD3" s="128" t="s">
        <v>74</v>
      </c>
      <c r="AE3" s="128" t="s">
        <v>75</v>
      </c>
      <c r="AF3" s="128" t="s">
        <v>69</v>
      </c>
      <c r="AG3" s="128" t="s">
        <v>70</v>
      </c>
      <c r="AH3" s="128" t="s">
        <v>71</v>
      </c>
      <c r="AI3" s="128" t="s">
        <v>72</v>
      </c>
      <c r="AJ3" s="128" t="s">
        <v>73</v>
      </c>
      <c r="AK3" s="128" t="s">
        <v>74</v>
      </c>
      <c r="AL3" s="128" t="s">
        <v>75</v>
      </c>
      <c r="AM3" s="128" t="s">
        <v>69</v>
      </c>
      <c r="AN3" s="128" t="s">
        <v>70</v>
      </c>
      <c r="AO3" s="128" t="s">
        <v>71</v>
      </c>
      <c r="AP3" s="128" t="s">
        <v>72</v>
      </c>
      <c r="AQ3" s="128" t="s">
        <v>73</v>
      </c>
      <c r="AR3" s="128" t="s">
        <v>74</v>
      </c>
      <c r="AS3" s="128" t="s">
        <v>75</v>
      </c>
      <c r="AT3" s="128" t="s">
        <v>69</v>
      </c>
      <c r="AU3" s="128" t="s">
        <v>70</v>
      </c>
      <c r="AV3" s="128" t="s">
        <v>71</v>
      </c>
      <c r="AW3" s="128" t="s">
        <v>72</v>
      </c>
      <c r="AX3" s="128" t="s">
        <v>73</v>
      </c>
      <c r="AY3" s="128" t="s">
        <v>74</v>
      </c>
      <c r="AZ3" s="128" t="s">
        <v>75</v>
      </c>
      <c r="BA3" s="128" t="s">
        <v>69</v>
      </c>
      <c r="BB3" s="128" t="s">
        <v>70</v>
      </c>
      <c r="BC3" s="128" t="s">
        <v>71</v>
      </c>
      <c r="BD3" s="128" t="s">
        <v>72</v>
      </c>
      <c r="BE3" s="128" t="s">
        <v>73</v>
      </c>
      <c r="BF3" s="128" t="s">
        <v>74</v>
      </c>
      <c r="BG3" s="128" t="s">
        <v>75</v>
      </c>
      <c r="BH3" s="128" t="s">
        <v>69</v>
      </c>
      <c r="BI3" s="128" t="s">
        <v>70</v>
      </c>
      <c r="BJ3" s="128" t="s">
        <v>71</v>
      </c>
      <c r="BK3" s="128" t="s">
        <v>72</v>
      </c>
      <c r="BL3" s="128" t="s">
        <v>73</v>
      </c>
      <c r="BM3" s="128" t="s">
        <v>74</v>
      </c>
      <c r="BN3" s="128" t="s">
        <v>75</v>
      </c>
      <c r="BO3" s="128" t="s">
        <v>69</v>
      </c>
      <c r="BP3" s="128" t="s">
        <v>70</v>
      </c>
      <c r="BQ3" s="128" t="s">
        <v>71</v>
      </c>
      <c r="BR3" s="128" t="s">
        <v>72</v>
      </c>
      <c r="BS3" s="128" t="s">
        <v>73</v>
      </c>
      <c r="BT3" s="128" t="s">
        <v>74</v>
      </c>
      <c r="BU3" s="128" t="s">
        <v>75</v>
      </c>
      <c r="BV3" s="128" t="s">
        <v>69</v>
      </c>
      <c r="BW3" s="128" t="s">
        <v>70</v>
      </c>
      <c r="BX3" s="128" t="s">
        <v>71</v>
      </c>
      <c r="BY3" s="128" t="s">
        <v>72</v>
      </c>
      <c r="BZ3" s="128" t="s">
        <v>73</v>
      </c>
      <c r="CA3" s="128" t="s">
        <v>74</v>
      </c>
      <c r="CB3" s="128" t="s">
        <v>75</v>
      </c>
      <c r="CC3" s="128" t="s">
        <v>69</v>
      </c>
      <c r="CD3" s="128" t="s">
        <v>70</v>
      </c>
      <c r="CE3" s="128" t="s">
        <v>71</v>
      </c>
      <c r="CF3" s="128" t="s">
        <v>72</v>
      </c>
      <c r="CG3" s="128" t="s">
        <v>73</v>
      </c>
      <c r="CH3" s="128" t="s">
        <v>74</v>
      </c>
    </row>
    <row r="4" spans="1:86" s="130" customFormat="1" ht="32.25" customHeight="1" x14ac:dyDescent="0.2">
      <c r="A4" s="129"/>
      <c r="C4" s="131">
        <v>43150</v>
      </c>
      <c r="D4" s="131">
        <v>43151</v>
      </c>
      <c r="E4" s="131">
        <v>43152</v>
      </c>
      <c r="F4" s="131">
        <v>43153</v>
      </c>
      <c r="G4" s="131">
        <v>43154</v>
      </c>
      <c r="H4" s="131">
        <v>43155</v>
      </c>
      <c r="I4" s="131">
        <v>43156</v>
      </c>
      <c r="J4" s="131">
        <v>43157</v>
      </c>
      <c r="K4" s="131">
        <v>43158</v>
      </c>
      <c r="L4" s="131">
        <v>43159</v>
      </c>
      <c r="M4" s="131">
        <v>43160</v>
      </c>
      <c r="N4" s="131">
        <v>43161</v>
      </c>
      <c r="O4" s="131">
        <v>43162</v>
      </c>
      <c r="P4" s="131">
        <v>43163</v>
      </c>
      <c r="Q4" s="131">
        <v>43164</v>
      </c>
      <c r="R4" s="131">
        <v>43165</v>
      </c>
      <c r="S4" s="131">
        <v>43166</v>
      </c>
      <c r="T4" s="131">
        <v>43167</v>
      </c>
      <c r="U4" s="131">
        <v>43168</v>
      </c>
      <c r="V4" s="131">
        <v>43169</v>
      </c>
      <c r="W4" s="131">
        <v>43170</v>
      </c>
      <c r="X4" s="131">
        <v>43171</v>
      </c>
      <c r="Y4" s="131">
        <v>43172</v>
      </c>
      <c r="Z4" s="131">
        <v>43173</v>
      </c>
      <c r="AA4" s="131">
        <v>43174</v>
      </c>
      <c r="AB4" s="131">
        <v>43175</v>
      </c>
      <c r="AC4" s="131">
        <v>43176</v>
      </c>
      <c r="AD4" s="131">
        <v>43177</v>
      </c>
      <c r="AE4" s="131">
        <v>43178</v>
      </c>
      <c r="AF4" s="131">
        <v>43179</v>
      </c>
      <c r="AG4" s="131">
        <v>43180</v>
      </c>
      <c r="AH4" s="131">
        <v>43181</v>
      </c>
      <c r="AI4" s="131">
        <v>43182</v>
      </c>
      <c r="AJ4" s="131">
        <v>43183</v>
      </c>
      <c r="AK4" s="131">
        <v>43184</v>
      </c>
      <c r="AL4" s="131">
        <v>43185</v>
      </c>
      <c r="AM4" s="131">
        <v>43186</v>
      </c>
      <c r="AN4" s="131">
        <v>43187</v>
      </c>
      <c r="AO4" s="131">
        <v>43188</v>
      </c>
      <c r="AP4" s="131">
        <v>43189</v>
      </c>
      <c r="AQ4" s="131">
        <v>43190</v>
      </c>
      <c r="AR4" s="131">
        <v>43191</v>
      </c>
      <c r="AS4" s="131">
        <v>43192</v>
      </c>
      <c r="AT4" s="131">
        <v>43193</v>
      </c>
      <c r="AU4" s="131">
        <v>43194</v>
      </c>
      <c r="AV4" s="131">
        <v>43195</v>
      </c>
      <c r="AW4" s="131">
        <v>43196</v>
      </c>
      <c r="AX4" s="131">
        <v>43197</v>
      </c>
      <c r="AY4" s="131">
        <v>43198</v>
      </c>
      <c r="AZ4" s="131">
        <v>43199</v>
      </c>
      <c r="BA4" s="131">
        <v>43200</v>
      </c>
      <c r="BB4" s="131">
        <v>43201</v>
      </c>
      <c r="BC4" s="131">
        <v>43202</v>
      </c>
      <c r="BD4" s="131">
        <v>43203</v>
      </c>
      <c r="BE4" s="131">
        <v>43204</v>
      </c>
      <c r="BF4" s="131">
        <v>43205</v>
      </c>
      <c r="BG4" s="131">
        <v>43206</v>
      </c>
      <c r="BH4" s="131">
        <v>43207</v>
      </c>
      <c r="BI4" s="131">
        <v>43208</v>
      </c>
      <c r="BJ4" s="131">
        <v>43209</v>
      </c>
      <c r="BK4" s="131">
        <v>43210</v>
      </c>
      <c r="BL4" s="131">
        <v>43211</v>
      </c>
      <c r="BM4" s="131">
        <v>43212</v>
      </c>
      <c r="BN4" s="131">
        <v>43213</v>
      </c>
      <c r="BO4" s="131">
        <v>43214</v>
      </c>
      <c r="BP4" s="131">
        <v>43215</v>
      </c>
      <c r="BQ4" s="131">
        <v>43216</v>
      </c>
      <c r="BR4" s="131">
        <v>43217</v>
      </c>
      <c r="BS4" s="131">
        <v>43218</v>
      </c>
      <c r="BT4" s="131">
        <v>43219</v>
      </c>
      <c r="BU4" s="131">
        <v>43220</v>
      </c>
      <c r="BV4" s="131">
        <v>43221</v>
      </c>
      <c r="BW4" s="131">
        <v>43222</v>
      </c>
      <c r="BX4" s="131">
        <v>43223</v>
      </c>
      <c r="BY4" s="131">
        <v>43224</v>
      </c>
      <c r="BZ4" s="131">
        <v>43225</v>
      </c>
      <c r="CA4" s="131">
        <v>43226</v>
      </c>
      <c r="CB4" s="131">
        <v>43227</v>
      </c>
      <c r="CC4" s="131">
        <v>43228</v>
      </c>
      <c r="CD4" s="131">
        <v>43229</v>
      </c>
      <c r="CE4" s="131">
        <v>43230</v>
      </c>
      <c r="CF4" s="131">
        <v>43231</v>
      </c>
      <c r="CG4" s="131">
        <v>43232</v>
      </c>
      <c r="CH4" s="131">
        <v>43233</v>
      </c>
    </row>
    <row r="5" spans="1:86" ht="25" customHeight="1" x14ac:dyDescent="0.2">
      <c r="A5" s="136">
        <f>HOUR(B5)</f>
        <v>0</v>
      </c>
      <c r="B5" s="132">
        <v>0</v>
      </c>
    </row>
    <row r="6" spans="1:86" ht="25" customHeight="1" x14ac:dyDescent="0.2">
      <c r="A6" s="136">
        <f>HOUR(B6)</f>
        <v>1</v>
      </c>
      <c r="B6" s="132">
        <v>4.1666666666666699E-2</v>
      </c>
    </row>
    <row r="7" spans="1:86" ht="25" customHeight="1" x14ac:dyDescent="0.2">
      <c r="A7" s="136">
        <f t="shared" ref="A7:A28" si="0">HOUR(B7)</f>
        <v>2</v>
      </c>
      <c r="B7" s="132">
        <v>8.3333333333333301E-2</v>
      </c>
      <c r="C7" s="128" t="s">
        <v>266</v>
      </c>
      <c r="D7" s="218" t="s">
        <v>317</v>
      </c>
      <c r="E7" s="128" t="s">
        <v>266</v>
      </c>
      <c r="F7" s="128" t="s">
        <v>266</v>
      </c>
      <c r="G7" s="128" t="s">
        <v>266</v>
      </c>
      <c r="H7" s="128" t="s">
        <v>266</v>
      </c>
      <c r="I7" s="128" t="s">
        <v>266</v>
      </c>
      <c r="J7" s="128" t="s">
        <v>266</v>
      </c>
      <c r="K7" s="128" t="s">
        <v>266</v>
      </c>
    </row>
    <row r="8" spans="1:86" s="128" customFormat="1" ht="25.5" customHeight="1" x14ac:dyDescent="0.2">
      <c r="A8" s="136">
        <f t="shared" si="0"/>
        <v>3</v>
      </c>
      <c r="B8" s="132">
        <v>0.125</v>
      </c>
      <c r="C8" s="212" t="s">
        <v>267</v>
      </c>
      <c r="D8" s="212" t="s">
        <v>302</v>
      </c>
    </row>
    <row r="9" spans="1:86" ht="22.5" customHeight="1" x14ac:dyDescent="0.2">
      <c r="A9" s="136">
        <f t="shared" si="0"/>
        <v>4</v>
      </c>
      <c r="B9" s="132">
        <v>0.16666666666666699</v>
      </c>
      <c r="C9" s="215" t="s">
        <v>311</v>
      </c>
      <c r="D9" s="212" t="s">
        <v>302</v>
      </c>
    </row>
    <row r="10" spans="1:86" ht="23.25" customHeight="1" x14ac:dyDescent="0.2">
      <c r="A10" s="136">
        <f t="shared" si="0"/>
        <v>5</v>
      </c>
      <c r="B10" s="132">
        <v>0.20833333333333301</v>
      </c>
      <c r="C10" s="215" t="s">
        <v>311</v>
      </c>
      <c r="D10" s="217" t="s">
        <v>312</v>
      </c>
    </row>
    <row r="11" spans="1:86" ht="20.25" customHeight="1" x14ac:dyDescent="0.2">
      <c r="A11" s="136">
        <f t="shared" si="0"/>
        <v>6</v>
      </c>
      <c r="B11" s="132">
        <v>0.25</v>
      </c>
      <c r="C11" s="215" t="s">
        <v>311</v>
      </c>
      <c r="D11" s="217" t="s">
        <v>312</v>
      </c>
    </row>
    <row r="12" spans="1:86" ht="25" customHeight="1" x14ac:dyDescent="0.2">
      <c r="A12" s="136">
        <f t="shared" si="0"/>
        <v>7</v>
      </c>
      <c r="B12" s="132">
        <v>0.29166666666666702</v>
      </c>
      <c r="C12" s="215" t="s">
        <v>311</v>
      </c>
      <c r="D12" s="215" t="s">
        <v>311</v>
      </c>
    </row>
    <row r="13" spans="1:86" ht="25" customHeight="1" x14ac:dyDescent="0.2">
      <c r="A13" s="136">
        <f t="shared" si="0"/>
        <v>8</v>
      </c>
      <c r="B13" s="132">
        <v>0.33333333333333298</v>
      </c>
      <c r="C13" s="216" t="s">
        <v>310</v>
      </c>
      <c r="D13" s="215" t="s">
        <v>311</v>
      </c>
    </row>
    <row r="14" spans="1:86" ht="25" customHeight="1" x14ac:dyDescent="0.2">
      <c r="A14" s="136">
        <f t="shared" si="0"/>
        <v>9</v>
      </c>
      <c r="B14" s="132">
        <v>0.375</v>
      </c>
      <c r="C14" s="216" t="s">
        <v>310</v>
      </c>
      <c r="D14" s="216" t="s">
        <v>310</v>
      </c>
    </row>
    <row r="15" spans="1:86" ht="25" customHeight="1" x14ac:dyDescent="0.2">
      <c r="A15" s="136">
        <f t="shared" si="0"/>
        <v>10</v>
      </c>
      <c r="B15" s="132">
        <v>0.41666666666666702</v>
      </c>
      <c r="C15" s="216" t="s">
        <v>310</v>
      </c>
      <c r="D15" s="216" t="s">
        <v>310</v>
      </c>
    </row>
    <row r="16" spans="1:86" ht="24.75" customHeight="1" x14ac:dyDescent="0.2">
      <c r="A16" s="136">
        <f t="shared" si="0"/>
        <v>11</v>
      </c>
      <c r="B16" s="132">
        <v>0.45833333333333298</v>
      </c>
      <c r="C16" s="216" t="s">
        <v>310</v>
      </c>
      <c r="D16" s="212" t="s">
        <v>319</v>
      </c>
    </row>
    <row r="17" spans="1:11" ht="26" customHeight="1" x14ac:dyDescent="0.2">
      <c r="A17" s="136">
        <f t="shared" si="0"/>
        <v>12</v>
      </c>
      <c r="B17" s="132">
        <v>0.5</v>
      </c>
      <c r="C17" s="216" t="s">
        <v>310</v>
      </c>
      <c r="D17" s="216" t="s">
        <v>310</v>
      </c>
    </row>
    <row r="18" spans="1:11" ht="25" customHeight="1" x14ac:dyDescent="0.2">
      <c r="A18" s="136">
        <f t="shared" si="0"/>
        <v>13</v>
      </c>
      <c r="B18" s="132">
        <v>0.54166666666666696</v>
      </c>
      <c r="C18" s="216" t="s">
        <v>310</v>
      </c>
      <c r="D18" s="216" t="s">
        <v>310</v>
      </c>
    </row>
    <row r="19" spans="1:11" ht="25" customHeight="1" x14ac:dyDescent="0.2">
      <c r="A19" s="136">
        <f t="shared" si="0"/>
        <v>14</v>
      </c>
      <c r="B19" s="132">
        <v>0.58333333333333304</v>
      </c>
      <c r="C19" s="216" t="s">
        <v>310</v>
      </c>
      <c r="D19" s="216" t="s">
        <v>310</v>
      </c>
    </row>
    <row r="20" spans="1:11" ht="25" customHeight="1" x14ac:dyDescent="0.2">
      <c r="A20" s="136">
        <f t="shared" si="0"/>
        <v>15</v>
      </c>
      <c r="B20" s="132">
        <v>0.625</v>
      </c>
      <c r="C20" s="216" t="s">
        <v>310</v>
      </c>
      <c r="D20" s="215" t="s">
        <v>311</v>
      </c>
    </row>
    <row r="21" spans="1:11" ht="25" customHeight="1" x14ac:dyDescent="0.2">
      <c r="A21" s="136">
        <f t="shared" si="0"/>
        <v>16</v>
      </c>
      <c r="B21" s="132">
        <v>0.66666666666666696</v>
      </c>
      <c r="C21" s="215" t="s">
        <v>316</v>
      </c>
      <c r="D21" s="211" t="s">
        <v>313</v>
      </c>
    </row>
    <row r="22" spans="1:11" ht="25" customHeight="1" x14ac:dyDescent="0.2">
      <c r="A22" s="136">
        <f t="shared" si="0"/>
        <v>17</v>
      </c>
      <c r="B22" s="132">
        <v>0.70833333333333304</v>
      </c>
      <c r="C22" s="215" t="s">
        <v>304</v>
      </c>
      <c r="D22" s="211" t="s">
        <v>313</v>
      </c>
    </row>
    <row r="23" spans="1:11" ht="28" customHeight="1" x14ac:dyDescent="0.2">
      <c r="A23" s="136">
        <f t="shared" si="0"/>
        <v>18</v>
      </c>
      <c r="B23" s="132">
        <v>0.75</v>
      </c>
      <c r="C23" s="211" t="s">
        <v>315</v>
      </c>
      <c r="D23" s="212" t="s">
        <v>314</v>
      </c>
      <c r="E23" s="177"/>
    </row>
    <row r="24" spans="1:11" ht="25" customHeight="1" x14ac:dyDescent="0.2">
      <c r="A24" s="136">
        <f t="shared" si="0"/>
        <v>19</v>
      </c>
      <c r="B24" s="132">
        <v>0.79166666666666696</v>
      </c>
      <c r="C24" s="212" t="s">
        <v>303</v>
      </c>
      <c r="D24" s="217" t="s">
        <v>312</v>
      </c>
    </row>
    <row r="25" spans="1:11" ht="25" customHeight="1" x14ac:dyDescent="0.2">
      <c r="A25" s="136">
        <f t="shared" si="0"/>
        <v>20</v>
      </c>
      <c r="B25" s="132">
        <v>0.83333333333333304</v>
      </c>
      <c r="C25" s="177" t="s">
        <v>328</v>
      </c>
      <c r="D25" s="217" t="s">
        <v>318</v>
      </c>
    </row>
    <row r="26" spans="1:11" s="128" customFormat="1" ht="25" customHeight="1" x14ac:dyDescent="0.2">
      <c r="A26" s="136">
        <f t="shared" si="0"/>
        <v>21</v>
      </c>
      <c r="B26" s="132">
        <v>0.875</v>
      </c>
      <c r="C26" s="131" t="s">
        <v>95</v>
      </c>
      <c r="D26" s="128" t="s">
        <v>95</v>
      </c>
      <c r="E26" s="128" t="s">
        <v>95</v>
      </c>
      <c r="F26" s="128" t="s">
        <v>95</v>
      </c>
      <c r="G26" s="128" t="s">
        <v>95</v>
      </c>
      <c r="H26" s="128" t="s">
        <v>95</v>
      </c>
      <c r="I26" s="128" t="s">
        <v>95</v>
      </c>
      <c r="J26" s="128" t="s">
        <v>95</v>
      </c>
      <c r="K26" s="128" t="s">
        <v>95</v>
      </c>
    </row>
    <row r="27" spans="1:11" ht="25" customHeight="1" x14ac:dyDescent="0.2">
      <c r="A27" s="136">
        <f t="shared" si="0"/>
        <v>22</v>
      </c>
      <c r="B27" s="132">
        <v>0.91666666666666696</v>
      </c>
      <c r="C27" s="177"/>
    </row>
    <row r="28" spans="1:11" ht="25" customHeight="1" x14ac:dyDescent="0.2">
      <c r="A28" s="136">
        <f t="shared" si="0"/>
        <v>23</v>
      </c>
      <c r="B28" s="132">
        <v>0.95833333333333304</v>
      </c>
    </row>
    <row r="29" spans="1:11" s="134" customFormat="1" x14ac:dyDescent="0.2">
      <c r="A29" s="135"/>
    </row>
    <row r="30" spans="1:11" s="134" customFormat="1" x14ac:dyDescent="0.2">
      <c r="A30" s="135"/>
    </row>
    <row r="32" spans="1:11" ht="40" customHeight="1" x14ac:dyDescent="0.2">
      <c r="C32" s="111" t="s">
        <v>7</v>
      </c>
      <c r="D32" s="208" t="s">
        <v>306</v>
      </c>
      <c r="E32" s="209" t="s">
        <v>307</v>
      </c>
      <c r="F32" s="210" t="s">
        <v>294</v>
      </c>
      <c r="G32" s="213" t="s">
        <v>308</v>
      </c>
      <c r="H32" s="214" t="s">
        <v>309</v>
      </c>
      <c r="I32" s="207" t="s">
        <v>317</v>
      </c>
    </row>
    <row r="34" spans="4:5" x14ac:dyDescent="0.2">
      <c r="D34" s="133" t="s">
        <v>320</v>
      </c>
    </row>
    <row r="36" spans="4:5" ht="53" customHeight="1" x14ac:dyDescent="0.2">
      <c r="D36" s="220" t="s">
        <v>321</v>
      </c>
      <c r="E36" s="219" t="s">
        <v>325</v>
      </c>
    </row>
    <row r="37" spans="4:5" ht="50" customHeight="1" x14ac:dyDescent="0.2">
      <c r="D37" s="221" t="s">
        <v>322</v>
      </c>
      <c r="E37" s="224" t="s">
        <v>326</v>
      </c>
    </row>
    <row r="38" spans="4:5" ht="57" customHeight="1" x14ac:dyDescent="0.2">
      <c r="D38" s="222" t="s">
        <v>323</v>
      </c>
      <c r="E38" s="150"/>
    </row>
    <row r="39" spans="4:5" ht="61" customHeight="1" x14ac:dyDescent="0.2">
      <c r="D39" s="223" t="s">
        <v>324</v>
      </c>
      <c r="E39" s="150"/>
    </row>
  </sheetData>
  <conditionalFormatting sqref="C5:DJ28">
    <cfRule type="expression" dxfId="15" priority="14">
      <formula xml:space="preserve"> INDIRECT(CHAR(COLUMN()+96) &amp; 4) = TODAY() * ISBLANK(INDIRECT(CHAR(COLUMN()+96) &amp; ROW()))</formula>
    </cfRule>
    <cfRule type="expression" dxfId="14" priority="2">
      <formula xml:space="preserve"> INDIRECT(CHAR(COLUMN()+96) &amp; 4) = TODAY() * NOT(ISBLANK(INDIRECT(CHAR(COLUMN()+96) &amp; ROW())))</formula>
    </cfRule>
  </conditionalFormatting>
  <conditionalFormatting sqref="A4:XFD4">
    <cfRule type="timePeriod" dxfId="13" priority="17" timePeriod="today">
      <formula>FLOOR(A4,1)=TODAY()</formula>
    </cfRule>
    <cfRule type="timePeriod" dxfId="12" priority="18" timePeriod="tomorrow">
      <formula>FLOOR(A4,1)=TODAY()+1</formula>
    </cfRule>
    <cfRule type="timePeriod" dxfId="11" priority="19" timePeriod="yesterday">
      <formula>FLOOR(A4,1)=TODAY()-1</formula>
    </cfRule>
  </conditionalFormatting>
  <conditionalFormatting sqref="A5:XFD2829">
    <cfRule type="expression" dxfId="10" priority="1">
      <formula>INDIRECT("A"&amp;3) = INDIRECT("A"&amp;ROW())</formula>
    </cfRule>
  </conditionalFormatting>
  <conditionalFormatting sqref="A29:XFD30">
    <cfRule type="expression" dxfId="9" priority="12">
      <formula xml:space="preserve"> INDIRECT(CHAR(COLUMN()+96) &amp; 4) = TODAY() * ISBLANK(INDIRECT(CHAR(COLUMN()+96) &amp; ROW()))</formula>
    </cfRule>
  </conditionalFormatting>
  <conditionalFormatting sqref="A3 A1:XFD2">
    <cfRule type="expression" dxfId="8" priority="11">
      <formula xml:space="preserve"> INDIRECT(CHAR(COLUMN()+96) &amp; 4) = TODAY() * ISBLANK(INDIRECT(CHAR(COLUMN()+96) &amp; ROW()))</formula>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J427"/>
  <sheetViews>
    <sheetView tabSelected="1" topLeftCell="A22" zoomScale="127" zoomScaleNormal="127" zoomScalePageLayoutView="127" workbookViewId="0">
      <selection activeCell="D24" sqref="D24"/>
    </sheetView>
  </sheetViews>
  <sheetFormatPr baseColWidth="10" defaultColWidth="9.1640625" defaultRowHeight="15" x14ac:dyDescent="0.2"/>
  <cols>
    <col min="1" max="1" width="9.1640625" style="68"/>
    <col min="2" max="2" width="22.6640625" style="79" customWidth="1"/>
    <col min="3" max="3" width="33.33203125" style="87" customWidth="1"/>
    <col min="4" max="4" width="69.6640625" style="87" customWidth="1"/>
    <col min="5" max="5" width="65.1640625" style="87" customWidth="1"/>
    <col min="6" max="6" width="18.83203125" style="92" customWidth="1"/>
    <col min="7" max="9" width="9.1640625" style="1"/>
    <col min="10" max="10" width="29.33203125" style="1" customWidth="1"/>
    <col min="11" max="16384" width="9.1640625" style="1"/>
  </cols>
  <sheetData>
    <row r="1" spans="1:10" s="68" customFormat="1" x14ac:dyDescent="0.2">
      <c r="B1" s="74"/>
      <c r="C1" s="81"/>
      <c r="D1" s="81"/>
      <c r="E1" s="81"/>
      <c r="F1" s="88"/>
    </row>
    <row r="2" spans="1:10" s="68" customFormat="1" x14ac:dyDescent="0.2">
      <c r="A2" s="51"/>
      <c r="B2" s="74"/>
      <c r="C2" s="81"/>
      <c r="D2" s="81"/>
      <c r="E2" s="81"/>
      <c r="F2" s="88"/>
    </row>
    <row r="3" spans="1:10" s="5" customFormat="1" ht="16.5" customHeight="1" x14ac:dyDescent="0.2">
      <c r="A3" s="10"/>
      <c r="B3" s="75"/>
      <c r="C3" s="82" t="s">
        <v>6</v>
      </c>
      <c r="D3" s="82"/>
      <c r="E3" s="82"/>
      <c r="F3" s="89"/>
    </row>
    <row r="4" spans="1:10" s="6" customFormat="1" ht="46.5" customHeight="1" x14ac:dyDescent="0.2">
      <c r="A4" s="10"/>
      <c r="B4" s="76"/>
      <c r="C4" s="83" t="s">
        <v>7</v>
      </c>
      <c r="D4" s="84" t="s">
        <v>11</v>
      </c>
      <c r="E4" s="83"/>
      <c r="F4" s="90"/>
      <c r="H4" s="32"/>
    </row>
    <row r="5" spans="1:10" s="49" customFormat="1" x14ac:dyDescent="0.2">
      <c r="A5" s="10"/>
      <c r="B5" s="77"/>
      <c r="C5" s="83"/>
      <c r="D5" s="83"/>
      <c r="E5" s="83"/>
      <c r="F5" s="90"/>
      <c r="G5" s="6"/>
      <c r="H5" s="6"/>
      <c r="I5" s="6"/>
      <c r="J5" s="6"/>
    </row>
    <row r="6" spans="1:10" x14ac:dyDescent="0.2">
      <c r="B6" s="80" t="s">
        <v>25</v>
      </c>
      <c r="C6" s="85" t="e">
        <f>SUM(#REF!)</f>
        <v>#REF!</v>
      </c>
      <c r="D6" s="86" t="s">
        <v>24</v>
      </c>
      <c r="E6" s="85">
        <f>SUM(F9:F531)</f>
        <v>229</v>
      </c>
      <c r="F6" s="91"/>
      <c r="G6" s="42"/>
      <c r="H6" s="42"/>
      <c r="I6" s="42"/>
      <c r="J6" s="70"/>
    </row>
    <row r="7" spans="1:10" x14ac:dyDescent="0.2">
      <c r="B7" s="78"/>
      <c r="C7" s="85"/>
      <c r="D7" s="85"/>
      <c r="E7" s="85"/>
      <c r="F7" s="91"/>
      <c r="G7" s="42"/>
      <c r="H7" s="42"/>
      <c r="I7" s="42"/>
      <c r="J7" s="70"/>
    </row>
    <row r="8" spans="1:10" ht="27.75" customHeight="1" x14ac:dyDescent="0.2">
      <c r="B8" s="167" t="s">
        <v>23</v>
      </c>
      <c r="C8" s="195" t="s">
        <v>15</v>
      </c>
      <c r="D8" s="195" t="s">
        <v>18</v>
      </c>
      <c r="E8" s="195" t="s">
        <v>11</v>
      </c>
      <c r="F8" s="196" t="s">
        <v>16</v>
      </c>
      <c r="G8" s="197"/>
      <c r="H8" s="197"/>
      <c r="I8" s="197"/>
      <c r="J8" s="73"/>
    </row>
    <row r="9" spans="1:10" ht="208.5" customHeight="1" x14ac:dyDescent="0.2">
      <c r="B9" s="168">
        <v>43128</v>
      </c>
      <c r="C9" s="198" t="s">
        <v>26</v>
      </c>
      <c r="D9" s="194" t="s">
        <v>27</v>
      </c>
      <c r="E9" s="194" t="s">
        <v>28</v>
      </c>
      <c r="F9" s="199">
        <v>12.8</v>
      </c>
      <c r="G9" s="200"/>
      <c r="H9" s="200"/>
      <c r="I9" s="200"/>
      <c r="J9" s="201"/>
    </row>
    <row r="10" spans="1:10" ht="206.25" customHeight="1" x14ac:dyDescent="0.2">
      <c r="B10" s="168">
        <v>43129</v>
      </c>
      <c r="C10" s="198" t="s">
        <v>29</v>
      </c>
      <c r="D10" s="194" t="s">
        <v>44</v>
      </c>
      <c r="E10" s="194" t="s">
        <v>35</v>
      </c>
      <c r="F10" s="199">
        <v>7.6</v>
      </c>
      <c r="G10" s="200"/>
      <c r="H10" s="200"/>
      <c r="I10" s="200"/>
      <c r="J10" s="201"/>
    </row>
    <row r="11" spans="1:10" ht="156" customHeight="1" x14ac:dyDescent="0.2">
      <c r="B11" s="168">
        <v>43130</v>
      </c>
      <c r="C11" s="198" t="s">
        <v>47</v>
      </c>
      <c r="D11" s="194" t="s">
        <v>50</v>
      </c>
      <c r="E11" s="194"/>
      <c r="F11" s="199">
        <v>8</v>
      </c>
      <c r="G11" s="200"/>
      <c r="H11" s="200"/>
      <c r="I11" s="200"/>
      <c r="J11" s="201"/>
    </row>
    <row r="12" spans="1:10" ht="48" x14ac:dyDescent="0.2">
      <c r="B12" s="168">
        <v>43131</v>
      </c>
      <c r="C12" s="198"/>
      <c r="D12" s="194" t="s">
        <v>48</v>
      </c>
      <c r="E12" s="194" t="s">
        <v>49</v>
      </c>
      <c r="F12" s="199">
        <v>14.5</v>
      </c>
      <c r="G12" s="200"/>
      <c r="H12" s="200"/>
      <c r="I12" s="200"/>
      <c r="J12" s="201"/>
    </row>
    <row r="13" spans="1:10" ht="323.25" customHeight="1" x14ac:dyDescent="0.2">
      <c r="B13" s="168">
        <v>43132</v>
      </c>
      <c r="C13" s="198" t="s">
        <v>51</v>
      </c>
      <c r="D13" s="194" t="s">
        <v>53</v>
      </c>
      <c r="E13" s="194" t="s">
        <v>52</v>
      </c>
      <c r="F13" s="199">
        <v>15</v>
      </c>
      <c r="G13" s="200"/>
      <c r="H13" s="200"/>
      <c r="I13" s="200"/>
      <c r="J13" s="201"/>
    </row>
    <row r="14" spans="1:10" ht="36" x14ac:dyDescent="0.2">
      <c r="B14" s="168">
        <v>43133</v>
      </c>
      <c r="C14" s="198" t="s">
        <v>54</v>
      </c>
      <c r="D14" s="194" t="s">
        <v>55</v>
      </c>
      <c r="E14" s="194"/>
      <c r="F14" s="199">
        <v>14.6</v>
      </c>
      <c r="G14" s="200"/>
      <c r="H14" s="200"/>
      <c r="I14" s="200"/>
      <c r="J14" s="201"/>
    </row>
    <row r="15" spans="1:10" ht="60" x14ac:dyDescent="0.2">
      <c r="B15" s="168">
        <v>43134</v>
      </c>
      <c r="C15" s="202" t="s">
        <v>57</v>
      </c>
      <c r="D15" s="194" t="s">
        <v>56</v>
      </c>
      <c r="E15" s="194" t="s">
        <v>60</v>
      </c>
      <c r="F15" s="199">
        <v>11</v>
      </c>
      <c r="G15" s="200"/>
      <c r="H15" s="200"/>
      <c r="I15" s="200"/>
      <c r="J15" s="201"/>
    </row>
    <row r="16" spans="1:10" ht="60" x14ac:dyDescent="0.2">
      <c r="B16" s="168">
        <v>43135</v>
      </c>
      <c r="C16" s="198" t="s">
        <v>58</v>
      </c>
      <c r="D16" s="194" t="s">
        <v>61</v>
      </c>
      <c r="E16" s="194" t="s">
        <v>62</v>
      </c>
      <c r="F16" s="199">
        <v>18.25</v>
      </c>
      <c r="G16" s="200"/>
      <c r="H16" s="200"/>
      <c r="I16" s="200"/>
      <c r="J16" s="201"/>
    </row>
    <row r="17" spans="1:10" ht="24" x14ac:dyDescent="0.2">
      <c r="B17" s="168">
        <v>43136</v>
      </c>
      <c r="C17" s="198" t="s">
        <v>64</v>
      </c>
      <c r="D17" s="194" t="s">
        <v>63</v>
      </c>
      <c r="E17" s="194" t="s">
        <v>66</v>
      </c>
      <c r="F17" s="199">
        <v>18.25</v>
      </c>
      <c r="G17" s="200"/>
      <c r="H17" s="200"/>
      <c r="I17" s="200"/>
      <c r="J17" s="201"/>
    </row>
    <row r="18" spans="1:10" ht="60" x14ac:dyDescent="0.2">
      <c r="B18" s="168">
        <v>43137</v>
      </c>
      <c r="C18" s="198" t="s">
        <v>67</v>
      </c>
      <c r="D18" s="194" t="s">
        <v>76</v>
      </c>
      <c r="E18" s="194" t="s">
        <v>77</v>
      </c>
      <c r="F18" s="199">
        <v>16</v>
      </c>
      <c r="G18" s="200"/>
      <c r="H18" s="200"/>
      <c r="I18" s="200"/>
      <c r="J18" s="201"/>
    </row>
    <row r="19" spans="1:10" ht="48" x14ac:dyDescent="0.2">
      <c r="B19" s="168">
        <v>43138</v>
      </c>
      <c r="C19" s="198" t="s">
        <v>79</v>
      </c>
      <c r="D19" s="194" t="s">
        <v>84</v>
      </c>
      <c r="E19" s="194"/>
      <c r="F19" s="199">
        <v>15</v>
      </c>
      <c r="G19" s="200"/>
      <c r="H19" s="200"/>
      <c r="I19" s="200"/>
      <c r="J19" s="201"/>
    </row>
    <row r="20" spans="1:10" ht="93.75" customHeight="1" x14ac:dyDescent="0.2">
      <c r="B20" s="168">
        <v>43139</v>
      </c>
      <c r="C20" s="198" t="s">
        <v>88</v>
      </c>
      <c r="D20" s="194" t="s">
        <v>89</v>
      </c>
      <c r="E20" s="194"/>
      <c r="F20" s="199">
        <v>16</v>
      </c>
      <c r="G20" s="200"/>
      <c r="H20" s="200"/>
      <c r="I20" s="200"/>
      <c r="J20" s="201"/>
    </row>
    <row r="21" spans="1:10" x14ac:dyDescent="0.2">
      <c r="B21" s="168">
        <v>43140</v>
      </c>
      <c r="C21" s="198"/>
      <c r="D21" s="194" t="s">
        <v>222</v>
      </c>
      <c r="E21" s="194"/>
      <c r="F21" s="199">
        <v>16</v>
      </c>
      <c r="G21" s="200"/>
      <c r="H21" s="200"/>
      <c r="I21" s="200"/>
      <c r="J21" s="201"/>
    </row>
    <row r="22" spans="1:10" ht="69" customHeight="1" x14ac:dyDescent="0.2">
      <c r="B22" s="168">
        <v>43141</v>
      </c>
      <c r="C22" s="198"/>
      <c r="D22" s="194" t="s">
        <v>221</v>
      </c>
      <c r="E22" s="194"/>
      <c r="F22" s="199">
        <v>19</v>
      </c>
      <c r="G22" s="200"/>
      <c r="H22" s="200"/>
      <c r="I22" s="200"/>
      <c r="J22" s="201"/>
    </row>
    <row r="23" spans="1:10" ht="101.25" customHeight="1" x14ac:dyDescent="0.2">
      <c r="B23" s="168">
        <v>43142</v>
      </c>
      <c r="C23" s="198"/>
      <c r="D23" s="194" t="s">
        <v>227</v>
      </c>
      <c r="E23" s="194"/>
      <c r="F23" s="199">
        <v>11</v>
      </c>
      <c r="G23" s="200"/>
      <c r="H23" s="200"/>
      <c r="I23" s="200"/>
      <c r="J23" s="201"/>
    </row>
    <row r="24" spans="1:10" ht="152" customHeight="1" x14ac:dyDescent="0.2">
      <c r="B24" s="168">
        <v>43148</v>
      </c>
      <c r="C24" s="198"/>
      <c r="D24" s="194" t="s">
        <v>292</v>
      </c>
      <c r="E24" s="194" t="s">
        <v>295</v>
      </c>
      <c r="F24" s="199">
        <v>16</v>
      </c>
      <c r="G24" s="200"/>
      <c r="H24" s="200"/>
      <c r="I24" s="200"/>
      <c r="J24" s="201"/>
    </row>
    <row r="25" spans="1:10" ht="138" customHeight="1" x14ac:dyDescent="0.2">
      <c r="A25" s="204"/>
      <c r="B25" s="168">
        <v>43149</v>
      </c>
      <c r="C25" s="198" t="s">
        <v>293</v>
      </c>
      <c r="D25" s="194" t="s">
        <v>298</v>
      </c>
      <c r="E25" s="203" t="s">
        <v>297</v>
      </c>
      <c r="F25" s="199"/>
      <c r="G25" s="200"/>
      <c r="H25" s="200"/>
      <c r="I25" s="200"/>
      <c r="J25" s="201"/>
    </row>
    <row r="26" spans="1:10" ht="156" x14ac:dyDescent="0.2">
      <c r="B26" s="168">
        <v>43150</v>
      </c>
      <c r="C26" s="198" t="s">
        <v>330</v>
      </c>
      <c r="D26" s="194" t="s">
        <v>327</v>
      </c>
      <c r="E26" s="194" t="s">
        <v>329</v>
      </c>
      <c r="F26" s="199"/>
      <c r="G26" s="200"/>
      <c r="H26" s="200"/>
      <c r="I26" s="200"/>
      <c r="J26" s="201"/>
    </row>
    <row r="27" spans="1:10" ht="96" customHeight="1" x14ac:dyDescent="0.2">
      <c r="B27" s="168">
        <v>43151</v>
      </c>
      <c r="C27" s="198" t="s">
        <v>331</v>
      </c>
      <c r="D27" s="194"/>
      <c r="E27" s="194"/>
      <c r="F27" s="199"/>
      <c r="G27" s="200"/>
      <c r="H27" s="200"/>
      <c r="I27" s="200"/>
      <c r="J27" s="201"/>
    </row>
    <row r="28" spans="1:10" x14ac:dyDescent="0.2">
      <c r="B28" s="168">
        <v>43152</v>
      </c>
      <c r="C28" s="198"/>
      <c r="D28" s="194"/>
      <c r="E28" s="194"/>
      <c r="F28" s="199"/>
      <c r="G28" s="200"/>
      <c r="H28" s="200"/>
      <c r="I28" s="200"/>
      <c r="J28" s="201"/>
    </row>
    <row r="29" spans="1:10" x14ac:dyDescent="0.2">
      <c r="B29" s="168">
        <v>43153</v>
      </c>
      <c r="C29" s="198"/>
      <c r="D29" s="194"/>
      <c r="E29" s="194"/>
      <c r="F29" s="199"/>
      <c r="G29" s="200"/>
      <c r="H29" s="200"/>
      <c r="I29" s="200"/>
      <c r="J29" s="201"/>
    </row>
    <row r="30" spans="1:10" x14ac:dyDescent="0.2">
      <c r="B30" s="168">
        <v>43154</v>
      </c>
      <c r="C30" s="198"/>
      <c r="D30" s="194"/>
      <c r="E30" s="194"/>
      <c r="F30" s="199"/>
      <c r="G30" s="200"/>
      <c r="H30" s="200"/>
      <c r="I30" s="200"/>
      <c r="J30" s="201"/>
    </row>
    <row r="31" spans="1:10" x14ac:dyDescent="0.2">
      <c r="B31" s="168">
        <v>43155</v>
      </c>
      <c r="C31" s="198"/>
      <c r="D31" s="194"/>
      <c r="E31" s="194"/>
      <c r="F31" s="199"/>
      <c r="G31" s="200"/>
      <c r="H31" s="200"/>
      <c r="I31" s="200"/>
      <c r="J31" s="201"/>
    </row>
    <row r="32" spans="1:10" x14ac:dyDescent="0.2">
      <c r="B32" s="168">
        <v>43156</v>
      </c>
      <c r="C32" s="198"/>
      <c r="D32" s="194"/>
      <c r="E32" s="194"/>
      <c r="F32" s="199"/>
      <c r="G32" s="200"/>
      <c r="H32" s="200"/>
      <c r="I32" s="200"/>
      <c r="J32" s="201"/>
    </row>
    <row r="33" spans="2:10" x14ac:dyDescent="0.2">
      <c r="B33" s="168">
        <v>43157</v>
      </c>
      <c r="C33" s="198"/>
      <c r="D33" s="194"/>
      <c r="E33" s="194"/>
      <c r="F33" s="199"/>
      <c r="G33" s="200"/>
      <c r="H33" s="200"/>
      <c r="I33" s="200"/>
      <c r="J33" s="201"/>
    </row>
    <row r="34" spans="2:10" x14ac:dyDescent="0.2">
      <c r="B34" s="168">
        <v>43158</v>
      </c>
      <c r="C34" s="198"/>
      <c r="D34" s="194"/>
      <c r="E34" s="194"/>
      <c r="F34" s="199"/>
      <c r="G34" s="200"/>
      <c r="H34" s="200"/>
      <c r="I34" s="200"/>
      <c r="J34" s="201"/>
    </row>
    <row r="35" spans="2:10" x14ac:dyDescent="0.2">
      <c r="B35" s="168">
        <v>43159</v>
      </c>
      <c r="C35" s="198"/>
      <c r="D35" s="194"/>
      <c r="E35" s="194"/>
      <c r="F35" s="199"/>
      <c r="G35" s="200"/>
      <c r="H35" s="200"/>
      <c r="I35" s="200"/>
      <c r="J35" s="201"/>
    </row>
    <row r="36" spans="2:10" x14ac:dyDescent="0.2">
      <c r="B36" s="168">
        <v>43160</v>
      </c>
      <c r="C36" s="198"/>
      <c r="D36" s="194"/>
      <c r="E36" s="194"/>
      <c r="F36" s="199"/>
      <c r="G36" s="200"/>
      <c r="H36" s="200"/>
      <c r="I36" s="200"/>
      <c r="J36" s="201"/>
    </row>
    <row r="37" spans="2:10" x14ac:dyDescent="0.2">
      <c r="B37" s="168">
        <v>43161</v>
      </c>
      <c r="C37" s="198"/>
      <c r="D37" s="194"/>
      <c r="E37" s="194"/>
      <c r="F37" s="199"/>
      <c r="G37" s="200"/>
      <c r="H37" s="200"/>
      <c r="I37" s="200"/>
      <c r="J37" s="201"/>
    </row>
    <row r="38" spans="2:10" x14ac:dyDescent="0.2">
      <c r="B38" s="168">
        <v>43162</v>
      </c>
      <c r="C38" s="198"/>
      <c r="D38" s="194"/>
      <c r="E38" s="194"/>
      <c r="F38" s="199"/>
      <c r="G38" s="200"/>
      <c r="H38" s="200"/>
      <c r="I38" s="200"/>
      <c r="J38" s="201"/>
    </row>
    <row r="39" spans="2:10" x14ac:dyDescent="0.2">
      <c r="B39" s="168">
        <v>43163</v>
      </c>
      <c r="C39" s="198"/>
      <c r="D39" s="194"/>
      <c r="E39" s="194"/>
      <c r="F39" s="199"/>
      <c r="G39" s="200"/>
      <c r="H39" s="200"/>
      <c r="I39" s="200"/>
      <c r="J39" s="201"/>
    </row>
    <row r="40" spans="2:10" x14ac:dyDescent="0.2">
      <c r="B40" s="168">
        <v>43164</v>
      </c>
      <c r="C40" s="198"/>
      <c r="D40" s="194"/>
      <c r="E40" s="194"/>
      <c r="F40" s="199"/>
      <c r="G40" s="200"/>
      <c r="H40" s="200"/>
      <c r="I40" s="200"/>
      <c r="J40" s="201"/>
    </row>
    <row r="41" spans="2:10" x14ac:dyDescent="0.2">
      <c r="B41" s="168">
        <v>43165</v>
      </c>
      <c r="C41" s="198"/>
      <c r="D41" s="194"/>
      <c r="E41" s="194"/>
      <c r="F41" s="199"/>
      <c r="G41" s="200"/>
      <c r="H41" s="200"/>
      <c r="I41" s="200"/>
      <c r="J41" s="201"/>
    </row>
    <row r="42" spans="2:10" x14ac:dyDescent="0.2">
      <c r="B42" s="168">
        <v>43166</v>
      </c>
      <c r="C42" s="198"/>
      <c r="D42" s="194"/>
      <c r="E42" s="194"/>
      <c r="F42" s="199"/>
      <c r="G42" s="200"/>
      <c r="H42" s="200"/>
      <c r="I42" s="200"/>
      <c r="J42" s="201"/>
    </row>
    <row r="43" spans="2:10" x14ac:dyDescent="0.2">
      <c r="B43" s="168">
        <v>43167</v>
      </c>
      <c r="C43" s="198"/>
      <c r="D43" s="194"/>
      <c r="E43" s="194"/>
      <c r="F43" s="199"/>
      <c r="G43" s="200"/>
      <c r="H43" s="200"/>
      <c r="I43" s="200"/>
      <c r="J43" s="201"/>
    </row>
    <row r="44" spans="2:10" x14ac:dyDescent="0.2">
      <c r="B44" s="168">
        <v>43168</v>
      </c>
      <c r="C44" s="198"/>
      <c r="D44" s="194"/>
      <c r="E44" s="194"/>
      <c r="F44" s="199"/>
      <c r="G44" s="200"/>
      <c r="H44" s="200"/>
      <c r="I44" s="200"/>
      <c r="J44" s="201"/>
    </row>
    <row r="45" spans="2:10" x14ac:dyDescent="0.2">
      <c r="B45" s="168">
        <v>43169</v>
      </c>
      <c r="C45" s="198"/>
      <c r="D45" s="194"/>
      <c r="E45" s="194"/>
      <c r="F45" s="199"/>
      <c r="G45" s="200"/>
      <c r="H45" s="200"/>
      <c r="I45" s="200"/>
      <c r="J45" s="201"/>
    </row>
    <row r="46" spans="2:10" x14ac:dyDescent="0.2">
      <c r="B46" s="168">
        <v>43170</v>
      </c>
      <c r="C46" s="198"/>
      <c r="D46" s="194"/>
      <c r="E46" s="194"/>
      <c r="F46" s="199"/>
      <c r="G46" s="200"/>
      <c r="H46" s="200"/>
      <c r="I46" s="200"/>
      <c r="J46" s="201"/>
    </row>
    <row r="47" spans="2:10" x14ac:dyDescent="0.2">
      <c r="B47" s="168">
        <v>43171</v>
      </c>
      <c r="C47" s="198"/>
      <c r="D47" s="194"/>
      <c r="E47" s="194"/>
      <c r="F47" s="199"/>
      <c r="G47" s="200"/>
      <c r="H47" s="200"/>
      <c r="I47" s="200"/>
      <c r="J47" s="201"/>
    </row>
    <row r="48" spans="2:10" x14ac:dyDescent="0.2">
      <c r="B48" s="168">
        <v>43172</v>
      </c>
      <c r="C48" s="198"/>
      <c r="D48" s="194"/>
      <c r="E48" s="194"/>
      <c r="F48" s="199"/>
      <c r="G48" s="200"/>
      <c r="H48" s="200"/>
      <c r="I48" s="200"/>
      <c r="J48" s="201"/>
    </row>
    <row r="49" spans="2:10" x14ac:dyDescent="0.2">
      <c r="B49" s="168">
        <v>43173</v>
      </c>
      <c r="C49" s="198"/>
      <c r="D49" s="194"/>
      <c r="E49" s="194"/>
      <c r="F49" s="199"/>
      <c r="G49" s="200"/>
      <c r="H49" s="200"/>
      <c r="I49" s="200"/>
      <c r="J49" s="201"/>
    </row>
    <row r="50" spans="2:10" x14ac:dyDescent="0.2">
      <c r="B50" s="168">
        <v>43174</v>
      </c>
      <c r="C50" s="198"/>
      <c r="D50" s="194"/>
      <c r="E50" s="194"/>
      <c r="F50" s="199"/>
      <c r="G50" s="200"/>
      <c r="H50" s="200"/>
      <c r="I50" s="200"/>
      <c r="J50" s="201"/>
    </row>
    <row r="51" spans="2:10" x14ac:dyDescent="0.2">
      <c r="B51" s="168">
        <v>43175</v>
      </c>
      <c r="C51" s="198"/>
      <c r="D51" s="194"/>
      <c r="E51" s="194"/>
      <c r="F51" s="199"/>
      <c r="G51" s="200"/>
      <c r="H51" s="200"/>
      <c r="I51" s="200"/>
      <c r="J51" s="201"/>
    </row>
    <row r="52" spans="2:10" x14ac:dyDescent="0.2">
      <c r="B52" s="168">
        <v>43176</v>
      </c>
      <c r="C52" s="198"/>
      <c r="D52" s="194"/>
      <c r="E52" s="194"/>
      <c r="F52" s="199"/>
      <c r="G52" s="200"/>
      <c r="H52" s="200"/>
      <c r="I52" s="200"/>
      <c r="J52" s="201"/>
    </row>
    <row r="53" spans="2:10" x14ac:dyDescent="0.2">
      <c r="B53" s="168">
        <v>43177</v>
      </c>
      <c r="C53" s="198"/>
      <c r="D53" s="194"/>
      <c r="E53" s="194"/>
      <c r="F53" s="199"/>
      <c r="G53" s="200"/>
      <c r="H53" s="200"/>
      <c r="I53" s="200"/>
      <c r="J53" s="201"/>
    </row>
    <row r="54" spans="2:10" x14ac:dyDescent="0.2">
      <c r="B54" s="168">
        <v>43178</v>
      </c>
      <c r="C54" s="198"/>
      <c r="D54" s="194"/>
      <c r="E54" s="194"/>
      <c r="F54" s="199"/>
      <c r="G54" s="200"/>
      <c r="H54" s="200"/>
      <c r="I54" s="200"/>
      <c r="J54" s="201"/>
    </row>
    <row r="55" spans="2:10" x14ac:dyDescent="0.2">
      <c r="B55" s="168">
        <v>43179</v>
      </c>
      <c r="C55" s="198"/>
      <c r="D55" s="194"/>
      <c r="E55" s="194"/>
      <c r="F55" s="199"/>
      <c r="G55" s="200"/>
      <c r="H55" s="200"/>
      <c r="I55" s="200"/>
      <c r="J55" s="201"/>
    </row>
    <row r="56" spans="2:10" x14ac:dyDescent="0.2">
      <c r="B56" s="168">
        <v>43180</v>
      </c>
      <c r="C56" s="198"/>
      <c r="D56" s="194"/>
      <c r="E56" s="194"/>
      <c r="F56" s="199"/>
      <c r="G56" s="200"/>
      <c r="H56" s="200"/>
      <c r="I56" s="200"/>
      <c r="J56" s="201"/>
    </row>
    <row r="57" spans="2:10" x14ac:dyDescent="0.2">
      <c r="B57" s="168">
        <v>43181</v>
      </c>
      <c r="C57" s="198"/>
      <c r="D57" s="194"/>
      <c r="E57" s="194"/>
      <c r="F57" s="199"/>
      <c r="G57" s="200"/>
      <c r="H57" s="200"/>
      <c r="I57" s="200"/>
      <c r="J57" s="201"/>
    </row>
    <row r="58" spans="2:10" x14ac:dyDescent="0.2">
      <c r="B58" s="168">
        <v>43182</v>
      </c>
      <c r="C58" s="198"/>
      <c r="D58" s="194"/>
      <c r="E58" s="194"/>
      <c r="F58" s="199"/>
      <c r="G58" s="200"/>
      <c r="H58" s="200"/>
      <c r="I58" s="200"/>
      <c r="J58" s="201"/>
    </row>
    <row r="59" spans="2:10" x14ac:dyDescent="0.2">
      <c r="B59" s="168">
        <v>43183</v>
      </c>
      <c r="C59" s="198"/>
      <c r="D59" s="194"/>
      <c r="E59" s="194"/>
      <c r="F59" s="199"/>
      <c r="G59" s="200"/>
      <c r="H59" s="200"/>
      <c r="I59" s="200"/>
      <c r="J59" s="201"/>
    </row>
    <row r="60" spans="2:10" x14ac:dyDescent="0.2">
      <c r="B60" s="168">
        <v>43184</v>
      </c>
      <c r="C60" s="198"/>
      <c r="D60" s="194"/>
      <c r="E60" s="194"/>
      <c r="F60" s="199"/>
      <c r="G60" s="200"/>
      <c r="H60" s="200"/>
      <c r="I60" s="200"/>
      <c r="J60" s="201"/>
    </row>
    <row r="61" spans="2:10" x14ac:dyDescent="0.2">
      <c r="B61" s="168">
        <v>43185</v>
      </c>
      <c r="C61" s="198"/>
      <c r="D61" s="194"/>
      <c r="E61" s="194"/>
      <c r="F61" s="199"/>
      <c r="G61" s="200"/>
      <c r="H61" s="200"/>
      <c r="I61" s="200"/>
      <c r="J61" s="201"/>
    </row>
    <row r="62" spans="2:10" x14ac:dyDescent="0.2">
      <c r="B62" s="168">
        <v>43186</v>
      </c>
      <c r="C62" s="198"/>
      <c r="D62" s="194"/>
      <c r="E62" s="194"/>
      <c r="F62" s="199"/>
      <c r="G62" s="200"/>
      <c r="H62" s="200"/>
      <c r="I62" s="200"/>
      <c r="J62" s="201"/>
    </row>
    <row r="63" spans="2:10" x14ac:dyDescent="0.2">
      <c r="B63" s="168">
        <v>43187</v>
      </c>
      <c r="C63" s="198"/>
      <c r="D63" s="194"/>
      <c r="E63" s="194"/>
      <c r="F63" s="199"/>
      <c r="G63" s="200"/>
      <c r="H63" s="200"/>
      <c r="I63" s="200"/>
      <c r="J63" s="201"/>
    </row>
    <row r="64" spans="2:10" x14ac:dyDescent="0.2">
      <c r="B64" s="168">
        <v>43188</v>
      </c>
      <c r="C64" s="198"/>
      <c r="D64" s="194"/>
      <c r="E64" s="194"/>
      <c r="F64" s="199"/>
      <c r="G64" s="200"/>
      <c r="H64" s="200"/>
      <c r="I64" s="200"/>
      <c r="J64" s="201"/>
    </row>
    <row r="65" spans="2:10" x14ac:dyDescent="0.2">
      <c r="B65" s="168">
        <v>43189</v>
      </c>
      <c r="C65" s="198"/>
      <c r="D65" s="194"/>
      <c r="E65" s="194"/>
      <c r="F65" s="199"/>
      <c r="G65" s="200"/>
      <c r="H65" s="200"/>
      <c r="I65" s="200"/>
      <c r="J65" s="201"/>
    </row>
    <row r="66" spans="2:10" x14ac:dyDescent="0.2">
      <c r="B66" s="168">
        <v>43190</v>
      </c>
      <c r="C66" s="198"/>
      <c r="D66" s="194"/>
      <c r="E66" s="194"/>
      <c r="F66" s="199"/>
      <c r="G66" s="200"/>
      <c r="H66" s="200"/>
      <c r="I66" s="200"/>
      <c r="J66" s="201"/>
    </row>
    <row r="67" spans="2:10" x14ac:dyDescent="0.2">
      <c r="B67" s="168">
        <v>43191</v>
      </c>
      <c r="C67" s="198"/>
      <c r="D67" s="194"/>
      <c r="E67" s="194"/>
      <c r="F67" s="199"/>
      <c r="G67" s="200"/>
      <c r="H67" s="200"/>
      <c r="I67" s="200"/>
      <c r="J67" s="201"/>
    </row>
    <row r="68" spans="2:10" x14ac:dyDescent="0.2">
      <c r="B68" s="168">
        <v>43192</v>
      </c>
      <c r="C68" s="198"/>
      <c r="D68" s="194"/>
      <c r="E68" s="194"/>
      <c r="F68" s="199"/>
      <c r="G68" s="200"/>
      <c r="H68" s="200"/>
      <c r="I68" s="200"/>
      <c r="J68" s="201"/>
    </row>
    <row r="69" spans="2:10" x14ac:dyDescent="0.2">
      <c r="B69" s="168">
        <v>43193</v>
      </c>
      <c r="C69" s="198"/>
      <c r="D69" s="194"/>
      <c r="E69" s="194"/>
      <c r="F69" s="199"/>
      <c r="G69" s="200"/>
      <c r="H69" s="200"/>
      <c r="I69" s="200"/>
      <c r="J69" s="201"/>
    </row>
    <row r="70" spans="2:10" x14ac:dyDescent="0.2">
      <c r="B70" s="168">
        <v>43194</v>
      </c>
      <c r="C70" s="198"/>
      <c r="D70" s="194"/>
      <c r="E70" s="194"/>
      <c r="F70" s="199"/>
      <c r="G70" s="200"/>
      <c r="H70" s="200"/>
      <c r="I70" s="200"/>
      <c r="J70" s="201"/>
    </row>
    <row r="71" spans="2:10" x14ac:dyDescent="0.2">
      <c r="B71" s="168">
        <v>43195</v>
      </c>
      <c r="C71" s="198"/>
      <c r="D71" s="194"/>
      <c r="E71" s="194"/>
      <c r="F71" s="199"/>
      <c r="G71" s="200"/>
      <c r="H71" s="200"/>
      <c r="I71" s="200"/>
      <c r="J71" s="201"/>
    </row>
    <row r="72" spans="2:10" x14ac:dyDescent="0.2">
      <c r="B72" s="168">
        <v>43196</v>
      </c>
      <c r="C72" s="198"/>
      <c r="D72" s="194"/>
      <c r="E72" s="194"/>
      <c r="F72" s="199"/>
      <c r="G72" s="200"/>
      <c r="H72" s="200"/>
      <c r="I72" s="200"/>
      <c r="J72" s="201"/>
    </row>
    <row r="73" spans="2:10" x14ac:dyDescent="0.2">
      <c r="B73" s="168">
        <v>43197</v>
      </c>
      <c r="C73" s="198"/>
      <c r="D73" s="194"/>
      <c r="E73" s="194"/>
      <c r="F73" s="199"/>
      <c r="G73" s="200"/>
      <c r="H73" s="200"/>
      <c r="I73" s="200"/>
      <c r="J73" s="201"/>
    </row>
    <row r="74" spans="2:10" x14ac:dyDescent="0.2">
      <c r="B74" s="168">
        <v>43198</v>
      </c>
      <c r="C74" s="198"/>
      <c r="D74" s="194"/>
      <c r="E74" s="194"/>
      <c r="F74" s="199"/>
      <c r="G74" s="200"/>
      <c r="H74" s="200"/>
      <c r="I74" s="200"/>
      <c r="J74" s="201"/>
    </row>
    <row r="75" spans="2:10" x14ac:dyDescent="0.2">
      <c r="B75" s="168">
        <v>43199</v>
      </c>
      <c r="C75" s="198"/>
      <c r="D75" s="194"/>
      <c r="E75" s="194"/>
      <c r="F75" s="199"/>
      <c r="G75" s="200"/>
      <c r="H75" s="200"/>
      <c r="I75" s="200"/>
      <c r="J75" s="201"/>
    </row>
    <row r="76" spans="2:10" x14ac:dyDescent="0.2">
      <c r="B76" s="168">
        <v>43200</v>
      </c>
      <c r="C76" s="198"/>
      <c r="D76" s="194"/>
      <c r="E76" s="194"/>
      <c r="F76" s="199"/>
      <c r="G76" s="200"/>
      <c r="H76" s="200"/>
      <c r="I76" s="200"/>
      <c r="J76" s="201"/>
    </row>
    <row r="77" spans="2:10" x14ac:dyDescent="0.2">
      <c r="B77" s="168">
        <v>43201</v>
      </c>
      <c r="C77" s="198"/>
      <c r="D77" s="194"/>
      <c r="E77" s="194"/>
      <c r="F77" s="199"/>
      <c r="G77" s="200"/>
      <c r="H77" s="200"/>
      <c r="I77" s="200"/>
      <c r="J77" s="201"/>
    </row>
    <row r="78" spans="2:10" x14ac:dyDescent="0.2">
      <c r="B78" s="168">
        <v>43202</v>
      </c>
      <c r="C78" s="198"/>
      <c r="D78" s="194"/>
      <c r="E78" s="194"/>
      <c r="F78" s="199"/>
      <c r="G78" s="200"/>
      <c r="H78" s="200"/>
      <c r="I78" s="200"/>
      <c r="J78" s="201"/>
    </row>
    <row r="79" spans="2:10" x14ac:dyDescent="0.2">
      <c r="B79" s="168">
        <v>43203</v>
      </c>
      <c r="C79" s="198"/>
      <c r="D79" s="194"/>
      <c r="E79" s="194"/>
      <c r="F79" s="199"/>
      <c r="G79" s="200"/>
      <c r="H79" s="200"/>
      <c r="I79" s="200"/>
      <c r="J79" s="201"/>
    </row>
    <row r="80" spans="2:10" x14ac:dyDescent="0.2">
      <c r="B80" s="168">
        <v>43204</v>
      </c>
      <c r="C80" s="198"/>
      <c r="D80" s="194"/>
      <c r="E80" s="194"/>
      <c r="F80" s="199"/>
      <c r="G80" s="200"/>
      <c r="H80" s="200"/>
      <c r="I80" s="200"/>
      <c r="J80" s="201"/>
    </row>
    <row r="81" spans="2:10" x14ac:dyDescent="0.2">
      <c r="B81" s="168">
        <v>43205</v>
      </c>
      <c r="C81" s="198"/>
      <c r="D81" s="194"/>
      <c r="E81" s="194"/>
      <c r="F81" s="199"/>
      <c r="G81" s="200"/>
      <c r="H81" s="200"/>
      <c r="I81" s="200"/>
      <c r="J81" s="201"/>
    </row>
    <row r="82" spans="2:10" x14ac:dyDescent="0.2">
      <c r="B82" s="168">
        <v>43206</v>
      </c>
      <c r="C82" s="198"/>
      <c r="D82" s="194"/>
      <c r="E82" s="194"/>
      <c r="F82" s="199"/>
      <c r="G82" s="200"/>
      <c r="H82" s="200"/>
      <c r="I82" s="200"/>
      <c r="J82" s="201"/>
    </row>
    <row r="83" spans="2:10" x14ac:dyDescent="0.2">
      <c r="B83" s="168">
        <v>43207</v>
      </c>
      <c r="C83" s="198"/>
      <c r="D83" s="194"/>
      <c r="E83" s="194"/>
      <c r="F83" s="199"/>
      <c r="G83" s="200"/>
      <c r="H83" s="200"/>
      <c r="I83" s="200"/>
      <c r="J83" s="201"/>
    </row>
    <row r="84" spans="2:10" x14ac:dyDescent="0.2">
      <c r="B84" s="168">
        <v>43208</v>
      </c>
      <c r="C84" s="198"/>
      <c r="D84" s="194"/>
      <c r="E84" s="194"/>
      <c r="F84" s="199"/>
      <c r="G84" s="200"/>
      <c r="H84" s="200"/>
      <c r="I84" s="200"/>
      <c r="J84" s="201"/>
    </row>
    <row r="85" spans="2:10" x14ac:dyDescent="0.2">
      <c r="B85" s="168">
        <v>43209</v>
      </c>
      <c r="C85" s="198"/>
      <c r="D85" s="194"/>
      <c r="E85" s="194"/>
      <c r="F85" s="199"/>
      <c r="G85" s="200"/>
      <c r="H85" s="200"/>
      <c r="I85" s="200"/>
      <c r="J85" s="201"/>
    </row>
    <row r="86" spans="2:10" x14ac:dyDescent="0.2">
      <c r="B86" s="168">
        <v>43210</v>
      </c>
      <c r="C86" s="198"/>
      <c r="D86" s="194"/>
      <c r="E86" s="194"/>
      <c r="F86" s="199"/>
      <c r="G86" s="200"/>
      <c r="H86" s="200"/>
      <c r="I86" s="200"/>
      <c r="J86" s="201"/>
    </row>
    <row r="87" spans="2:10" x14ac:dyDescent="0.2">
      <c r="B87" s="168">
        <v>43211</v>
      </c>
      <c r="C87" s="198"/>
      <c r="D87" s="194"/>
      <c r="E87" s="194"/>
      <c r="F87" s="199"/>
      <c r="G87" s="200"/>
      <c r="H87" s="200"/>
      <c r="I87" s="200"/>
      <c r="J87" s="201"/>
    </row>
    <row r="88" spans="2:10" x14ac:dyDescent="0.2">
      <c r="B88" s="168">
        <v>43212</v>
      </c>
      <c r="C88" s="198"/>
      <c r="D88" s="194"/>
      <c r="E88" s="194"/>
      <c r="F88" s="199"/>
      <c r="G88" s="200"/>
      <c r="H88" s="200"/>
      <c r="I88" s="200"/>
      <c r="J88" s="201"/>
    </row>
    <row r="89" spans="2:10" x14ac:dyDescent="0.2">
      <c r="B89" s="168">
        <v>43213</v>
      </c>
      <c r="C89" s="198"/>
      <c r="D89" s="194"/>
      <c r="E89" s="194"/>
      <c r="F89" s="199"/>
      <c r="G89" s="200"/>
      <c r="H89" s="200"/>
      <c r="I89" s="200"/>
      <c r="J89" s="201"/>
    </row>
    <row r="90" spans="2:10" x14ac:dyDescent="0.2">
      <c r="B90" s="168">
        <v>43214</v>
      </c>
      <c r="C90" s="198"/>
      <c r="D90" s="194"/>
      <c r="E90" s="194"/>
      <c r="F90" s="199"/>
      <c r="G90" s="200"/>
      <c r="H90" s="200"/>
      <c r="I90" s="200"/>
      <c r="J90" s="201"/>
    </row>
    <row r="91" spans="2:10" x14ac:dyDescent="0.2">
      <c r="B91" s="168">
        <v>43215</v>
      </c>
      <c r="C91" s="198"/>
      <c r="D91" s="194"/>
      <c r="E91" s="194"/>
      <c r="F91" s="199"/>
      <c r="G91" s="200"/>
      <c r="H91" s="200"/>
      <c r="I91" s="200"/>
      <c r="J91" s="201"/>
    </row>
    <row r="92" spans="2:10" x14ac:dyDescent="0.2">
      <c r="B92" s="168">
        <v>43216</v>
      </c>
      <c r="C92" s="198"/>
      <c r="D92" s="194"/>
      <c r="E92" s="194"/>
      <c r="F92" s="199"/>
      <c r="G92" s="200"/>
      <c r="H92" s="200"/>
      <c r="I92" s="200"/>
      <c r="J92" s="201"/>
    </row>
    <row r="93" spans="2:10" x14ac:dyDescent="0.2">
      <c r="B93" s="168">
        <v>43217</v>
      </c>
      <c r="C93" s="198"/>
      <c r="D93" s="194"/>
      <c r="E93" s="194"/>
      <c r="F93" s="199"/>
      <c r="G93" s="200"/>
      <c r="H93" s="200"/>
      <c r="I93" s="200"/>
      <c r="J93" s="201"/>
    </row>
    <row r="94" spans="2:10" x14ac:dyDescent="0.2">
      <c r="B94" s="168">
        <v>43218</v>
      </c>
      <c r="C94" s="198"/>
      <c r="D94" s="194"/>
      <c r="E94" s="194"/>
      <c r="F94" s="199"/>
      <c r="G94" s="200"/>
      <c r="H94" s="200"/>
      <c r="I94" s="200"/>
      <c r="J94" s="201"/>
    </row>
    <row r="95" spans="2:10" x14ac:dyDescent="0.2">
      <c r="B95" s="168">
        <v>43219</v>
      </c>
      <c r="C95" s="198"/>
      <c r="D95" s="194"/>
      <c r="E95" s="194"/>
      <c r="F95" s="199"/>
      <c r="G95" s="200"/>
      <c r="H95" s="200"/>
      <c r="I95" s="200"/>
      <c r="J95" s="201"/>
    </row>
    <row r="96" spans="2:10" x14ac:dyDescent="0.2">
      <c r="B96" s="168">
        <v>43220</v>
      </c>
      <c r="C96" s="198"/>
      <c r="D96" s="194"/>
      <c r="E96" s="194"/>
      <c r="F96" s="199"/>
      <c r="G96" s="200"/>
      <c r="H96" s="200"/>
      <c r="I96" s="200"/>
      <c r="J96" s="201"/>
    </row>
    <row r="97" spans="2:10" x14ac:dyDescent="0.2">
      <c r="B97" s="168">
        <v>43221</v>
      </c>
      <c r="C97" s="198"/>
      <c r="D97" s="194"/>
      <c r="E97" s="194"/>
      <c r="F97" s="199"/>
      <c r="G97" s="200"/>
      <c r="H97" s="200"/>
      <c r="I97" s="200"/>
      <c r="J97" s="201"/>
    </row>
    <row r="98" spans="2:10" x14ac:dyDescent="0.2">
      <c r="B98" s="168">
        <v>43222</v>
      </c>
      <c r="C98" s="198"/>
      <c r="D98" s="194"/>
      <c r="E98" s="194"/>
      <c r="F98" s="199"/>
      <c r="G98" s="200"/>
      <c r="H98" s="200"/>
      <c r="I98" s="200"/>
      <c r="J98" s="201"/>
    </row>
    <row r="99" spans="2:10" x14ac:dyDescent="0.2">
      <c r="B99" s="168">
        <v>43223</v>
      </c>
      <c r="C99" s="198"/>
      <c r="D99" s="194"/>
      <c r="E99" s="194"/>
      <c r="F99" s="199"/>
      <c r="G99" s="200"/>
      <c r="H99" s="200"/>
      <c r="I99" s="200"/>
      <c r="J99" s="201"/>
    </row>
    <row r="100" spans="2:10" x14ac:dyDescent="0.2">
      <c r="B100" s="168">
        <v>43224</v>
      </c>
      <c r="C100" s="198"/>
      <c r="D100" s="194"/>
      <c r="E100" s="194"/>
      <c r="F100" s="199"/>
      <c r="G100" s="200"/>
      <c r="H100" s="200"/>
      <c r="I100" s="200"/>
      <c r="J100" s="201"/>
    </row>
    <row r="101" spans="2:10" x14ac:dyDescent="0.2">
      <c r="B101" s="168">
        <v>43225</v>
      </c>
      <c r="C101" s="198"/>
      <c r="D101" s="194"/>
      <c r="E101" s="194"/>
      <c r="F101" s="199"/>
      <c r="G101" s="200"/>
      <c r="H101" s="200"/>
      <c r="I101" s="200"/>
      <c r="J101" s="201"/>
    </row>
    <row r="102" spans="2:10" x14ac:dyDescent="0.2">
      <c r="B102" s="168">
        <v>43226</v>
      </c>
      <c r="C102" s="198"/>
      <c r="D102" s="194"/>
      <c r="E102" s="194"/>
      <c r="F102" s="199"/>
      <c r="G102" s="200"/>
      <c r="H102" s="200"/>
      <c r="I102" s="200"/>
      <c r="J102" s="201"/>
    </row>
    <row r="103" spans="2:10" x14ac:dyDescent="0.2">
      <c r="B103" s="168">
        <v>43227</v>
      </c>
      <c r="C103" s="198"/>
      <c r="D103" s="194"/>
      <c r="E103" s="194"/>
      <c r="F103" s="199"/>
      <c r="G103" s="200"/>
      <c r="H103" s="200"/>
      <c r="I103" s="200"/>
      <c r="J103" s="201"/>
    </row>
    <row r="104" spans="2:10" x14ac:dyDescent="0.2">
      <c r="B104" s="168">
        <v>43228</v>
      </c>
      <c r="C104" s="198"/>
      <c r="D104" s="194"/>
      <c r="E104" s="194"/>
      <c r="F104" s="199"/>
      <c r="G104" s="200"/>
      <c r="H104" s="200"/>
      <c r="I104" s="200"/>
      <c r="J104" s="201"/>
    </row>
    <row r="105" spans="2:10" x14ac:dyDescent="0.2">
      <c r="B105" s="168">
        <v>43229</v>
      </c>
      <c r="C105" s="198"/>
      <c r="D105" s="194"/>
      <c r="E105" s="194"/>
      <c r="F105" s="199"/>
      <c r="G105" s="200"/>
      <c r="H105" s="200"/>
      <c r="I105" s="200"/>
      <c r="J105" s="201"/>
    </row>
    <row r="106" spans="2:10" x14ac:dyDescent="0.2">
      <c r="B106" s="168">
        <v>43230</v>
      </c>
      <c r="C106" s="198"/>
      <c r="D106" s="194"/>
      <c r="E106" s="194"/>
      <c r="F106" s="199"/>
      <c r="G106" s="200"/>
      <c r="H106" s="200"/>
      <c r="I106" s="200"/>
      <c r="J106" s="201"/>
    </row>
    <row r="107" spans="2:10" x14ac:dyDescent="0.2">
      <c r="B107" s="168">
        <v>43231</v>
      </c>
      <c r="C107" s="198"/>
      <c r="D107" s="194"/>
      <c r="E107" s="194"/>
      <c r="F107" s="199"/>
      <c r="G107" s="200"/>
      <c r="H107" s="200"/>
      <c r="I107" s="200"/>
      <c r="J107" s="201"/>
    </row>
    <row r="108" spans="2:10" x14ac:dyDescent="0.2">
      <c r="B108" s="168">
        <v>43232</v>
      </c>
      <c r="C108" s="198"/>
      <c r="D108" s="194"/>
      <c r="E108" s="194"/>
      <c r="F108" s="199"/>
      <c r="G108" s="200"/>
      <c r="H108" s="200"/>
      <c r="I108" s="200"/>
      <c r="J108" s="201"/>
    </row>
    <row r="109" spans="2:10" x14ac:dyDescent="0.2">
      <c r="B109" s="168">
        <v>43233</v>
      </c>
      <c r="C109" s="198"/>
      <c r="D109" s="194"/>
      <c r="E109" s="194"/>
      <c r="F109" s="199"/>
      <c r="G109" s="200"/>
      <c r="H109" s="200"/>
      <c r="I109" s="200"/>
      <c r="J109" s="201"/>
    </row>
    <row r="110" spans="2:10" x14ac:dyDescent="0.2">
      <c r="B110" s="168">
        <v>43234</v>
      </c>
      <c r="C110" s="198"/>
      <c r="D110" s="194"/>
      <c r="E110" s="194"/>
      <c r="F110" s="199"/>
      <c r="G110" s="200"/>
      <c r="H110" s="200"/>
      <c r="I110" s="200"/>
      <c r="J110" s="201"/>
    </row>
    <row r="111" spans="2:10" x14ac:dyDescent="0.2">
      <c r="B111" s="168">
        <v>43235</v>
      </c>
      <c r="C111" s="198"/>
      <c r="D111" s="194"/>
      <c r="E111" s="194"/>
      <c r="F111" s="199"/>
      <c r="G111" s="200"/>
      <c r="H111" s="200"/>
      <c r="I111" s="200"/>
      <c r="J111" s="201"/>
    </row>
    <row r="112" spans="2:10" x14ac:dyDescent="0.2">
      <c r="B112" s="168">
        <v>43236</v>
      </c>
      <c r="C112" s="198"/>
      <c r="D112" s="194"/>
      <c r="E112" s="194"/>
      <c r="F112" s="199"/>
      <c r="G112" s="200"/>
      <c r="H112" s="200"/>
      <c r="I112" s="200"/>
      <c r="J112" s="201"/>
    </row>
    <row r="113" spans="2:10" x14ac:dyDescent="0.2">
      <c r="B113" s="168">
        <v>43237</v>
      </c>
      <c r="C113" s="198"/>
      <c r="D113" s="194"/>
      <c r="E113" s="194"/>
      <c r="F113" s="199"/>
      <c r="G113" s="200"/>
      <c r="H113" s="200"/>
      <c r="I113" s="200"/>
      <c r="J113" s="201"/>
    </row>
    <row r="114" spans="2:10" x14ac:dyDescent="0.2">
      <c r="B114" s="168">
        <v>43238</v>
      </c>
      <c r="C114" s="198"/>
      <c r="D114" s="194"/>
      <c r="E114" s="194"/>
      <c r="F114" s="199"/>
      <c r="G114" s="200"/>
      <c r="H114" s="200"/>
      <c r="I114" s="200"/>
      <c r="J114" s="201"/>
    </row>
    <row r="115" spans="2:10" x14ac:dyDescent="0.2">
      <c r="B115" s="168">
        <v>43239</v>
      </c>
      <c r="C115" s="198"/>
      <c r="D115" s="194"/>
      <c r="E115" s="194"/>
      <c r="F115" s="199"/>
      <c r="G115" s="200"/>
      <c r="H115" s="200"/>
      <c r="I115" s="200"/>
      <c r="J115" s="201"/>
    </row>
    <row r="116" spans="2:10" x14ac:dyDescent="0.2">
      <c r="B116" s="168">
        <v>43240</v>
      </c>
      <c r="C116" s="198"/>
      <c r="D116" s="194"/>
      <c r="E116" s="194"/>
      <c r="F116" s="199"/>
      <c r="G116" s="200"/>
      <c r="H116" s="200"/>
      <c r="I116" s="200"/>
      <c r="J116" s="201"/>
    </row>
    <row r="117" spans="2:10" x14ac:dyDescent="0.2">
      <c r="B117" s="168">
        <v>43241</v>
      </c>
      <c r="C117" s="198"/>
      <c r="D117" s="194"/>
      <c r="E117" s="194"/>
      <c r="F117" s="199"/>
      <c r="G117" s="200"/>
      <c r="H117" s="200"/>
      <c r="I117" s="200"/>
      <c r="J117" s="201"/>
    </row>
    <row r="118" spans="2:10" x14ac:dyDescent="0.2">
      <c r="B118" s="168">
        <v>43242</v>
      </c>
      <c r="C118" s="198"/>
      <c r="D118" s="194"/>
      <c r="E118" s="194"/>
      <c r="F118" s="199"/>
      <c r="G118" s="200"/>
      <c r="H118" s="200"/>
      <c r="I118" s="200"/>
      <c r="J118" s="201"/>
    </row>
    <row r="119" spans="2:10" x14ac:dyDescent="0.2">
      <c r="B119" s="168">
        <v>43243</v>
      </c>
      <c r="C119" s="198"/>
      <c r="D119" s="194"/>
      <c r="E119" s="194"/>
      <c r="F119" s="199"/>
      <c r="G119" s="200"/>
      <c r="H119" s="200"/>
      <c r="I119" s="200"/>
      <c r="J119" s="201"/>
    </row>
    <row r="120" spans="2:10" x14ac:dyDescent="0.2">
      <c r="B120" s="168">
        <v>43244</v>
      </c>
      <c r="C120" s="198"/>
      <c r="D120" s="194"/>
      <c r="E120" s="194"/>
      <c r="F120" s="199"/>
      <c r="G120" s="200"/>
      <c r="H120" s="200"/>
      <c r="I120" s="200"/>
      <c r="J120" s="201"/>
    </row>
    <row r="121" spans="2:10" x14ac:dyDescent="0.2">
      <c r="B121" s="168">
        <v>43245</v>
      </c>
      <c r="C121" s="198"/>
      <c r="D121" s="194"/>
      <c r="E121" s="194"/>
      <c r="F121" s="199"/>
      <c r="G121" s="200"/>
      <c r="H121" s="200"/>
      <c r="I121" s="200"/>
      <c r="J121" s="201"/>
    </row>
    <row r="122" spans="2:10" x14ac:dyDescent="0.2">
      <c r="B122" s="168">
        <v>43246</v>
      </c>
      <c r="C122" s="198"/>
      <c r="D122" s="194"/>
      <c r="E122" s="194"/>
      <c r="F122" s="199"/>
      <c r="G122" s="200"/>
      <c r="H122" s="200"/>
      <c r="I122" s="200"/>
      <c r="J122" s="201"/>
    </row>
    <row r="123" spans="2:10" x14ac:dyDescent="0.2">
      <c r="B123" s="168">
        <v>43247</v>
      </c>
      <c r="C123" s="198"/>
      <c r="D123" s="194"/>
      <c r="E123" s="194"/>
      <c r="F123" s="199"/>
      <c r="G123" s="200"/>
      <c r="H123" s="200"/>
      <c r="I123" s="200"/>
      <c r="J123" s="201"/>
    </row>
    <row r="124" spans="2:10" x14ac:dyDescent="0.2">
      <c r="B124" s="168">
        <v>43248</v>
      </c>
      <c r="C124" s="198"/>
      <c r="D124" s="194"/>
      <c r="E124" s="194"/>
      <c r="F124" s="199"/>
      <c r="G124" s="200"/>
      <c r="H124" s="200"/>
      <c r="I124" s="200"/>
      <c r="J124" s="201"/>
    </row>
    <row r="125" spans="2:10" x14ac:dyDescent="0.2">
      <c r="B125" s="168">
        <v>43249</v>
      </c>
      <c r="C125" s="198"/>
      <c r="D125" s="194"/>
      <c r="E125" s="194"/>
      <c r="F125" s="199"/>
      <c r="G125" s="200"/>
      <c r="H125" s="200"/>
      <c r="I125" s="200"/>
      <c r="J125" s="201"/>
    </row>
    <row r="126" spans="2:10" x14ac:dyDescent="0.2">
      <c r="B126" s="168">
        <v>43250</v>
      </c>
      <c r="C126" s="198"/>
      <c r="D126" s="194"/>
      <c r="E126" s="194"/>
      <c r="F126" s="199"/>
      <c r="G126" s="200"/>
      <c r="H126" s="200"/>
      <c r="I126" s="200"/>
      <c r="J126" s="201"/>
    </row>
    <row r="127" spans="2:10" x14ac:dyDescent="0.2">
      <c r="B127" s="168">
        <v>43251</v>
      </c>
      <c r="C127" s="198"/>
      <c r="D127" s="194"/>
      <c r="E127" s="194"/>
      <c r="F127" s="199"/>
      <c r="G127" s="200"/>
      <c r="H127" s="200"/>
      <c r="I127" s="200"/>
      <c r="J127" s="201"/>
    </row>
    <row r="128" spans="2:10" x14ac:dyDescent="0.2">
      <c r="B128" s="168">
        <v>43252</v>
      </c>
      <c r="C128" s="198"/>
      <c r="D128" s="194"/>
      <c r="E128" s="194"/>
      <c r="F128" s="199"/>
      <c r="G128" s="200"/>
      <c r="H128" s="200"/>
      <c r="I128" s="200"/>
      <c r="J128" s="201"/>
    </row>
    <row r="129" spans="2:10" x14ac:dyDescent="0.2">
      <c r="B129" s="168">
        <v>43253</v>
      </c>
      <c r="C129" s="198"/>
      <c r="D129" s="194"/>
      <c r="E129" s="194"/>
      <c r="F129" s="199"/>
      <c r="G129" s="200"/>
      <c r="H129" s="200"/>
      <c r="I129" s="200"/>
      <c r="J129" s="201"/>
    </row>
    <row r="130" spans="2:10" x14ac:dyDescent="0.2">
      <c r="B130" s="168">
        <v>43254</v>
      </c>
      <c r="C130" s="198"/>
      <c r="D130" s="194"/>
      <c r="E130" s="194"/>
      <c r="F130" s="199"/>
      <c r="G130" s="200"/>
      <c r="H130" s="200"/>
      <c r="I130" s="200"/>
      <c r="J130" s="201"/>
    </row>
    <row r="131" spans="2:10" x14ac:dyDescent="0.2">
      <c r="B131" s="168">
        <v>43255</v>
      </c>
      <c r="C131" s="198"/>
      <c r="D131" s="194"/>
      <c r="E131" s="194"/>
      <c r="F131" s="199"/>
      <c r="G131" s="200"/>
      <c r="H131" s="200"/>
      <c r="I131" s="200"/>
      <c r="J131" s="201"/>
    </row>
    <row r="132" spans="2:10" x14ac:dyDescent="0.2">
      <c r="B132" s="168">
        <v>43256</v>
      </c>
      <c r="C132" s="198"/>
      <c r="D132" s="194"/>
      <c r="E132" s="194"/>
      <c r="F132" s="199"/>
      <c r="G132" s="200"/>
      <c r="H132" s="200"/>
      <c r="I132" s="200"/>
      <c r="J132" s="201"/>
    </row>
    <row r="133" spans="2:10" x14ac:dyDescent="0.2">
      <c r="B133" s="168">
        <v>43257</v>
      </c>
      <c r="C133" s="198"/>
      <c r="D133" s="194"/>
      <c r="E133" s="194"/>
      <c r="F133" s="199"/>
      <c r="G133" s="200"/>
      <c r="H133" s="200"/>
      <c r="I133" s="200"/>
      <c r="J133" s="201"/>
    </row>
    <row r="134" spans="2:10" x14ac:dyDescent="0.2">
      <c r="B134" s="168">
        <v>43258</v>
      </c>
      <c r="C134" s="198"/>
      <c r="D134" s="194"/>
      <c r="E134" s="194"/>
      <c r="F134" s="199"/>
      <c r="G134" s="200"/>
      <c r="H134" s="200"/>
      <c r="I134" s="200"/>
      <c r="J134" s="201"/>
    </row>
    <row r="135" spans="2:10" x14ac:dyDescent="0.2">
      <c r="B135" s="168">
        <v>43259</v>
      </c>
      <c r="C135" s="198"/>
      <c r="D135" s="194"/>
      <c r="E135" s="194"/>
      <c r="F135" s="199"/>
      <c r="G135" s="200"/>
      <c r="H135" s="200"/>
      <c r="I135" s="200"/>
      <c r="J135" s="201"/>
    </row>
    <row r="136" spans="2:10" x14ac:dyDescent="0.2">
      <c r="B136" s="168">
        <v>43260</v>
      </c>
      <c r="C136" s="198"/>
      <c r="D136" s="194"/>
      <c r="E136" s="194"/>
      <c r="F136" s="199"/>
      <c r="G136" s="200"/>
      <c r="H136" s="200"/>
      <c r="I136" s="200"/>
      <c r="J136" s="201"/>
    </row>
    <row r="137" spans="2:10" x14ac:dyDescent="0.2">
      <c r="B137" s="168">
        <v>43261</v>
      </c>
      <c r="C137" s="198"/>
      <c r="D137" s="194"/>
      <c r="E137" s="194"/>
      <c r="F137" s="199"/>
      <c r="G137" s="200"/>
      <c r="H137" s="200"/>
      <c r="I137" s="200"/>
      <c r="J137" s="201"/>
    </row>
    <row r="138" spans="2:10" x14ac:dyDescent="0.2">
      <c r="B138" s="168">
        <v>43262</v>
      </c>
      <c r="C138" s="198"/>
      <c r="D138" s="194"/>
      <c r="E138" s="194"/>
      <c r="F138" s="199"/>
      <c r="G138" s="200"/>
      <c r="H138" s="200"/>
      <c r="I138" s="200"/>
      <c r="J138" s="201"/>
    </row>
    <row r="139" spans="2:10" x14ac:dyDescent="0.2">
      <c r="B139" s="168">
        <v>43263</v>
      </c>
      <c r="C139" s="198"/>
      <c r="D139" s="194"/>
      <c r="E139" s="194"/>
      <c r="F139" s="199"/>
      <c r="G139" s="200"/>
      <c r="H139" s="200"/>
      <c r="I139" s="200"/>
      <c r="J139" s="201"/>
    </row>
    <row r="140" spans="2:10" x14ac:dyDescent="0.2">
      <c r="B140" s="168">
        <v>43264</v>
      </c>
      <c r="C140" s="198"/>
      <c r="D140" s="194"/>
      <c r="E140" s="194"/>
      <c r="F140" s="199"/>
      <c r="G140" s="200"/>
      <c r="H140" s="200"/>
      <c r="I140" s="200"/>
      <c r="J140" s="201"/>
    </row>
    <row r="141" spans="2:10" x14ac:dyDescent="0.2">
      <c r="B141" s="168">
        <v>43265</v>
      </c>
      <c r="C141" s="198"/>
      <c r="D141" s="194"/>
      <c r="E141" s="194"/>
      <c r="F141" s="199"/>
      <c r="G141" s="200"/>
      <c r="H141" s="200"/>
      <c r="I141" s="200"/>
      <c r="J141" s="201"/>
    </row>
    <row r="142" spans="2:10" x14ac:dyDescent="0.2">
      <c r="B142" s="168">
        <v>43266</v>
      </c>
      <c r="C142" s="198"/>
      <c r="D142" s="194"/>
      <c r="E142" s="194"/>
      <c r="F142" s="199"/>
      <c r="G142" s="200"/>
      <c r="H142" s="200"/>
      <c r="I142" s="200"/>
      <c r="J142" s="201"/>
    </row>
    <row r="143" spans="2:10" x14ac:dyDescent="0.2">
      <c r="B143" s="168">
        <v>43267</v>
      </c>
      <c r="C143" s="198"/>
      <c r="D143" s="194"/>
      <c r="E143" s="194"/>
      <c r="F143" s="199"/>
      <c r="G143" s="200"/>
      <c r="H143" s="200"/>
      <c r="I143" s="200"/>
      <c r="J143" s="201"/>
    </row>
    <row r="144" spans="2:10" x14ac:dyDescent="0.2">
      <c r="B144" s="168">
        <v>43268</v>
      </c>
      <c r="C144" s="198"/>
      <c r="D144" s="194"/>
      <c r="E144" s="194"/>
      <c r="F144" s="199"/>
      <c r="G144" s="200"/>
      <c r="H144" s="200"/>
      <c r="I144" s="200"/>
      <c r="J144" s="201"/>
    </row>
    <row r="145" spans="2:10" x14ac:dyDescent="0.2">
      <c r="B145" s="168">
        <v>43269</v>
      </c>
      <c r="C145" s="198"/>
      <c r="D145" s="194"/>
      <c r="E145" s="194"/>
      <c r="F145" s="199"/>
      <c r="G145" s="200"/>
      <c r="H145" s="200"/>
      <c r="I145" s="200"/>
      <c r="J145" s="201"/>
    </row>
    <row r="146" spans="2:10" x14ac:dyDescent="0.2">
      <c r="B146" s="168">
        <v>43270</v>
      </c>
      <c r="C146" s="198"/>
      <c r="D146" s="194"/>
      <c r="E146" s="194"/>
      <c r="F146" s="199"/>
      <c r="G146" s="200"/>
      <c r="H146" s="200"/>
      <c r="I146" s="200"/>
      <c r="J146" s="201"/>
    </row>
    <row r="147" spans="2:10" x14ac:dyDescent="0.2">
      <c r="B147" s="168">
        <v>43271</v>
      </c>
      <c r="C147" s="198"/>
      <c r="D147" s="194"/>
      <c r="E147" s="194"/>
      <c r="F147" s="199"/>
      <c r="G147" s="200"/>
      <c r="H147" s="200"/>
      <c r="I147" s="200"/>
      <c r="J147" s="201"/>
    </row>
    <row r="148" spans="2:10" x14ac:dyDescent="0.2">
      <c r="B148" s="168">
        <v>43272</v>
      </c>
      <c r="C148" s="198"/>
      <c r="D148" s="194"/>
      <c r="E148" s="194"/>
      <c r="F148" s="199"/>
      <c r="G148" s="200"/>
      <c r="H148" s="200"/>
      <c r="I148" s="200"/>
      <c r="J148" s="201"/>
    </row>
    <row r="149" spans="2:10" x14ac:dyDescent="0.2">
      <c r="B149" s="168">
        <v>43273</v>
      </c>
      <c r="C149" s="198"/>
      <c r="D149" s="194"/>
      <c r="E149" s="194"/>
      <c r="F149" s="199"/>
      <c r="G149" s="200"/>
      <c r="H149" s="200"/>
      <c r="I149" s="200"/>
      <c r="J149" s="201"/>
    </row>
    <row r="150" spans="2:10" x14ac:dyDescent="0.2">
      <c r="B150" s="168">
        <v>43274</v>
      </c>
      <c r="C150" s="198"/>
      <c r="D150" s="194"/>
      <c r="E150" s="194"/>
      <c r="F150" s="199"/>
      <c r="G150" s="200"/>
      <c r="H150" s="200"/>
      <c r="I150" s="200"/>
      <c r="J150" s="201"/>
    </row>
    <row r="151" spans="2:10" x14ac:dyDescent="0.2">
      <c r="B151" s="168">
        <v>43275</v>
      </c>
      <c r="C151" s="198"/>
      <c r="D151" s="194"/>
      <c r="E151" s="194"/>
      <c r="F151" s="199"/>
      <c r="G151" s="200"/>
      <c r="H151" s="200"/>
      <c r="I151" s="200"/>
      <c r="J151" s="201"/>
    </row>
    <row r="152" spans="2:10" x14ac:dyDescent="0.2">
      <c r="B152" s="168">
        <v>43276</v>
      </c>
      <c r="C152" s="198"/>
      <c r="D152" s="194"/>
      <c r="E152" s="194"/>
      <c r="F152" s="199"/>
      <c r="G152" s="200"/>
      <c r="H152" s="200"/>
      <c r="I152" s="200"/>
      <c r="J152" s="201"/>
    </row>
    <row r="153" spans="2:10" x14ac:dyDescent="0.2">
      <c r="B153" s="168">
        <v>43277</v>
      </c>
      <c r="C153" s="198"/>
      <c r="D153" s="194"/>
      <c r="E153" s="194"/>
      <c r="F153" s="199"/>
      <c r="G153" s="200"/>
      <c r="H153" s="200"/>
      <c r="I153" s="200"/>
      <c r="J153" s="201"/>
    </row>
    <row r="154" spans="2:10" x14ac:dyDescent="0.2">
      <c r="B154" s="168">
        <v>43278</v>
      </c>
      <c r="C154" s="198"/>
      <c r="D154" s="194"/>
      <c r="E154" s="194"/>
      <c r="F154" s="199"/>
      <c r="G154" s="200"/>
      <c r="H154" s="200"/>
      <c r="I154" s="200"/>
      <c r="J154" s="201"/>
    </row>
    <row r="155" spans="2:10" x14ac:dyDescent="0.2">
      <c r="B155" s="168">
        <v>43279</v>
      </c>
      <c r="C155" s="198"/>
      <c r="D155" s="194"/>
      <c r="E155" s="194"/>
      <c r="F155" s="199"/>
      <c r="G155" s="200"/>
      <c r="H155" s="200"/>
      <c r="I155" s="200"/>
      <c r="J155" s="201"/>
    </row>
    <row r="156" spans="2:10" x14ac:dyDescent="0.2">
      <c r="B156" s="168">
        <v>43280</v>
      </c>
      <c r="C156" s="198"/>
      <c r="D156" s="194"/>
      <c r="E156" s="194"/>
      <c r="F156" s="199"/>
      <c r="G156" s="200"/>
      <c r="H156" s="200"/>
      <c r="I156" s="200"/>
      <c r="J156" s="201"/>
    </row>
    <row r="157" spans="2:10" x14ac:dyDescent="0.2">
      <c r="B157" s="168">
        <v>43281</v>
      </c>
      <c r="C157" s="198"/>
      <c r="D157" s="194"/>
      <c r="E157" s="194"/>
      <c r="F157" s="199"/>
      <c r="G157" s="200"/>
      <c r="H157" s="200"/>
      <c r="I157" s="200"/>
      <c r="J157" s="201"/>
    </row>
    <row r="158" spans="2:10" x14ac:dyDescent="0.2">
      <c r="B158" s="168">
        <v>43282</v>
      </c>
      <c r="C158" s="198"/>
      <c r="D158" s="194"/>
      <c r="E158" s="194"/>
      <c r="F158" s="199"/>
      <c r="G158" s="200"/>
      <c r="H158" s="200"/>
      <c r="I158" s="200"/>
      <c r="J158" s="201"/>
    </row>
    <row r="159" spans="2:10" x14ac:dyDescent="0.2">
      <c r="B159" s="168">
        <v>43283</v>
      </c>
      <c r="C159" s="198"/>
      <c r="D159" s="194"/>
      <c r="E159" s="194"/>
      <c r="F159" s="199"/>
      <c r="G159" s="200"/>
      <c r="H159" s="200"/>
      <c r="I159" s="200"/>
      <c r="J159" s="201"/>
    </row>
    <row r="160" spans="2:10" x14ac:dyDescent="0.2">
      <c r="B160" s="168">
        <v>43284</v>
      </c>
      <c r="C160" s="198"/>
      <c r="D160" s="194"/>
      <c r="E160" s="194"/>
      <c r="F160" s="199"/>
      <c r="G160" s="200"/>
      <c r="H160" s="200"/>
      <c r="I160" s="200"/>
      <c r="J160" s="201"/>
    </row>
    <row r="161" spans="2:10" x14ac:dyDescent="0.2">
      <c r="B161" s="168">
        <v>43285</v>
      </c>
      <c r="C161" s="198"/>
      <c r="D161" s="194"/>
      <c r="E161" s="194"/>
      <c r="F161" s="199"/>
      <c r="G161" s="200"/>
      <c r="H161" s="200"/>
      <c r="I161" s="200"/>
      <c r="J161" s="201"/>
    </row>
    <row r="162" spans="2:10" x14ac:dyDescent="0.2">
      <c r="B162" s="168">
        <v>43286</v>
      </c>
      <c r="C162" s="198"/>
      <c r="D162" s="194"/>
      <c r="E162" s="194"/>
      <c r="F162" s="199"/>
      <c r="G162" s="200"/>
      <c r="H162" s="200"/>
      <c r="I162" s="200"/>
      <c r="J162" s="201"/>
    </row>
    <row r="163" spans="2:10" x14ac:dyDescent="0.2">
      <c r="B163" s="168">
        <v>43287</v>
      </c>
      <c r="C163" s="198"/>
      <c r="D163" s="194"/>
      <c r="E163" s="194"/>
      <c r="F163" s="199"/>
      <c r="G163" s="200"/>
      <c r="H163" s="200"/>
      <c r="I163" s="200"/>
      <c r="J163" s="201"/>
    </row>
    <row r="164" spans="2:10" x14ac:dyDescent="0.2">
      <c r="B164" s="168">
        <v>43288</v>
      </c>
      <c r="C164" s="198"/>
      <c r="D164" s="194"/>
      <c r="E164" s="194"/>
      <c r="F164" s="199"/>
      <c r="G164" s="200"/>
      <c r="H164" s="200"/>
      <c r="I164" s="200"/>
      <c r="J164" s="201"/>
    </row>
    <row r="165" spans="2:10" x14ac:dyDescent="0.2">
      <c r="B165" s="168">
        <v>43289</v>
      </c>
      <c r="C165" s="198"/>
      <c r="D165" s="194"/>
      <c r="E165" s="194"/>
      <c r="F165" s="199"/>
      <c r="G165" s="200"/>
      <c r="H165" s="200"/>
      <c r="I165" s="200"/>
      <c r="J165" s="201"/>
    </row>
    <row r="166" spans="2:10" x14ac:dyDescent="0.2">
      <c r="B166" s="168">
        <v>43290</v>
      </c>
      <c r="C166" s="198"/>
      <c r="D166" s="194"/>
      <c r="E166" s="194"/>
      <c r="F166" s="199"/>
      <c r="G166" s="200"/>
      <c r="H166" s="200"/>
      <c r="I166" s="200"/>
      <c r="J166" s="201"/>
    </row>
    <row r="167" spans="2:10" x14ac:dyDescent="0.2">
      <c r="B167" s="168">
        <v>43291</v>
      </c>
      <c r="C167" s="198"/>
      <c r="D167" s="194"/>
      <c r="E167" s="194"/>
      <c r="F167" s="199"/>
      <c r="G167" s="200"/>
      <c r="H167" s="200"/>
      <c r="I167" s="200"/>
      <c r="J167" s="201"/>
    </row>
    <row r="168" spans="2:10" x14ac:dyDescent="0.2">
      <c r="B168" s="168">
        <v>43292</v>
      </c>
      <c r="C168" s="198"/>
      <c r="D168" s="194"/>
      <c r="E168" s="194"/>
      <c r="F168" s="199"/>
      <c r="G168" s="200"/>
      <c r="H168" s="200"/>
      <c r="I168" s="200"/>
      <c r="J168" s="201"/>
    </row>
    <row r="169" spans="2:10" x14ac:dyDescent="0.2">
      <c r="B169" s="168">
        <v>43293</v>
      </c>
      <c r="C169" s="198"/>
      <c r="D169" s="194"/>
      <c r="E169" s="194"/>
      <c r="F169" s="199"/>
      <c r="G169" s="200"/>
      <c r="H169" s="200"/>
      <c r="I169" s="200"/>
      <c r="J169" s="201"/>
    </row>
    <row r="170" spans="2:10" x14ac:dyDescent="0.2">
      <c r="B170" s="168">
        <v>43294</v>
      </c>
      <c r="C170" s="198"/>
      <c r="D170" s="194"/>
      <c r="E170" s="194"/>
      <c r="F170" s="199"/>
      <c r="G170" s="200"/>
      <c r="H170" s="200"/>
      <c r="I170" s="200"/>
      <c r="J170" s="201"/>
    </row>
    <row r="171" spans="2:10" x14ac:dyDescent="0.2">
      <c r="B171" s="168">
        <v>43295</v>
      </c>
      <c r="C171" s="198"/>
      <c r="D171" s="194"/>
      <c r="E171" s="194"/>
      <c r="F171" s="199"/>
      <c r="G171" s="200"/>
      <c r="H171" s="200"/>
      <c r="I171" s="200"/>
      <c r="J171" s="201"/>
    </row>
    <row r="172" spans="2:10" x14ac:dyDescent="0.2">
      <c r="B172" s="168">
        <v>43296</v>
      </c>
      <c r="C172" s="198"/>
      <c r="D172" s="194"/>
      <c r="E172" s="194"/>
      <c r="F172" s="199"/>
      <c r="G172" s="200"/>
      <c r="H172" s="200"/>
      <c r="I172" s="200"/>
      <c r="J172" s="201"/>
    </row>
    <row r="173" spans="2:10" x14ac:dyDescent="0.2">
      <c r="B173" s="168">
        <v>43297</v>
      </c>
      <c r="C173" s="198"/>
      <c r="D173" s="194"/>
      <c r="E173" s="194"/>
      <c r="F173" s="199"/>
      <c r="G173" s="200"/>
      <c r="H173" s="200"/>
      <c r="I173" s="200"/>
      <c r="J173" s="201"/>
    </row>
    <row r="174" spans="2:10" x14ac:dyDescent="0.2">
      <c r="B174" s="168">
        <v>43298</v>
      </c>
      <c r="C174" s="198"/>
      <c r="D174" s="194"/>
      <c r="E174" s="194"/>
      <c r="F174" s="199"/>
      <c r="G174" s="200"/>
      <c r="H174" s="200"/>
      <c r="I174" s="200"/>
      <c r="J174" s="201"/>
    </row>
    <row r="175" spans="2:10" x14ac:dyDescent="0.2">
      <c r="B175" s="168">
        <v>43299</v>
      </c>
      <c r="C175" s="198"/>
      <c r="D175" s="194"/>
      <c r="E175" s="194"/>
      <c r="F175" s="199"/>
      <c r="G175" s="200"/>
      <c r="H175" s="200"/>
      <c r="I175" s="200"/>
      <c r="J175" s="201"/>
    </row>
    <row r="176" spans="2:10" x14ac:dyDescent="0.2">
      <c r="B176" s="168">
        <v>43300</v>
      </c>
      <c r="C176" s="198"/>
      <c r="D176" s="194"/>
      <c r="E176" s="194"/>
      <c r="F176" s="199"/>
      <c r="G176" s="200"/>
      <c r="H176" s="200"/>
      <c r="I176" s="200"/>
      <c r="J176" s="201"/>
    </row>
    <row r="177" spans="2:10" x14ac:dyDescent="0.2">
      <c r="B177" s="168">
        <v>43301</v>
      </c>
      <c r="C177" s="198"/>
      <c r="D177" s="194"/>
      <c r="E177" s="194"/>
      <c r="F177" s="199"/>
      <c r="G177" s="200"/>
      <c r="H177" s="200"/>
      <c r="I177" s="200"/>
      <c r="J177" s="201"/>
    </row>
    <row r="178" spans="2:10" x14ac:dyDescent="0.2">
      <c r="B178" s="168">
        <v>43302</v>
      </c>
      <c r="C178" s="198"/>
      <c r="D178" s="194"/>
      <c r="E178" s="194"/>
      <c r="F178" s="199"/>
      <c r="G178" s="200"/>
      <c r="H178" s="200"/>
      <c r="I178" s="200"/>
      <c r="J178" s="201"/>
    </row>
    <row r="179" spans="2:10" x14ac:dyDescent="0.2">
      <c r="B179" s="168">
        <v>43303</v>
      </c>
      <c r="C179" s="198"/>
      <c r="D179" s="194"/>
      <c r="E179" s="194"/>
      <c r="F179" s="199"/>
      <c r="G179" s="200"/>
      <c r="H179" s="200"/>
      <c r="I179" s="200"/>
      <c r="J179" s="201"/>
    </row>
    <row r="180" spans="2:10" x14ac:dyDescent="0.2">
      <c r="B180" s="168">
        <v>43304</v>
      </c>
      <c r="C180" s="198"/>
      <c r="D180" s="194"/>
      <c r="E180" s="194"/>
      <c r="F180" s="199"/>
      <c r="G180" s="200"/>
      <c r="H180" s="200"/>
      <c r="I180" s="200"/>
      <c r="J180" s="201"/>
    </row>
    <row r="181" spans="2:10" x14ac:dyDescent="0.2">
      <c r="B181" s="168">
        <v>43305</v>
      </c>
      <c r="C181" s="198"/>
      <c r="D181" s="194"/>
      <c r="E181" s="194"/>
      <c r="F181" s="199"/>
      <c r="G181" s="200"/>
      <c r="H181" s="200"/>
      <c r="I181" s="200"/>
      <c r="J181" s="201"/>
    </row>
    <row r="182" spans="2:10" x14ac:dyDescent="0.2">
      <c r="B182" s="168">
        <v>43306</v>
      </c>
      <c r="C182" s="198"/>
      <c r="D182" s="194"/>
      <c r="E182" s="194"/>
      <c r="F182" s="199"/>
      <c r="G182" s="200"/>
      <c r="H182" s="200"/>
      <c r="I182" s="200"/>
      <c r="J182" s="201"/>
    </row>
    <row r="183" spans="2:10" x14ac:dyDescent="0.2">
      <c r="B183" s="168">
        <v>43307</v>
      </c>
      <c r="C183" s="198"/>
      <c r="D183" s="194"/>
      <c r="E183" s="194"/>
      <c r="F183" s="199"/>
      <c r="G183" s="200"/>
      <c r="H183" s="200"/>
      <c r="I183" s="200"/>
      <c r="J183" s="201"/>
    </row>
    <row r="184" spans="2:10" x14ac:dyDescent="0.2">
      <c r="B184" s="168">
        <v>43308</v>
      </c>
      <c r="C184" s="198"/>
      <c r="D184" s="194"/>
      <c r="E184" s="194"/>
      <c r="F184" s="199"/>
      <c r="G184" s="200"/>
      <c r="H184" s="200"/>
      <c r="I184" s="200"/>
      <c r="J184" s="201"/>
    </row>
    <row r="185" spans="2:10" x14ac:dyDescent="0.2">
      <c r="B185" s="168">
        <v>43309</v>
      </c>
      <c r="C185" s="198"/>
      <c r="D185" s="194"/>
      <c r="E185" s="194"/>
      <c r="F185" s="199"/>
      <c r="G185" s="200"/>
      <c r="H185" s="200"/>
      <c r="I185" s="200"/>
      <c r="J185" s="201"/>
    </row>
    <row r="186" spans="2:10" x14ac:dyDescent="0.2">
      <c r="B186" s="168">
        <v>43310</v>
      </c>
      <c r="C186" s="198"/>
      <c r="D186" s="194"/>
      <c r="E186" s="194"/>
      <c r="F186" s="199"/>
      <c r="G186" s="200"/>
      <c r="H186" s="200"/>
      <c r="I186" s="200"/>
      <c r="J186" s="201"/>
    </row>
    <row r="187" spans="2:10" x14ac:dyDescent="0.2">
      <c r="B187" s="168">
        <v>43311</v>
      </c>
      <c r="C187" s="198"/>
      <c r="D187" s="194"/>
      <c r="E187" s="194"/>
      <c r="F187" s="199"/>
      <c r="G187" s="200"/>
      <c r="H187" s="200"/>
      <c r="I187" s="200"/>
      <c r="J187" s="201"/>
    </row>
    <row r="188" spans="2:10" x14ac:dyDescent="0.2">
      <c r="B188" s="168">
        <v>43312</v>
      </c>
      <c r="C188" s="198"/>
      <c r="D188" s="194"/>
      <c r="E188" s="194"/>
      <c r="F188" s="199"/>
      <c r="G188" s="200"/>
      <c r="H188" s="200"/>
      <c r="I188" s="200"/>
      <c r="J188" s="201"/>
    </row>
    <row r="189" spans="2:10" x14ac:dyDescent="0.2">
      <c r="B189" s="168">
        <v>43313</v>
      </c>
      <c r="C189" s="198"/>
      <c r="D189" s="194"/>
      <c r="E189" s="194"/>
      <c r="F189" s="199"/>
      <c r="G189" s="200"/>
      <c r="H189" s="200"/>
      <c r="I189" s="200"/>
      <c r="J189" s="201"/>
    </row>
    <row r="190" spans="2:10" x14ac:dyDescent="0.2">
      <c r="B190" s="168">
        <v>43314</v>
      </c>
      <c r="C190" s="198"/>
      <c r="D190" s="194"/>
      <c r="E190" s="194"/>
      <c r="F190" s="199"/>
      <c r="G190" s="200"/>
      <c r="H190" s="200"/>
      <c r="I190" s="200"/>
      <c r="J190" s="201"/>
    </row>
    <row r="191" spans="2:10" x14ac:dyDescent="0.2">
      <c r="B191" s="168">
        <v>43315</v>
      </c>
      <c r="C191" s="198"/>
      <c r="D191" s="194"/>
      <c r="E191" s="194"/>
      <c r="F191" s="199"/>
      <c r="G191" s="200"/>
      <c r="H191" s="200"/>
      <c r="I191" s="200"/>
      <c r="J191" s="201"/>
    </row>
    <row r="192" spans="2:10" x14ac:dyDescent="0.2">
      <c r="B192" s="168">
        <v>43316</v>
      </c>
      <c r="C192" s="198"/>
      <c r="D192" s="194"/>
      <c r="E192" s="194"/>
      <c r="F192" s="199"/>
      <c r="G192" s="200"/>
      <c r="H192" s="200"/>
      <c r="I192" s="200"/>
      <c r="J192" s="201"/>
    </row>
    <row r="193" spans="2:10" x14ac:dyDescent="0.2">
      <c r="B193" s="168">
        <v>43317</v>
      </c>
      <c r="C193" s="198"/>
      <c r="D193" s="194"/>
      <c r="E193" s="194"/>
      <c r="F193" s="199"/>
      <c r="G193" s="200"/>
      <c r="H193" s="200"/>
      <c r="I193" s="200"/>
      <c r="J193" s="201"/>
    </row>
    <row r="194" spans="2:10" x14ac:dyDescent="0.2">
      <c r="B194" s="168">
        <v>43318</v>
      </c>
      <c r="C194" s="198"/>
      <c r="D194" s="194"/>
      <c r="E194" s="194"/>
      <c r="F194" s="199"/>
      <c r="G194" s="200"/>
      <c r="H194" s="200"/>
      <c r="I194" s="200"/>
      <c r="J194" s="201"/>
    </row>
    <row r="195" spans="2:10" x14ac:dyDescent="0.2">
      <c r="B195" s="168">
        <v>43319</v>
      </c>
      <c r="C195" s="198"/>
      <c r="D195" s="194"/>
      <c r="E195" s="194"/>
      <c r="F195" s="199"/>
      <c r="G195" s="200"/>
      <c r="H195" s="200"/>
      <c r="I195" s="200"/>
      <c r="J195" s="201"/>
    </row>
    <row r="196" spans="2:10" x14ac:dyDescent="0.2">
      <c r="B196" s="168">
        <v>43320</v>
      </c>
      <c r="C196" s="198"/>
      <c r="D196" s="194"/>
      <c r="E196" s="194"/>
      <c r="F196" s="199"/>
      <c r="G196" s="200"/>
      <c r="H196" s="200"/>
      <c r="I196" s="200"/>
      <c r="J196" s="201"/>
    </row>
    <row r="197" spans="2:10" x14ac:dyDescent="0.2">
      <c r="B197" s="168">
        <v>43321</v>
      </c>
      <c r="C197" s="198"/>
      <c r="D197" s="194"/>
      <c r="E197" s="194"/>
      <c r="F197" s="199"/>
      <c r="G197" s="200"/>
      <c r="H197" s="200"/>
      <c r="I197" s="200"/>
      <c r="J197" s="201"/>
    </row>
    <row r="198" spans="2:10" x14ac:dyDescent="0.2">
      <c r="B198" s="168">
        <v>43322</v>
      </c>
      <c r="C198" s="198"/>
      <c r="D198" s="194"/>
      <c r="E198" s="194"/>
      <c r="F198" s="199"/>
      <c r="G198" s="200"/>
      <c r="H198" s="200"/>
      <c r="I198" s="200"/>
      <c r="J198" s="201"/>
    </row>
    <row r="199" spans="2:10" x14ac:dyDescent="0.2">
      <c r="B199" s="168">
        <v>43323</v>
      </c>
      <c r="C199" s="198"/>
      <c r="D199" s="194"/>
      <c r="E199" s="194"/>
      <c r="F199" s="199"/>
      <c r="G199" s="200"/>
      <c r="H199" s="200"/>
      <c r="I199" s="200"/>
      <c r="J199" s="201"/>
    </row>
    <row r="200" spans="2:10" x14ac:dyDescent="0.2">
      <c r="B200" s="168">
        <v>43324</v>
      </c>
      <c r="C200" s="198"/>
      <c r="D200" s="194"/>
      <c r="E200" s="194"/>
      <c r="F200" s="199"/>
      <c r="G200" s="200"/>
      <c r="H200" s="200"/>
      <c r="I200" s="200"/>
      <c r="J200" s="201"/>
    </row>
    <row r="201" spans="2:10" x14ac:dyDescent="0.2">
      <c r="B201" s="168">
        <v>43325</v>
      </c>
      <c r="C201" s="198"/>
      <c r="D201" s="194"/>
      <c r="E201" s="194"/>
      <c r="F201" s="199"/>
      <c r="G201" s="200"/>
      <c r="H201" s="200"/>
      <c r="I201" s="200"/>
      <c r="J201" s="201"/>
    </row>
    <row r="202" spans="2:10" x14ac:dyDescent="0.2">
      <c r="B202" s="168">
        <v>43326</v>
      </c>
      <c r="C202" s="198"/>
      <c r="D202" s="194"/>
      <c r="E202" s="194"/>
      <c r="F202" s="199"/>
      <c r="G202" s="200"/>
      <c r="H202" s="200"/>
      <c r="I202" s="200"/>
      <c r="J202" s="201"/>
    </row>
    <row r="203" spans="2:10" x14ac:dyDescent="0.2">
      <c r="B203" s="168">
        <v>43327</v>
      </c>
      <c r="C203" s="198"/>
      <c r="D203" s="194"/>
      <c r="E203" s="194"/>
      <c r="F203" s="199"/>
      <c r="G203" s="200"/>
      <c r="H203" s="200"/>
      <c r="I203" s="200"/>
      <c r="J203" s="201"/>
    </row>
    <row r="204" spans="2:10" x14ac:dyDescent="0.2">
      <c r="B204" s="168">
        <v>43328</v>
      </c>
      <c r="C204" s="198"/>
      <c r="D204" s="194"/>
      <c r="E204" s="194"/>
      <c r="F204" s="199"/>
      <c r="G204" s="200"/>
      <c r="H204" s="200"/>
      <c r="I204" s="200"/>
      <c r="J204" s="201"/>
    </row>
    <row r="205" spans="2:10" x14ac:dyDescent="0.2">
      <c r="B205" s="168">
        <v>43329</v>
      </c>
      <c r="C205" s="198"/>
      <c r="D205" s="194"/>
      <c r="E205" s="194"/>
      <c r="F205" s="199"/>
      <c r="G205" s="200"/>
      <c r="H205" s="200"/>
      <c r="I205" s="200"/>
      <c r="J205" s="201"/>
    </row>
    <row r="206" spans="2:10" x14ac:dyDescent="0.2">
      <c r="B206" s="168">
        <v>43330</v>
      </c>
      <c r="C206" s="198"/>
      <c r="D206" s="194"/>
      <c r="E206" s="194"/>
      <c r="F206" s="199"/>
      <c r="G206" s="200"/>
      <c r="H206" s="200"/>
      <c r="I206" s="200"/>
      <c r="J206" s="201"/>
    </row>
    <row r="207" spans="2:10" x14ac:dyDescent="0.2">
      <c r="B207" s="168">
        <v>43331</v>
      </c>
      <c r="C207" s="198"/>
      <c r="D207" s="194"/>
      <c r="E207" s="194"/>
      <c r="F207" s="199"/>
      <c r="G207" s="200"/>
      <c r="H207" s="200"/>
      <c r="I207" s="200"/>
      <c r="J207" s="201"/>
    </row>
    <row r="208" spans="2:10" x14ac:dyDescent="0.2">
      <c r="B208" s="168">
        <v>43332</v>
      </c>
      <c r="C208" s="198"/>
      <c r="D208" s="194"/>
      <c r="E208" s="194"/>
      <c r="F208" s="199"/>
      <c r="G208" s="200"/>
      <c r="H208" s="200"/>
      <c r="I208" s="200"/>
      <c r="J208" s="201"/>
    </row>
    <row r="209" spans="2:10" x14ac:dyDescent="0.2">
      <c r="B209" s="168">
        <v>43333</v>
      </c>
      <c r="C209" s="198"/>
      <c r="D209" s="194"/>
      <c r="E209" s="194"/>
      <c r="F209" s="199"/>
      <c r="G209" s="200"/>
      <c r="H209" s="200"/>
      <c r="I209" s="200"/>
      <c r="J209" s="201"/>
    </row>
    <row r="210" spans="2:10" x14ac:dyDescent="0.2">
      <c r="B210" s="168">
        <v>43334</v>
      </c>
      <c r="C210" s="198"/>
      <c r="D210" s="194"/>
      <c r="E210" s="194"/>
      <c r="F210" s="199"/>
      <c r="G210" s="200"/>
      <c r="H210" s="200"/>
      <c r="I210" s="200"/>
      <c r="J210" s="201"/>
    </row>
    <row r="211" spans="2:10" x14ac:dyDescent="0.2">
      <c r="B211" s="168">
        <v>43335</v>
      </c>
      <c r="C211" s="198"/>
      <c r="D211" s="194"/>
      <c r="E211" s="194"/>
      <c r="F211" s="199"/>
      <c r="G211" s="200"/>
      <c r="H211" s="200"/>
      <c r="I211" s="200"/>
      <c r="J211" s="201"/>
    </row>
    <row r="212" spans="2:10" x14ac:dyDescent="0.2">
      <c r="B212" s="168">
        <v>43336</v>
      </c>
      <c r="C212" s="198"/>
      <c r="D212" s="194"/>
      <c r="E212" s="194"/>
      <c r="F212" s="199"/>
      <c r="G212" s="200"/>
      <c r="H212" s="200"/>
      <c r="I212" s="200"/>
      <c r="J212" s="201"/>
    </row>
    <row r="213" spans="2:10" x14ac:dyDescent="0.2">
      <c r="B213" s="168">
        <v>43337</v>
      </c>
      <c r="C213" s="198"/>
      <c r="D213" s="194"/>
      <c r="E213" s="194"/>
      <c r="F213" s="199"/>
      <c r="G213" s="200"/>
      <c r="H213" s="200"/>
      <c r="I213" s="200"/>
      <c r="J213" s="201"/>
    </row>
    <row r="214" spans="2:10" x14ac:dyDescent="0.2">
      <c r="B214" s="168">
        <v>43338</v>
      </c>
      <c r="C214" s="198"/>
      <c r="D214" s="194"/>
      <c r="E214" s="194"/>
      <c r="F214" s="199"/>
      <c r="G214" s="200"/>
      <c r="H214" s="200"/>
      <c r="I214" s="200"/>
      <c r="J214" s="201"/>
    </row>
    <row r="215" spans="2:10" x14ac:dyDescent="0.2">
      <c r="B215" s="168">
        <v>43339</v>
      </c>
      <c r="C215" s="198"/>
      <c r="D215" s="194"/>
      <c r="E215" s="194"/>
      <c r="F215" s="199"/>
      <c r="G215" s="200"/>
      <c r="H215" s="200"/>
      <c r="I215" s="200"/>
      <c r="J215" s="201"/>
    </row>
    <row r="216" spans="2:10" x14ac:dyDescent="0.2">
      <c r="B216" s="168">
        <v>43340</v>
      </c>
      <c r="C216" s="198"/>
      <c r="D216" s="194"/>
      <c r="E216" s="194"/>
      <c r="F216" s="199"/>
      <c r="G216" s="200"/>
      <c r="H216" s="200"/>
      <c r="I216" s="200"/>
      <c r="J216" s="201"/>
    </row>
    <row r="217" spans="2:10" x14ac:dyDescent="0.2">
      <c r="B217" s="168">
        <v>43341</v>
      </c>
      <c r="C217" s="198"/>
      <c r="D217" s="194"/>
      <c r="E217" s="194"/>
      <c r="F217" s="199"/>
      <c r="G217" s="200"/>
      <c r="H217" s="200"/>
      <c r="I217" s="200"/>
      <c r="J217" s="201"/>
    </row>
    <row r="218" spans="2:10" x14ac:dyDescent="0.2">
      <c r="B218" s="168">
        <v>43342</v>
      </c>
      <c r="C218" s="198"/>
      <c r="D218" s="194"/>
      <c r="E218" s="194"/>
      <c r="F218" s="199"/>
      <c r="G218" s="200"/>
      <c r="H218" s="200"/>
      <c r="I218" s="200"/>
      <c r="J218" s="201"/>
    </row>
    <row r="219" spans="2:10" x14ac:dyDescent="0.2">
      <c r="B219" s="168">
        <v>43343</v>
      </c>
      <c r="C219" s="198"/>
      <c r="D219" s="194"/>
      <c r="E219" s="194"/>
      <c r="F219" s="199"/>
      <c r="G219" s="200"/>
      <c r="H219" s="200"/>
      <c r="I219" s="200"/>
      <c r="J219" s="201"/>
    </row>
    <row r="220" spans="2:10" x14ac:dyDescent="0.2">
      <c r="B220" s="168">
        <v>43344</v>
      </c>
      <c r="C220" s="198"/>
      <c r="D220" s="194"/>
      <c r="E220" s="194"/>
      <c r="F220" s="199"/>
      <c r="G220" s="200"/>
      <c r="H220" s="200"/>
      <c r="I220" s="200"/>
      <c r="J220" s="201"/>
    </row>
    <row r="221" spans="2:10" x14ac:dyDescent="0.2">
      <c r="B221" s="168">
        <v>43345</v>
      </c>
      <c r="C221" s="198"/>
      <c r="D221" s="194"/>
      <c r="E221" s="194"/>
      <c r="F221" s="199"/>
      <c r="G221" s="200"/>
      <c r="H221" s="200"/>
      <c r="I221" s="200"/>
      <c r="J221" s="201"/>
    </row>
    <row r="222" spans="2:10" x14ac:dyDescent="0.2">
      <c r="B222" s="168">
        <v>43346</v>
      </c>
      <c r="C222" s="198"/>
      <c r="D222" s="194"/>
      <c r="E222" s="194"/>
      <c r="F222" s="199"/>
      <c r="G222" s="200"/>
      <c r="H222" s="200"/>
      <c r="I222" s="200"/>
      <c r="J222" s="201"/>
    </row>
    <row r="223" spans="2:10" x14ac:dyDescent="0.2">
      <c r="B223" s="168">
        <v>43347</v>
      </c>
      <c r="C223" s="198"/>
      <c r="D223" s="194"/>
      <c r="E223" s="194"/>
      <c r="F223" s="199"/>
      <c r="G223" s="200"/>
      <c r="H223" s="200"/>
      <c r="I223" s="200"/>
      <c r="J223" s="201"/>
    </row>
    <row r="224" spans="2:10" x14ac:dyDescent="0.2">
      <c r="B224" s="168">
        <v>43348</v>
      </c>
      <c r="C224" s="198"/>
      <c r="D224" s="194"/>
      <c r="E224" s="194"/>
      <c r="F224" s="199"/>
      <c r="G224" s="200"/>
      <c r="H224" s="200"/>
      <c r="I224" s="200"/>
      <c r="J224" s="201"/>
    </row>
    <row r="225" spans="2:10" x14ac:dyDescent="0.2">
      <c r="B225" s="168">
        <v>43349</v>
      </c>
      <c r="C225" s="198"/>
      <c r="D225" s="194"/>
      <c r="E225" s="194"/>
      <c r="F225" s="199"/>
      <c r="G225" s="200"/>
      <c r="H225" s="200"/>
      <c r="I225" s="200"/>
      <c r="J225" s="201"/>
    </row>
    <row r="226" spans="2:10" x14ac:dyDescent="0.2">
      <c r="B226" s="168">
        <v>43350</v>
      </c>
      <c r="C226" s="198"/>
      <c r="D226" s="194"/>
      <c r="E226" s="194"/>
      <c r="F226" s="199"/>
      <c r="G226" s="200"/>
      <c r="H226" s="200"/>
      <c r="I226" s="200"/>
      <c r="J226" s="201"/>
    </row>
    <row r="227" spans="2:10" x14ac:dyDescent="0.2">
      <c r="B227" s="168">
        <v>43351</v>
      </c>
      <c r="C227" s="198"/>
      <c r="D227" s="194"/>
      <c r="E227" s="194"/>
      <c r="F227" s="199"/>
      <c r="G227" s="200"/>
      <c r="H227" s="200"/>
      <c r="I227" s="200"/>
      <c r="J227" s="201"/>
    </row>
    <row r="228" spans="2:10" x14ac:dyDescent="0.2">
      <c r="B228" s="168">
        <v>43352</v>
      </c>
      <c r="C228" s="198"/>
      <c r="D228" s="194"/>
      <c r="E228" s="194"/>
      <c r="F228" s="199"/>
      <c r="G228" s="200"/>
      <c r="H228" s="200"/>
      <c r="I228" s="200"/>
      <c r="J228" s="201"/>
    </row>
    <row r="229" spans="2:10" x14ac:dyDescent="0.2">
      <c r="B229" s="168">
        <v>43353</v>
      </c>
      <c r="C229" s="198"/>
      <c r="D229" s="194"/>
      <c r="E229" s="194"/>
      <c r="F229" s="199"/>
      <c r="G229" s="200"/>
      <c r="H229" s="200"/>
      <c r="I229" s="200"/>
      <c r="J229" s="201"/>
    </row>
    <row r="230" spans="2:10" x14ac:dyDescent="0.2">
      <c r="B230" s="168">
        <v>43354</v>
      </c>
      <c r="C230" s="198"/>
      <c r="D230" s="194"/>
      <c r="E230" s="194"/>
      <c r="F230" s="199"/>
      <c r="G230" s="200"/>
      <c r="H230" s="200"/>
      <c r="I230" s="200"/>
      <c r="J230" s="201"/>
    </row>
    <row r="231" spans="2:10" x14ac:dyDescent="0.2">
      <c r="B231" s="168">
        <v>43355</v>
      </c>
      <c r="C231" s="198"/>
      <c r="D231" s="194"/>
      <c r="E231" s="194"/>
      <c r="F231" s="199"/>
      <c r="G231" s="200"/>
      <c r="H231" s="200"/>
      <c r="I231" s="200"/>
      <c r="J231" s="201"/>
    </row>
    <row r="232" spans="2:10" x14ac:dyDescent="0.2">
      <c r="B232" s="168">
        <v>43356</v>
      </c>
      <c r="C232" s="198"/>
      <c r="D232" s="194"/>
      <c r="E232" s="194"/>
      <c r="F232" s="199"/>
      <c r="G232" s="200"/>
      <c r="H232" s="200"/>
      <c r="I232" s="200"/>
      <c r="J232" s="201"/>
    </row>
    <row r="233" spans="2:10" x14ac:dyDescent="0.2">
      <c r="B233" s="168">
        <v>43357</v>
      </c>
      <c r="C233" s="198"/>
      <c r="D233" s="194"/>
      <c r="E233" s="194"/>
      <c r="F233" s="199"/>
      <c r="G233" s="200"/>
      <c r="H233" s="200"/>
      <c r="I233" s="200"/>
      <c r="J233" s="201"/>
    </row>
    <row r="234" spans="2:10" x14ac:dyDescent="0.2">
      <c r="B234" s="168">
        <v>43358</v>
      </c>
      <c r="C234" s="198"/>
      <c r="D234" s="194"/>
      <c r="E234" s="194"/>
      <c r="F234" s="199"/>
      <c r="G234" s="200"/>
      <c r="H234" s="200"/>
      <c r="I234" s="200"/>
      <c r="J234" s="201"/>
    </row>
    <row r="235" spans="2:10" x14ac:dyDescent="0.2">
      <c r="B235" s="168">
        <v>43359</v>
      </c>
      <c r="C235" s="198"/>
      <c r="D235" s="194"/>
      <c r="E235" s="194"/>
      <c r="F235" s="199"/>
      <c r="G235" s="200"/>
      <c r="H235" s="200"/>
      <c r="I235" s="200"/>
      <c r="J235" s="201"/>
    </row>
    <row r="236" spans="2:10" x14ac:dyDescent="0.2">
      <c r="B236" s="168">
        <v>43360</v>
      </c>
      <c r="C236" s="198"/>
      <c r="D236" s="194"/>
      <c r="E236" s="194"/>
      <c r="F236" s="199"/>
      <c r="G236" s="200"/>
      <c r="H236" s="200"/>
      <c r="I236" s="200"/>
      <c r="J236" s="201"/>
    </row>
    <row r="237" spans="2:10" x14ac:dyDescent="0.2">
      <c r="B237" s="168">
        <v>43361</v>
      </c>
      <c r="C237" s="198"/>
      <c r="D237" s="194"/>
      <c r="E237" s="194"/>
      <c r="F237" s="199"/>
      <c r="G237" s="200"/>
      <c r="H237" s="200"/>
      <c r="I237" s="200"/>
      <c r="J237" s="201"/>
    </row>
    <row r="238" spans="2:10" x14ac:dyDescent="0.2">
      <c r="B238" s="168">
        <v>43362</v>
      </c>
      <c r="C238" s="198"/>
      <c r="D238" s="194"/>
      <c r="E238" s="194"/>
      <c r="F238" s="199"/>
      <c r="G238" s="200"/>
      <c r="H238" s="200"/>
      <c r="I238" s="200"/>
      <c r="J238" s="201"/>
    </row>
    <row r="239" spans="2:10" x14ac:dyDescent="0.2">
      <c r="B239" s="168">
        <v>43363</v>
      </c>
      <c r="C239" s="198"/>
      <c r="D239" s="194"/>
      <c r="E239" s="194"/>
      <c r="F239" s="199"/>
      <c r="G239" s="200"/>
      <c r="H239" s="200"/>
      <c r="I239" s="200"/>
      <c r="J239" s="201"/>
    </row>
    <row r="240" spans="2:10" x14ac:dyDescent="0.2">
      <c r="B240" s="168">
        <v>43364</v>
      </c>
      <c r="C240" s="198"/>
      <c r="D240" s="194"/>
      <c r="E240" s="194"/>
      <c r="F240" s="199"/>
      <c r="G240" s="200"/>
      <c r="H240" s="200"/>
      <c r="I240" s="200"/>
      <c r="J240" s="201"/>
    </row>
    <row r="241" spans="2:10" x14ac:dyDescent="0.2">
      <c r="B241" s="168">
        <v>43365</v>
      </c>
      <c r="C241" s="198"/>
      <c r="D241" s="194"/>
      <c r="E241" s="194"/>
      <c r="F241" s="199"/>
      <c r="G241" s="200"/>
      <c r="H241" s="200"/>
      <c r="I241" s="200"/>
      <c r="J241" s="201"/>
    </row>
    <row r="242" spans="2:10" x14ac:dyDescent="0.2">
      <c r="B242" s="168">
        <v>43366</v>
      </c>
      <c r="C242" s="198"/>
      <c r="D242" s="194"/>
      <c r="E242" s="194"/>
      <c r="F242" s="199"/>
      <c r="G242" s="200"/>
      <c r="H242" s="200"/>
      <c r="I242" s="200"/>
      <c r="J242" s="201"/>
    </row>
    <row r="243" spans="2:10" x14ac:dyDescent="0.2">
      <c r="B243" s="168">
        <v>43367</v>
      </c>
      <c r="C243" s="198"/>
      <c r="D243" s="194"/>
      <c r="E243" s="194"/>
      <c r="F243" s="199"/>
      <c r="G243" s="200"/>
      <c r="H243" s="200"/>
      <c r="I243" s="200"/>
      <c r="J243" s="201"/>
    </row>
    <row r="244" spans="2:10" x14ac:dyDescent="0.2">
      <c r="B244" s="168">
        <v>43368</v>
      </c>
      <c r="C244" s="198"/>
      <c r="D244" s="194"/>
      <c r="E244" s="194"/>
      <c r="F244" s="199"/>
      <c r="G244" s="200"/>
      <c r="H244" s="200"/>
      <c r="I244" s="200"/>
      <c r="J244" s="201"/>
    </row>
    <row r="245" spans="2:10" x14ac:dyDescent="0.2">
      <c r="B245" s="168">
        <v>43369</v>
      </c>
      <c r="C245" s="198"/>
      <c r="D245" s="194"/>
      <c r="E245" s="194"/>
      <c r="F245" s="199"/>
      <c r="G245" s="200"/>
      <c r="H245" s="200"/>
      <c r="I245" s="200"/>
      <c r="J245" s="201"/>
    </row>
    <row r="246" spans="2:10" x14ac:dyDescent="0.2">
      <c r="B246" s="168">
        <v>43370</v>
      </c>
      <c r="C246" s="198"/>
      <c r="D246" s="194"/>
      <c r="E246" s="194"/>
      <c r="F246" s="199"/>
      <c r="G246" s="200"/>
      <c r="H246" s="200"/>
      <c r="I246" s="200"/>
      <c r="J246" s="201"/>
    </row>
    <row r="247" spans="2:10" x14ac:dyDescent="0.2">
      <c r="B247" s="168">
        <v>43371</v>
      </c>
      <c r="C247" s="198"/>
      <c r="D247" s="194"/>
      <c r="E247" s="194"/>
      <c r="F247" s="199"/>
      <c r="G247" s="200"/>
      <c r="H247" s="200"/>
      <c r="I247" s="200"/>
      <c r="J247" s="201"/>
    </row>
    <row r="248" spans="2:10" x14ac:dyDescent="0.2">
      <c r="B248" s="168">
        <v>43372</v>
      </c>
      <c r="C248" s="198"/>
      <c r="D248" s="194"/>
      <c r="E248" s="194"/>
      <c r="F248" s="199"/>
      <c r="G248" s="200"/>
      <c r="H248" s="200"/>
      <c r="I248" s="200"/>
      <c r="J248" s="201"/>
    </row>
    <row r="249" spans="2:10" x14ac:dyDescent="0.2">
      <c r="B249" s="168">
        <v>43373</v>
      </c>
      <c r="C249" s="198"/>
      <c r="D249" s="194"/>
      <c r="E249" s="194"/>
      <c r="F249" s="199"/>
      <c r="G249" s="200"/>
      <c r="H249" s="200"/>
      <c r="I249" s="200"/>
      <c r="J249" s="201"/>
    </row>
    <row r="250" spans="2:10" x14ac:dyDescent="0.2">
      <c r="B250" s="168">
        <v>43374</v>
      </c>
      <c r="C250" s="198"/>
      <c r="D250" s="194"/>
      <c r="E250" s="194"/>
      <c r="F250" s="199"/>
      <c r="G250" s="200"/>
      <c r="H250" s="200"/>
      <c r="I250" s="200"/>
      <c r="J250" s="201"/>
    </row>
    <row r="251" spans="2:10" x14ac:dyDescent="0.2">
      <c r="B251" s="168">
        <v>43375</v>
      </c>
      <c r="C251" s="198"/>
      <c r="D251" s="194"/>
      <c r="E251" s="194"/>
      <c r="F251" s="199"/>
      <c r="G251" s="200"/>
      <c r="H251" s="200"/>
      <c r="I251" s="200"/>
      <c r="J251" s="201"/>
    </row>
    <row r="252" spans="2:10" x14ac:dyDescent="0.2">
      <c r="B252" s="168">
        <v>43376</v>
      </c>
      <c r="C252" s="198"/>
      <c r="D252" s="194"/>
      <c r="E252" s="194"/>
      <c r="F252" s="199"/>
      <c r="G252" s="200"/>
      <c r="H252" s="200"/>
      <c r="I252" s="200"/>
      <c r="J252" s="201"/>
    </row>
    <row r="253" spans="2:10" x14ac:dyDescent="0.2">
      <c r="B253" s="168">
        <v>43377</v>
      </c>
      <c r="C253" s="198"/>
      <c r="D253" s="194"/>
      <c r="E253" s="194"/>
      <c r="F253" s="199"/>
      <c r="G253" s="200"/>
      <c r="H253" s="200"/>
      <c r="I253" s="200"/>
      <c r="J253" s="201"/>
    </row>
    <row r="254" spans="2:10" x14ac:dyDescent="0.2">
      <c r="B254" s="168">
        <v>43378</v>
      </c>
      <c r="C254" s="198"/>
      <c r="D254" s="194"/>
      <c r="E254" s="194"/>
      <c r="F254" s="199"/>
      <c r="G254" s="200"/>
      <c r="H254" s="200"/>
      <c r="I254" s="200"/>
      <c r="J254" s="201"/>
    </row>
    <row r="255" spans="2:10" x14ac:dyDescent="0.2">
      <c r="B255" s="168">
        <v>43379</v>
      </c>
      <c r="C255" s="198"/>
      <c r="D255" s="194"/>
      <c r="E255" s="194"/>
      <c r="F255" s="199"/>
      <c r="G255" s="200"/>
      <c r="H255" s="200"/>
      <c r="I255" s="200"/>
      <c r="J255" s="201"/>
    </row>
    <row r="256" spans="2:10" x14ac:dyDescent="0.2">
      <c r="B256" s="168">
        <v>43380</v>
      </c>
      <c r="C256" s="198"/>
      <c r="D256" s="194"/>
      <c r="E256" s="194"/>
      <c r="F256" s="199"/>
      <c r="G256" s="200"/>
      <c r="H256" s="200"/>
      <c r="I256" s="200"/>
      <c r="J256" s="201"/>
    </row>
    <row r="257" spans="2:10" x14ac:dyDescent="0.2">
      <c r="B257" s="168">
        <v>43381</v>
      </c>
      <c r="C257" s="198"/>
      <c r="D257" s="194"/>
      <c r="E257" s="194"/>
      <c r="F257" s="199"/>
      <c r="G257" s="200"/>
      <c r="H257" s="200"/>
      <c r="I257" s="200"/>
      <c r="J257" s="201"/>
    </row>
    <row r="258" spans="2:10" x14ac:dyDescent="0.2">
      <c r="B258" s="168">
        <v>43382</v>
      </c>
      <c r="C258" s="198"/>
      <c r="D258" s="194"/>
      <c r="E258" s="194"/>
      <c r="F258" s="199"/>
      <c r="G258" s="200"/>
      <c r="H258" s="200"/>
      <c r="I258" s="200"/>
      <c r="J258" s="201"/>
    </row>
    <row r="259" spans="2:10" x14ac:dyDescent="0.2">
      <c r="B259" s="168">
        <v>43383</v>
      </c>
      <c r="C259" s="198"/>
      <c r="D259" s="194"/>
      <c r="E259" s="194"/>
      <c r="F259" s="199"/>
      <c r="G259" s="200"/>
      <c r="H259" s="200"/>
      <c r="I259" s="200"/>
      <c r="J259" s="201"/>
    </row>
    <row r="260" spans="2:10" x14ac:dyDescent="0.2">
      <c r="B260" s="168">
        <v>43384</v>
      </c>
      <c r="C260" s="198"/>
      <c r="D260" s="194"/>
      <c r="E260" s="194"/>
      <c r="F260" s="199"/>
      <c r="G260" s="200"/>
      <c r="H260" s="200"/>
      <c r="I260" s="200"/>
      <c r="J260" s="201"/>
    </row>
    <row r="261" spans="2:10" x14ac:dyDescent="0.2">
      <c r="B261" s="168">
        <v>43385</v>
      </c>
      <c r="C261" s="198"/>
      <c r="D261" s="194"/>
      <c r="E261" s="194"/>
      <c r="F261" s="199"/>
      <c r="G261" s="200"/>
      <c r="H261" s="200"/>
      <c r="I261" s="200"/>
      <c r="J261" s="201"/>
    </row>
    <row r="262" spans="2:10" x14ac:dyDescent="0.2">
      <c r="B262" s="168">
        <v>43386</v>
      </c>
      <c r="C262" s="198"/>
      <c r="D262" s="194"/>
      <c r="E262" s="194"/>
      <c r="F262" s="199"/>
      <c r="G262" s="200"/>
      <c r="H262" s="200"/>
      <c r="I262" s="200"/>
      <c r="J262" s="201"/>
    </row>
    <row r="263" spans="2:10" x14ac:dyDescent="0.2">
      <c r="B263" s="168">
        <v>43387</v>
      </c>
      <c r="C263" s="198"/>
      <c r="D263" s="194"/>
      <c r="E263" s="194"/>
      <c r="F263" s="199"/>
      <c r="G263" s="200"/>
      <c r="H263" s="200"/>
      <c r="I263" s="200"/>
      <c r="J263" s="201"/>
    </row>
    <row r="264" spans="2:10" x14ac:dyDescent="0.2">
      <c r="B264" s="168">
        <v>43388</v>
      </c>
      <c r="C264" s="198"/>
      <c r="D264" s="194"/>
      <c r="E264" s="194"/>
      <c r="F264" s="199"/>
      <c r="G264" s="200"/>
      <c r="H264" s="200"/>
      <c r="I264" s="200"/>
      <c r="J264" s="201"/>
    </row>
    <row r="265" spans="2:10" x14ac:dyDescent="0.2">
      <c r="B265" s="168">
        <v>43389</v>
      </c>
      <c r="C265" s="198"/>
      <c r="D265" s="194"/>
      <c r="E265" s="194"/>
      <c r="F265" s="199"/>
      <c r="G265" s="200"/>
      <c r="H265" s="200"/>
      <c r="I265" s="200"/>
      <c r="J265" s="201"/>
    </row>
    <row r="266" spans="2:10" x14ac:dyDescent="0.2">
      <c r="B266" s="168">
        <v>43390</v>
      </c>
      <c r="C266" s="198"/>
      <c r="D266" s="194"/>
      <c r="E266" s="194"/>
      <c r="F266" s="199"/>
      <c r="G266" s="200"/>
      <c r="H266" s="200"/>
      <c r="I266" s="200"/>
      <c r="J266" s="201"/>
    </row>
    <row r="267" spans="2:10" x14ac:dyDescent="0.2">
      <c r="B267" s="168">
        <v>43391</v>
      </c>
      <c r="C267" s="198"/>
      <c r="D267" s="194"/>
      <c r="E267" s="194"/>
      <c r="F267" s="199"/>
      <c r="G267" s="200"/>
      <c r="H267" s="200"/>
      <c r="I267" s="200"/>
      <c r="J267" s="201"/>
    </row>
    <row r="268" spans="2:10" x14ac:dyDescent="0.2">
      <c r="B268" s="168">
        <v>43392</v>
      </c>
      <c r="C268" s="198"/>
      <c r="D268" s="194"/>
      <c r="E268" s="194"/>
      <c r="F268" s="199"/>
      <c r="G268" s="200"/>
      <c r="H268" s="200"/>
      <c r="I268" s="200"/>
      <c r="J268" s="201"/>
    </row>
    <row r="269" spans="2:10" x14ac:dyDescent="0.2">
      <c r="B269" s="168">
        <v>43393</v>
      </c>
      <c r="C269" s="198"/>
      <c r="D269" s="194"/>
      <c r="E269" s="194"/>
      <c r="F269" s="199"/>
      <c r="G269" s="200"/>
      <c r="H269" s="200"/>
      <c r="I269" s="200"/>
      <c r="J269" s="201"/>
    </row>
    <row r="270" spans="2:10" x14ac:dyDescent="0.2">
      <c r="B270" s="168">
        <v>43394</v>
      </c>
      <c r="C270" s="198"/>
      <c r="D270" s="194"/>
      <c r="E270" s="194"/>
      <c r="F270" s="199"/>
      <c r="G270" s="200"/>
      <c r="H270" s="200"/>
      <c r="I270" s="200"/>
      <c r="J270" s="201"/>
    </row>
    <row r="271" spans="2:10" x14ac:dyDescent="0.2">
      <c r="B271" s="168">
        <v>43395</v>
      </c>
      <c r="C271" s="198"/>
      <c r="D271" s="194"/>
      <c r="E271" s="194"/>
      <c r="F271" s="199"/>
      <c r="G271" s="200"/>
      <c r="H271" s="200"/>
      <c r="I271" s="200"/>
      <c r="J271" s="201"/>
    </row>
    <row r="272" spans="2:10" x14ac:dyDescent="0.2">
      <c r="B272" s="168">
        <v>43396</v>
      </c>
      <c r="C272" s="198"/>
      <c r="D272" s="194"/>
      <c r="E272" s="194"/>
      <c r="F272" s="199"/>
      <c r="G272" s="200"/>
      <c r="H272" s="200"/>
      <c r="I272" s="200"/>
      <c r="J272" s="201"/>
    </row>
    <row r="273" spans="2:10" x14ac:dyDescent="0.2">
      <c r="B273" s="168">
        <v>43397</v>
      </c>
      <c r="C273" s="198"/>
      <c r="D273" s="194"/>
      <c r="E273" s="194"/>
      <c r="F273" s="199"/>
      <c r="G273" s="200"/>
      <c r="H273" s="200"/>
      <c r="I273" s="200"/>
      <c r="J273" s="201"/>
    </row>
    <row r="274" spans="2:10" x14ac:dyDescent="0.2">
      <c r="B274" s="168">
        <v>43398</v>
      </c>
      <c r="C274" s="198"/>
      <c r="D274" s="194"/>
      <c r="E274" s="194"/>
      <c r="F274" s="199"/>
      <c r="G274" s="200"/>
      <c r="H274" s="200"/>
      <c r="I274" s="200"/>
      <c r="J274" s="201"/>
    </row>
    <row r="275" spans="2:10" x14ac:dyDescent="0.2">
      <c r="B275" s="168">
        <v>43399</v>
      </c>
      <c r="C275" s="198"/>
      <c r="D275" s="194"/>
      <c r="E275" s="194"/>
      <c r="F275" s="199"/>
      <c r="G275" s="200"/>
      <c r="H275" s="200"/>
      <c r="I275" s="200"/>
      <c r="J275" s="201"/>
    </row>
    <row r="276" spans="2:10" x14ac:dyDescent="0.2">
      <c r="B276" s="168">
        <v>43400</v>
      </c>
      <c r="C276" s="198"/>
      <c r="D276" s="194"/>
      <c r="E276" s="194"/>
      <c r="F276" s="199"/>
      <c r="G276" s="200"/>
      <c r="H276" s="200"/>
      <c r="I276" s="200"/>
      <c r="J276" s="201"/>
    </row>
    <row r="277" spans="2:10" x14ac:dyDescent="0.2">
      <c r="B277" s="168">
        <v>43401</v>
      </c>
      <c r="C277" s="198"/>
      <c r="D277" s="194"/>
      <c r="E277" s="194"/>
      <c r="F277" s="199"/>
      <c r="G277" s="200"/>
      <c r="H277" s="200"/>
      <c r="I277" s="200"/>
      <c r="J277" s="201"/>
    </row>
    <row r="278" spans="2:10" x14ac:dyDescent="0.2">
      <c r="B278" s="168">
        <v>43402</v>
      </c>
      <c r="C278" s="198"/>
      <c r="D278" s="194"/>
      <c r="E278" s="194"/>
      <c r="F278" s="199"/>
      <c r="G278" s="200"/>
      <c r="H278" s="200"/>
      <c r="I278" s="200"/>
      <c r="J278" s="201"/>
    </row>
    <row r="279" spans="2:10" x14ac:dyDescent="0.2">
      <c r="B279" s="168">
        <v>43403</v>
      </c>
      <c r="C279" s="198"/>
      <c r="D279" s="194"/>
      <c r="E279" s="194"/>
      <c r="F279" s="199"/>
      <c r="G279" s="200"/>
      <c r="H279" s="200"/>
      <c r="I279" s="200"/>
      <c r="J279" s="201"/>
    </row>
    <row r="280" spans="2:10" x14ac:dyDescent="0.2">
      <c r="B280" s="168">
        <v>43404</v>
      </c>
      <c r="C280" s="198"/>
      <c r="D280" s="194"/>
      <c r="E280" s="194"/>
      <c r="F280" s="199"/>
      <c r="G280" s="200"/>
      <c r="H280" s="200"/>
      <c r="I280" s="200"/>
      <c r="J280" s="201"/>
    </row>
    <row r="281" spans="2:10" x14ac:dyDescent="0.2">
      <c r="B281" s="168">
        <v>43405</v>
      </c>
      <c r="C281" s="198"/>
      <c r="D281" s="194"/>
      <c r="E281" s="194"/>
      <c r="F281" s="199"/>
      <c r="G281" s="200"/>
      <c r="H281" s="200"/>
      <c r="I281" s="200"/>
      <c r="J281" s="201"/>
    </row>
    <row r="282" spans="2:10" x14ac:dyDescent="0.2">
      <c r="B282" s="168">
        <v>43406</v>
      </c>
      <c r="C282" s="198"/>
      <c r="D282" s="194"/>
      <c r="E282" s="194"/>
      <c r="F282" s="199"/>
      <c r="G282" s="200"/>
      <c r="H282" s="200"/>
      <c r="I282" s="200"/>
      <c r="J282" s="201"/>
    </row>
    <row r="283" spans="2:10" x14ac:dyDescent="0.2">
      <c r="B283" s="168">
        <v>43407</v>
      </c>
      <c r="C283" s="198"/>
      <c r="D283" s="194"/>
      <c r="E283" s="194"/>
      <c r="F283" s="199"/>
      <c r="G283" s="200"/>
      <c r="H283" s="200"/>
      <c r="I283" s="200"/>
      <c r="J283" s="201"/>
    </row>
    <row r="284" spans="2:10" x14ac:dyDescent="0.2">
      <c r="B284" s="168">
        <v>43408</v>
      </c>
      <c r="C284" s="198"/>
      <c r="D284" s="194"/>
      <c r="E284" s="194"/>
      <c r="F284" s="199"/>
      <c r="G284" s="200"/>
      <c r="H284" s="200"/>
      <c r="I284" s="200"/>
      <c r="J284" s="201"/>
    </row>
    <row r="285" spans="2:10" x14ac:dyDescent="0.2">
      <c r="B285" s="168">
        <v>43409</v>
      </c>
      <c r="C285" s="198"/>
      <c r="D285" s="194"/>
      <c r="E285" s="194"/>
      <c r="F285" s="199"/>
      <c r="G285" s="200"/>
      <c r="H285" s="200"/>
      <c r="I285" s="200"/>
      <c r="J285" s="201"/>
    </row>
    <row r="286" spans="2:10" x14ac:dyDescent="0.2">
      <c r="B286" s="168">
        <v>43410</v>
      </c>
      <c r="C286" s="198"/>
      <c r="D286" s="194"/>
      <c r="E286" s="194"/>
      <c r="F286" s="199"/>
      <c r="G286" s="200"/>
      <c r="H286" s="200"/>
      <c r="I286" s="200"/>
      <c r="J286" s="201"/>
    </row>
    <row r="287" spans="2:10" x14ac:dyDescent="0.2">
      <c r="B287" s="168">
        <v>43411</v>
      </c>
      <c r="C287" s="198"/>
      <c r="D287" s="194"/>
      <c r="E287" s="194"/>
      <c r="F287" s="199"/>
      <c r="G287" s="200"/>
      <c r="H287" s="200"/>
      <c r="I287" s="200"/>
      <c r="J287" s="201"/>
    </row>
    <row r="288" spans="2:10" x14ac:dyDescent="0.2">
      <c r="B288" s="168">
        <v>43412</v>
      </c>
      <c r="C288" s="198"/>
      <c r="D288" s="194"/>
      <c r="E288" s="194"/>
      <c r="F288" s="199"/>
      <c r="G288" s="200"/>
      <c r="H288" s="200"/>
      <c r="I288" s="200"/>
      <c r="J288" s="201"/>
    </row>
    <row r="289" spans="2:10" x14ac:dyDescent="0.2">
      <c r="B289" s="168">
        <v>43413</v>
      </c>
      <c r="C289" s="198"/>
      <c r="D289" s="194"/>
      <c r="E289" s="194"/>
      <c r="F289" s="199"/>
      <c r="G289" s="200"/>
      <c r="H289" s="200"/>
      <c r="I289" s="200"/>
      <c r="J289" s="201"/>
    </row>
    <row r="290" spans="2:10" x14ac:dyDescent="0.2">
      <c r="B290" s="168">
        <v>43414</v>
      </c>
      <c r="C290" s="198"/>
      <c r="D290" s="194"/>
      <c r="E290" s="194"/>
      <c r="F290" s="199"/>
      <c r="G290" s="200"/>
      <c r="H290" s="200"/>
      <c r="I290" s="200"/>
      <c r="J290" s="201"/>
    </row>
    <row r="291" spans="2:10" x14ac:dyDescent="0.2">
      <c r="B291" s="168">
        <v>43415</v>
      </c>
      <c r="C291" s="198"/>
      <c r="D291" s="194"/>
      <c r="E291" s="194"/>
      <c r="F291" s="199"/>
      <c r="G291" s="200"/>
      <c r="H291" s="200"/>
      <c r="I291" s="200"/>
      <c r="J291" s="201"/>
    </row>
    <row r="292" spans="2:10" x14ac:dyDescent="0.2">
      <c r="B292" s="168">
        <v>43416</v>
      </c>
      <c r="C292" s="198"/>
      <c r="D292" s="194"/>
      <c r="E292" s="194"/>
      <c r="F292" s="199"/>
      <c r="G292" s="200"/>
      <c r="H292" s="200"/>
      <c r="I292" s="200"/>
      <c r="J292" s="201"/>
    </row>
    <row r="293" spans="2:10" x14ac:dyDescent="0.2">
      <c r="B293" s="168">
        <v>43417</v>
      </c>
      <c r="C293" s="198"/>
      <c r="D293" s="194"/>
      <c r="E293" s="194"/>
      <c r="F293" s="199"/>
      <c r="G293" s="200"/>
      <c r="H293" s="200"/>
      <c r="I293" s="200"/>
      <c r="J293" s="201"/>
    </row>
    <row r="294" spans="2:10" x14ac:dyDescent="0.2">
      <c r="B294" s="168">
        <v>43418</v>
      </c>
      <c r="C294" s="198"/>
      <c r="D294" s="194"/>
      <c r="E294" s="194"/>
      <c r="F294" s="199"/>
      <c r="G294" s="200"/>
      <c r="H294" s="200"/>
      <c r="I294" s="200"/>
      <c r="J294" s="201"/>
    </row>
    <row r="295" spans="2:10" x14ac:dyDescent="0.2">
      <c r="B295" s="168">
        <v>43419</v>
      </c>
      <c r="C295" s="198"/>
      <c r="D295" s="194"/>
      <c r="E295" s="194"/>
      <c r="F295" s="199"/>
      <c r="G295" s="200"/>
      <c r="H295" s="200"/>
      <c r="I295" s="200"/>
      <c r="J295" s="201"/>
    </row>
    <row r="296" spans="2:10" x14ac:dyDescent="0.2">
      <c r="B296" s="168">
        <v>43420</v>
      </c>
      <c r="C296" s="198"/>
      <c r="D296" s="194"/>
      <c r="E296" s="194"/>
      <c r="F296" s="199"/>
      <c r="G296" s="200"/>
      <c r="H296" s="200"/>
      <c r="I296" s="200"/>
      <c r="J296" s="201"/>
    </row>
    <row r="297" spans="2:10" x14ac:dyDescent="0.2">
      <c r="B297" s="168">
        <v>43421</v>
      </c>
      <c r="C297" s="198"/>
      <c r="D297" s="194"/>
      <c r="E297" s="194"/>
      <c r="F297" s="199"/>
      <c r="G297" s="200"/>
      <c r="H297" s="200"/>
      <c r="I297" s="200"/>
      <c r="J297" s="201"/>
    </row>
    <row r="298" spans="2:10" x14ac:dyDescent="0.2">
      <c r="B298" s="168">
        <v>43422</v>
      </c>
      <c r="C298" s="198"/>
      <c r="D298" s="194"/>
      <c r="E298" s="194"/>
      <c r="F298" s="199"/>
      <c r="G298" s="200"/>
      <c r="H298" s="200"/>
      <c r="I298" s="200"/>
      <c r="J298" s="201"/>
    </row>
    <row r="299" spans="2:10" x14ac:dyDescent="0.2">
      <c r="B299" s="168">
        <v>43423</v>
      </c>
      <c r="C299" s="198"/>
      <c r="D299" s="194"/>
      <c r="E299" s="194"/>
      <c r="F299" s="199"/>
      <c r="G299" s="200"/>
      <c r="H299" s="200"/>
      <c r="I299" s="200"/>
      <c r="J299" s="201"/>
    </row>
    <row r="300" spans="2:10" x14ac:dyDescent="0.2">
      <c r="B300" s="168">
        <v>43424</v>
      </c>
      <c r="C300" s="198"/>
      <c r="D300" s="194"/>
      <c r="E300" s="194"/>
      <c r="F300" s="199"/>
      <c r="G300" s="200"/>
      <c r="H300" s="200"/>
      <c r="I300" s="200"/>
      <c r="J300" s="201"/>
    </row>
    <row r="301" spans="2:10" x14ac:dyDescent="0.2">
      <c r="B301" s="168">
        <v>43425</v>
      </c>
      <c r="C301" s="198"/>
      <c r="D301" s="194"/>
      <c r="E301" s="194"/>
      <c r="F301" s="199"/>
      <c r="G301" s="200"/>
      <c r="H301" s="200"/>
      <c r="I301" s="200"/>
      <c r="J301" s="201"/>
    </row>
    <row r="302" spans="2:10" x14ac:dyDescent="0.2">
      <c r="B302" s="168">
        <v>43426</v>
      </c>
      <c r="C302" s="198"/>
      <c r="D302" s="194"/>
      <c r="E302" s="194"/>
      <c r="F302" s="199"/>
      <c r="G302" s="200"/>
      <c r="H302" s="200"/>
      <c r="I302" s="200"/>
      <c r="J302" s="201"/>
    </row>
    <row r="303" spans="2:10" x14ac:dyDescent="0.2">
      <c r="B303" s="168">
        <v>43427</v>
      </c>
      <c r="C303" s="198"/>
      <c r="D303" s="194"/>
      <c r="E303" s="194"/>
      <c r="F303" s="199"/>
      <c r="G303" s="200"/>
      <c r="H303" s="200"/>
      <c r="I303" s="200"/>
      <c r="J303" s="201"/>
    </row>
    <row r="304" spans="2:10" x14ac:dyDescent="0.2">
      <c r="B304" s="168">
        <v>43428</v>
      </c>
      <c r="C304" s="198"/>
      <c r="D304" s="194"/>
      <c r="E304" s="194"/>
      <c r="F304" s="199"/>
      <c r="G304" s="200"/>
      <c r="H304" s="200"/>
      <c r="I304" s="200"/>
      <c r="J304" s="201"/>
    </row>
    <row r="305" spans="2:10" x14ac:dyDescent="0.2">
      <c r="B305" s="168">
        <v>43429</v>
      </c>
      <c r="C305" s="198"/>
      <c r="D305" s="194"/>
      <c r="E305" s="194"/>
      <c r="F305" s="199"/>
      <c r="G305" s="200"/>
      <c r="H305" s="200"/>
      <c r="I305" s="200"/>
      <c r="J305" s="201"/>
    </row>
    <row r="306" spans="2:10" x14ac:dyDescent="0.2">
      <c r="B306" s="168">
        <v>43430</v>
      </c>
      <c r="C306" s="198"/>
      <c r="D306" s="194"/>
      <c r="E306" s="194"/>
      <c r="F306" s="199"/>
      <c r="G306" s="200"/>
      <c r="H306" s="200"/>
      <c r="I306" s="200"/>
      <c r="J306" s="201"/>
    </row>
    <row r="307" spans="2:10" x14ac:dyDescent="0.2">
      <c r="B307" s="168">
        <v>43431</v>
      </c>
      <c r="C307" s="198"/>
      <c r="D307" s="194"/>
      <c r="E307" s="194"/>
      <c r="F307" s="199"/>
      <c r="G307" s="200"/>
      <c r="H307" s="200"/>
      <c r="I307" s="200"/>
      <c r="J307" s="201"/>
    </row>
    <row r="308" spans="2:10" x14ac:dyDescent="0.2">
      <c r="B308" s="168">
        <v>43432</v>
      </c>
      <c r="C308" s="198"/>
      <c r="D308" s="194"/>
      <c r="E308" s="194"/>
      <c r="F308" s="199"/>
      <c r="G308" s="200"/>
      <c r="H308" s="200"/>
      <c r="I308" s="200"/>
      <c r="J308" s="201"/>
    </row>
    <row r="309" spans="2:10" x14ac:dyDescent="0.2">
      <c r="B309" s="168">
        <v>43433</v>
      </c>
      <c r="C309" s="198"/>
      <c r="D309" s="194"/>
      <c r="E309" s="194"/>
      <c r="F309" s="199"/>
      <c r="G309" s="200"/>
      <c r="H309" s="200"/>
      <c r="I309" s="200"/>
      <c r="J309" s="201"/>
    </row>
    <row r="310" spans="2:10" x14ac:dyDescent="0.2">
      <c r="B310" s="168">
        <v>43434</v>
      </c>
      <c r="C310" s="198"/>
      <c r="D310" s="194"/>
      <c r="E310" s="194"/>
      <c r="F310" s="199"/>
      <c r="G310" s="200"/>
      <c r="H310" s="200"/>
      <c r="I310" s="200"/>
      <c r="J310" s="201"/>
    </row>
    <row r="311" spans="2:10" x14ac:dyDescent="0.2">
      <c r="B311" s="168">
        <v>43435</v>
      </c>
      <c r="C311" s="198"/>
      <c r="D311" s="194"/>
      <c r="E311" s="194"/>
      <c r="F311" s="199"/>
      <c r="G311" s="200"/>
      <c r="H311" s="200"/>
      <c r="I311" s="200"/>
      <c r="J311" s="201"/>
    </row>
    <row r="312" spans="2:10" x14ac:dyDescent="0.2">
      <c r="B312" s="168">
        <v>43436</v>
      </c>
      <c r="C312" s="198"/>
      <c r="D312" s="194"/>
      <c r="E312" s="194"/>
      <c r="F312" s="199"/>
      <c r="G312" s="200"/>
      <c r="H312" s="200"/>
      <c r="I312" s="200"/>
      <c r="J312" s="201"/>
    </row>
    <row r="313" spans="2:10" x14ac:dyDescent="0.2">
      <c r="B313" s="168">
        <v>43437</v>
      </c>
      <c r="C313" s="198"/>
      <c r="D313" s="194"/>
      <c r="E313" s="194"/>
      <c r="F313" s="199"/>
      <c r="G313" s="200"/>
      <c r="H313" s="200"/>
      <c r="I313" s="200"/>
      <c r="J313" s="201"/>
    </row>
    <row r="314" spans="2:10" x14ac:dyDescent="0.2">
      <c r="B314" s="168">
        <v>43438</v>
      </c>
      <c r="C314" s="198"/>
      <c r="D314" s="194"/>
      <c r="E314" s="194"/>
      <c r="F314" s="199"/>
      <c r="G314" s="200"/>
      <c r="H314" s="200"/>
      <c r="I314" s="200"/>
      <c r="J314" s="201"/>
    </row>
    <row r="315" spans="2:10" x14ac:dyDescent="0.2">
      <c r="B315" s="168">
        <v>43439</v>
      </c>
      <c r="C315" s="198"/>
      <c r="D315" s="194"/>
      <c r="E315" s="194"/>
      <c r="F315" s="199"/>
      <c r="G315" s="200"/>
      <c r="H315" s="200"/>
      <c r="I315" s="200"/>
      <c r="J315" s="201"/>
    </row>
    <row r="316" spans="2:10" x14ac:dyDescent="0.2">
      <c r="B316" s="168">
        <v>43440</v>
      </c>
      <c r="C316" s="198"/>
      <c r="D316" s="194"/>
      <c r="E316" s="194"/>
      <c r="F316" s="199"/>
      <c r="G316" s="200"/>
      <c r="H316" s="200"/>
      <c r="I316" s="200"/>
      <c r="J316" s="201"/>
    </row>
    <row r="317" spans="2:10" x14ac:dyDescent="0.2">
      <c r="B317" s="168">
        <v>43441</v>
      </c>
      <c r="C317" s="198"/>
      <c r="D317" s="194"/>
      <c r="E317" s="194"/>
      <c r="F317" s="199"/>
      <c r="G317" s="200"/>
      <c r="H317" s="200"/>
      <c r="I317" s="200"/>
      <c r="J317" s="201"/>
    </row>
    <row r="318" spans="2:10" x14ac:dyDescent="0.2">
      <c r="B318" s="168">
        <v>43442</v>
      </c>
      <c r="C318" s="198"/>
      <c r="D318" s="194"/>
      <c r="E318" s="194"/>
      <c r="F318" s="199"/>
      <c r="G318" s="200"/>
      <c r="H318" s="200"/>
      <c r="I318" s="200"/>
      <c r="J318" s="201"/>
    </row>
    <row r="319" spans="2:10" x14ac:dyDescent="0.2">
      <c r="B319" s="168">
        <v>43443</v>
      </c>
      <c r="C319" s="198"/>
      <c r="D319" s="194"/>
      <c r="E319" s="194"/>
      <c r="F319" s="199"/>
      <c r="G319" s="200"/>
      <c r="H319" s="200"/>
      <c r="I319" s="200"/>
      <c r="J319" s="201"/>
    </row>
    <row r="320" spans="2:10" x14ac:dyDescent="0.2">
      <c r="B320" s="168">
        <v>43444</v>
      </c>
      <c r="C320" s="198"/>
      <c r="D320" s="194"/>
      <c r="E320" s="194"/>
      <c r="F320" s="199"/>
      <c r="G320" s="200"/>
      <c r="H320" s="200"/>
      <c r="I320" s="200"/>
      <c r="J320" s="201"/>
    </row>
    <row r="321" spans="2:10" x14ac:dyDescent="0.2">
      <c r="B321" s="168">
        <v>43445</v>
      </c>
      <c r="C321" s="198"/>
      <c r="D321" s="194"/>
      <c r="E321" s="194"/>
      <c r="F321" s="199"/>
      <c r="G321" s="200"/>
      <c r="H321" s="200"/>
      <c r="I321" s="200"/>
      <c r="J321" s="201"/>
    </row>
    <row r="322" spans="2:10" x14ac:dyDescent="0.2">
      <c r="B322" s="168">
        <v>43446</v>
      </c>
      <c r="C322" s="198"/>
      <c r="D322" s="194"/>
      <c r="E322" s="194"/>
      <c r="F322" s="199"/>
      <c r="G322" s="200"/>
      <c r="H322" s="200"/>
      <c r="I322" s="200"/>
      <c r="J322" s="201"/>
    </row>
    <row r="323" spans="2:10" x14ac:dyDescent="0.2">
      <c r="B323" s="168">
        <v>43447</v>
      </c>
      <c r="C323" s="198"/>
      <c r="D323" s="194"/>
      <c r="E323" s="194"/>
      <c r="F323" s="199"/>
      <c r="G323" s="200"/>
      <c r="H323" s="200"/>
      <c r="I323" s="200"/>
      <c r="J323" s="201"/>
    </row>
    <row r="324" spans="2:10" x14ac:dyDescent="0.2">
      <c r="B324" s="168">
        <v>43448</v>
      </c>
      <c r="C324" s="198"/>
      <c r="D324" s="194"/>
      <c r="E324" s="194"/>
      <c r="F324" s="199"/>
      <c r="G324" s="200"/>
      <c r="H324" s="200"/>
      <c r="I324" s="200"/>
      <c r="J324" s="201"/>
    </row>
    <row r="325" spans="2:10" x14ac:dyDescent="0.2">
      <c r="B325" s="168">
        <v>43449</v>
      </c>
      <c r="C325" s="198"/>
      <c r="D325" s="194"/>
      <c r="E325" s="194"/>
      <c r="F325" s="199"/>
      <c r="G325" s="200"/>
      <c r="H325" s="200"/>
      <c r="I325" s="200"/>
      <c r="J325" s="201"/>
    </row>
    <row r="326" spans="2:10" x14ac:dyDescent="0.2">
      <c r="B326" s="168">
        <v>43450</v>
      </c>
      <c r="C326" s="198"/>
      <c r="D326" s="194"/>
      <c r="E326" s="194"/>
      <c r="F326" s="199"/>
      <c r="G326" s="200"/>
      <c r="H326" s="200"/>
      <c r="I326" s="200"/>
      <c r="J326" s="201"/>
    </row>
    <row r="327" spans="2:10" x14ac:dyDescent="0.2">
      <c r="B327" s="168">
        <v>43451</v>
      </c>
      <c r="C327" s="198"/>
      <c r="D327" s="194"/>
      <c r="E327" s="194"/>
      <c r="F327" s="199"/>
      <c r="G327" s="200"/>
      <c r="H327" s="200"/>
      <c r="I327" s="200"/>
      <c r="J327" s="201"/>
    </row>
    <row r="328" spans="2:10" x14ac:dyDescent="0.2">
      <c r="B328" s="168">
        <v>43452</v>
      </c>
      <c r="C328" s="198"/>
      <c r="D328" s="194"/>
      <c r="E328" s="194"/>
      <c r="F328" s="199"/>
      <c r="G328" s="200"/>
      <c r="H328" s="200"/>
      <c r="I328" s="200"/>
      <c r="J328" s="201"/>
    </row>
    <row r="329" spans="2:10" x14ac:dyDescent="0.2">
      <c r="B329" s="168">
        <v>43453</v>
      </c>
      <c r="C329" s="198"/>
      <c r="D329" s="194"/>
      <c r="E329" s="194"/>
      <c r="F329" s="199"/>
      <c r="G329" s="200"/>
      <c r="H329" s="200"/>
      <c r="I329" s="200"/>
      <c r="J329" s="201"/>
    </row>
    <row r="330" spans="2:10" x14ac:dyDescent="0.2">
      <c r="B330" s="168">
        <v>43454</v>
      </c>
      <c r="C330" s="198"/>
      <c r="D330" s="194"/>
      <c r="E330" s="194"/>
      <c r="F330" s="199"/>
      <c r="G330" s="200"/>
      <c r="H330" s="200"/>
      <c r="I330" s="200"/>
      <c r="J330" s="201"/>
    </row>
    <row r="331" spans="2:10" x14ac:dyDescent="0.2">
      <c r="B331" s="168">
        <v>43455</v>
      </c>
      <c r="C331" s="198"/>
      <c r="D331" s="194"/>
      <c r="E331" s="194"/>
      <c r="F331" s="199"/>
      <c r="G331" s="200"/>
      <c r="H331" s="200"/>
      <c r="I331" s="200"/>
      <c r="J331" s="201"/>
    </row>
    <row r="332" spans="2:10" x14ac:dyDescent="0.2">
      <c r="B332" s="168">
        <v>43456</v>
      </c>
      <c r="C332" s="198"/>
      <c r="D332" s="194"/>
      <c r="E332" s="194"/>
      <c r="F332" s="199"/>
      <c r="G332" s="200"/>
      <c r="H332" s="200"/>
      <c r="I332" s="200"/>
      <c r="J332" s="201"/>
    </row>
    <row r="333" spans="2:10" x14ac:dyDescent="0.2">
      <c r="B333" s="168">
        <v>43457</v>
      </c>
      <c r="C333" s="198"/>
      <c r="D333" s="194"/>
      <c r="E333" s="194"/>
      <c r="F333" s="199"/>
      <c r="G333" s="200"/>
      <c r="H333" s="200"/>
      <c r="I333" s="200"/>
      <c r="J333" s="201"/>
    </row>
    <row r="334" spans="2:10" x14ac:dyDescent="0.2">
      <c r="B334" s="168">
        <v>43458</v>
      </c>
      <c r="C334" s="198"/>
      <c r="D334" s="194"/>
      <c r="E334" s="194"/>
      <c r="F334" s="199"/>
      <c r="G334" s="200"/>
      <c r="H334" s="200"/>
      <c r="I334" s="200"/>
      <c r="J334" s="201"/>
    </row>
    <row r="335" spans="2:10" x14ac:dyDescent="0.2">
      <c r="B335" s="168">
        <v>43459</v>
      </c>
      <c r="C335" s="198"/>
      <c r="D335" s="194"/>
      <c r="E335" s="194"/>
      <c r="F335" s="199"/>
      <c r="G335" s="200"/>
      <c r="H335" s="200"/>
      <c r="I335" s="200"/>
      <c r="J335" s="201"/>
    </row>
    <row r="336" spans="2:10" x14ac:dyDescent="0.2">
      <c r="B336" s="168">
        <v>43460</v>
      </c>
      <c r="C336" s="198"/>
      <c r="D336" s="194"/>
      <c r="E336" s="194"/>
      <c r="F336" s="199"/>
      <c r="G336" s="200"/>
      <c r="H336" s="200"/>
      <c r="I336" s="200"/>
      <c r="J336" s="201"/>
    </row>
    <row r="337" spans="2:10" x14ac:dyDescent="0.2">
      <c r="B337" s="168">
        <v>43461</v>
      </c>
      <c r="C337" s="198"/>
      <c r="D337" s="194"/>
      <c r="E337" s="194"/>
      <c r="F337" s="199"/>
      <c r="G337" s="200"/>
      <c r="H337" s="200"/>
      <c r="I337" s="200"/>
      <c r="J337" s="201"/>
    </row>
    <row r="338" spans="2:10" x14ac:dyDescent="0.2">
      <c r="B338" s="168">
        <v>43462</v>
      </c>
      <c r="C338" s="198"/>
      <c r="D338" s="194"/>
      <c r="E338" s="194"/>
      <c r="F338" s="199"/>
      <c r="G338" s="200"/>
      <c r="H338" s="200"/>
      <c r="I338" s="200"/>
      <c r="J338" s="201"/>
    </row>
    <row r="339" spans="2:10" x14ac:dyDescent="0.2">
      <c r="B339" s="168">
        <v>43463</v>
      </c>
      <c r="C339" s="198"/>
      <c r="D339" s="194"/>
      <c r="E339" s="194"/>
      <c r="F339" s="199"/>
      <c r="G339" s="200"/>
      <c r="H339" s="200"/>
      <c r="I339" s="200"/>
      <c r="J339" s="201"/>
    </row>
    <row r="340" spans="2:10" x14ac:dyDescent="0.2">
      <c r="B340" s="168">
        <v>43464</v>
      </c>
      <c r="C340" s="198"/>
      <c r="D340" s="194"/>
      <c r="E340" s="194"/>
      <c r="F340" s="199"/>
      <c r="G340" s="200"/>
      <c r="H340" s="200"/>
      <c r="I340" s="200"/>
      <c r="J340" s="201"/>
    </row>
    <row r="341" spans="2:10" x14ac:dyDescent="0.2">
      <c r="B341" s="168">
        <v>43465</v>
      </c>
      <c r="C341" s="198"/>
      <c r="D341" s="194"/>
      <c r="E341" s="194"/>
      <c r="F341" s="199"/>
      <c r="G341" s="200"/>
      <c r="H341" s="200"/>
      <c r="I341" s="200"/>
      <c r="J341" s="201"/>
    </row>
    <row r="342" spans="2:10" x14ac:dyDescent="0.2">
      <c r="B342" s="168">
        <v>43466</v>
      </c>
      <c r="C342" s="198"/>
      <c r="D342" s="194"/>
      <c r="E342" s="194"/>
      <c r="F342" s="199"/>
      <c r="G342" s="200"/>
      <c r="H342" s="200"/>
      <c r="I342" s="200"/>
      <c r="J342" s="201"/>
    </row>
    <row r="343" spans="2:10" x14ac:dyDescent="0.2">
      <c r="B343" s="168">
        <v>43467</v>
      </c>
      <c r="C343" s="198"/>
      <c r="D343" s="194"/>
      <c r="E343" s="194"/>
      <c r="F343" s="199"/>
      <c r="G343" s="200"/>
      <c r="H343" s="200"/>
      <c r="I343" s="200"/>
      <c r="J343" s="201"/>
    </row>
    <row r="344" spans="2:10" x14ac:dyDescent="0.2">
      <c r="B344" s="168">
        <v>43468</v>
      </c>
      <c r="C344" s="198"/>
      <c r="D344" s="194"/>
      <c r="E344" s="194"/>
      <c r="F344" s="199"/>
      <c r="G344" s="200"/>
      <c r="H344" s="200"/>
      <c r="I344" s="200"/>
      <c r="J344" s="201"/>
    </row>
    <row r="345" spans="2:10" x14ac:dyDescent="0.2">
      <c r="B345" s="168">
        <v>43469</v>
      </c>
      <c r="C345" s="198"/>
      <c r="D345" s="194"/>
      <c r="E345" s="194"/>
      <c r="F345" s="199"/>
      <c r="G345" s="200"/>
      <c r="H345" s="200"/>
      <c r="I345" s="200"/>
      <c r="J345" s="201"/>
    </row>
    <row r="346" spans="2:10" x14ac:dyDescent="0.2">
      <c r="B346" s="168">
        <v>43470</v>
      </c>
      <c r="C346" s="198"/>
      <c r="D346" s="194"/>
      <c r="E346" s="194"/>
      <c r="F346" s="199"/>
      <c r="G346" s="200"/>
      <c r="H346" s="200"/>
      <c r="I346" s="200"/>
      <c r="J346" s="201"/>
    </row>
    <row r="347" spans="2:10" x14ac:dyDescent="0.2">
      <c r="B347" s="168">
        <v>43471</v>
      </c>
      <c r="C347" s="198"/>
      <c r="D347" s="194"/>
      <c r="E347" s="194"/>
      <c r="F347" s="199"/>
      <c r="G347" s="200"/>
      <c r="H347" s="200"/>
      <c r="I347" s="200"/>
      <c r="J347" s="201"/>
    </row>
    <row r="348" spans="2:10" x14ac:dyDescent="0.2">
      <c r="B348" s="168">
        <v>43472</v>
      </c>
      <c r="C348" s="198"/>
      <c r="D348" s="194"/>
      <c r="E348" s="194"/>
      <c r="F348" s="199"/>
      <c r="G348" s="200"/>
      <c r="H348" s="200"/>
      <c r="I348" s="200"/>
      <c r="J348" s="201"/>
    </row>
    <row r="349" spans="2:10" x14ac:dyDescent="0.2">
      <c r="B349" s="168">
        <v>43473</v>
      </c>
      <c r="C349" s="198"/>
      <c r="D349" s="194"/>
      <c r="E349" s="194"/>
      <c r="F349" s="199"/>
      <c r="G349" s="200"/>
      <c r="H349" s="200"/>
      <c r="I349" s="200"/>
      <c r="J349" s="201"/>
    </row>
    <row r="350" spans="2:10" x14ac:dyDescent="0.2">
      <c r="B350" s="168">
        <v>43474</v>
      </c>
      <c r="C350" s="198"/>
      <c r="D350" s="194"/>
      <c r="E350" s="194"/>
      <c r="F350" s="199"/>
      <c r="G350" s="200"/>
      <c r="H350" s="200"/>
      <c r="I350" s="200"/>
      <c r="J350" s="201"/>
    </row>
    <row r="351" spans="2:10" x14ac:dyDescent="0.2">
      <c r="B351" s="168">
        <v>43475</v>
      </c>
      <c r="C351" s="198"/>
      <c r="D351" s="194"/>
      <c r="E351" s="194"/>
      <c r="F351" s="199"/>
      <c r="G351" s="200"/>
      <c r="H351" s="200"/>
      <c r="I351" s="200"/>
      <c r="J351" s="201"/>
    </row>
    <row r="352" spans="2:10" x14ac:dyDescent="0.2">
      <c r="B352" s="168">
        <v>43476</v>
      </c>
      <c r="C352" s="198"/>
      <c r="D352" s="194"/>
      <c r="E352" s="194"/>
      <c r="F352" s="199"/>
      <c r="G352" s="200"/>
      <c r="H352" s="200"/>
      <c r="I352" s="200"/>
      <c r="J352" s="201"/>
    </row>
    <row r="353" spans="2:10" x14ac:dyDescent="0.2">
      <c r="B353" s="168">
        <v>43477</v>
      </c>
      <c r="C353" s="198"/>
      <c r="D353" s="194"/>
      <c r="E353" s="194"/>
      <c r="F353" s="199"/>
      <c r="G353" s="200"/>
      <c r="H353" s="200"/>
      <c r="I353" s="200"/>
      <c r="J353" s="201"/>
    </row>
    <row r="354" spans="2:10" x14ac:dyDescent="0.2">
      <c r="B354" s="168">
        <v>43478</v>
      </c>
      <c r="C354" s="198"/>
      <c r="D354" s="194"/>
      <c r="E354" s="194"/>
      <c r="F354" s="199"/>
      <c r="G354" s="200"/>
      <c r="H354" s="200"/>
      <c r="I354" s="200"/>
      <c r="J354" s="201"/>
    </row>
    <row r="355" spans="2:10" x14ac:dyDescent="0.2">
      <c r="B355" s="168">
        <v>43479</v>
      </c>
      <c r="C355" s="198"/>
      <c r="D355" s="194"/>
      <c r="E355" s="194"/>
      <c r="F355" s="199"/>
      <c r="G355" s="200"/>
      <c r="H355" s="200"/>
      <c r="I355" s="200"/>
      <c r="J355" s="201"/>
    </row>
    <row r="356" spans="2:10" x14ac:dyDescent="0.2">
      <c r="B356" s="168">
        <v>43480</v>
      </c>
      <c r="C356" s="198"/>
      <c r="D356" s="194"/>
      <c r="E356" s="194"/>
      <c r="F356" s="199"/>
      <c r="G356" s="200"/>
      <c r="H356" s="200"/>
      <c r="I356" s="200"/>
      <c r="J356" s="201"/>
    </row>
    <row r="357" spans="2:10" x14ac:dyDescent="0.2">
      <c r="B357" s="168">
        <v>43481</v>
      </c>
      <c r="C357" s="198"/>
      <c r="D357" s="194"/>
      <c r="E357" s="194"/>
      <c r="F357" s="199"/>
      <c r="G357" s="200"/>
      <c r="H357" s="200"/>
      <c r="I357" s="200"/>
      <c r="J357" s="201"/>
    </row>
    <row r="358" spans="2:10" x14ac:dyDescent="0.2">
      <c r="B358" s="168">
        <v>43482</v>
      </c>
      <c r="C358" s="198"/>
      <c r="D358" s="194"/>
      <c r="E358" s="194"/>
      <c r="F358" s="199"/>
      <c r="G358" s="200"/>
      <c r="H358" s="200"/>
      <c r="I358" s="200"/>
      <c r="J358" s="201"/>
    </row>
    <row r="359" spans="2:10" x14ac:dyDescent="0.2">
      <c r="B359" s="168">
        <v>43483</v>
      </c>
      <c r="C359" s="198"/>
      <c r="D359" s="194"/>
      <c r="E359" s="194"/>
      <c r="F359" s="199"/>
      <c r="G359" s="200"/>
      <c r="H359" s="200"/>
      <c r="I359" s="200"/>
      <c r="J359" s="201"/>
    </row>
    <row r="360" spans="2:10" x14ac:dyDescent="0.2">
      <c r="B360" s="168">
        <v>43484</v>
      </c>
      <c r="C360" s="198"/>
      <c r="D360" s="194"/>
      <c r="E360" s="194"/>
      <c r="F360" s="199"/>
      <c r="G360" s="200"/>
      <c r="H360" s="200"/>
      <c r="I360" s="200"/>
      <c r="J360" s="201"/>
    </row>
    <row r="361" spans="2:10" x14ac:dyDescent="0.2">
      <c r="B361" s="168">
        <v>43485</v>
      </c>
      <c r="C361" s="198"/>
      <c r="D361" s="194"/>
      <c r="E361" s="194"/>
      <c r="F361" s="199"/>
      <c r="G361" s="200"/>
      <c r="H361" s="200"/>
      <c r="I361" s="200"/>
      <c r="J361" s="201"/>
    </row>
    <row r="362" spans="2:10" x14ac:dyDescent="0.2">
      <c r="B362" s="168">
        <v>43486</v>
      </c>
      <c r="C362" s="198"/>
      <c r="D362" s="194"/>
      <c r="E362" s="194"/>
      <c r="F362" s="199"/>
      <c r="G362" s="200"/>
      <c r="H362" s="200"/>
      <c r="I362" s="200"/>
      <c r="J362" s="201"/>
    </row>
    <row r="363" spans="2:10" x14ac:dyDescent="0.2">
      <c r="B363" s="168">
        <v>43487</v>
      </c>
      <c r="C363" s="198"/>
      <c r="D363" s="194"/>
      <c r="E363" s="194"/>
      <c r="F363" s="199"/>
      <c r="G363" s="200"/>
      <c r="H363" s="200"/>
      <c r="I363" s="200"/>
      <c r="J363" s="201"/>
    </row>
    <row r="364" spans="2:10" x14ac:dyDescent="0.2">
      <c r="B364" s="168">
        <v>43488</v>
      </c>
      <c r="C364" s="198"/>
      <c r="D364" s="194"/>
      <c r="E364" s="194"/>
      <c r="F364" s="199"/>
      <c r="G364" s="200"/>
      <c r="H364" s="200"/>
      <c r="I364" s="200"/>
      <c r="J364" s="201"/>
    </row>
    <row r="365" spans="2:10" x14ac:dyDescent="0.2">
      <c r="B365" s="168">
        <v>43489</v>
      </c>
      <c r="C365" s="198"/>
      <c r="D365" s="194"/>
      <c r="E365" s="194"/>
      <c r="F365" s="199"/>
      <c r="G365" s="200"/>
      <c r="H365" s="200"/>
      <c r="I365" s="200"/>
      <c r="J365" s="201"/>
    </row>
    <row r="366" spans="2:10" x14ac:dyDescent="0.2">
      <c r="B366" s="168">
        <v>43490</v>
      </c>
      <c r="C366" s="198"/>
      <c r="D366" s="194"/>
      <c r="E366" s="194"/>
      <c r="F366" s="199"/>
      <c r="G366" s="200"/>
      <c r="H366" s="200"/>
      <c r="I366" s="200"/>
      <c r="J366" s="201"/>
    </row>
    <row r="367" spans="2:10" x14ac:dyDescent="0.2">
      <c r="B367" s="168">
        <v>43491</v>
      </c>
      <c r="C367" s="198"/>
      <c r="D367" s="194"/>
      <c r="E367" s="194"/>
      <c r="F367" s="199"/>
      <c r="G367" s="200"/>
      <c r="H367" s="200"/>
      <c r="I367" s="200"/>
      <c r="J367" s="201"/>
    </row>
    <row r="368" spans="2:10" x14ac:dyDescent="0.2">
      <c r="B368" s="168">
        <v>43492</v>
      </c>
      <c r="C368" s="198"/>
      <c r="D368" s="194"/>
      <c r="E368" s="194"/>
      <c r="F368" s="199"/>
      <c r="G368" s="200"/>
      <c r="H368" s="200"/>
      <c r="I368" s="200"/>
      <c r="J368" s="201"/>
    </row>
    <row r="369" spans="2:10" x14ac:dyDescent="0.2">
      <c r="B369" s="168">
        <v>43493</v>
      </c>
      <c r="C369" s="198"/>
      <c r="D369" s="194"/>
      <c r="E369" s="194"/>
      <c r="F369" s="199"/>
      <c r="G369" s="200"/>
      <c r="H369" s="200"/>
      <c r="I369" s="200"/>
      <c r="J369" s="201"/>
    </row>
    <row r="370" spans="2:10" x14ac:dyDescent="0.2">
      <c r="B370" s="168">
        <v>43494</v>
      </c>
      <c r="C370" s="198"/>
      <c r="D370" s="194"/>
      <c r="E370" s="194"/>
      <c r="F370" s="199"/>
      <c r="G370" s="200"/>
      <c r="H370" s="200"/>
      <c r="I370" s="200"/>
      <c r="J370" s="201"/>
    </row>
    <row r="371" spans="2:10" x14ac:dyDescent="0.2">
      <c r="B371" s="168">
        <v>43495</v>
      </c>
      <c r="C371" s="198"/>
      <c r="D371" s="194"/>
      <c r="E371" s="194"/>
      <c r="F371" s="199"/>
      <c r="G371" s="200"/>
      <c r="H371" s="200"/>
      <c r="I371" s="200"/>
      <c r="J371" s="201"/>
    </row>
    <row r="372" spans="2:10" x14ac:dyDescent="0.2">
      <c r="B372" s="168">
        <v>43496</v>
      </c>
      <c r="C372" s="198"/>
      <c r="D372" s="194"/>
      <c r="E372" s="194"/>
      <c r="F372" s="199"/>
      <c r="G372" s="200"/>
      <c r="H372" s="200"/>
      <c r="I372" s="200"/>
      <c r="J372" s="201"/>
    </row>
    <row r="373" spans="2:10" x14ac:dyDescent="0.2">
      <c r="B373" s="168">
        <v>43497</v>
      </c>
      <c r="C373" s="198"/>
      <c r="D373" s="194"/>
      <c r="E373" s="194"/>
      <c r="F373" s="199"/>
      <c r="G373" s="200"/>
      <c r="H373" s="200"/>
      <c r="I373" s="200"/>
      <c r="J373" s="201"/>
    </row>
    <row r="374" spans="2:10" x14ac:dyDescent="0.2">
      <c r="B374" s="168">
        <v>43498</v>
      </c>
      <c r="C374" s="198"/>
      <c r="D374" s="194"/>
      <c r="E374" s="194"/>
      <c r="F374" s="199"/>
      <c r="G374" s="200"/>
      <c r="H374" s="200"/>
      <c r="I374" s="200"/>
      <c r="J374" s="201"/>
    </row>
    <row r="375" spans="2:10" x14ac:dyDescent="0.2">
      <c r="B375" s="168">
        <v>43499</v>
      </c>
      <c r="C375" s="198"/>
      <c r="D375" s="194"/>
      <c r="E375" s="194"/>
      <c r="F375" s="199"/>
      <c r="G375" s="200"/>
      <c r="H375" s="200"/>
      <c r="I375" s="200"/>
      <c r="J375" s="201"/>
    </row>
    <row r="376" spans="2:10" x14ac:dyDescent="0.2">
      <c r="B376" s="168">
        <v>43500</v>
      </c>
      <c r="C376" s="198"/>
      <c r="D376" s="194"/>
      <c r="E376" s="194"/>
      <c r="F376" s="199"/>
      <c r="G376" s="200"/>
      <c r="H376" s="200"/>
      <c r="I376" s="200"/>
      <c r="J376" s="201"/>
    </row>
    <row r="377" spans="2:10" x14ac:dyDescent="0.2">
      <c r="B377" s="168">
        <v>43501</v>
      </c>
      <c r="C377" s="198"/>
      <c r="D377" s="194"/>
      <c r="E377" s="194"/>
      <c r="F377" s="199"/>
      <c r="G377" s="200"/>
      <c r="H377" s="200"/>
      <c r="I377" s="200"/>
      <c r="J377" s="201"/>
    </row>
    <row r="378" spans="2:10" x14ac:dyDescent="0.2">
      <c r="B378" s="168">
        <v>43502</v>
      </c>
      <c r="C378" s="198"/>
      <c r="D378" s="194"/>
      <c r="E378" s="194"/>
      <c r="F378" s="199"/>
      <c r="G378" s="200"/>
      <c r="H378" s="200"/>
      <c r="I378" s="200"/>
      <c r="J378" s="201"/>
    </row>
    <row r="379" spans="2:10" x14ac:dyDescent="0.2">
      <c r="B379" s="168">
        <v>43503</v>
      </c>
      <c r="C379" s="198"/>
      <c r="D379" s="194"/>
      <c r="E379" s="194"/>
      <c r="F379" s="199"/>
      <c r="G379" s="200"/>
      <c r="H379" s="200"/>
      <c r="I379" s="200"/>
      <c r="J379" s="201"/>
    </row>
    <row r="380" spans="2:10" x14ac:dyDescent="0.2">
      <c r="B380" s="168">
        <v>43504</v>
      </c>
      <c r="C380" s="198"/>
      <c r="D380" s="194"/>
      <c r="E380" s="194"/>
      <c r="F380" s="199"/>
      <c r="G380" s="200"/>
      <c r="H380" s="200"/>
      <c r="I380" s="200"/>
      <c r="J380" s="201"/>
    </row>
    <row r="381" spans="2:10" x14ac:dyDescent="0.2">
      <c r="B381" s="168">
        <v>43505</v>
      </c>
      <c r="C381" s="198"/>
      <c r="D381" s="194"/>
      <c r="E381" s="194"/>
      <c r="F381" s="199"/>
      <c r="G381" s="200"/>
      <c r="H381" s="200"/>
      <c r="I381" s="200"/>
      <c r="J381" s="201"/>
    </row>
    <row r="382" spans="2:10" x14ac:dyDescent="0.2">
      <c r="B382" s="168">
        <v>43506</v>
      </c>
      <c r="C382" s="198"/>
      <c r="D382" s="194"/>
      <c r="E382" s="194"/>
      <c r="F382" s="199"/>
      <c r="G382" s="200"/>
      <c r="H382" s="200"/>
      <c r="I382" s="200"/>
      <c r="J382" s="201"/>
    </row>
    <row r="383" spans="2:10" x14ac:dyDescent="0.2">
      <c r="B383" s="168">
        <v>43507</v>
      </c>
      <c r="C383" s="198"/>
      <c r="D383" s="194"/>
      <c r="E383" s="194"/>
      <c r="F383" s="199"/>
      <c r="G383" s="200"/>
      <c r="H383" s="200"/>
      <c r="I383" s="200"/>
      <c r="J383" s="201"/>
    </row>
    <row r="384" spans="2:10" x14ac:dyDescent="0.2">
      <c r="B384" s="168">
        <v>43508</v>
      </c>
      <c r="C384" s="198"/>
      <c r="D384" s="194"/>
      <c r="E384" s="194"/>
      <c r="F384" s="199"/>
      <c r="G384" s="200"/>
      <c r="H384" s="200"/>
      <c r="I384" s="200"/>
      <c r="J384" s="201"/>
    </row>
    <row r="385" spans="2:10" x14ac:dyDescent="0.2">
      <c r="B385" s="168">
        <v>43509</v>
      </c>
      <c r="C385" s="198"/>
      <c r="D385" s="194"/>
      <c r="E385" s="194"/>
      <c r="F385" s="199"/>
      <c r="G385" s="200"/>
      <c r="H385" s="200"/>
      <c r="I385" s="200"/>
      <c r="J385" s="201"/>
    </row>
    <row r="386" spans="2:10" x14ac:dyDescent="0.2">
      <c r="B386" s="168">
        <v>43510</v>
      </c>
      <c r="C386" s="198"/>
      <c r="D386" s="194"/>
      <c r="E386" s="194"/>
      <c r="F386" s="199"/>
      <c r="G386" s="200"/>
      <c r="H386" s="200"/>
      <c r="I386" s="200"/>
      <c r="J386" s="201"/>
    </row>
    <row r="387" spans="2:10" x14ac:dyDescent="0.2">
      <c r="B387" s="168">
        <v>43511</v>
      </c>
      <c r="C387" s="198"/>
      <c r="D387" s="194"/>
      <c r="E387" s="194"/>
      <c r="F387" s="199"/>
      <c r="G387" s="200"/>
      <c r="H387" s="200"/>
      <c r="I387" s="200"/>
      <c r="J387" s="201"/>
    </row>
    <row r="388" spans="2:10" x14ac:dyDescent="0.2">
      <c r="B388" s="168">
        <v>43512</v>
      </c>
      <c r="C388" s="198"/>
      <c r="D388" s="194"/>
      <c r="E388" s="194"/>
      <c r="F388" s="199"/>
      <c r="G388" s="200"/>
      <c r="H388" s="200"/>
      <c r="I388" s="200"/>
      <c r="J388" s="201"/>
    </row>
    <row r="389" spans="2:10" x14ac:dyDescent="0.2">
      <c r="B389" s="168">
        <v>43513</v>
      </c>
      <c r="C389" s="198"/>
      <c r="D389" s="194"/>
      <c r="E389" s="194"/>
      <c r="F389" s="199"/>
      <c r="G389" s="200"/>
      <c r="H389" s="200"/>
      <c r="I389" s="200"/>
      <c r="J389" s="201"/>
    </row>
    <row r="390" spans="2:10" x14ac:dyDescent="0.2">
      <c r="B390" s="168">
        <v>43514</v>
      </c>
      <c r="C390" s="198"/>
      <c r="D390" s="194"/>
      <c r="E390" s="194"/>
      <c r="F390" s="199"/>
      <c r="G390" s="200"/>
      <c r="H390" s="200"/>
      <c r="I390" s="200"/>
      <c r="J390" s="201"/>
    </row>
    <row r="391" spans="2:10" x14ac:dyDescent="0.2">
      <c r="B391" s="168">
        <v>43515</v>
      </c>
      <c r="C391" s="198"/>
      <c r="D391" s="194"/>
      <c r="E391" s="194"/>
      <c r="F391" s="199"/>
      <c r="G391" s="200"/>
      <c r="H391" s="200"/>
      <c r="I391" s="200"/>
      <c r="J391" s="201"/>
    </row>
    <row r="392" spans="2:10" x14ac:dyDescent="0.2">
      <c r="B392" s="168">
        <v>43516</v>
      </c>
      <c r="C392" s="198"/>
      <c r="D392" s="194"/>
      <c r="E392" s="194"/>
      <c r="F392" s="199"/>
      <c r="G392" s="200"/>
      <c r="H392" s="200"/>
      <c r="I392" s="200"/>
      <c r="J392" s="201"/>
    </row>
    <row r="393" spans="2:10" x14ac:dyDescent="0.2">
      <c r="B393" s="168">
        <v>43517</v>
      </c>
      <c r="C393" s="198"/>
      <c r="D393" s="194"/>
      <c r="E393" s="194"/>
      <c r="F393" s="199"/>
      <c r="G393" s="200"/>
      <c r="H393" s="200"/>
      <c r="I393" s="200"/>
      <c r="J393" s="201"/>
    </row>
    <row r="394" spans="2:10" x14ac:dyDescent="0.2">
      <c r="B394" s="168">
        <v>43518</v>
      </c>
      <c r="C394" s="198"/>
      <c r="D394" s="194"/>
      <c r="E394" s="194"/>
      <c r="F394" s="199"/>
      <c r="G394" s="200"/>
      <c r="H394" s="200"/>
      <c r="I394" s="200"/>
      <c r="J394" s="201"/>
    </row>
    <row r="395" spans="2:10" x14ac:dyDescent="0.2">
      <c r="B395" s="168">
        <v>43519</v>
      </c>
      <c r="C395" s="198"/>
      <c r="D395" s="194"/>
      <c r="E395" s="194"/>
      <c r="F395" s="199"/>
      <c r="G395" s="200"/>
      <c r="H395" s="200"/>
      <c r="I395" s="200"/>
      <c r="J395" s="201"/>
    </row>
    <row r="396" spans="2:10" x14ac:dyDescent="0.2">
      <c r="B396" s="168">
        <v>43520</v>
      </c>
      <c r="C396" s="198"/>
      <c r="D396" s="194"/>
      <c r="E396" s="194"/>
      <c r="F396" s="199"/>
      <c r="G396" s="200"/>
      <c r="H396" s="200"/>
      <c r="I396" s="200"/>
      <c r="J396" s="201"/>
    </row>
    <row r="397" spans="2:10" x14ac:dyDescent="0.2">
      <c r="B397" s="168">
        <v>43521</v>
      </c>
      <c r="C397" s="198"/>
      <c r="D397" s="194"/>
      <c r="E397" s="194"/>
      <c r="F397" s="199"/>
      <c r="G397" s="200"/>
      <c r="H397" s="200"/>
      <c r="I397" s="200"/>
      <c r="J397" s="201"/>
    </row>
    <row r="398" spans="2:10" x14ac:dyDescent="0.2">
      <c r="B398" s="168">
        <v>43522</v>
      </c>
      <c r="C398" s="198"/>
      <c r="D398" s="194"/>
      <c r="E398" s="194"/>
      <c r="F398" s="199"/>
      <c r="G398" s="200"/>
      <c r="H398" s="200"/>
      <c r="I398" s="200"/>
      <c r="J398" s="201"/>
    </row>
    <row r="399" spans="2:10" x14ac:dyDescent="0.2">
      <c r="B399" s="168">
        <v>43523</v>
      </c>
      <c r="C399" s="198"/>
      <c r="D399" s="194"/>
      <c r="E399" s="194"/>
      <c r="F399" s="199"/>
      <c r="G399" s="200"/>
      <c r="H399" s="200"/>
      <c r="I399" s="200"/>
      <c r="J399" s="201"/>
    </row>
    <row r="400" spans="2:10" x14ac:dyDescent="0.2">
      <c r="B400" s="168">
        <v>43524</v>
      </c>
      <c r="C400" s="198"/>
      <c r="D400" s="194"/>
      <c r="E400" s="194"/>
      <c r="F400" s="199"/>
      <c r="G400" s="200"/>
      <c r="H400" s="200"/>
      <c r="I400" s="200"/>
      <c r="J400" s="201"/>
    </row>
    <row r="401" spans="2:10" x14ac:dyDescent="0.2">
      <c r="B401" s="168">
        <v>43525</v>
      </c>
      <c r="C401" s="198"/>
      <c r="D401" s="194"/>
      <c r="E401" s="194"/>
      <c r="F401" s="199"/>
      <c r="G401" s="200"/>
      <c r="H401" s="200"/>
      <c r="I401" s="200"/>
      <c r="J401" s="201"/>
    </row>
    <row r="402" spans="2:10" x14ac:dyDescent="0.2">
      <c r="B402" s="168">
        <v>43526</v>
      </c>
      <c r="C402" s="198"/>
      <c r="D402" s="194"/>
      <c r="E402" s="194"/>
      <c r="F402" s="199"/>
      <c r="G402" s="200"/>
      <c r="H402" s="200"/>
      <c r="I402" s="200"/>
      <c r="J402" s="201"/>
    </row>
    <row r="403" spans="2:10" x14ac:dyDescent="0.2">
      <c r="B403" s="168">
        <v>43527</v>
      </c>
      <c r="C403" s="198"/>
      <c r="D403" s="194"/>
      <c r="E403" s="194"/>
      <c r="F403" s="199"/>
      <c r="G403" s="200"/>
      <c r="H403" s="200"/>
      <c r="I403" s="200"/>
      <c r="J403" s="201"/>
    </row>
    <row r="404" spans="2:10" x14ac:dyDescent="0.2">
      <c r="B404" s="168">
        <v>43528</v>
      </c>
      <c r="C404" s="198"/>
      <c r="D404" s="194"/>
      <c r="E404" s="194"/>
      <c r="F404" s="199"/>
      <c r="G404" s="200"/>
      <c r="H404" s="200"/>
      <c r="I404" s="200"/>
      <c r="J404" s="201"/>
    </row>
    <row r="405" spans="2:10" x14ac:dyDescent="0.2">
      <c r="B405" s="168">
        <v>43529</v>
      </c>
      <c r="C405" s="198"/>
      <c r="D405" s="194"/>
      <c r="E405" s="194"/>
      <c r="F405" s="199"/>
      <c r="G405" s="200"/>
      <c r="H405" s="200"/>
      <c r="I405" s="200"/>
      <c r="J405" s="201"/>
    </row>
    <row r="406" spans="2:10" x14ac:dyDescent="0.2">
      <c r="B406" s="168">
        <v>43530</v>
      </c>
      <c r="C406" s="198"/>
      <c r="D406" s="194"/>
      <c r="E406" s="194"/>
      <c r="F406" s="199"/>
      <c r="G406" s="200"/>
      <c r="H406" s="200"/>
      <c r="I406" s="200"/>
      <c r="J406" s="201"/>
    </row>
    <row r="407" spans="2:10" x14ac:dyDescent="0.2">
      <c r="B407" s="168">
        <v>43531</v>
      </c>
      <c r="C407" s="198"/>
      <c r="D407" s="194"/>
      <c r="E407" s="194"/>
      <c r="F407" s="199"/>
      <c r="G407" s="200"/>
      <c r="H407" s="200"/>
      <c r="I407" s="200"/>
      <c r="J407" s="201"/>
    </row>
    <row r="408" spans="2:10" x14ac:dyDescent="0.2">
      <c r="B408" s="168">
        <v>43532</v>
      </c>
      <c r="C408" s="198"/>
      <c r="D408" s="194"/>
      <c r="E408" s="194"/>
      <c r="F408" s="199"/>
      <c r="G408" s="200"/>
      <c r="H408" s="200"/>
      <c r="I408" s="200"/>
      <c r="J408" s="201"/>
    </row>
    <row r="409" spans="2:10" x14ac:dyDescent="0.2">
      <c r="B409" s="168">
        <v>43533</v>
      </c>
      <c r="C409" s="198"/>
      <c r="D409" s="194"/>
      <c r="E409" s="194"/>
      <c r="F409" s="199"/>
      <c r="G409" s="200"/>
      <c r="H409" s="200"/>
      <c r="I409" s="200"/>
      <c r="J409" s="201"/>
    </row>
    <row r="410" spans="2:10" x14ac:dyDescent="0.2">
      <c r="B410" s="168">
        <v>43534</v>
      </c>
      <c r="C410" s="198"/>
      <c r="D410" s="194"/>
      <c r="E410" s="194"/>
      <c r="F410" s="199"/>
      <c r="G410" s="200"/>
      <c r="H410" s="200"/>
      <c r="I410" s="200"/>
      <c r="J410" s="201"/>
    </row>
    <row r="411" spans="2:10" x14ac:dyDescent="0.2">
      <c r="B411" s="168">
        <v>43535</v>
      </c>
      <c r="C411" s="198"/>
      <c r="D411" s="194"/>
      <c r="E411" s="194"/>
      <c r="F411" s="199"/>
      <c r="G411" s="200"/>
      <c r="H411" s="200"/>
      <c r="I411" s="200"/>
      <c r="J411" s="201"/>
    </row>
    <row r="412" spans="2:10" x14ac:dyDescent="0.2">
      <c r="B412" s="168">
        <v>43536</v>
      </c>
      <c r="C412" s="198"/>
      <c r="D412" s="194"/>
      <c r="E412" s="194"/>
      <c r="F412" s="199"/>
      <c r="G412" s="200"/>
      <c r="H412" s="200"/>
      <c r="I412" s="200"/>
      <c r="J412" s="201"/>
    </row>
    <row r="413" spans="2:10" x14ac:dyDescent="0.2">
      <c r="B413" s="168">
        <v>43537</v>
      </c>
      <c r="C413" s="198"/>
      <c r="D413" s="194"/>
      <c r="E413" s="194"/>
      <c r="F413" s="199"/>
      <c r="G413" s="200"/>
      <c r="H413" s="200"/>
      <c r="I413" s="200"/>
      <c r="J413" s="201"/>
    </row>
    <row r="414" spans="2:10" x14ac:dyDescent="0.2">
      <c r="B414" s="168">
        <v>43538</v>
      </c>
      <c r="C414" s="198"/>
      <c r="D414" s="194"/>
      <c r="E414" s="194"/>
      <c r="F414" s="199"/>
      <c r="G414" s="200"/>
      <c r="H414" s="200"/>
      <c r="I414" s="200"/>
      <c r="J414" s="201"/>
    </row>
    <row r="415" spans="2:10" x14ac:dyDescent="0.2">
      <c r="B415" s="168">
        <v>43539</v>
      </c>
      <c r="C415" s="198"/>
      <c r="D415" s="194"/>
      <c r="E415" s="194"/>
      <c r="F415" s="199"/>
      <c r="G415" s="200"/>
      <c r="H415" s="200"/>
      <c r="I415" s="200"/>
      <c r="J415" s="201"/>
    </row>
    <row r="416" spans="2:10" x14ac:dyDescent="0.2">
      <c r="B416" s="168">
        <v>43540</v>
      </c>
      <c r="C416" s="198"/>
      <c r="D416" s="194"/>
      <c r="E416" s="194"/>
      <c r="F416" s="199"/>
      <c r="G416" s="200"/>
      <c r="H416" s="200"/>
      <c r="I416" s="200"/>
      <c r="J416" s="201"/>
    </row>
    <row r="417" spans="2:10" x14ac:dyDescent="0.2">
      <c r="B417" s="168">
        <v>43541</v>
      </c>
      <c r="C417" s="198"/>
      <c r="D417" s="194"/>
      <c r="E417" s="194"/>
      <c r="F417" s="199"/>
      <c r="G417" s="200"/>
      <c r="H417" s="200"/>
      <c r="I417" s="200"/>
      <c r="J417" s="201"/>
    </row>
    <row r="418" spans="2:10" x14ac:dyDescent="0.2">
      <c r="B418" s="168">
        <v>43542</v>
      </c>
      <c r="C418" s="198"/>
      <c r="D418" s="194"/>
      <c r="E418" s="194"/>
      <c r="F418" s="199"/>
      <c r="G418" s="200"/>
      <c r="H418" s="200"/>
      <c r="I418" s="200"/>
      <c r="J418" s="201"/>
    </row>
    <row r="419" spans="2:10" x14ac:dyDescent="0.2">
      <c r="B419" s="168">
        <v>43543</v>
      </c>
      <c r="C419" s="198"/>
      <c r="D419" s="194"/>
      <c r="E419" s="194"/>
      <c r="F419" s="199"/>
      <c r="G419" s="200"/>
      <c r="H419" s="200"/>
      <c r="I419" s="200"/>
      <c r="J419" s="201"/>
    </row>
    <row r="420" spans="2:10" x14ac:dyDescent="0.2">
      <c r="B420" s="168">
        <v>43544</v>
      </c>
      <c r="C420" s="198"/>
      <c r="D420" s="194"/>
      <c r="E420" s="194"/>
      <c r="F420" s="199"/>
      <c r="G420" s="200"/>
      <c r="H420" s="200"/>
      <c r="I420" s="200"/>
      <c r="J420" s="201"/>
    </row>
    <row r="421" spans="2:10" x14ac:dyDescent="0.2">
      <c r="B421" s="168">
        <v>43545</v>
      </c>
      <c r="C421" s="198"/>
      <c r="D421" s="194"/>
      <c r="E421" s="194"/>
      <c r="F421" s="199"/>
      <c r="G421" s="200"/>
      <c r="H421" s="200"/>
      <c r="I421" s="200"/>
      <c r="J421" s="201"/>
    </row>
    <row r="422" spans="2:10" x14ac:dyDescent="0.2">
      <c r="B422" s="168">
        <v>43546</v>
      </c>
      <c r="C422" s="198"/>
      <c r="D422" s="194"/>
      <c r="E422" s="194"/>
      <c r="F422" s="199"/>
      <c r="G422" s="200"/>
      <c r="H422" s="200"/>
      <c r="I422" s="200"/>
      <c r="J422" s="201"/>
    </row>
    <row r="423" spans="2:10" x14ac:dyDescent="0.2">
      <c r="B423" s="168">
        <v>43547</v>
      </c>
      <c r="C423" s="198"/>
      <c r="D423" s="194"/>
      <c r="E423" s="194"/>
      <c r="F423" s="199"/>
      <c r="G423" s="200"/>
      <c r="H423" s="200"/>
      <c r="I423" s="200"/>
      <c r="J423" s="201"/>
    </row>
    <row r="424" spans="2:10" x14ac:dyDescent="0.2">
      <c r="B424" s="168">
        <v>43548</v>
      </c>
      <c r="C424" s="198"/>
      <c r="D424" s="194"/>
      <c r="E424" s="194"/>
      <c r="F424" s="199"/>
      <c r="G424" s="200"/>
      <c r="H424" s="200"/>
      <c r="I424" s="200"/>
      <c r="J424" s="201"/>
    </row>
    <row r="425" spans="2:10" x14ac:dyDescent="0.2">
      <c r="B425" s="168">
        <v>43549</v>
      </c>
      <c r="C425" s="198"/>
      <c r="D425" s="194"/>
      <c r="E425" s="194"/>
      <c r="F425" s="199"/>
      <c r="G425" s="200"/>
      <c r="H425" s="200"/>
      <c r="I425" s="200"/>
      <c r="J425" s="201"/>
    </row>
    <row r="426" spans="2:10" x14ac:dyDescent="0.2">
      <c r="B426" s="168">
        <v>43550</v>
      </c>
      <c r="C426" s="198"/>
      <c r="D426" s="194"/>
      <c r="E426" s="194"/>
      <c r="F426" s="199"/>
      <c r="G426" s="200"/>
      <c r="H426" s="200"/>
      <c r="I426" s="200"/>
      <c r="J426" s="201"/>
    </row>
    <row r="427" spans="2:10" x14ac:dyDescent="0.2">
      <c r="B427" s="168">
        <v>43551</v>
      </c>
      <c r="C427" s="198"/>
      <c r="D427" s="194"/>
      <c r="E427" s="194"/>
      <c r="F427" s="199"/>
      <c r="G427" s="200"/>
      <c r="H427" s="200"/>
      <c r="I427" s="200"/>
      <c r="J427" s="201"/>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20" priority="6">
      <formula>INDIRECT("B"&amp;ROW())=TODAY()</formula>
    </cfRule>
  </conditionalFormatting>
  <conditionalFormatting sqref="B9:B427">
    <cfRule type="timePeriod" dxfId="19" priority="5" timePeriod="today">
      <formula>FLOOR(B9,1)=TODAY()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rgb="FFFF0000"/>
  </sheetPr>
  <dimension ref="A1:T130"/>
  <sheetViews>
    <sheetView topLeftCell="A3" workbookViewId="0">
      <selection activeCell="D43" sqref="D43"/>
    </sheetView>
  </sheetViews>
  <sheetFormatPr baseColWidth="10" defaultColWidth="8.83203125" defaultRowHeight="15" x14ac:dyDescent="0.2"/>
  <cols>
    <col min="1" max="1" width="8.83203125" style="44"/>
    <col min="2" max="2" width="8.1640625" customWidth="1"/>
    <col min="3" max="3" width="10.33203125" customWidth="1"/>
    <col min="4" max="4" width="28.5" customWidth="1"/>
    <col min="5" max="5" width="29.5" customWidth="1"/>
    <col min="6" max="6" width="38.5" customWidth="1"/>
    <col min="7" max="7" width="21.33203125" customWidth="1"/>
    <col min="8" max="8" width="9.83203125" customWidth="1"/>
    <col min="9" max="9" width="3.5" customWidth="1"/>
    <col min="10" max="10" width="25.5" customWidth="1"/>
    <col min="11" max="11" width="30.6640625" customWidth="1"/>
    <col min="12" max="12" width="36.1640625" customWidth="1"/>
    <col min="13" max="13" width="45.33203125" customWidth="1"/>
  </cols>
  <sheetData>
    <row r="1" spans="1:20" s="44" customFormat="1" x14ac:dyDescent="0.2"/>
    <row r="2" spans="1:20" s="44" customFormat="1" x14ac:dyDescent="0.2">
      <c r="A2" s="50"/>
    </row>
    <row r="3" spans="1:20" s="5" customFormat="1" ht="15.75" customHeight="1" x14ac:dyDescent="0.2">
      <c r="A3" s="10"/>
      <c r="B3" s="30"/>
      <c r="D3" s="31" t="s">
        <v>6</v>
      </c>
      <c r="E3" s="31"/>
      <c r="F3" s="22"/>
      <c r="G3" s="22"/>
      <c r="H3" s="22"/>
      <c r="I3" s="12"/>
      <c r="J3" s="30" t="s">
        <v>5</v>
      </c>
    </row>
    <row r="4" spans="1:20" s="6" customFormat="1" ht="46.5" customHeight="1" x14ac:dyDescent="0.2">
      <c r="A4" s="10"/>
      <c r="B4" s="32"/>
      <c r="D4" s="41" t="s">
        <v>7</v>
      </c>
      <c r="E4" s="62" t="s">
        <v>19</v>
      </c>
      <c r="F4" s="23"/>
      <c r="G4" s="23"/>
      <c r="H4" s="23"/>
      <c r="I4" s="13"/>
      <c r="J4" s="40">
        <f ca="1">TODAY()</f>
        <v>43150</v>
      </c>
      <c r="L4" s="32"/>
    </row>
    <row r="5" spans="1:20" s="49" customFormat="1" x14ac:dyDescent="0.2">
      <c r="A5" s="10"/>
      <c r="B5" s="45"/>
      <c r="C5" s="45"/>
      <c r="D5" s="46"/>
      <c r="E5" s="46"/>
      <c r="F5" s="47"/>
      <c r="G5" s="47"/>
      <c r="H5" s="47"/>
      <c r="I5" s="48"/>
    </row>
    <row r="6" spans="1:20" s="53" customFormat="1" ht="22.5" customHeight="1" x14ac:dyDescent="0.2">
      <c r="A6" s="44"/>
      <c r="B6" s="65"/>
      <c r="C6" s="65"/>
      <c r="D6" s="65"/>
      <c r="E6" s="65"/>
      <c r="F6" s="65"/>
      <c r="G6" s="65"/>
      <c r="H6" s="65"/>
      <c r="I6" s="65"/>
      <c r="J6" s="65"/>
      <c r="K6" s="65"/>
      <c r="L6" s="59"/>
      <c r="M6" s="59"/>
    </row>
    <row r="7" spans="1:20" ht="22.5" customHeight="1" x14ac:dyDescent="0.2">
      <c r="B7" s="59"/>
      <c r="C7" s="54"/>
      <c r="D7" s="54"/>
      <c r="E7" s="57" t="s">
        <v>12</v>
      </c>
      <c r="F7" s="54"/>
      <c r="G7" s="54"/>
      <c r="H7" s="54"/>
      <c r="I7" s="65"/>
      <c r="J7" s="65"/>
      <c r="K7" s="65"/>
      <c r="L7" s="59"/>
      <c r="M7" s="59"/>
    </row>
    <row r="8" spans="1:20" x14ac:dyDescent="0.2">
      <c r="B8" s="59"/>
      <c r="C8" s="54"/>
      <c r="D8" s="54"/>
      <c r="E8" s="54"/>
      <c r="F8" s="54"/>
      <c r="G8" s="54"/>
      <c r="H8" s="54"/>
      <c r="I8" s="65"/>
      <c r="J8" s="65"/>
      <c r="K8" s="65"/>
      <c r="L8" s="59"/>
      <c r="M8" s="60"/>
      <c r="N8" s="52"/>
      <c r="O8" s="52"/>
      <c r="P8" s="52"/>
      <c r="Q8" s="52"/>
      <c r="R8" s="52"/>
      <c r="S8" s="52"/>
      <c r="T8" s="52"/>
    </row>
    <row r="9" spans="1:20" x14ac:dyDescent="0.2">
      <c r="B9" s="59"/>
      <c r="C9" s="54"/>
      <c r="D9" s="101"/>
      <c r="E9" s="100" t="s">
        <v>17</v>
      </c>
      <c r="F9" s="100" t="s">
        <v>18</v>
      </c>
      <c r="G9" s="100" t="s">
        <v>17</v>
      </c>
      <c r="H9" s="54"/>
      <c r="I9" s="65"/>
      <c r="J9" s="65"/>
      <c r="K9" s="65"/>
      <c r="L9" s="59"/>
      <c r="M9" s="59"/>
    </row>
    <row r="10" spans="1:20" x14ac:dyDescent="0.2">
      <c r="B10" s="59"/>
      <c r="C10" s="54"/>
      <c r="D10" s="102"/>
      <c r="E10" s="103">
        <f ca="1">TODAY()</f>
        <v>43150</v>
      </c>
      <c r="F10" s="104" t="s">
        <v>13</v>
      </c>
      <c r="G10" s="105" t="s">
        <v>14</v>
      </c>
      <c r="H10" s="54"/>
      <c r="I10" s="65"/>
      <c r="J10" s="65"/>
      <c r="K10" s="65"/>
      <c r="L10" s="59"/>
      <c r="M10" s="59"/>
    </row>
    <row r="11" spans="1:20" x14ac:dyDescent="0.2">
      <c r="B11" s="59"/>
      <c r="C11" s="54"/>
      <c r="D11" s="106">
        <v>0</v>
      </c>
      <c r="E11" s="42">
        <v>0</v>
      </c>
      <c r="F11" s="42"/>
      <c r="G11" s="70"/>
      <c r="H11" s="54"/>
      <c r="I11" s="65"/>
      <c r="J11" s="65"/>
      <c r="K11" s="65"/>
      <c r="L11" s="59"/>
      <c r="M11" s="59"/>
    </row>
    <row r="12" spans="1:20" x14ac:dyDescent="0.2">
      <c r="B12" s="59"/>
      <c r="C12" s="54"/>
      <c r="D12" s="106">
        <v>4.1666666666666699E-2</v>
      </c>
      <c r="E12" s="42">
        <v>0</v>
      </c>
      <c r="F12" s="42"/>
      <c r="G12" s="70"/>
      <c r="H12" s="54"/>
      <c r="I12" s="65"/>
      <c r="J12" s="65"/>
      <c r="K12" s="65"/>
      <c r="L12" s="59"/>
      <c r="M12" s="59"/>
    </row>
    <row r="13" spans="1:20" x14ac:dyDescent="0.2">
      <c r="B13" s="59"/>
      <c r="C13" s="54"/>
      <c r="D13" s="106">
        <v>8.3333333333333301E-2</v>
      </c>
      <c r="E13" s="42">
        <v>0</v>
      </c>
      <c r="F13" s="42"/>
      <c r="G13" s="70"/>
      <c r="H13" s="54"/>
      <c r="I13" s="65"/>
      <c r="J13" s="65"/>
      <c r="K13" s="65"/>
      <c r="L13" s="59"/>
      <c r="M13" s="59"/>
    </row>
    <row r="14" spans="1:20" x14ac:dyDescent="0.2">
      <c r="B14" s="59"/>
      <c r="C14" s="54"/>
      <c r="D14" s="106">
        <v>0.125</v>
      </c>
      <c r="E14" s="42">
        <v>0</v>
      </c>
      <c r="F14" s="42" t="s">
        <v>78</v>
      </c>
      <c r="G14" s="70"/>
      <c r="H14" s="54"/>
      <c r="I14" s="65"/>
      <c r="J14" s="65"/>
      <c r="K14" s="65"/>
      <c r="L14" s="59"/>
      <c r="M14" s="59"/>
    </row>
    <row r="15" spans="1:20" x14ac:dyDescent="0.2">
      <c r="B15" s="59"/>
      <c r="C15" s="54"/>
      <c r="D15" s="106">
        <v>0.16666666666666699</v>
      </c>
      <c r="E15" s="42">
        <v>0</v>
      </c>
      <c r="F15" s="42" t="s">
        <v>83</v>
      </c>
      <c r="G15" s="70"/>
      <c r="H15" s="54"/>
      <c r="I15" s="65"/>
      <c r="J15" s="65"/>
      <c r="K15" s="65"/>
      <c r="L15" s="59"/>
      <c r="M15" s="59"/>
    </row>
    <row r="16" spans="1:20" x14ac:dyDescent="0.2">
      <c r="B16" s="59"/>
      <c r="C16" s="54"/>
      <c r="D16" s="106">
        <v>0.20833333333333301</v>
      </c>
      <c r="E16" s="42">
        <v>1</v>
      </c>
      <c r="F16" s="42" t="s">
        <v>83</v>
      </c>
      <c r="G16" s="70"/>
      <c r="H16" s="54"/>
      <c r="I16" s="65"/>
      <c r="J16" s="65"/>
      <c r="K16" s="65"/>
      <c r="L16" s="59"/>
      <c r="M16" s="59"/>
    </row>
    <row r="17" spans="2:13" x14ac:dyDescent="0.2">
      <c r="B17" s="59"/>
      <c r="C17" s="54"/>
      <c r="D17" s="106">
        <v>0.25</v>
      </c>
      <c r="E17" s="42">
        <v>0</v>
      </c>
      <c r="F17" s="42"/>
      <c r="G17" s="70"/>
      <c r="H17" s="54"/>
      <c r="I17" s="65"/>
      <c r="J17" s="65"/>
      <c r="K17" s="65"/>
      <c r="L17" s="59"/>
      <c r="M17" s="59"/>
    </row>
    <row r="18" spans="2:13" x14ac:dyDescent="0.2">
      <c r="B18" s="59"/>
      <c r="C18" s="54"/>
      <c r="D18" s="106">
        <v>0.29166666666666702</v>
      </c>
      <c r="E18" s="42">
        <v>0</v>
      </c>
      <c r="F18" s="42"/>
      <c r="G18" s="70"/>
      <c r="H18" s="54"/>
      <c r="I18" s="65"/>
      <c r="J18" s="65"/>
      <c r="K18" s="65"/>
      <c r="L18" s="59"/>
      <c r="M18" s="59"/>
    </row>
    <row r="19" spans="2:13" x14ac:dyDescent="0.2">
      <c r="B19" s="59"/>
      <c r="C19" s="54"/>
      <c r="D19" s="106">
        <v>0.33333333333333298</v>
      </c>
      <c r="E19" s="42">
        <v>1</v>
      </c>
      <c r="F19" s="114"/>
      <c r="G19" s="70"/>
      <c r="H19" s="54"/>
      <c r="I19" s="65"/>
      <c r="J19" s="65"/>
      <c r="K19" s="65"/>
      <c r="L19" s="59"/>
      <c r="M19" s="59"/>
    </row>
    <row r="20" spans="2:13" x14ac:dyDescent="0.2">
      <c r="B20" s="59"/>
      <c r="C20" s="54"/>
      <c r="D20" s="106">
        <v>0.375</v>
      </c>
      <c r="E20" s="42">
        <v>1</v>
      </c>
      <c r="F20" s="42"/>
      <c r="G20" s="70"/>
      <c r="H20" s="54"/>
      <c r="I20" s="65"/>
      <c r="J20" s="65"/>
      <c r="K20" s="65"/>
      <c r="L20" s="59"/>
      <c r="M20" s="59"/>
    </row>
    <row r="21" spans="2:13" x14ac:dyDescent="0.2">
      <c r="B21" s="59"/>
      <c r="C21" s="54"/>
      <c r="D21" s="106">
        <v>0.41666666666666702</v>
      </c>
      <c r="E21" s="42">
        <v>1</v>
      </c>
      <c r="F21" s="42"/>
      <c r="G21" s="70"/>
      <c r="H21" s="54"/>
      <c r="I21" s="65"/>
      <c r="J21" s="65"/>
      <c r="K21" s="65"/>
      <c r="L21" s="59"/>
      <c r="M21" s="59"/>
    </row>
    <row r="22" spans="2:13" x14ac:dyDescent="0.2">
      <c r="B22" s="59"/>
      <c r="C22" s="54"/>
      <c r="D22" s="106">
        <v>0.45833333333333298</v>
      </c>
      <c r="E22" s="42">
        <v>1</v>
      </c>
      <c r="F22" s="42"/>
      <c r="G22" s="70"/>
      <c r="H22" s="54"/>
      <c r="I22" s="65"/>
      <c r="J22" s="65"/>
      <c r="K22" s="65"/>
      <c r="L22" s="59"/>
      <c r="M22" s="59"/>
    </row>
    <row r="23" spans="2:13" x14ac:dyDescent="0.2">
      <c r="B23" s="59"/>
      <c r="C23" s="54"/>
      <c r="D23" s="106">
        <v>0.5</v>
      </c>
      <c r="E23" s="42">
        <v>1</v>
      </c>
      <c r="F23" s="42"/>
      <c r="G23" s="70"/>
      <c r="H23" s="54"/>
      <c r="I23" s="65"/>
      <c r="J23" s="65"/>
      <c r="K23" s="65"/>
      <c r="L23" s="59"/>
      <c r="M23" s="59"/>
    </row>
    <row r="24" spans="2:13" x14ac:dyDescent="0.2">
      <c r="B24" s="59"/>
      <c r="C24" s="54"/>
      <c r="D24" s="106">
        <v>0.54166666666666696</v>
      </c>
      <c r="E24" s="42">
        <v>1</v>
      </c>
      <c r="F24" s="42"/>
      <c r="G24" s="70"/>
      <c r="H24" s="54"/>
      <c r="I24" s="65"/>
      <c r="J24" s="65"/>
      <c r="K24" s="65"/>
      <c r="L24" s="59"/>
      <c r="M24" s="59"/>
    </row>
    <row r="25" spans="2:13" x14ac:dyDescent="0.2">
      <c r="B25" s="59"/>
      <c r="C25" s="54"/>
      <c r="D25" s="106">
        <v>0.58333333333333304</v>
      </c>
      <c r="E25" s="42">
        <v>1</v>
      </c>
      <c r="F25" s="115"/>
      <c r="G25" s="70"/>
      <c r="H25" s="54"/>
      <c r="I25" s="65"/>
      <c r="J25" s="65"/>
      <c r="K25" s="65"/>
      <c r="L25" s="59"/>
      <c r="M25" s="59"/>
    </row>
    <row r="26" spans="2:13" x14ac:dyDescent="0.2">
      <c r="B26" s="59"/>
      <c r="C26" s="54"/>
      <c r="D26" s="106">
        <v>0.625</v>
      </c>
      <c r="E26" s="42">
        <v>1</v>
      </c>
      <c r="F26" s="42"/>
      <c r="G26" s="70"/>
      <c r="H26" s="54"/>
      <c r="I26" s="65"/>
      <c r="J26" s="65"/>
      <c r="K26" s="65"/>
      <c r="L26" s="59"/>
      <c r="M26" s="59"/>
    </row>
    <row r="27" spans="2:13" x14ac:dyDescent="0.2">
      <c r="B27" s="59"/>
      <c r="C27" s="54"/>
      <c r="D27" s="106">
        <v>0.66666666666666663</v>
      </c>
      <c r="E27" s="42">
        <v>1</v>
      </c>
      <c r="F27" s="42" t="s">
        <v>80</v>
      </c>
      <c r="G27" s="70"/>
      <c r="H27" s="54"/>
      <c r="I27" s="65"/>
      <c r="J27" s="65"/>
      <c r="K27" s="65"/>
      <c r="L27" s="59"/>
      <c r="M27" s="59"/>
    </row>
    <row r="28" spans="2:13" x14ac:dyDescent="0.2">
      <c r="B28" s="59"/>
      <c r="C28" s="54"/>
      <c r="D28" s="106">
        <v>0.70833333333333304</v>
      </c>
      <c r="E28" s="42">
        <v>1</v>
      </c>
      <c r="F28" s="42" t="s">
        <v>81</v>
      </c>
      <c r="G28" s="70"/>
      <c r="H28" s="54"/>
      <c r="I28" s="65"/>
      <c r="J28" s="65"/>
      <c r="K28" s="65"/>
      <c r="L28" s="59"/>
      <c r="M28" s="59"/>
    </row>
    <row r="29" spans="2:13" x14ac:dyDescent="0.2">
      <c r="B29" s="59"/>
      <c r="C29" s="54"/>
      <c r="D29" s="106">
        <v>0.75</v>
      </c>
      <c r="E29" s="42">
        <v>1</v>
      </c>
      <c r="F29" s="42" t="s">
        <v>83</v>
      </c>
      <c r="G29" s="70"/>
      <c r="H29" s="54"/>
      <c r="I29" s="65"/>
      <c r="J29" s="65"/>
      <c r="K29" s="65"/>
      <c r="L29" s="59"/>
      <c r="M29" s="59"/>
    </row>
    <row r="30" spans="2:13" x14ac:dyDescent="0.2">
      <c r="B30" s="59"/>
      <c r="C30" s="54"/>
      <c r="D30" s="106">
        <v>0.79166666666666696</v>
      </c>
      <c r="E30" s="42">
        <v>1</v>
      </c>
      <c r="F30" s="42" t="s">
        <v>82</v>
      </c>
      <c r="G30" s="70"/>
      <c r="H30" s="54"/>
      <c r="I30" s="65"/>
      <c r="J30" s="65"/>
      <c r="K30" s="65"/>
      <c r="L30" s="59"/>
      <c r="M30" s="59"/>
    </row>
    <row r="31" spans="2:13" x14ac:dyDescent="0.2">
      <c r="B31" s="59"/>
      <c r="C31" s="54"/>
      <c r="D31" s="106">
        <v>0.83333333333333304</v>
      </c>
      <c r="E31" s="42">
        <v>1</v>
      </c>
      <c r="F31" s="42" t="s">
        <v>78</v>
      </c>
      <c r="G31" s="70"/>
      <c r="H31" s="54"/>
      <c r="I31" s="65"/>
      <c r="J31" s="65"/>
      <c r="K31" s="65"/>
      <c r="L31" s="59"/>
      <c r="M31" s="59"/>
    </row>
    <row r="32" spans="2:13" x14ac:dyDescent="0.2">
      <c r="B32" s="59"/>
      <c r="C32" s="54"/>
      <c r="D32" s="106">
        <v>0.875</v>
      </c>
      <c r="E32" s="42">
        <v>1</v>
      </c>
      <c r="F32" s="42" t="s">
        <v>83</v>
      </c>
      <c r="G32" s="70"/>
      <c r="H32" s="54"/>
      <c r="I32" s="65"/>
      <c r="J32" s="65"/>
      <c r="K32" s="65"/>
      <c r="L32" s="59"/>
      <c r="M32" s="59"/>
    </row>
    <row r="33" spans="2:13" x14ac:dyDescent="0.2">
      <c r="B33" s="59"/>
      <c r="C33" s="54"/>
      <c r="D33" s="106">
        <v>0.91666666666666696</v>
      </c>
      <c r="E33" s="42"/>
      <c r="F33" s="42"/>
      <c r="G33" s="70"/>
      <c r="H33" s="54"/>
      <c r="I33" s="65"/>
      <c r="J33" s="65"/>
      <c r="K33" s="65"/>
      <c r="L33" s="59"/>
      <c r="M33" s="59"/>
    </row>
    <row r="34" spans="2:13" x14ac:dyDescent="0.2">
      <c r="B34" s="59"/>
      <c r="C34" s="54"/>
      <c r="D34" s="107">
        <v>0.95833333333333304</v>
      </c>
      <c r="E34" s="71"/>
      <c r="F34" s="71"/>
      <c r="G34" s="72"/>
      <c r="H34" s="54"/>
      <c r="I34" s="65"/>
      <c r="J34" s="65"/>
      <c r="K34" s="65"/>
      <c r="L34" s="59"/>
      <c r="M34" s="59"/>
    </row>
    <row r="35" spans="2:13" x14ac:dyDescent="0.2">
      <c r="B35" s="59"/>
      <c r="C35" s="54"/>
      <c r="D35" s="58"/>
      <c r="E35" s="55"/>
      <c r="F35" s="56"/>
      <c r="G35" s="55"/>
      <c r="H35" s="54"/>
      <c r="I35" s="65"/>
      <c r="J35" s="65"/>
      <c r="K35" s="65"/>
      <c r="L35" s="59"/>
      <c r="M35" s="59"/>
    </row>
    <row r="36" spans="2:13" x14ac:dyDescent="0.2">
      <c r="B36" s="59"/>
      <c r="C36" s="54"/>
      <c r="D36" s="67" t="s">
        <v>22</v>
      </c>
      <c r="E36" s="63">
        <f>SUM(E11:E34)</f>
        <v>15</v>
      </c>
      <c r="F36" s="66" t="s">
        <v>21</v>
      </c>
      <c r="G36" s="64" t="e">
        <f>AVERAGE(G11:G35)</f>
        <v>#DIV/0!</v>
      </c>
      <c r="H36" s="54"/>
      <c r="I36" s="65"/>
      <c r="J36" s="65"/>
      <c r="K36" s="65"/>
      <c r="L36" s="59"/>
      <c r="M36" s="59"/>
    </row>
    <row r="37" spans="2:13" x14ac:dyDescent="0.2">
      <c r="B37" s="59"/>
      <c r="C37" s="54"/>
      <c r="D37" s="55"/>
      <c r="E37" s="55"/>
      <c r="F37" s="54"/>
      <c r="G37" s="55"/>
      <c r="H37" s="54"/>
      <c r="I37" s="65"/>
      <c r="J37" s="65"/>
      <c r="K37" s="65"/>
      <c r="L37" s="59"/>
      <c r="M37" s="59"/>
    </row>
    <row r="38" spans="2:13" x14ac:dyDescent="0.2">
      <c r="B38" s="65"/>
      <c r="C38" s="93"/>
      <c r="D38" s="93"/>
      <c r="E38" s="93"/>
      <c r="F38" s="93"/>
      <c r="G38" s="93"/>
      <c r="H38" s="93"/>
      <c r="I38" s="93"/>
      <c r="J38" s="65"/>
      <c r="K38" s="65"/>
      <c r="L38" s="59"/>
      <c r="M38" s="59"/>
    </row>
    <row r="39" spans="2:13" x14ac:dyDescent="0.2">
      <c r="B39" s="65"/>
      <c r="C39" s="65"/>
      <c r="D39" s="65"/>
      <c r="E39" s="65"/>
      <c r="F39" s="65"/>
      <c r="G39" s="65"/>
      <c r="H39" s="65"/>
      <c r="I39" s="65"/>
      <c r="J39" s="65"/>
      <c r="K39" s="65"/>
      <c r="L39" s="59"/>
      <c r="M39" s="59"/>
    </row>
    <row r="40" spans="2:13" x14ac:dyDescent="0.2">
      <c r="B40" s="65"/>
      <c r="C40" s="65"/>
      <c r="D40" s="65"/>
      <c r="E40" s="65"/>
      <c r="F40" s="65"/>
      <c r="G40" s="65"/>
      <c r="H40" s="65"/>
      <c r="I40" s="65"/>
      <c r="J40" s="65"/>
      <c r="K40" s="65"/>
      <c r="L40" s="59"/>
      <c r="M40" s="59"/>
    </row>
    <row r="41" spans="2:13" x14ac:dyDescent="0.2">
      <c r="B41" s="59"/>
      <c r="C41" s="59"/>
      <c r="D41" s="59"/>
      <c r="E41" s="59"/>
      <c r="F41" s="59"/>
      <c r="G41" s="59"/>
      <c r="H41" s="59"/>
      <c r="I41" s="59"/>
      <c r="J41" s="59"/>
      <c r="K41" s="59"/>
      <c r="L41" s="59"/>
      <c r="M41" s="59"/>
    </row>
    <row r="42" spans="2:13" x14ac:dyDescent="0.2">
      <c r="B42" s="59"/>
      <c r="C42" s="59"/>
      <c r="D42" s="59"/>
      <c r="E42" s="59"/>
      <c r="F42" s="59"/>
      <c r="G42" s="59"/>
      <c r="H42" s="59"/>
      <c r="I42" s="59"/>
      <c r="J42" s="59"/>
      <c r="K42" s="59"/>
      <c r="L42" s="59"/>
      <c r="M42" s="59"/>
    </row>
    <row r="43" spans="2:13" x14ac:dyDescent="0.2">
      <c r="B43" s="59"/>
      <c r="C43" s="59"/>
      <c r="D43" s="59"/>
      <c r="E43" s="59"/>
      <c r="F43" s="59"/>
      <c r="G43" s="59"/>
      <c r="H43" s="59"/>
      <c r="I43" s="59"/>
      <c r="J43" s="59"/>
      <c r="K43" s="59"/>
      <c r="L43" s="59"/>
      <c r="M43" s="59"/>
    </row>
    <row r="44" spans="2:13" x14ac:dyDescent="0.2">
      <c r="B44" s="59"/>
      <c r="C44" s="59"/>
      <c r="D44" s="59"/>
      <c r="E44" s="59"/>
      <c r="F44" s="59"/>
      <c r="G44" s="59"/>
      <c r="H44" s="59"/>
      <c r="I44" s="59"/>
      <c r="J44" s="59"/>
      <c r="K44" s="59"/>
      <c r="L44" s="59"/>
      <c r="M44" s="59"/>
    </row>
    <row r="45" spans="2:13" x14ac:dyDescent="0.2">
      <c r="B45" s="59"/>
      <c r="C45" s="59"/>
      <c r="D45" s="59"/>
      <c r="E45" s="59"/>
      <c r="F45" s="59"/>
      <c r="G45" s="59"/>
      <c r="H45" s="59"/>
      <c r="I45" s="59"/>
      <c r="J45" s="59"/>
      <c r="K45" s="59"/>
      <c r="L45" s="59"/>
      <c r="M45" s="59"/>
    </row>
    <row r="46" spans="2:13" x14ac:dyDescent="0.2">
      <c r="B46" s="59"/>
      <c r="C46" s="59"/>
      <c r="D46" s="59"/>
      <c r="E46" s="59"/>
      <c r="F46" s="59"/>
      <c r="G46" s="59"/>
      <c r="H46" s="59"/>
      <c r="I46" s="59"/>
      <c r="J46" s="59"/>
      <c r="K46" s="59"/>
      <c r="L46" s="59"/>
      <c r="M46" s="59"/>
    </row>
    <row r="47" spans="2:13" x14ac:dyDescent="0.2">
      <c r="B47" s="59"/>
      <c r="C47" s="59"/>
      <c r="D47" s="59"/>
      <c r="E47" s="59"/>
      <c r="F47" s="59"/>
      <c r="G47" s="59"/>
      <c r="H47" s="59"/>
      <c r="I47" s="59"/>
      <c r="J47" s="59"/>
      <c r="K47" s="59"/>
      <c r="L47" s="59"/>
      <c r="M47" s="59"/>
    </row>
    <row r="48" spans="2:13" x14ac:dyDescent="0.2">
      <c r="B48" s="59"/>
      <c r="C48" s="59"/>
      <c r="D48" s="59"/>
      <c r="E48" s="59"/>
      <c r="F48" s="59"/>
      <c r="G48" s="59"/>
      <c r="H48" s="59"/>
      <c r="I48" s="59"/>
      <c r="J48" s="59"/>
      <c r="K48" s="59"/>
      <c r="L48" s="59"/>
      <c r="M48" s="59"/>
    </row>
    <row r="49" spans="2:13" x14ac:dyDescent="0.2">
      <c r="B49" s="59"/>
      <c r="C49" s="59"/>
      <c r="D49" s="59"/>
      <c r="E49" s="59"/>
      <c r="F49" s="59"/>
      <c r="G49" s="59"/>
      <c r="H49" s="59"/>
      <c r="I49" s="59"/>
      <c r="J49" s="59"/>
      <c r="K49" s="59"/>
      <c r="L49" s="59"/>
      <c r="M49" s="59"/>
    </row>
    <row r="50" spans="2:13" x14ac:dyDescent="0.2">
      <c r="B50" s="59"/>
      <c r="C50" s="59"/>
      <c r="D50" s="59"/>
      <c r="E50" s="59"/>
      <c r="F50" s="59"/>
      <c r="G50" s="59"/>
      <c r="H50" s="59"/>
      <c r="I50" s="59"/>
      <c r="J50" s="59"/>
      <c r="K50" s="59"/>
      <c r="L50" s="59"/>
      <c r="M50" s="59"/>
    </row>
    <row r="51" spans="2:13" x14ac:dyDescent="0.2">
      <c r="B51" s="59"/>
      <c r="C51" s="59"/>
      <c r="D51" s="59"/>
      <c r="E51" s="59"/>
      <c r="F51" s="59"/>
      <c r="G51" s="59"/>
      <c r="H51" s="59"/>
      <c r="I51" s="59"/>
      <c r="J51" s="59"/>
      <c r="K51" s="59"/>
      <c r="L51" s="59"/>
      <c r="M51" s="59"/>
    </row>
    <row r="52" spans="2:13" x14ac:dyDescent="0.2">
      <c r="B52" s="59"/>
      <c r="C52" s="59"/>
      <c r="D52" s="59"/>
      <c r="E52" s="59"/>
      <c r="F52" s="59"/>
      <c r="G52" s="59"/>
      <c r="H52" s="59"/>
      <c r="I52" s="59"/>
      <c r="J52" s="59"/>
      <c r="K52" s="59"/>
      <c r="L52" s="59"/>
      <c r="M52" s="59"/>
    </row>
    <row r="53" spans="2:13" x14ac:dyDescent="0.2">
      <c r="B53" s="59"/>
      <c r="C53" s="59"/>
      <c r="D53" s="59"/>
      <c r="E53" s="59"/>
      <c r="F53" s="59"/>
      <c r="G53" s="59"/>
      <c r="H53" s="59"/>
      <c r="I53" s="59"/>
      <c r="J53" s="59"/>
      <c r="K53" s="59"/>
      <c r="L53" s="59"/>
      <c r="M53" s="59"/>
    </row>
    <row r="54" spans="2:13" x14ac:dyDescent="0.2">
      <c r="B54" s="59"/>
      <c r="C54" s="59"/>
      <c r="D54" s="59"/>
      <c r="E54" s="59"/>
      <c r="F54" s="59"/>
      <c r="G54" s="59"/>
      <c r="H54" s="59"/>
      <c r="I54" s="59"/>
      <c r="J54" s="59"/>
      <c r="K54" s="59"/>
      <c r="L54" s="59"/>
      <c r="M54" s="59"/>
    </row>
    <row r="55" spans="2:13" x14ac:dyDescent="0.2">
      <c r="B55" s="59"/>
      <c r="C55" s="59"/>
      <c r="D55" s="59"/>
      <c r="E55" s="59"/>
      <c r="F55" s="59"/>
      <c r="G55" s="59"/>
      <c r="H55" s="59"/>
      <c r="I55" s="59"/>
      <c r="J55" s="59"/>
      <c r="K55" s="59"/>
      <c r="L55" s="59"/>
      <c r="M55" s="59"/>
    </row>
    <row r="56" spans="2:13" x14ac:dyDescent="0.2">
      <c r="B56" s="59"/>
      <c r="C56" s="59"/>
      <c r="D56" s="59"/>
      <c r="E56" s="59"/>
      <c r="F56" s="59"/>
      <c r="G56" s="59"/>
      <c r="H56" s="59"/>
      <c r="I56" s="59"/>
      <c r="J56" s="59"/>
      <c r="K56" s="59"/>
      <c r="L56" s="59"/>
      <c r="M56" s="59"/>
    </row>
    <row r="57" spans="2:13" x14ac:dyDescent="0.2">
      <c r="B57" s="59"/>
      <c r="C57" s="59"/>
      <c r="D57" s="59"/>
      <c r="E57" s="59"/>
      <c r="F57" s="59"/>
      <c r="G57" s="59"/>
      <c r="H57" s="59"/>
      <c r="I57" s="59"/>
      <c r="J57" s="59"/>
      <c r="K57" s="59"/>
      <c r="L57" s="59"/>
      <c r="M57" s="59"/>
    </row>
    <row r="58" spans="2:13" x14ac:dyDescent="0.2">
      <c r="B58" s="59"/>
      <c r="C58" s="59"/>
      <c r="D58" s="59"/>
      <c r="E58" s="59"/>
      <c r="F58" s="59"/>
      <c r="G58" s="59"/>
      <c r="H58" s="59"/>
      <c r="I58" s="59"/>
      <c r="J58" s="59"/>
      <c r="K58" s="59"/>
      <c r="L58" s="59"/>
      <c r="M58" s="59"/>
    </row>
    <row r="59" spans="2:13" x14ac:dyDescent="0.2">
      <c r="B59" s="59"/>
      <c r="C59" s="59"/>
      <c r="D59" s="59"/>
      <c r="E59" s="59"/>
      <c r="F59" s="59"/>
      <c r="G59" s="59"/>
      <c r="H59" s="59"/>
      <c r="I59" s="59"/>
      <c r="J59" s="59"/>
      <c r="K59" s="59"/>
      <c r="L59" s="59"/>
      <c r="M59" s="59"/>
    </row>
    <row r="60" spans="2:13" x14ac:dyDescent="0.2">
      <c r="B60" s="59"/>
      <c r="C60" s="59"/>
      <c r="D60" s="59"/>
      <c r="E60" s="59"/>
      <c r="F60" s="59"/>
      <c r="G60" s="59"/>
      <c r="H60" s="59"/>
      <c r="I60" s="59"/>
      <c r="J60" s="59"/>
      <c r="K60" s="59"/>
      <c r="L60" s="59"/>
      <c r="M60" s="59"/>
    </row>
    <row r="61" spans="2:13" x14ac:dyDescent="0.2">
      <c r="B61" s="59"/>
      <c r="C61" s="59"/>
      <c r="D61" s="59"/>
      <c r="E61" s="59"/>
      <c r="F61" s="59"/>
      <c r="G61" s="59"/>
      <c r="H61" s="59"/>
      <c r="I61" s="59"/>
      <c r="J61" s="59"/>
      <c r="K61" s="59"/>
      <c r="L61" s="59"/>
      <c r="M61" s="59"/>
    </row>
    <row r="62" spans="2:13" x14ac:dyDescent="0.2">
      <c r="B62" s="59"/>
      <c r="C62" s="59"/>
      <c r="D62" s="59"/>
      <c r="E62" s="59"/>
      <c r="F62" s="59"/>
      <c r="G62" s="59"/>
      <c r="H62" s="59"/>
      <c r="I62" s="59"/>
      <c r="J62" s="59"/>
      <c r="K62" s="59"/>
      <c r="L62" s="59"/>
      <c r="M62" s="59"/>
    </row>
    <row r="63" spans="2:13" x14ac:dyDescent="0.2">
      <c r="B63" s="59"/>
      <c r="C63" s="59"/>
      <c r="D63" s="59"/>
      <c r="E63" s="59"/>
      <c r="F63" s="59"/>
      <c r="G63" s="59"/>
      <c r="H63" s="59"/>
      <c r="I63" s="59"/>
      <c r="J63" s="59"/>
      <c r="K63" s="59"/>
      <c r="L63" s="59"/>
      <c r="M63" s="59"/>
    </row>
    <row r="64" spans="2:13" x14ac:dyDescent="0.2">
      <c r="B64" s="59"/>
      <c r="C64" s="59"/>
      <c r="D64" s="59"/>
      <c r="E64" s="59"/>
      <c r="F64" s="59"/>
      <c r="G64" s="59"/>
      <c r="H64" s="59"/>
      <c r="I64" s="59"/>
      <c r="J64" s="59"/>
      <c r="K64" s="59"/>
      <c r="L64" s="59"/>
      <c r="M64" s="59"/>
    </row>
    <row r="65" spans="2:13" x14ac:dyDescent="0.2">
      <c r="B65" s="59"/>
      <c r="C65" s="59"/>
      <c r="D65" s="59"/>
      <c r="E65" s="59"/>
      <c r="F65" s="59"/>
      <c r="G65" s="59"/>
      <c r="H65" s="59"/>
      <c r="I65" s="59"/>
      <c r="J65" s="59"/>
      <c r="K65" s="59"/>
      <c r="L65" s="59"/>
      <c r="M65" s="59"/>
    </row>
    <row r="66" spans="2:13" x14ac:dyDescent="0.2">
      <c r="B66" s="59"/>
      <c r="C66" s="59"/>
      <c r="D66" s="59"/>
      <c r="E66" s="59"/>
      <c r="F66" s="59"/>
      <c r="G66" s="59"/>
      <c r="H66" s="59"/>
      <c r="I66" s="59"/>
      <c r="J66" s="59"/>
      <c r="K66" s="59"/>
      <c r="L66" s="59"/>
      <c r="M66" s="59"/>
    </row>
    <row r="67" spans="2:13" x14ac:dyDescent="0.2">
      <c r="B67" s="59"/>
      <c r="C67" s="59"/>
      <c r="D67" s="59"/>
      <c r="E67" s="59"/>
      <c r="F67" s="59"/>
      <c r="G67" s="59"/>
      <c r="H67" s="59"/>
      <c r="I67" s="59"/>
      <c r="J67" s="59"/>
      <c r="K67" s="59"/>
      <c r="L67" s="59"/>
      <c r="M67" s="59"/>
    </row>
    <row r="68" spans="2:13" x14ac:dyDescent="0.2">
      <c r="B68" s="59"/>
      <c r="C68" s="59"/>
      <c r="D68" s="59"/>
      <c r="E68" s="59"/>
      <c r="F68" s="59"/>
      <c r="G68" s="59"/>
      <c r="H68" s="59"/>
      <c r="I68" s="59"/>
      <c r="J68" s="59"/>
      <c r="K68" s="59"/>
      <c r="L68" s="59"/>
      <c r="M68" s="59"/>
    </row>
    <row r="69" spans="2:13" x14ac:dyDescent="0.2">
      <c r="B69" s="59"/>
      <c r="C69" s="59"/>
      <c r="D69" s="59"/>
      <c r="E69" s="59"/>
      <c r="F69" s="59"/>
      <c r="G69" s="59"/>
      <c r="H69" s="59"/>
      <c r="I69" s="59"/>
      <c r="J69" s="59"/>
      <c r="K69" s="59"/>
      <c r="L69" s="59"/>
      <c r="M69" s="59"/>
    </row>
    <row r="70" spans="2:13" x14ac:dyDescent="0.2">
      <c r="B70" s="59"/>
      <c r="C70" s="59"/>
      <c r="D70" s="59"/>
      <c r="E70" s="59"/>
      <c r="F70" s="59"/>
      <c r="G70" s="59"/>
      <c r="H70" s="59"/>
      <c r="I70" s="59"/>
      <c r="J70" s="59"/>
      <c r="K70" s="59"/>
      <c r="L70" s="59"/>
      <c r="M70" s="59"/>
    </row>
    <row r="71" spans="2:13" x14ac:dyDescent="0.2">
      <c r="B71" s="59"/>
      <c r="C71" s="59"/>
      <c r="D71" s="59"/>
      <c r="E71" s="59"/>
      <c r="F71" s="59"/>
      <c r="G71" s="59"/>
      <c r="H71" s="59"/>
      <c r="I71" s="59"/>
      <c r="J71" s="59"/>
      <c r="K71" s="59"/>
      <c r="L71" s="59"/>
      <c r="M71" s="59"/>
    </row>
    <row r="72" spans="2:13" x14ac:dyDescent="0.2">
      <c r="B72" s="59"/>
      <c r="C72" s="59"/>
      <c r="D72" s="59"/>
      <c r="E72" s="59"/>
      <c r="F72" s="59"/>
      <c r="G72" s="59"/>
      <c r="H72" s="59"/>
      <c r="I72" s="59"/>
      <c r="J72" s="59"/>
      <c r="K72" s="59"/>
      <c r="L72" s="59"/>
      <c r="M72" s="59"/>
    </row>
    <row r="73" spans="2:13" x14ac:dyDescent="0.2">
      <c r="B73" s="59"/>
      <c r="C73" s="59"/>
      <c r="D73" s="59"/>
      <c r="E73" s="59"/>
      <c r="F73" s="59"/>
      <c r="G73" s="59"/>
      <c r="H73" s="59"/>
      <c r="I73" s="59"/>
      <c r="J73" s="59"/>
      <c r="K73" s="59"/>
      <c r="L73" s="59"/>
      <c r="M73" s="59"/>
    </row>
    <row r="74" spans="2:13" x14ac:dyDescent="0.2">
      <c r="B74" s="59"/>
      <c r="C74" s="59"/>
      <c r="D74" s="59"/>
      <c r="E74" s="59"/>
      <c r="F74" s="59"/>
      <c r="G74" s="59"/>
      <c r="H74" s="59"/>
      <c r="I74" s="59"/>
      <c r="J74" s="59"/>
      <c r="K74" s="59"/>
      <c r="L74" s="59"/>
      <c r="M74" s="59"/>
    </row>
    <row r="75" spans="2:13" x14ac:dyDescent="0.2">
      <c r="B75" s="59"/>
      <c r="C75" s="59"/>
      <c r="D75" s="59"/>
      <c r="E75" s="59"/>
      <c r="F75" s="59"/>
      <c r="G75" s="59"/>
      <c r="H75" s="59"/>
      <c r="I75" s="59"/>
      <c r="J75" s="59"/>
      <c r="K75" s="59"/>
      <c r="L75" s="59"/>
      <c r="M75" s="59"/>
    </row>
    <row r="76" spans="2:13" x14ac:dyDescent="0.2">
      <c r="B76" s="59"/>
      <c r="C76" s="59"/>
      <c r="D76" s="59"/>
      <c r="E76" s="59"/>
      <c r="F76" s="59"/>
      <c r="G76" s="59"/>
      <c r="H76" s="59"/>
      <c r="I76" s="59"/>
      <c r="J76" s="59"/>
      <c r="K76" s="59"/>
      <c r="L76" s="59"/>
      <c r="M76" s="59"/>
    </row>
    <row r="77" spans="2:13" x14ac:dyDescent="0.2">
      <c r="B77" s="59"/>
      <c r="C77" s="59"/>
      <c r="D77" s="59"/>
      <c r="E77" s="59"/>
      <c r="F77" s="59"/>
      <c r="G77" s="59"/>
      <c r="H77" s="59"/>
      <c r="I77" s="59"/>
      <c r="J77" s="59"/>
      <c r="K77" s="59"/>
      <c r="L77" s="59"/>
      <c r="M77" s="59"/>
    </row>
    <row r="78" spans="2:13" x14ac:dyDescent="0.2">
      <c r="B78" s="59"/>
      <c r="C78" s="59"/>
      <c r="D78" s="59"/>
      <c r="E78" s="59"/>
      <c r="F78" s="59"/>
      <c r="G78" s="59"/>
      <c r="H78" s="59"/>
      <c r="I78" s="59"/>
      <c r="J78" s="59"/>
      <c r="K78" s="59"/>
      <c r="L78" s="59"/>
      <c r="M78" s="59"/>
    </row>
    <row r="79" spans="2:13" x14ac:dyDescent="0.2">
      <c r="B79" s="59"/>
      <c r="C79" s="59"/>
      <c r="D79" s="59"/>
      <c r="E79" s="59"/>
      <c r="F79" s="59"/>
      <c r="G79" s="59"/>
      <c r="H79" s="59"/>
      <c r="I79" s="59"/>
      <c r="J79" s="59"/>
      <c r="K79" s="59"/>
      <c r="L79" s="59"/>
      <c r="M79" s="59"/>
    </row>
    <row r="80" spans="2:13" x14ac:dyDescent="0.2">
      <c r="B80" s="59"/>
      <c r="C80" s="59"/>
      <c r="D80" s="59"/>
      <c r="E80" s="59"/>
      <c r="F80" s="59"/>
      <c r="G80" s="59"/>
      <c r="H80" s="59"/>
      <c r="I80" s="59"/>
      <c r="J80" s="59"/>
      <c r="K80" s="59"/>
      <c r="L80" s="59"/>
      <c r="M80" s="59"/>
    </row>
    <row r="81" spans="2:13" x14ac:dyDescent="0.2">
      <c r="B81" s="59"/>
      <c r="C81" s="59"/>
      <c r="D81" s="59"/>
      <c r="E81" s="59"/>
      <c r="F81" s="59"/>
      <c r="G81" s="59"/>
      <c r="H81" s="59"/>
      <c r="I81" s="59"/>
      <c r="J81" s="59"/>
      <c r="K81" s="59"/>
      <c r="L81" s="59"/>
      <c r="M81" s="59"/>
    </row>
    <row r="82" spans="2:13" x14ac:dyDescent="0.2">
      <c r="B82" s="59"/>
      <c r="C82" s="59"/>
      <c r="D82" s="59"/>
      <c r="E82" s="59"/>
      <c r="F82" s="59"/>
      <c r="G82" s="59"/>
      <c r="H82" s="59"/>
      <c r="I82" s="59"/>
      <c r="J82" s="59"/>
      <c r="K82" s="59"/>
      <c r="L82" s="59"/>
      <c r="M82" s="59"/>
    </row>
    <row r="83" spans="2:13" x14ac:dyDescent="0.2">
      <c r="B83" s="59"/>
      <c r="C83" s="59"/>
      <c r="D83" s="59"/>
      <c r="E83" s="59"/>
      <c r="F83" s="59"/>
      <c r="G83" s="59"/>
      <c r="H83" s="59"/>
      <c r="I83" s="59"/>
      <c r="J83" s="59"/>
      <c r="K83" s="59"/>
      <c r="L83" s="59"/>
      <c r="M83" s="59"/>
    </row>
    <row r="84" spans="2:13" x14ac:dyDescent="0.2">
      <c r="B84" s="59"/>
      <c r="C84" s="59"/>
      <c r="D84" s="59"/>
      <c r="E84" s="59"/>
      <c r="F84" s="59"/>
      <c r="G84" s="59"/>
      <c r="H84" s="59"/>
      <c r="I84" s="59"/>
      <c r="J84" s="59"/>
      <c r="K84" s="59"/>
      <c r="L84" s="59"/>
      <c r="M84" s="59"/>
    </row>
    <row r="85" spans="2:13" x14ac:dyDescent="0.2">
      <c r="B85" s="59"/>
      <c r="C85" s="59"/>
      <c r="D85" s="59"/>
      <c r="E85" s="59"/>
      <c r="F85" s="59"/>
      <c r="G85" s="59"/>
      <c r="H85" s="59"/>
      <c r="I85" s="59"/>
      <c r="J85" s="59"/>
      <c r="K85" s="59"/>
      <c r="L85" s="59"/>
      <c r="M85" s="59"/>
    </row>
    <row r="86" spans="2:13" x14ac:dyDescent="0.2">
      <c r="B86" s="59"/>
      <c r="C86" s="59"/>
      <c r="D86" s="59"/>
      <c r="E86" s="59"/>
      <c r="F86" s="59"/>
      <c r="G86" s="59"/>
      <c r="H86" s="59"/>
      <c r="I86" s="59"/>
      <c r="J86" s="59"/>
      <c r="K86" s="59"/>
      <c r="L86" s="59"/>
      <c r="M86" s="59"/>
    </row>
    <row r="87" spans="2:13" x14ac:dyDescent="0.2">
      <c r="B87" s="59"/>
      <c r="C87" s="59"/>
      <c r="D87" s="59"/>
      <c r="E87" s="59"/>
      <c r="F87" s="59"/>
      <c r="G87" s="59"/>
      <c r="H87" s="59"/>
      <c r="I87" s="59"/>
      <c r="J87" s="59"/>
      <c r="K87" s="59"/>
      <c r="L87" s="59"/>
      <c r="M87" s="59"/>
    </row>
    <row r="88" spans="2:13" x14ac:dyDescent="0.2">
      <c r="B88" s="59"/>
      <c r="C88" s="59"/>
      <c r="D88" s="59"/>
      <c r="E88" s="59"/>
      <c r="F88" s="59"/>
      <c r="G88" s="59"/>
      <c r="H88" s="59"/>
      <c r="I88" s="59"/>
      <c r="J88" s="59"/>
      <c r="K88" s="59"/>
      <c r="L88" s="59"/>
      <c r="M88" s="59"/>
    </row>
    <row r="89" spans="2:13" x14ac:dyDescent="0.2">
      <c r="B89" s="59"/>
      <c r="C89" s="59"/>
      <c r="D89" s="59"/>
      <c r="E89" s="59"/>
      <c r="F89" s="59"/>
      <c r="G89" s="59"/>
      <c r="H89" s="59"/>
      <c r="I89" s="59"/>
      <c r="J89" s="59"/>
      <c r="K89" s="59"/>
      <c r="L89" s="59"/>
      <c r="M89" s="59"/>
    </row>
    <row r="90" spans="2:13" x14ac:dyDescent="0.2">
      <c r="B90" s="59"/>
      <c r="C90" s="59"/>
      <c r="D90" s="59"/>
      <c r="E90" s="59"/>
      <c r="F90" s="59"/>
      <c r="G90" s="59"/>
      <c r="H90" s="59"/>
      <c r="I90" s="59"/>
      <c r="J90" s="59"/>
      <c r="K90" s="59"/>
      <c r="L90" s="59"/>
      <c r="M90" s="59"/>
    </row>
    <row r="91" spans="2:13" x14ac:dyDescent="0.2">
      <c r="B91" s="59"/>
      <c r="C91" s="59"/>
      <c r="D91" s="59"/>
      <c r="E91" s="59"/>
      <c r="F91" s="59"/>
      <c r="G91" s="59"/>
      <c r="H91" s="59"/>
      <c r="I91" s="59"/>
      <c r="J91" s="59"/>
      <c r="K91" s="59"/>
      <c r="L91" s="59"/>
      <c r="M91" s="59"/>
    </row>
    <row r="92" spans="2:13" x14ac:dyDescent="0.2">
      <c r="B92" s="59"/>
      <c r="C92" s="59"/>
      <c r="D92" s="59"/>
      <c r="E92" s="59"/>
      <c r="F92" s="59"/>
      <c r="G92" s="59"/>
      <c r="H92" s="59"/>
      <c r="I92" s="59"/>
      <c r="J92" s="59"/>
      <c r="K92" s="59"/>
      <c r="L92" s="59"/>
      <c r="M92" s="59"/>
    </row>
    <row r="93" spans="2:13" x14ac:dyDescent="0.2">
      <c r="B93" s="59"/>
      <c r="C93" s="59"/>
      <c r="D93" s="59"/>
      <c r="E93" s="59"/>
      <c r="F93" s="59"/>
      <c r="G93" s="59"/>
      <c r="H93" s="59"/>
      <c r="I93" s="59"/>
      <c r="J93" s="59"/>
      <c r="K93" s="59"/>
      <c r="L93" s="59"/>
      <c r="M93" s="59"/>
    </row>
    <row r="94" spans="2:13" x14ac:dyDescent="0.2">
      <c r="B94" s="59"/>
      <c r="C94" s="59"/>
      <c r="D94" s="59"/>
      <c r="E94" s="59"/>
      <c r="F94" s="59"/>
      <c r="G94" s="59"/>
      <c r="H94" s="59"/>
      <c r="I94" s="59"/>
      <c r="J94" s="59"/>
      <c r="K94" s="59"/>
      <c r="L94" s="59"/>
      <c r="M94" s="59"/>
    </row>
    <row r="95" spans="2:13" x14ac:dyDescent="0.2">
      <c r="B95" s="59"/>
      <c r="C95" s="59"/>
      <c r="D95" s="59"/>
      <c r="E95" s="59"/>
      <c r="F95" s="59"/>
      <c r="G95" s="59"/>
      <c r="H95" s="59"/>
      <c r="I95" s="59"/>
      <c r="J95" s="59"/>
      <c r="K95" s="59"/>
      <c r="L95" s="59"/>
      <c r="M95" s="59"/>
    </row>
    <row r="96" spans="2:13" x14ac:dyDescent="0.2">
      <c r="B96" s="59"/>
      <c r="C96" s="59"/>
      <c r="D96" s="59"/>
      <c r="E96" s="59"/>
      <c r="F96" s="59"/>
      <c r="G96" s="59"/>
      <c r="H96" s="59"/>
      <c r="I96" s="59"/>
      <c r="J96" s="59"/>
      <c r="K96" s="59"/>
      <c r="L96" s="59"/>
      <c r="M96" s="59"/>
    </row>
    <row r="97" spans="8:13" x14ac:dyDescent="0.2">
      <c r="H97" s="61"/>
      <c r="I97" s="61"/>
      <c r="J97" s="61"/>
      <c r="K97" s="61"/>
      <c r="L97" s="61"/>
      <c r="M97" s="61"/>
    </row>
    <row r="98" spans="8:13" x14ac:dyDescent="0.2">
      <c r="H98" s="61"/>
      <c r="I98" s="61"/>
      <c r="J98" s="61"/>
      <c r="K98" s="61"/>
      <c r="L98" s="61"/>
      <c r="M98" s="61"/>
    </row>
    <row r="99" spans="8:13" x14ac:dyDescent="0.2">
      <c r="H99" s="61"/>
      <c r="I99" s="61"/>
      <c r="J99" s="61"/>
      <c r="K99" s="61"/>
      <c r="L99" s="61"/>
      <c r="M99" s="61"/>
    </row>
    <row r="100" spans="8:13" x14ac:dyDescent="0.2">
      <c r="H100" s="61"/>
      <c r="I100" s="61"/>
      <c r="J100" s="61"/>
      <c r="K100" s="61"/>
      <c r="L100" s="61"/>
      <c r="M100" s="61"/>
    </row>
    <row r="101" spans="8:13" x14ac:dyDescent="0.2">
      <c r="H101" s="61"/>
      <c r="I101" s="61"/>
      <c r="J101" s="61"/>
      <c r="K101" s="61"/>
      <c r="L101" s="61"/>
      <c r="M101" s="61"/>
    </row>
    <row r="102" spans="8:13" x14ac:dyDescent="0.2">
      <c r="H102" s="61"/>
      <c r="I102" s="61"/>
      <c r="J102" s="61"/>
      <c r="K102" s="61"/>
      <c r="L102" s="61"/>
      <c r="M102" s="61"/>
    </row>
    <row r="103" spans="8:13" x14ac:dyDescent="0.2">
      <c r="H103" s="61"/>
      <c r="I103" s="61"/>
      <c r="J103" s="61"/>
      <c r="K103" s="61"/>
      <c r="L103" s="61"/>
      <c r="M103" s="61"/>
    </row>
    <row r="104" spans="8:13" x14ac:dyDescent="0.2">
      <c r="H104" s="61"/>
      <c r="I104" s="61"/>
      <c r="J104" s="61"/>
      <c r="K104" s="61"/>
      <c r="L104" s="61"/>
      <c r="M104" s="61"/>
    </row>
    <row r="105" spans="8:13" x14ac:dyDescent="0.2">
      <c r="H105" s="61"/>
      <c r="I105" s="61"/>
      <c r="J105" s="61"/>
      <c r="K105" s="61"/>
      <c r="L105" s="61"/>
      <c r="M105" s="61"/>
    </row>
    <row r="106" spans="8:13" x14ac:dyDescent="0.2">
      <c r="H106" s="61"/>
      <c r="I106" s="61"/>
      <c r="J106" s="61"/>
      <c r="K106" s="61"/>
      <c r="L106" s="61"/>
      <c r="M106" s="61"/>
    </row>
    <row r="107" spans="8:13" x14ac:dyDescent="0.2">
      <c r="H107" s="61"/>
      <c r="I107" s="61"/>
      <c r="J107" s="61"/>
      <c r="K107" s="61"/>
      <c r="L107" s="61"/>
      <c r="M107" s="61"/>
    </row>
    <row r="108" spans="8:13" x14ac:dyDescent="0.2">
      <c r="H108" s="61"/>
      <c r="I108" s="61"/>
      <c r="J108" s="61"/>
      <c r="K108" s="61"/>
      <c r="L108" s="61"/>
      <c r="M108" s="61"/>
    </row>
    <row r="109" spans="8:13" x14ac:dyDescent="0.2">
      <c r="H109" s="61"/>
      <c r="I109" s="61"/>
      <c r="J109" s="61"/>
      <c r="K109" s="61"/>
      <c r="L109" s="61"/>
      <c r="M109" s="61"/>
    </row>
    <row r="110" spans="8:13" x14ac:dyDescent="0.2">
      <c r="H110" s="61"/>
      <c r="I110" s="61"/>
      <c r="J110" s="61"/>
      <c r="K110" s="61"/>
      <c r="L110" s="61"/>
      <c r="M110" s="61"/>
    </row>
    <row r="111" spans="8:13" x14ac:dyDescent="0.2">
      <c r="H111" s="61"/>
      <c r="I111" s="61"/>
      <c r="J111" s="61"/>
      <c r="K111" s="61"/>
      <c r="L111" s="61"/>
      <c r="M111" s="61"/>
    </row>
    <row r="112" spans="8:13" x14ac:dyDescent="0.2">
      <c r="H112" s="61"/>
      <c r="I112" s="61"/>
      <c r="J112" s="61"/>
      <c r="K112" s="61"/>
      <c r="L112" s="61"/>
      <c r="M112" s="61"/>
    </row>
    <row r="113" spans="8:13" x14ac:dyDescent="0.2">
      <c r="H113" s="61"/>
      <c r="I113" s="61"/>
      <c r="J113" s="61"/>
      <c r="K113" s="61"/>
      <c r="L113" s="61"/>
      <c r="M113" s="61"/>
    </row>
    <row r="114" spans="8:13" x14ac:dyDescent="0.2">
      <c r="H114" s="61"/>
      <c r="I114" s="61"/>
      <c r="J114" s="61"/>
      <c r="K114" s="61"/>
      <c r="L114" s="61"/>
      <c r="M114" s="61"/>
    </row>
    <row r="115" spans="8:13" x14ac:dyDescent="0.2">
      <c r="H115" s="61"/>
      <c r="I115" s="61"/>
      <c r="J115" s="61"/>
      <c r="K115" s="61"/>
      <c r="L115" s="61"/>
      <c r="M115" s="61"/>
    </row>
    <row r="116" spans="8:13" x14ac:dyDescent="0.2">
      <c r="H116" s="61"/>
      <c r="I116" s="61"/>
      <c r="J116" s="61"/>
      <c r="K116" s="61"/>
      <c r="L116" s="61"/>
      <c r="M116" s="61"/>
    </row>
    <row r="117" spans="8:13" x14ac:dyDescent="0.2">
      <c r="H117" s="61"/>
      <c r="I117" s="61"/>
      <c r="J117" s="61"/>
      <c r="K117" s="61"/>
      <c r="L117" s="61"/>
      <c r="M117" s="61"/>
    </row>
    <row r="118" spans="8:13" x14ac:dyDescent="0.2">
      <c r="H118" s="61"/>
      <c r="I118" s="61"/>
      <c r="J118" s="61"/>
      <c r="K118" s="61"/>
      <c r="L118" s="61"/>
      <c r="M118" s="61"/>
    </row>
    <row r="119" spans="8:13" x14ac:dyDescent="0.2">
      <c r="H119" s="61"/>
      <c r="I119" s="61"/>
      <c r="J119" s="61"/>
      <c r="K119" s="61"/>
      <c r="L119" s="61"/>
      <c r="M119" s="61"/>
    </row>
    <row r="120" spans="8:13" x14ac:dyDescent="0.2">
      <c r="H120" s="61"/>
      <c r="I120" s="61"/>
      <c r="J120" s="61"/>
      <c r="K120" s="61"/>
      <c r="L120" s="61"/>
      <c r="M120" s="61"/>
    </row>
    <row r="121" spans="8:13" x14ac:dyDescent="0.2">
      <c r="H121" s="61"/>
      <c r="I121" s="61"/>
      <c r="J121" s="61"/>
      <c r="K121" s="61"/>
      <c r="L121" s="61"/>
      <c r="M121" s="61"/>
    </row>
    <row r="122" spans="8:13" x14ac:dyDescent="0.2">
      <c r="H122" s="61"/>
      <c r="I122" s="61"/>
      <c r="J122" s="61"/>
      <c r="K122" s="61"/>
      <c r="L122" s="61"/>
      <c r="M122" s="61"/>
    </row>
    <row r="123" spans="8:13" x14ac:dyDescent="0.2">
      <c r="H123" s="61"/>
      <c r="I123" s="61"/>
      <c r="J123" s="61"/>
      <c r="K123" s="61"/>
      <c r="L123" s="61"/>
      <c r="M123" s="61"/>
    </row>
    <row r="124" spans="8:13" x14ac:dyDescent="0.2">
      <c r="H124" s="61"/>
      <c r="I124" s="61"/>
      <c r="J124" s="61"/>
      <c r="K124" s="61"/>
      <c r="L124" s="61"/>
      <c r="M124" s="61"/>
    </row>
    <row r="125" spans="8:13" x14ac:dyDescent="0.2">
      <c r="H125" s="61"/>
      <c r="I125" s="61"/>
      <c r="J125" s="61"/>
      <c r="K125" s="61"/>
      <c r="L125" s="61"/>
      <c r="M125" s="61"/>
    </row>
    <row r="126" spans="8:13" x14ac:dyDescent="0.2">
      <c r="H126" s="61"/>
      <c r="I126" s="61"/>
      <c r="J126" s="61"/>
      <c r="K126" s="61"/>
      <c r="L126" s="61"/>
      <c r="M126" s="61"/>
    </row>
    <row r="127" spans="8:13" x14ac:dyDescent="0.2">
      <c r="H127" s="61"/>
      <c r="I127" s="61"/>
      <c r="J127" s="61"/>
      <c r="K127" s="61"/>
      <c r="L127" s="61"/>
      <c r="M127" s="61"/>
    </row>
    <row r="128" spans="8:13" x14ac:dyDescent="0.2">
      <c r="H128" s="61"/>
      <c r="I128" s="61"/>
      <c r="J128" s="61"/>
      <c r="K128" s="61"/>
      <c r="L128" s="61"/>
      <c r="M128" s="61"/>
    </row>
    <row r="129" spans="8:13" x14ac:dyDescent="0.2">
      <c r="H129" s="61"/>
      <c r="I129" s="61"/>
      <c r="J129" s="61"/>
      <c r="K129" s="61"/>
      <c r="L129" s="61"/>
      <c r="M129" s="61"/>
    </row>
    <row r="130" spans="8:13" x14ac:dyDescent="0.2">
      <c r="H130" s="61"/>
      <c r="I130" s="61"/>
      <c r="J130" s="61"/>
      <c r="K130" s="61"/>
      <c r="L130" s="61"/>
      <c r="M130" s="61"/>
    </row>
  </sheetData>
  <conditionalFormatting sqref="F3:H5">
    <cfRule type="colorScale" priority="9">
      <colorScale>
        <cfvo type="num" val="0"/>
        <cfvo type="num" val="0.5"/>
        <cfvo type="num" val="1"/>
        <color rgb="FFF8696B"/>
        <color rgb="FFFFEB84"/>
        <color rgb="FF63BE7B"/>
      </colorScale>
    </cfRule>
  </conditionalFormatting>
  <conditionalFormatting sqref="E3:E5">
    <cfRule type="cellIs" priority="8" operator="lessThan">
      <formula>TODAY()</formula>
    </cfRule>
  </conditionalFormatting>
  <conditionalFormatting sqref="E35">
    <cfRule type="colorScale" priority="7">
      <colorScale>
        <cfvo type="num" val="0"/>
        <cfvo type="num" val="0.5"/>
        <cfvo type="num" val="1"/>
        <color rgb="FFFF0000"/>
        <color rgb="FFFFC000"/>
        <color theme="9"/>
      </colorScale>
    </cfRule>
  </conditionalFormatting>
  <conditionalFormatting sqref="E11:E34">
    <cfRule type="colorScale" priority="4">
      <colorScale>
        <cfvo type="num" val="0"/>
        <cfvo type="num" val="0.5"/>
        <cfvo type="num" val="1"/>
        <color rgb="FFF8696B"/>
        <color rgb="FFFFEB84"/>
        <color rgb="FF63BE7B"/>
      </colorScale>
    </cfRule>
  </conditionalFormatting>
  <conditionalFormatting sqref="G11:G34">
    <cfRule type="cellIs" dxfId="18" priority="1" operator="between">
      <formula>0.001</formula>
      <formula>0.999</formula>
    </cfRule>
    <cfRule type="cellIs" dxfId="17" priority="2" operator="equal">
      <formula>1</formula>
    </cfRule>
    <cfRule type="cellIs" dxfId="16" priority="3" operator="equal">
      <formula>0</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4"/>
  </sheetPr>
  <dimension ref="A1:K23"/>
  <sheetViews>
    <sheetView topLeftCell="A2" zoomScale="85" zoomScaleNormal="85" zoomScalePageLayoutView="85" workbookViewId="0">
      <selection activeCell="C6" sqref="C6"/>
    </sheetView>
  </sheetViews>
  <sheetFormatPr baseColWidth="10" defaultColWidth="9.1640625" defaultRowHeight="15" x14ac:dyDescent="0.2"/>
  <cols>
    <col min="1" max="1" width="9.1640625" style="110"/>
    <col min="2" max="2" width="20.1640625" style="1" customWidth="1"/>
    <col min="3" max="3" width="54.6640625" style="1" customWidth="1"/>
    <col min="4" max="4" width="39" style="1" customWidth="1"/>
    <col min="5" max="5" width="60.33203125" style="1" customWidth="1"/>
    <col min="6" max="6" width="27.5" style="1" customWidth="1"/>
    <col min="7" max="7" width="13.1640625" style="99" customWidth="1"/>
    <col min="9" max="16384" width="9.1640625" style="1"/>
  </cols>
  <sheetData>
    <row r="1" spans="1:11" s="94" customFormat="1" ht="30" x14ac:dyDescent="0.2">
      <c r="A1" s="110"/>
      <c r="C1" s="95">
        <f ca="1">TODAY()</f>
        <v>43150</v>
      </c>
      <c r="E1" s="95"/>
      <c r="G1" s="97"/>
      <c r="I1" s="94" t="s">
        <v>37</v>
      </c>
      <c r="K1" s="94" t="s">
        <v>36</v>
      </c>
    </row>
    <row r="2" spans="1:11" s="94" customFormat="1" ht="29.25" customHeight="1" x14ac:dyDescent="0.2">
      <c r="A2" s="111" t="s">
        <v>65</v>
      </c>
      <c r="G2" s="97"/>
    </row>
    <row r="3" spans="1:11" s="69" customFormat="1" ht="39" customHeight="1" x14ac:dyDescent="0.2">
      <c r="A3" s="110"/>
      <c r="B3" s="69" t="s">
        <v>38</v>
      </c>
      <c r="C3" s="69" t="s">
        <v>39</v>
      </c>
      <c r="D3" s="69" t="s">
        <v>68</v>
      </c>
      <c r="E3" s="69" t="s">
        <v>46</v>
      </c>
      <c r="F3" s="69" t="s">
        <v>40</v>
      </c>
      <c r="G3" s="112" t="s">
        <v>42</v>
      </c>
    </row>
    <row r="4" spans="1:11" s="108" customFormat="1" ht="183" customHeight="1" x14ac:dyDescent="0.2">
      <c r="A4" s="121"/>
      <c r="B4" s="108" t="s">
        <v>41</v>
      </c>
      <c r="C4" s="108" t="s">
        <v>305</v>
      </c>
      <c r="F4" s="108" t="s">
        <v>43</v>
      </c>
      <c r="G4" s="109">
        <v>1</v>
      </c>
    </row>
    <row r="5" spans="1:11" s="96" customFormat="1" ht="106.5" customHeight="1" x14ac:dyDescent="0.2">
      <c r="A5" s="169"/>
      <c r="B5" s="96" t="s">
        <v>45</v>
      </c>
      <c r="C5" s="96" t="s">
        <v>86</v>
      </c>
      <c r="E5" s="96" t="s">
        <v>85</v>
      </c>
      <c r="F5" s="96" t="s">
        <v>75</v>
      </c>
      <c r="G5" s="98">
        <v>1</v>
      </c>
    </row>
    <row r="6" spans="1:11" s="96" customFormat="1" ht="106.5" customHeight="1" x14ac:dyDescent="0.2">
      <c r="A6" s="190"/>
      <c r="B6" s="96" t="s">
        <v>92</v>
      </c>
      <c r="C6" s="96" t="s">
        <v>91</v>
      </c>
      <c r="E6" s="96" t="s">
        <v>258</v>
      </c>
      <c r="F6" s="96" t="s">
        <v>90</v>
      </c>
      <c r="G6" s="98">
        <v>1</v>
      </c>
    </row>
    <row r="7" spans="1:11" s="96" customFormat="1" ht="106.5" customHeight="1" x14ac:dyDescent="0.2">
      <c r="A7" s="206"/>
      <c r="B7" s="96" t="s">
        <v>259</v>
      </c>
      <c r="C7" s="205" t="s">
        <v>301</v>
      </c>
      <c r="D7" s="178" t="s">
        <v>264</v>
      </c>
      <c r="G7" s="98">
        <v>1</v>
      </c>
    </row>
    <row r="8" spans="1:11" s="96" customFormat="1" ht="162" customHeight="1" x14ac:dyDescent="0.2">
      <c r="A8" s="110"/>
      <c r="B8" s="96" t="s">
        <v>260</v>
      </c>
      <c r="C8" s="96" t="s">
        <v>300</v>
      </c>
      <c r="D8" s="96" t="s">
        <v>261</v>
      </c>
      <c r="E8" s="96" t="s">
        <v>265</v>
      </c>
      <c r="G8" s="98">
        <v>0.75</v>
      </c>
    </row>
    <row r="9" spans="1:11" s="96" customFormat="1" ht="162" customHeight="1" x14ac:dyDescent="0.2">
      <c r="A9" s="169"/>
      <c r="B9" s="96" t="s">
        <v>92</v>
      </c>
      <c r="C9" s="96" t="s">
        <v>268</v>
      </c>
      <c r="D9" s="96" t="s">
        <v>299</v>
      </c>
      <c r="G9" s="98">
        <v>1</v>
      </c>
    </row>
    <row r="10" spans="1:11" s="96" customFormat="1" ht="106.5" customHeight="1" x14ac:dyDescent="0.2">
      <c r="A10" s="190"/>
      <c r="B10" s="96" t="s">
        <v>93</v>
      </c>
      <c r="C10" s="96" t="s">
        <v>94</v>
      </c>
      <c r="D10" s="96" t="s">
        <v>240</v>
      </c>
      <c r="E10" s="96" t="s">
        <v>234</v>
      </c>
      <c r="F10" s="96" t="s">
        <v>87</v>
      </c>
      <c r="G10" s="98">
        <v>1</v>
      </c>
    </row>
    <row r="11" spans="1:11" s="178" customFormat="1" ht="93" customHeight="1" x14ac:dyDescent="0.2">
      <c r="A11" s="191"/>
      <c r="B11" s="178" t="s">
        <v>232</v>
      </c>
      <c r="C11" s="178" t="s">
        <v>263</v>
      </c>
      <c r="D11" s="178" t="s">
        <v>262</v>
      </c>
      <c r="E11" s="178" t="s">
        <v>233</v>
      </c>
      <c r="G11" s="179">
        <v>1</v>
      </c>
    </row>
    <row r="13" spans="1:11" x14ac:dyDescent="0.2">
      <c r="A13" s="113"/>
    </row>
    <row r="14" spans="1:11" x14ac:dyDescent="0.2">
      <c r="A14" s="113"/>
    </row>
    <row r="15" spans="1:11" x14ac:dyDescent="0.2">
      <c r="A15" s="113"/>
    </row>
    <row r="16" spans="1:11" x14ac:dyDescent="0.2">
      <c r="A16" s="113"/>
    </row>
    <row r="17" spans="1:1" x14ac:dyDescent="0.2">
      <c r="A17" s="113"/>
    </row>
    <row r="18" spans="1:1" x14ac:dyDescent="0.2">
      <c r="A18" s="113"/>
    </row>
    <row r="19" spans="1:1" x14ac:dyDescent="0.2">
      <c r="A19" s="113"/>
    </row>
    <row r="20" spans="1:1" x14ac:dyDescent="0.2">
      <c r="A20" s="113"/>
    </row>
    <row r="21" spans="1:1" x14ac:dyDescent="0.2">
      <c r="A21" s="113"/>
    </row>
    <row r="22" spans="1:1" x14ac:dyDescent="0.2">
      <c r="A22" s="113"/>
    </row>
    <row r="23" spans="1:1" x14ac:dyDescent="0.2">
      <c r="A23" s="113"/>
    </row>
  </sheetData>
  <conditionalFormatting sqref="G13:G1048576 G1:G11">
    <cfRule type="colorScale" priority="1">
      <colorScale>
        <cfvo type="min"/>
        <cfvo type="percentile" val="50"/>
        <cfvo type="max"/>
        <color rgb="FFFF5050"/>
        <color rgb="FFFFC000"/>
        <color rgb="FF63BE7B"/>
      </colorScale>
    </cfRule>
  </conditionalFormatting>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GAANT</vt:lpstr>
      <vt:lpstr>Project Scheduler</vt:lpstr>
      <vt:lpstr>Study Planner</vt:lpstr>
      <vt:lpstr>Journal</vt:lpstr>
      <vt:lpstr>Time Tracker</vt:lpstr>
      <vt:lpstr>Homework</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Microsoft Office User</cp:lastModifiedBy>
  <dcterms:created xsi:type="dcterms:W3CDTF">2018-01-27T08:15:38Z</dcterms:created>
  <dcterms:modified xsi:type="dcterms:W3CDTF">2018-02-19T10:38:11Z</dcterms:modified>
</cp:coreProperties>
</file>