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5115" windowWidth="38175" windowHeight="18915" tabRatio="540"/>
  </bookViews>
  <sheets>
    <sheet name="GAANT" sheetId="1" r:id="rId1"/>
    <sheet name="Project Scheduler" sheetId="8" r:id="rId2"/>
    <sheet name="Study Planner" sheetId="6" r:id="rId3"/>
    <sheet name="Journal" sheetId="3" r:id="rId4"/>
    <sheet name="Time Tracker" sheetId="2" r:id="rId5"/>
    <sheet name="Homework" sheetId="5" r:id="rId6"/>
    <sheet name="Business GAANT" sheetId="7" r:id="rId7"/>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H4" i="1" l="1"/>
  <c r="R6" i="1"/>
  <c r="O6" i="1"/>
  <c r="P6" i="1"/>
  <c r="Q6" i="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M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E1" i="6"/>
  <c r="F1" i="6"/>
  <c r="D4" i="7"/>
  <c r="C1" i="6"/>
  <c r="C1" i="5"/>
  <c r="E6" i="3"/>
  <c r="G6" i="3"/>
  <c r="E10" i="2"/>
  <c r="J4" i="2"/>
  <c r="C4" i="1"/>
  <c r="G36" i="2"/>
  <c r="E36" i="2"/>
</calcChain>
</file>

<file path=xl/sharedStrings.xml><?xml version="1.0" encoding="utf-8"?>
<sst xmlns="http://schemas.openxmlformats.org/spreadsheetml/2006/main" count="579" uniqueCount="339">
  <si>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</si>
  <si>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</si>
  <si>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</si>
  <si>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</si>
  <si>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</si>
  <si>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</si>
  <si>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</si>
  <si>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</si>
  <si>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</si>
  <si>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</si>
  <si>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</si>
  <si>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</si>
  <si>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</si>
  <si>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</si>
  <si>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</si>
  <si>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</si>
  <si>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</si>
  <si>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</si>
  <si>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</si>
  <si>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</si>
  <si>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</si>
  <si>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</si>
  <si>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</si>
  <si>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</si>
  <si>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</si>
  <si>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</si>
  <si>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</si>
  <si>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</si>
  <si>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</si>
  <si>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</si>
  <si>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</si>
  <si>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</si>
  <si>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</si>
  <si>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</si>
  <si>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</si>
  <si>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</si>
  <si>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</si>
  <si>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</si>
  <si>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</si>
  <si>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</si>
  <si>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</si>
  <si>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</si>
  <si>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</si>
  <si>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</si>
  <si>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</si>
  <si>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</si>
  <si>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</si>
  <si>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</si>
  <si>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</si>
  <si>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</si>
  <si>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</si>
  <si>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</si>
  <si>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</si>
  <si>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</si>
  <si>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</si>
  <si>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</si>
  <si>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</si>
  <si>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</si>
  <si>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</si>
  <si>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</si>
  <si>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</si>
  <si>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</si>
  <si>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</si>
  <si>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</si>
  <si>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</si>
  <si>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</si>
  <si>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</si>
  <si>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</si>
  <si>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</si>
  <si>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</si>
  <si>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</si>
  <si>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</si>
  <si>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</si>
  <si>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</si>
  <si>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</si>
  <si>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</si>
  <si>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</si>
  <si>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</si>
  <si>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</si>
  <si>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</si>
  <si>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</si>
  <si>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</si>
  <si>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PLAN</t>
  </si>
  <si>
    <t>Business Idea / Inspiration</t>
  </si>
  <si>
    <t>CODE</t>
  </si>
  <si>
    <t>Business Name / Contribution</t>
  </si>
  <si>
    <t>Business Structure</t>
  </si>
  <si>
    <t>Consumer Profile</t>
  </si>
  <si>
    <t>NAME</t>
  </si>
  <si>
    <t>CONS</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</si>
  <si>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</si>
  <si>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</si>
  <si>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</si>
  <si>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</si>
  <si>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</si>
  <si>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</si>
  <si>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</si>
  <si>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</si>
  <si>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</si>
  <si>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</si>
  <si>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</si>
  <si>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</si>
  <si>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Perception Map</t>
  </si>
  <si>
    <t>0E</t>
  </si>
  <si>
    <t>0F</t>
  </si>
  <si>
    <t>0G</t>
  </si>
  <si>
    <t>0H</t>
  </si>
  <si>
    <t>0I</t>
  </si>
  <si>
    <t>0J</t>
  </si>
  <si>
    <t>GAANT Chart</t>
  </si>
  <si>
    <t>Background Research</t>
  </si>
  <si>
    <t>Competition Research</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</si>
  <si>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</si>
  <si>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</si>
  <si>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</si>
  <si>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</si>
  <si>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</si>
  <si>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</si>
  <si>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</si>
  <si>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</si>
  <si>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</si>
  <si>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Learn more about business</t>
  </si>
  <si>
    <t>UNSURE</t>
  </si>
  <si>
    <t>IK/SPANISH</t>
  </si>
  <si>
    <t>Next spanish lesson</t>
  </si>
  <si>
    <t>Linguascope (FAMILY MEMBERS)
Rehearse and practise questions/responses and numbers
31-39</t>
  </si>
  <si>
    <t>SPANISH</t>
  </si>
  <si>
    <t>ENGLISH</t>
  </si>
  <si>
    <t>Reflect and improve peel paragraph… Finish the criteria selction</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</si>
  <si>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</si>
  <si>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</si>
  <si>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</si>
  <si>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</si>
  <si>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</si>
  <si>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</si>
  <si>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</si>
  <si>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</si>
  <si>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</si>
  <si>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</si>
  <si>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</si>
  <si>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</si>
  <si>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</si>
  <si>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</si>
  <si>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</si>
  <si>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</si>
  <si>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</si>
  <si>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</si>
  <si>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</si>
  <si>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</si>
  <si>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</si>
  <si>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</si>
  <si>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</si>
  <si>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</si>
  <si>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</si>
  <si>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</si>
  <si>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</si>
  <si>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</si>
  <si>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</si>
  <si>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</si>
  <si>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</si>
  <si>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</si>
  <si>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</si>
  <si>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</si>
  <si>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</si>
  <si>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</si>
  <si>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</si>
  <si>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</si>
  <si>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</si>
  <si>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</si>
  <si>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</si>
  <si>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</si>
  <si>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</si>
  <si>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</si>
  <si>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</si>
  <si>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</si>
  <si>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</si>
  <si>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</si>
  <si>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</si>
  <si>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</si>
  <si>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</si>
  <si>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</si>
  <si>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</si>
  <si>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</si>
  <si>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</si>
  <si>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</si>
  <si>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</si>
  <si>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</si>
  <si>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</si>
  <si>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</si>
  <si>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</si>
  <si>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</si>
  <si>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</si>
  <si>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</si>
  <si>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</si>
  <si>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</si>
  <si>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</si>
  <si>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</si>
  <si>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</si>
  <si>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</si>
  <si>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</si>
  <si>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</si>
  <si>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</si>
  <si>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</si>
  <si>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</si>
  <si>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</si>
  <si>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</si>
  <si>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</si>
  <si>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</si>
  <si>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</si>
  <si>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</si>
  <si>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</si>
  <si>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</si>
  <si>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</si>
  <si>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</si>
  <si>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</si>
  <si>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</si>
  <si>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</si>
  <si>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</si>
  <si>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</si>
  <si>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</si>
  <si>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</si>
  <si>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</si>
  <si>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</si>
  <si>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</si>
  <si>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</si>
  <si>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</si>
  <si>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</si>
  <si>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</si>
  <si>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</si>
  <si>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</si>
  <si>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</si>
  <si>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</si>
  <si>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</si>
  <si>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</si>
  <si>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</si>
  <si>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</si>
  <si>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</si>
  <si>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</si>
  <si>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</si>
  <si>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</si>
  <si>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</si>
  <si>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</si>
  <si>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</si>
  <si>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</si>
  <si>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</si>
  <si>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</si>
  <si>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</si>
  <si>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</si>
  <si>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</si>
  <si>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</si>
  <si>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</si>
  <si>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</si>
  <si>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</si>
  <si>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</si>
  <si>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</si>
  <si>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</si>
  <si>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</si>
  <si>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</si>
  <si>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</si>
  <si>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</si>
  <si>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</si>
  <si>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</si>
  <si>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</si>
  <si>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</si>
  <si>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</si>
  <si>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</si>
  <si>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</si>
  <si>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</si>
  <si>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</si>
  <si>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</si>
  <si>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STILL WORKING</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</si>
  <si>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</si>
  <si>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</si>
  <si>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</si>
  <si>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</si>
  <si>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 LINE</t>
  </si>
  <si>
    <t>Write over arching storyline</t>
  </si>
  <si>
    <t>STORY</t>
  </si>
  <si>
    <t>Write backstories and motivations</t>
  </si>
  <si>
    <t>TIME MANAGER</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</si>
  <si>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</si>
  <si>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</si>
  <si>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TIME MANAGER/EXC</t>
  </si>
  <si>
    <t>HOMEWORK</t>
  </si>
  <si>
    <t>PEEL/WAKEUP</t>
  </si>
  <si>
    <t>PHYSICS REPORT</t>
  </si>
  <si>
    <t>Write the homework</t>
  </si>
  <si>
    <t>3"30 wake JOURN</t>
  </si>
  <si>
    <t>TIME</t>
  </si>
  <si>
    <t>Check iMATH regularly to check for homeowrk
Questions 3A and 3C</t>
  </si>
  <si>
    <t>1 Hour and a half</t>
  </si>
  <si>
    <t>45 mins</t>
  </si>
  <si>
    <t>Business GAANT</t>
  </si>
  <si>
    <t>Writing custscenes + emotions</t>
  </si>
  <si>
    <t>Write done all events and work on that
Make sure that you are up to date with every about sole trader and stuff</t>
  </si>
  <si>
    <t xml:space="preserve"> Re-write the business report</t>
  </si>
  <si>
    <t>Character Outlines</t>
  </si>
  <si>
    <t>Story Outline</t>
  </si>
  <si>
    <t>Story Sequence</t>
  </si>
  <si>
    <t>Story Integrations</t>
  </si>
  <si>
    <t>Player Controller</t>
  </si>
  <si>
    <t>Camer Controller</t>
  </si>
  <si>
    <t>Optimisation</t>
  </si>
  <si>
    <t>BASE PLAYER</t>
  </si>
  <si>
    <t>BPLAY</t>
  </si>
  <si>
    <t>Finish the Stealth Game Part 7</t>
  </si>
  <si>
    <t>REMAINING HWK</t>
  </si>
  <si>
    <t>HWK</t>
  </si>
  <si>
    <t xml:space="preserve">Use the terms error and uncertainty in your report and understand the geometric values.
Table calculation
Get the table
</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</si>
  <si>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</si>
  <si>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</si>
  <si>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</si>
  <si>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</si>
  <si>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</si>
  <si>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</si>
  <si>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NOW ALL THE ACTUAL GAME WILL BE ASSEMBLED USING THE SYSTEMS AND ART AND MUSIC WILL BE BUILT. THIS WILL BE MORE CHALLENGING FOR YOU :)</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</si>
  <si>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</si>
  <si>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</si>
  <si>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</si>
  <si>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</si>
  <si>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</si>
  <si>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</si>
  <si>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</si>
  <si>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</si>
  <si>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</si>
  <si>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</si>
  <si>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</si>
  <si>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EAT/BLOG</t>
  </si>
  <si>
    <t>BLOG</t>
  </si>
  <si>
    <t>Plan Player Movement</t>
  </si>
  <si>
    <t>STORY OUTLINE</t>
  </si>
  <si>
    <t>SCHOOL</t>
  </si>
  <si>
    <t>PLAYER PLAN</t>
  </si>
  <si>
    <t>PLAYER PLAN FEA</t>
  </si>
  <si>
    <t>IMPLEMENT 01</t>
  </si>
  <si>
    <t>IMPLEMENT 02</t>
  </si>
  <si>
    <t>YT S7</t>
  </si>
  <si>
    <t>Get 4 different highlighters</t>
  </si>
  <si>
    <t>Conjigations for the what you do after school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</si>
</sst>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5"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2"/>
      <color theme="1"/>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9">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9"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FF2929"/>
        <bgColor indexed="64"/>
      </patternFill>
    </fill>
    <fill>
      <patternFill patternType="solid">
        <fgColor rgb="FFABDB77"/>
        <bgColor indexed="64"/>
      </patternFill>
    </fill>
    <fill>
      <patternFill patternType="solid">
        <fgColor theme="5"/>
        <bgColor indexed="64"/>
      </patternFill>
    </fill>
  </fills>
  <borders count="20">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s>
  <cellStyleXfs count="6">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2" fillId="17" borderId="0" applyNumberFormat="0" applyBorder="0" applyAlignment="0" applyProtection="0"/>
  </cellStyleXfs>
  <cellXfs count="268">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1" fillId="2" borderId="3"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8" borderId="0" xfId="0" applyFill="1" applyBorder="1" applyAlignment="1">
      <alignment horizontal="center" vertical="center" wrapText="1"/>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9" fillId="4" borderId="0" xfId="0" applyNumberFormat="1" applyFont="1" applyFill="1" applyBorder="1" applyAlignment="1">
      <alignment horizontal="center" vertical="center" wrapText="1"/>
    </xf>
    <xf numFmtId="0" fontId="8" fillId="4" borderId="0" xfId="0"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9"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12" borderId="0" xfId="0" applyFill="1" applyBorder="1" applyAlignment="1">
      <alignment horizontal="center" vertical="center" wrapText="1"/>
    </xf>
    <xf numFmtId="0" fontId="0" fillId="13" borderId="0"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10" fillId="0" borderId="0" xfId="0" applyFont="1" applyFill="1" applyBorder="1" applyAlignment="1">
      <alignment horizontal="center" vertical="center" wrapText="1"/>
    </xf>
    <xf numFmtId="164" fontId="0" fillId="3" borderId="1" xfId="0" applyNumberFormat="1" applyFill="1" applyBorder="1" applyAlignment="1">
      <alignment horizontal="center" vertical="center" textRotation="90" wrapText="1"/>
    </xf>
    <xf numFmtId="0" fontId="3" fillId="20" borderId="1" xfId="0" applyFont="1" applyFill="1" applyBorder="1" applyAlignment="1">
      <alignment horizontal="center" vertical="center" wrapText="1"/>
    </xf>
    <xf numFmtId="0" fontId="3" fillId="20" borderId="0" xfId="0" applyFont="1" applyFill="1" applyBorder="1" applyAlignment="1">
      <alignment horizontal="center" vertical="center" wrapText="1"/>
    </xf>
    <xf numFmtId="0" fontId="3" fillId="3" borderId="0" xfId="1" applyFont="1" applyFill="1" applyBorder="1" applyAlignment="1">
      <alignment horizontal="center" vertical="center" wrapText="1"/>
    </xf>
    <xf numFmtId="0" fontId="3" fillId="3" borderId="4" xfId="1" applyFont="1" applyFill="1" applyBorder="1" applyAlignment="1">
      <alignment horizontal="center" vertical="center" wrapText="1"/>
    </xf>
    <xf numFmtId="0" fontId="3" fillId="20" borderId="1" xfId="1" applyFont="1" applyFill="1" applyBorder="1" applyAlignment="1">
      <alignment horizontal="center" vertical="center" wrapText="1"/>
    </xf>
    <xf numFmtId="0" fontId="3" fillId="20" borderId="0" xfId="1" applyFont="1" applyFill="1" applyBorder="1" applyAlignment="1">
      <alignment horizontal="center" vertical="center" wrapText="1"/>
    </xf>
    <xf numFmtId="164" fontId="3" fillId="3" borderId="9" xfId="1" applyNumberFormat="1" applyFont="1" applyFill="1" applyBorder="1" applyAlignment="1">
      <alignment horizontal="center" vertical="center" textRotation="90" wrapText="1"/>
    </xf>
    <xf numFmtId="0" fontId="13" fillId="19" borderId="0" xfId="1" applyFont="1" applyFill="1" applyBorder="1" applyAlignment="1">
      <alignment horizontal="center" vertical="center" wrapText="1"/>
    </xf>
    <xf numFmtId="0" fontId="5" fillId="19" borderId="0" xfId="0" applyFont="1" applyFill="1" applyBorder="1" applyAlignment="1">
      <alignment horizontal="center" vertical="center" wrapText="1"/>
    </xf>
    <xf numFmtId="164" fontId="5" fillId="19" borderId="0" xfId="0" applyNumberFormat="1" applyFont="1" applyFill="1" applyBorder="1" applyAlignment="1">
      <alignment horizontal="center" vertical="center" wrapText="1"/>
    </xf>
    <xf numFmtId="10" fontId="5" fillId="19" borderId="0" xfId="0" applyNumberFormat="1" applyFont="1" applyFill="1" applyBorder="1" applyAlignment="1">
      <alignment horizontal="center" vertical="center" wrapText="1"/>
    </xf>
    <xf numFmtId="0" fontId="0" fillId="19" borderId="5" xfId="0" applyFill="1" applyBorder="1" applyAlignment="1">
      <alignment horizontal="center" vertical="center" wrapText="1"/>
    </xf>
    <xf numFmtId="0" fontId="0" fillId="19" borderId="0" xfId="0" applyFill="1" applyBorder="1" applyAlignment="1">
      <alignment horizontal="center" vertical="center" wrapText="1"/>
    </xf>
    <xf numFmtId="0" fontId="0" fillId="18" borderId="0" xfId="0" applyFill="1" applyBorder="1" applyAlignment="1">
      <alignment horizontal="center" vertical="center" wrapText="1"/>
    </xf>
    <xf numFmtId="0" fontId="11" fillId="18" borderId="0" xfId="0" applyFont="1" applyFill="1" applyBorder="1" applyAlignment="1">
      <alignment horizontal="center" vertical="center" wrapText="1"/>
    </xf>
    <xf numFmtId="2" fontId="0" fillId="21" borderId="0" xfId="0" applyNumberFormat="1" applyFill="1" applyAlignment="1">
      <alignment horizontal="center" vertical="center" wrapText="1"/>
    </xf>
    <xf numFmtId="2" fontId="0" fillId="21"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2"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6"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2" borderId="0" xfId="0" applyFont="1" applyFill="1" applyAlignment="1">
      <alignment horizontal="center" vertical="center" wrapText="1"/>
    </xf>
    <xf numFmtId="0" fontId="12" fillId="20" borderId="0" xfId="5" applyFont="1" applyFill="1" applyAlignment="1">
      <alignment horizontal="center" vertical="center" wrapText="1"/>
    </xf>
    <xf numFmtId="0" fontId="0" fillId="24" borderId="0" xfId="0" applyFont="1" applyFill="1" applyAlignment="1">
      <alignment horizontal="center" vertical="center" wrapText="1"/>
    </xf>
    <xf numFmtId="0" fontId="0" fillId="27" borderId="0" xfId="0" applyFont="1" applyFill="1" applyAlignment="1">
      <alignment horizontal="center" vertical="center" wrapText="1"/>
    </xf>
    <xf numFmtId="0" fontId="0" fillId="23" borderId="0" xfId="0" applyFont="1" applyFill="1" applyAlignment="1">
      <alignment horizontal="center" vertical="center" wrapText="1"/>
    </xf>
    <xf numFmtId="0" fontId="2" fillId="13" borderId="0" xfId="0" applyFont="1" applyFill="1" applyAlignment="1">
      <alignment horizontal="center" vertical="center" wrapText="1"/>
    </xf>
    <xf numFmtId="0" fontId="0" fillId="25" borderId="0" xfId="0" applyFont="1" applyFill="1" applyAlignment="1">
      <alignment horizontal="center" vertical="center" wrapText="1"/>
    </xf>
    <xf numFmtId="0" fontId="2" fillId="3" borderId="0" xfId="0" applyFont="1" applyFill="1" applyAlignment="1">
      <alignment horizontal="center" vertical="center" wrapText="1"/>
    </xf>
    <xf numFmtId="2" fontId="0" fillId="25"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xf numFmtId="166" fontId="0" fillId="33" borderId="0" xfId="0" applyNumberFormat="1" applyFont="1" applyFill="1" applyAlignment="1">
      <alignment horizontal="center" vertical="center" wrapText="1"/>
    </xf>
    <xf numFmtId="166" fontId="0" fillId="26"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0" fontId="18" fillId="7" borderId="0" xfId="0" applyNumberFormat="1" applyFont="1" applyFill="1" applyAlignment="1">
      <alignment horizontal="center" vertical="center" wrapText="1"/>
    </xf>
    <xf numFmtId="165" fontId="19"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20" fillId="7" borderId="0" xfId="0" applyNumberFormat="1" applyFont="1" applyFill="1" applyAlignment="1">
      <alignment horizontal="center" vertical="center" wrapText="1"/>
    </xf>
    <xf numFmtId="2" fontId="16" fillId="7" borderId="0" xfId="0" applyNumberFormat="1" applyFont="1" applyFill="1" applyAlignment="1">
      <alignment horizontal="center" vertical="center" wrapText="1"/>
    </xf>
    <xf numFmtId="2" fontId="17" fillId="7"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2" fontId="16" fillId="0" borderId="0" xfId="0" applyNumberFormat="1" applyFont="1" applyFill="1" applyAlignment="1">
      <alignment horizontal="center" vertical="center" wrapText="1"/>
    </xf>
    <xf numFmtId="0" fontId="22" fillId="0" borderId="0" xfId="0" applyNumberFormat="1" applyFont="1" applyFill="1" applyAlignment="1">
      <alignment horizontal="center" vertical="center" wrapText="1"/>
    </xf>
    <xf numFmtId="165" fontId="23"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6" fillId="7" borderId="0" xfId="0" applyNumberFormat="1" applyFont="1" applyFill="1" applyAlignment="1">
      <alignment horizontal="center" vertical="center" wrapText="1"/>
    </xf>
    <xf numFmtId="167" fontId="17" fillId="0" borderId="0" xfId="0" applyNumberFormat="1" applyFont="1" applyAlignment="1">
      <alignment horizontal="center" vertical="center" wrapText="1"/>
    </xf>
    <xf numFmtId="167" fontId="16"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20" fillId="0" borderId="0" xfId="0" applyFont="1" applyAlignment="1">
      <alignment horizontal="center" vertical="center" wrapText="1"/>
    </xf>
    <xf numFmtId="0" fontId="24" fillId="0" borderId="0" xfId="0" applyFont="1" applyAlignment="1">
      <alignment horizontal="center" vertical="center" wrapText="1"/>
    </xf>
    <xf numFmtId="10" fontId="16" fillId="7" borderId="0" xfId="0" applyNumberFormat="1" applyFont="1" applyFill="1" applyAlignment="1">
      <alignment horizontal="center" vertical="center" wrapText="1"/>
    </xf>
    <xf numFmtId="10" fontId="17" fillId="0" borderId="0" xfId="0" applyNumberFormat="1" applyFont="1" applyAlignment="1">
      <alignment horizontal="center" vertical="center" wrapText="1"/>
    </xf>
    <xf numFmtId="10" fontId="16" fillId="0" borderId="0" xfId="0" applyNumberFormat="1" applyFont="1" applyAlignment="1">
      <alignment horizontal="center" vertical="center" wrapText="1"/>
    </xf>
    <xf numFmtId="166" fontId="0" fillId="20" borderId="0" xfId="0" applyNumberFormat="1" applyFont="1" applyFill="1" applyAlignment="1">
      <alignment horizontal="center" vertical="center" wrapText="1"/>
    </xf>
    <xf numFmtId="166" fontId="0" fillId="34" borderId="0" xfId="0" applyNumberFormat="1" applyFont="1" applyFill="1" applyAlignment="1">
      <alignment horizontal="center" vertical="center" wrapText="1"/>
    </xf>
    <xf numFmtId="165" fontId="14" fillId="3" borderId="10" xfId="0" applyNumberFormat="1" applyFont="1" applyFill="1" applyBorder="1" applyAlignment="1">
      <alignment horizontal="center" vertical="center" wrapText="1"/>
    </xf>
    <xf numFmtId="49" fontId="14" fillId="3" borderId="9" xfId="0" applyNumberFormat="1" applyFont="1" applyFill="1" applyBorder="1" applyAlignment="1">
      <alignment horizontal="center" vertical="center" wrapText="1"/>
    </xf>
    <xf numFmtId="2" fontId="14" fillId="3" borderId="9" xfId="0" applyNumberFormat="1" applyFont="1" applyFill="1" applyBorder="1" applyAlignment="1">
      <alignment horizontal="center" vertical="center" wrapText="1"/>
    </xf>
    <xf numFmtId="165" fontId="14" fillId="3" borderId="5" xfId="0" applyNumberFormat="1" applyFont="1" applyFill="1" applyBorder="1" applyAlignment="1">
      <alignment horizontal="center" vertical="center" wrapText="1"/>
    </xf>
    <xf numFmtId="49" fontId="14" fillId="3" borderId="2" xfId="0" applyNumberFormat="1" applyFont="1" applyFill="1" applyBorder="1" applyAlignment="1">
      <alignment horizontal="center" vertical="center" wrapText="1"/>
    </xf>
    <xf numFmtId="49" fontId="14" fillId="3" borderId="0" xfId="0" applyNumberFormat="1" applyFont="1" applyFill="1" applyAlignment="1">
      <alignment horizontal="center" vertical="center" wrapText="1"/>
    </xf>
    <xf numFmtId="2" fontId="14" fillId="3" borderId="0" xfId="0" applyNumberFormat="1" applyFont="1" applyFill="1" applyAlignment="1">
      <alignment horizontal="center" vertical="center" wrapText="1"/>
    </xf>
    <xf numFmtId="49" fontId="14" fillId="3" borderId="5"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49" fontId="14" fillId="3" borderId="3" xfId="0" applyNumberFormat="1" applyFont="1" applyFill="1" applyBorder="1" applyAlignment="1">
      <alignment horizontal="center" vertical="center" wrapText="1"/>
    </xf>
    <xf numFmtId="49" fontId="14" fillId="3" borderId="4" xfId="0" applyNumberFormat="1" applyFont="1" applyFill="1" applyBorder="1" applyAlignment="1">
      <alignment horizontal="center" vertical="center" wrapText="1"/>
    </xf>
    <xf numFmtId="2" fontId="14" fillId="3" borderId="4" xfId="0" applyNumberFormat="1" applyFont="1" applyFill="1" applyBorder="1" applyAlignment="1">
      <alignment horizontal="center" vertical="center" wrapText="1"/>
    </xf>
    <xf numFmtId="0" fontId="16" fillId="15" borderId="0" xfId="0" applyNumberFormat="1" applyFont="1" applyFill="1" applyAlignment="1">
      <alignment horizontal="center" vertical="center" wrapText="1"/>
    </xf>
    <xf numFmtId="0" fontId="16" fillId="20" borderId="0" xfId="0" applyNumberFormat="1" applyFont="1" applyFill="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3" fillId="5" borderId="0" xfId="0" applyFont="1" applyFill="1" applyBorder="1" applyAlignment="1">
      <alignment horizontal="center" vertical="center" wrapText="1"/>
    </xf>
    <xf numFmtId="0" fontId="17"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0" fontId="0" fillId="0" borderId="0" xfId="0" applyFont="1" applyFill="1" applyAlignment="1">
      <alignment horizontal="center" vertical="center" wrapText="1"/>
    </xf>
    <xf numFmtId="166" fontId="0" fillId="15" borderId="0" xfId="0" applyNumberFormat="1" applyFont="1" applyFill="1" applyAlignment="1">
      <alignment horizontal="center" vertical="center" wrapText="1"/>
    </xf>
    <xf numFmtId="0" fontId="0" fillId="35" borderId="0" xfId="0" applyFont="1" applyFill="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166" fontId="0" fillId="12"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0" fontId="0" fillId="36" borderId="0" xfId="0" applyNumberFormat="1" applyFont="1" applyFill="1" applyAlignment="1">
      <alignment horizontal="center" vertical="center" wrapText="1"/>
    </xf>
    <xf numFmtId="0" fontId="16" fillId="36" borderId="0" xfId="0" applyNumberFormat="1" applyFont="1" applyFill="1" applyAlignment="1">
      <alignment horizontal="center" vertical="center" wrapText="1"/>
    </xf>
    <xf numFmtId="10" fontId="16" fillId="36" borderId="0" xfId="0" applyNumberFormat="1" applyFont="1" applyFill="1" applyAlignment="1">
      <alignment horizontal="center" vertical="center" wrapText="1"/>
    </xf>
    <xf numFmtId="167" fontId="16" fillId="36" borderId="0" xfId="0" applyNumberFormat="1" applyFont="1" applyFill="1" applyAlignment="1">
      <alignment horizontal="center" vertical="center" wrapText="1"/>
    </xf>
    <xf numFmtId="0" fontId="0" fillId="36" borderId="0" xfId="0" applyFont="1" applyFill="1" applyAlignment="1">
      <alignment horizontal="center" vertical="center" wrapText="1"/>
    </xf>
    <xf numFmtId="167" fontId="0" fillId="36" borderId="0" xfId="0" applyNumberFormat="1" applyFill="1" applyAlignment="1">
      <alignment horizontal="center" vertical="center" wrapText="1"/>
    </xf>
    <xf numFmtId="49" fontId="0" fillId="36" borderId="0" xfId="0" applyNumberFormat="1" applyFill="1" applyAlignment="1">
      <alignment horizontal="center" vertical="center" wrapText="1"/>
    </xf>
    <xf numFmtId="0" fontId="0" fillId="36" borderId="0" xfId="0" applyFill="1" applyAlignment="1">
      <alignment horizontal="center" vertical="center" wrapText="1"/>
    </xf>
    <xf numFmtId="2" fontId="1" fillId="8" borderId="0" xfId="1" applyNumberFormat="1" applyFill="1" applyAlignment="1">
      <alignment horizontal="center" vertical="center" wrapText="1"/>
    </xf>
    <xf numFmtId="0" fontId="0" fillId="28" borderId="0" xfId="0" applyNumberFormat="1" applyFont="1" applyFill="1" applyAlignment="1">
      <alignment horizontal="center" vertical="center" wrapText="1"/>
    </xf>
    <xf numFmtId="0" fontId="13" fillId="4" borderId="0" xfId="0" applyFont="1" applyFill="1" applyBorder="1" applyAlignment="1">
      <alignment horizontal="center" vertical="center" wrapText="1"/>
    </xf>
    <xf numFmtId="166" fontId="0" fillId="22" borderId="0" xfId="0" applyNumberFormat="1" applyFont="1" applyFill="1" applyAlignment="1">
      <alignment horizontal="center" vertical="center" wrapText="1"/>
    </xf>
    <xf numFmtId="166" fontId="0" fillId="37" borderId="0" xfId="0" applyNumberFormat="1" applyFont="1" applyFill="1" applyAlignment="1">
      <alignment horizontal="center" vertical="center" wrapText="1"/>
    </xf>
    <xf numFmtId="0" fontId="12" fillId="3" borderId="0" xfId="5" applyFont="1" applyFill="1" applyAlignment="1">
      <alignment horizontal="center" vertical="center" wrapText="1"/>
    </xf>
    <xf numFmtId="166" fontId="0" fillId="38" borderId="0" xfId="0" applyNumberFormat="1" applyFont="1" applyFill="1" applyAlignment="1">
      <alignment horizontal="center" vertical="center" wrapText="1"/>
    </xf>
    <xf numFmtId="2" fontId="0" fillId="16" borderId="0" xfId="0" applyNumberFormat="1" applyFill="1" applyAlignment="1">
      <alignment horizontal="center" vertical="center" wrapText="1"/>
    </xf>
  </cellXfs>
  <cellStyles count="6">
    <cellStyle name="20% - Accent1" xfId="3" builtinId="30"/>
    <cellStyle name="40% - Accent3" xfId="4" builtinId="39"/>
    <cellStyle name="Bad" xfId="5" builtinId="27"/>
    <cellStyle name="Good" xfId="1" builtinId="26"/>
    <cellStyle name="Normal" xfId="0" builtinId="0"/>
    <cellStyle name="Note" xfId="2" builtinId="10"/>
  </cellStyles>
  <dxfs count="111">
    <dxf>
      <font>
        <b/>
        <i val="0"/>
        <color theme="0"/>
      </font>
      <fill>
        <patternFill>
          <bgColor theme="1" tint="0.24994659260841701"/>
        </patternFill>
      </fill>
    </dxf>
    <dxf>
      <font>
        <b/>
        <i val="0"/>
        <color theme="0"/>
      </font>
      <fill>
        <patternFill>
          <bgColor theme="1" tint="0.24994659260841701"/>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ont>
        <b/>
        <i val="0"/>
        <color theme="0"/>
      </font>
      <fill>
        <patternFill>
          <bgColor theme="1" tint="0.24994659260841701"/>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rgb="FF92D050"/>
        </patternFill>
      </fill>
    </dxf>
    <dxf>
      <fill>
        <patternFill>
          <bgColor theme="7" tint="0.39994506668294322"/>
        </patternFill>
      </fill>
    </dxf>
    <dxf>
      <fill>
        <patternFill>
          <bgColor rgb="FFFF3300"/>
        </patternFill>
      </fill>
    </dxf>
    <dxf>
      <fill>
        <patternFill>
          <bgColor rgb="FFFF5050"/>
        </patternFill>
      </fill>
    </dxf>
    <dxf>
      <fill>
        <patternFill>
          <bgColor theme="2"/>
        </patternFill>
      </fill>
    </dxf>
    <dxf>
      <font>
        <b/>
        <i val="0"/>
      </font>
      <fill>
        <patternFill patternType="solid">
          <bgColor theme="9" tint="0.79998168889431442"/>
        </patternFill>
      </fill>
      <border>
        <left/>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ABDB77"/>
      <color rgb="FFFF2929"/>
      <color rgb="FFFF5050"/>
      <color rgb="FFFBAFAF"/>
      <color rgb="FFA9DA74"/>
      <color rgb="FF43CEFF"/>
      <color rgb="FFA6D86E"/>
      <color rgb="FFC5ECFF"/>
      <color rgb="FF66CCFF"/>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74"/>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8"/>
  <sheetViews>
    <sheetView tabSelected="1" topLeftCell="A21" zoomScale="85" workbookViewId="0">
      <selection activeCell="D42" sqref="D42"/>
    </sheetView>
  </sheetViews>
  <sheetFormatPr defaultColWidth="9.140625" defaultRowHeight="15" outlineLevelRow="1" x14ac:dyDescent="0.25"/>
  <cols>
    <col min="1" max="1" width="9.140625" style="10" customWidth="1"/>
    <col min="2" max="2" width="9.140625" style="36"/>
    <col min="3" max="3" width="29.85546875" style="36" customWidth="1"/>
    <col min="4" max="4" width="15.85546875" style="37" customWidth="1"/>
    <col min="5" max="5" width="16.42578125" style="37" customWidth="1"/>
    <col min="6" max="6" width="32.85546875" style="26" customWidth="1"/>
    <col min="7" max="7" width="2.42578125" style="15"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7"/>
      <c r="C1" s="27"/>
      <c r="D1" s="28"/>
      <c r="E1" s="28"/>
      <c r="F1" s="21"/>
      <c r="G1" s="11"/>
      <c r="H1" s="53"/>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c r="DR1" s="53"/>
      <c r="DS1" s="53"/>
      <c r="DT1" s="53"/>
      <c r="DU1" s="53"/>
      <c r="DV1" s="53"/>
      <c r="DW1" s="53"/>
      <c r="DX1" s="53"/>
      <c r="DY1" s="53"/>
      <c r="DZ1" s="53"/>
      <c r="EA1" s="53"/>
      <c r="EB1" s="53"/>
      <c r="EC1" s="53"/>
      <c r="ED1" s="53"/>
      <c r="EE1" s="53"/>
      <c r="EF1" s="53"/>
      <c r="EG1" s="53"/>
      <c r="EH1" s="53"/>
      <c r="EI1" s="53"/>
      <c r="EJ1" s="53"/>
      <c r="EK1" s="53"/>
      <c r="EL1" s="53"/>
      <c r="EM1" s="53"/>
      <c r="EN1" s="53"/>
      <c r="EO1" s="53"/>
      <c r="EP1" s="53"/>
      <c r="EQ1" s="53"/>
      <c r="ER1" s="53"/>
      <c r="ES1" s="53"/>
      <c r="ET1" s="53"/>
      <c r="EU1" s="53"/>
      <c r="EV1" s="53"/>
      <c r="EW1" s="53"/>
      <c r="EX1" s="53"/>
      <c r="EY1" s="53"/>
      <c r="EZ1" s="53"/>
      <c r="FA1" s="53"/>
      <c r="FB1" s="53"/>
      <c r="FC1" s="53"/>
      <c r="FD1" s="53"/>
      <c r="FE1" s="53"/>
      <c r="FF1" s="53"/>
      <c r="FG1" s="53"/>
      <c r="FH1" s="53"/>
      <c r="FI1" s="53"/>
      <c r="FJ1" s="53"/>
      <c r="FK1" s="53"/>
      <c r="FL1" s="53"/>
      <c r="FM1" s="53"/>
      <c r="FN1" s="53"/>
      <c r="FO1" s="53"/>
      <c r="FP1" s="53"/>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c r="JA1" s="53"/>
      <c r="JB1" s="53"/>
      <c r="JC1" s="53"/>
      <c r="JD1" s="53"/>
      <c r="JE1" s="53"/>
      <c r="JF1" s="53"/>
      <c r="JG1" s="53"/>
      <c r="JH1" s="53"/>
      <c r="JI1" s="53"/>
      <c r="JJ1" s="53"/>
      <c r="JK1" s="53"/>
      <c r="JL1" s="53"/>
      <c r="JM1" s="53"/>
      <c r="JN1" s="53"/>
      <c r="JO1" s="53"/>
      <c r="JP1" s="53"/>
      <c r="JQ1" s="53"/>
      <c r="JR1" s="53"/>
      <c r="JS1" s="53"/>
      <c r="JT1" s="53"/>
      <c r="JU1" s="53"/>
      <c r="JV1" s="53"/>
      <c r="JW1" s="53"/>
      <c r="JX1" s="53"/>
      <c r="JY1" s="53"/>
      <c r="JZ1" s="53"/>
      <c r="KA1" s="53"/>
      <c r="KB1" s="53"/>
      <c r="KC1" s="53"/>
      <c r="KD1" s="53"/>
      <c r="KE1" s="53"/>
      <c r="KF1" s="53"/>
      <c r="KG1" s="53"/>
      <c r="KH1" s="53"/>
      <c r="KI1" s="53"/>
      <c r="KJ1" s="53"/>
      <c r="KK1" s="53"/>
      <c r="KL1" s="53"/>
      <c r="KM1" s="53"/>
      <c r="KN1" s="53"/>
      <c r="KO1" s="53"/>
      <c r="KP1" s="53"/>
      <c r="KQ1" s="53"/>
      <c r="KR1" s="53"/>
      <c r="KS1" s="53"/>
      <c r="KT1" s="53"/>
      <c r="KU1" s="53"/>
      <c r="KV1" s="53"/>
      <c r="KW1" s="53"/>
      <c r="KX1" s="53"/>
      <c r="KY1" s="53"/>
      <c r="KZ1" s="53"/>
      <c r="LA1" s="53"/>
      <c r="LB1" s="53"/>
      <c r="LC1" s="53"/>
      <c r="LD1" s="53"/>
      <c r="LE1" s="53"/>
      <c r="LF1" s="53"/>
      <c r="LG1" s="53"/>
      <c r="LH1" s="53"/>
      <c r="LI1" s="53"/>
      <c r="LJ1" s="53"/>
      <c r="LK1" s="53"/>
      <c r="LL1" s="53"/>
      <c r="LM1" s="53"/>
      <c r="LN1" s="53"/>
      <c r="LO1" s="53"/>
      <c r="LP1" s="53"/>
      <c r="LQ1" s="53"/>
      <c r="LR1" s="53"/>
      <c r="LS1" s="53"/>
      <c r="LT1" s="53"/>
      <c r="LU1" s="53"/>
      <c r="LV1" s="53"/>
      <c r="LW1" s="53"/>
      <c r="LX1" s="53"/>
      <c r="LY1" s="53"/>
      <c r="LZ1" s="53"/>
      <c r="MA1" s="53"/>
      <c r="MB1" s="53"/>
      <c r="MC1" s="53"/>
      <c r="MD1" s="53"/>
      <c r="ME1" s="53"/>
      <c r="MF1" s="53"/>
      <c r="MG1" s="53"/>
      <c r="MH1" s="53"/>
      <c r="MI1" s="53"/>
      <c r="MJ1" s="53"/>
      <c r="MK1" s="53"/>
      <c r="ML1" s="53"/>
      <c r="MM1" s="53"/>
      <c r="MN1" s="53"/>
      <c r="MO1" s="53"/>
      <c r="MP1" s="53"/>
      <c r="MQ1" s="53"/>
      <c r="MR1" s="53"/>
      <c r="MS1" s="53"/>
      <c r="MT1" s="53"/>
      <c r="MU1" s="53"/>
      <c r="MV1" s="53"/>
      <c r="MW1" s="53"/>
      <c r="MX1" s="53"/>
      <c r="MY1" s="53"/>
      <c r="MZ1" s="53"/>
      <c r="NA1" s="53"/>
      <c r="NB1" s="53"/>
      <c r="NC1" s="53"/>
    </row>
    <row r="2" spans="1:367" s="7" customFormat="1" x14ac:dyDescent="0.25">
      <c r="A2" s="9"/>
      <c r="B2" s="29"/>
      <c r="C2" s="29"/>
      <c r="D2" s="30"/>
      <c r="E2" s="30"/>
      <c r="F2" s="22"/>
      <c r="G2" s="11"/>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c r="DQ2" s="53"/>
      <c r="DR2" s="53"/>
      <c r="DS2" s="53"/>
      <c r="DT2" s="53"/>
      <c r="DU2" s="53"/>
      <c r="DV2" s="53"/>
      <c r="DW2" s="53"/>
      <c r="DX2" s="53"/>
      <c r="DY2" s="53"/>
      <c r="DZ2" s="53"/>
      <c r="EA2" s="53"/>
      <c r="EB2" s="53"/>
      <c r="EC2" s="53"/>
      <c r="ED2" s="53"/>
      <c r="EE2" s="53"/>
      <c r="EF2" s="53"/>
      <c r="EG2" s="53"/>
      <c r="EH2" s="53"/>
      <c r="EI2" s="53"/>
      <c r="EJ2" s="53"/>
      <c r="EK2" s="53"/>
      <c r="EL2" s="53"/>
      <c r="EM2" s="53"/>
      <c r="EN2" s="53"/>
      <c r="EO2" s="53"/>
      <c r="EP2" s="53"/>
      <c r="EQ2" s="53"/>
      <c r="ER2" s="53"/>
      <c r="ES2" s="53"/>
      <c r="ET2" s="53"/>
      <c r="EU2" s="53"/>
      <c r="EV2" s="53"/>
      <c r="EW2" s="53"/>
      <c r="EX2" s="53"/>
      <c r="EY2" s="53"/>
      <c r="EZ2" s="53"/>
      <c r="FA2" s="53"/>
      <c r="FB2" s="53"/>
      <c r="FC2" s="53"/>
      <c r="FD2" s="53"/>
      <c r="FE2" s="53"/>
      <c r="FF2" s="53"/>
      <c r="FG2" s="53"/>
      <c r="FH2" s="53"/>
      <c r="FI2" s="53"/>
      <c r="FJ2" s="53"/>
      <c r="FK2" s="53"/>
      <c r="FL2" s="53"/>
      <c r="FM2" s="53"/>
      <c r="FN2" s="53"/>
      <c r="FO2" s="53"/>
      <c r="FP2" s="53"/>
      <c r="FQ2" s="53"/>
      <c r="FR2" s="53"/>
      <c r="FS2" s="53"/>
      <c r="FT2" s="53"/>
      <c r="FU2" s="53"/>
      <c r="FV2" s="53"/>
      <c r="FW2" s="53"/>
      <c r="FX2" s="53"/>
      <c r="FY2" s="53"/>
      <c r="FZ2" s="53"/>
      <c r="GA2" s="53"/>
      <c r="GB2" s="53"/>
      <c r="GC2" s="53"/>
      <c r="GD2" s="53"/>
      <c r="GE2" s="53"/>
      <c r="GF2" s="53"/>
      <c r="GG2" s="53"/>
      <c r="GH2" s="53"/>
      <c r="GI2" s="53"/>
      <c r="GJ2" s="53"/>
      <c r="GK2" s="53"/>
      <c r="GL2" s="53"/>
      <c r="GM2" s="53"/>
      <c r="GN2" s="53"/>
      <c r="GO2" s="53"/>
      <c r="GP2" s="53"/>
      <c r="GQ2" s="53"/>
      <c r="GR2" s="53"/>
      <c r="GS2" s="53"/>
      <c r="GT2" s="53"/>
      <c r="GU2" s="53"/>
      <c r="GV2" s="53"/>
      <c r="GW2" s="53"/>
      <c r="GX2" s="53"/>
      <c r="GY2" s="53"/>
      <c r="GZ2" s="53"/>
      <c r="HA2" s="53"/>
      <c r="HB2" s="53"/>
      <c r="HC2" s="53"/>
      <c r="HD2" s="53"/>
      <c r="HE2" s="53"/>
      <c r="HF2" s="53"/>
      <c r="HG2" s="53"/>
      <c r="HH2" s="53"/>
      <c r="HI2" s="53"/>
      <c r="HJ2" s="53"/>
      <c r="HK2" s="53"/>
      <c r="HL2" s="53"/>
      <c r="HM2" s="53"/>
      <c r="HN2" s="53"/>
      <c r="HO2" s="53"/>
      <c r="HP2" s="53"/>
      <c r="HQ2" s="53"/>
      <c r="HR2" s="53"/>
      <c r="HS2" s="53"/>
      <c r="HT2" s="53"/>
      <c r="HU2" s="53"/>
      <c r="HV2" s="53"/>
      <c r="HW2" s="53"/>
      <c r="HX2" s="53"/>
      <c r="HY2" s="53"/>
      <c r="HZ2" s="53"/>
      <c r="IA2" s="53"/>
      <c r="IB2" s="53"/>
      <c r="IC2" s="53"/>
      <c r="ID2" s="53"/>
      <c r="IE2" s="53"/>
      <c r="IF2" s="53"/>
      <c r="IG2" s="53"/>
      <c r="IH2" s="53"/>
      <c r="II2" s="53"/>
      <c r="IJ2" s="53"/>
      <c r="IK2" s="53"/>
      <c r="IL2" s="53"/>
      <c r="IM2" s="53"/>
      <c r="IN2" s="53"/>
      <c r="IO2" s="53"/>
      <c r="IP2" s="53"/>
      <c r="IQ2" s="53"/>
      <c r="IR2" s="53"/>
      <c r="IS2" s="53"/>
      <c r="IT2" s="53"/>
      <c r="IU2" s="53"/>
      <c r="IV2" s="53"/>
      <c r="IW2" s="53"/>
      <c r="IX2" s="53"/>
      <c r="IY2" s="53"/>
      <c r="IZ2" s="53"/>
      <c r="JA2" s="53"/>
      <c r="JB2" s="53"/>
      <c r="JC2" s="53"/>
      <c r="JD2" s="53"/>
      <c r="JE2" s="53"/>
      <c r="JF2" s="53"/>
      <c r="JG2" s="53"/>
      <c r="JH2" s="53"/>
      <c r="JI2" s="53"/>
      <c r="JJ2" s="53"/>
      <c r="JK2" s="53"/>
      <c r="JL2" s="53"/>
      <c r="JM2" s="53"/>
      <c r="JN2" s="53"/>
      <c r="JO2" s="53"/>
      <c r="JP2" s="53"/>
      <c r="JQ2" s="53"/>
      <c r="JR2" s="53"/>
      <c r="JS2" s="53"/>
      <c r="JT2" s="53"/>
      <c r="JU2" s="53"/>
      <c r="JV2" s="53"/>
      <c r="JW2" s="53"/>
      <c r="JX2" s="53"/>
      <c r="JY2" s="53"/>
      <c r="JZ2" s="53"/>
      <c r="KA2" s="53"/>
      <c r="KB2" s="53"/>
      <c r="KC2" s="53"/>
      <c r="KD2" s="53"/>
      <c r="KE2" s="53"/>
      <c r="KF2" s="53"/>
      <c r="KG2" s="53"/>
      <c r="KH2" s="53"/>
      <c r="KI2" s="53"/>
      <c r="KJ2" s="53"/>
      <c r="KK2" s="53"/>
      <c r="KL2" s="53"/>
      <c r="KM2" s="53"/>
      <c r="KN2" s="53"/>
      <c r="KO2" s="53"/>
      <c r="KP2" s="53"/>
      <c r="KQ2" s="53"/>
      <c r="KR2" s="53"/>
      <c r="KS2" s="53"/>
      <c r="KT2" s="53"/>
      <c r="KU2" s="53"/>
      <c r="KV2" s="53"/>
      <c r="KW2" s="53"/>
      <c r="KX2" s="53"/>
      <c r="KY2" s="53"/>
      <c r="KZ2" s="53"/>
      <c r="LA2" s="53"/>
      <c r="LB2" s="53"/>
      <c r="LC2" s="53"/>
      <c r="LD2" s="53"/>
      <c r="LE2" s="53"/>
      <c r="LF2" s="53"/>
      <c r="LG2" s="53"/>
      <c r="LH2" s="53"/>
      <c r="LI2" s="53"/>
      <c r="LJ2" s="53"/>
      <c r="LK2" s="53"/>
      <c r="LL2" s="53"/>
      <c r="LM2" s="53"/>
      <c r="LN2" s="53"/>
      <c r="LO2" s="53"/>
      <c r="LP2" s="53"/>
      <c r="LQ2" s="53"/>
      <c r="LR2" s="53"/>
      <c r="LS2" s="53"/>
      <c r="LT2" s="53"/>
      <c r="LU2" s="53"/>
      <c r="LV2" s="53"/>
      <c r="LW2" s="53"/>
      <c r="LX2" s="53"/>
      <c r="LY2" s="53"/>
      <c r="LZ2" s="53"/>
      <c r="MA2" s="53"/>
      <c r="MB2" s="53"/>
      <c r="MC2" s="53"/>
      <c r="MD2" s="53"/>
      <c r="ME2" s="53"/>
      <c r="MF2" s="53"/>
      <c r="MG2" s="53"/>
      <c r="MH2" s="53"/>
      <c r="MI2" s="53"/>
      <c r="MJ2" s="53"/>
      <c r="MK2" s="53"/>
      <c r="ML2" s="53"/>
      <c r="MM2" s="53"/>
      <c r="MN2" s="53"/>
      <c r="MO2" s="53"/>
      <c r="MP2" s="53"/>
      <c r="MQ2" s="53"/>
      <c r="MR2" s="53"/>
      <c r="MS2" s="53"/>
      <c r="MT2" s="53"/>
      <c r="MU2" s="53"/>
      <c r="MV2" s="53"/>
      <c r="MW2" s="53"/>
      <c r="MX2" s="53"/>
      <c r="MY2" s="53"/>
      <c r="MZ2" s="53"/>
      <c r="NA2" s="53"/>
      <c r="NB2" s="53"/>
      <c r="NC2" s="53"/>
    </row>
    <row r="3" spans="1:367" s="5" customFormat="1" ht="39.75" customHeight="1" x14ac:dyDescent="0.25">
      <c r="A3" s="8"/>
      <c r="B3" s="31"/>
      <c r="C3" s="31" t="s">
        <v>5</v>
      </c>
      <c r="D3" s="32" t="s">
        <v>6</v>
      </c>
      <c r="E3" s="32"/>
      <c r="F3" s="23"/>
      <c r="G3" s="14"/>
      <c r="H3" s="6">
        <v>374</v>
      </c>
      <c r="I3" s="6"/>
      <c r="J3" s="6">
        <v>378</v>
      </c>
      <c r="K3" s="6"/>
      <c r="L3" s="6"/>
      <c r="M3" s="6" t="s">
        <v>313</v>
      </c>
      <c r="N3" s="262">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33"/>
      <c r="C4" s="41">
        <f ca="1">TODAY()</f>
        <v>43145</v>
      </c>
      <c r="D4" s="42" t="s">
        <v>7</v>
      </c>
      <c r="E4" s="34"/>
      <c r="F4" s="24"/>
      <c r="G4" s="14"/>
      <c r="H4" s="6">
        <f>$H$3 - 365</f>
        <v>9</v>
      </c>
      <c r="K4" s="242" t="s">
        <v>20</v>
      </c>
    </row>
    <row r="5" spans="1:367" s="6" customFormat="1" x14ac:dyDescent="0.25">
      <c r="A5" s="10"/>
      <c r="B5" s="33"/>
      <c r="C5" s="33"/>
      <c r="D5" s="34"/>
      <c r="E5" s="34"/>
      <c r="F5" s="24"/>
      <c r="G5" s="14"/>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6" customFormat="1" ht="62.25" customHeight="1" x14ac:dyDescent="0.25">
      <c r="A6" s="18"/>
      <c r="B6" s="25"/>
      <c r="C6" s="25"/>
      <c r="D6" s="25"/>
      <c r="E6" s="25"/>
      <c r="F6" s="149"/>
      <c r="G6" s="17"/>
      <c r="H6" s="16">
        <f t="shared" ref="H6:K6" ca="1" si="0">TODAY()+((COLUMN()-$H$4)*$N$3)</f>
        <v>43144</v>
      </c>
      <c r="I6" s="16">
        <f t="shared" ca="1" si="0"/>
        <v>43145</v>
      </c>
      <c r="J6" s="16">
        <f t="shared" ca="1" si="0"/>
        <v>43146</v>
      </c>
      <c r="K6" s="16">
        <f t="shared" ca="1" si="0"/>
        <v>43147</v>
      </c>
      <c r="L6" s="16">
        <f ca="1">TODAY()+((COLUMN()-$H$4)*$N$3)</f>
        <v>43148</v>
      </c>
      <c r="M6" s="16">
        <f ca="1">TODAY()+((COLUMN()-$H$4)*$N$3)</f>
        <v>43149</v>
      </c>
      <c r="N6" s="16">
        <f ca="1">TODAY()+((COLUMN()-$H$4)*$N$3)</f>
        <v>43150</v>
      </c>
      <c r="O6" s="16">
        <f t="shared" ref="O6:BZ6" ca="1" si="1">TODAY()+((COLUMN()-$H$4)*$N$3)</f>
        <v>43151</v>
      </c>
      <c r="P6" s="16">
        <f t="shared" ca="1" si="1"/>
        <v>43152</v>
      </c>
      <c r="Q6" s="16">
        <f t="shared" ca="1" si="1"/>
        <v>43153</v>
      </c>
      <c r="R6" s="16">
        <f t="shared" ca="1" si="1"/>
        <v>43154</v>
      </c>
      <c r="S6" s="16">
        <f t="shared" ca="1" si="1"/>
        <v>43155</v>
      </c>
      <c r="T6" s="16">
        <f t="shared" ca="1" si="1"/>
        <v>43156</v>
      </c>
      <c r="U6" s="16">
        <f t="shared" ca="1" si="1"/>
        <v>43157</v>
      </c>
      <c r="V6" s="16">
        <f t="shared" ca="1" si="1"/>
        <v>43158</v>
      </c>
      <c r="W6" s="16">
        <f t="shared" ca="1" si="1"/>
        <v>43159</v>
      </c>
      <c r="X6" s="16">
        <f t="shared" ca="1" si="1"/>
        <v>43160</v>
      </c>
      <c r="Y6" s="16">
        <f t="shared" ca="1" si="1"/>
        <v>43161</v>
      </c>
      <c r="Z6" s="16">
        <f t="shared" ca="1" si="1"/>
        <v>43162</v>
      </c>
      <c r="AA6" s="16">
        <f t="shared" ca="1" si="1"/>
        <v>43163</v>
      </c>
      <c r="AB6" s="16">
        <f t="shared" ca="1" si="1"/>
        <v>43164</v>
      </c>
      <c r="AC6" s="16">
        <f t="shared" ca="1" si="1"/>
        <v>43165</v>
      </c>
      <c r="AD6" s="16">
        <f t="shared" ca="1" si="1"/>
        <v>43166</v>
      </c>
      <c r="AE6" s="16">
        <f t="shared" ca="1" si="1"/>
        <v>43167</v>
      </c>
      <c r="AF6" s="16">
        <f t="shared" ca="1" si="1"/>
        <v>43168</v>
      </c>
      <c r="AG6" s="16">
        <f t="shared" ca="1" si="1"/>
        <v>43169</v>
      </c>
      <c r="AH6" s="16">
        <f t="shared" ca="1" si="1"/>
        <v>43170</v>
      </c>
      <c r="AI6" s="16">
        <f t="shared" ca="1" si="1"/>
        <v>43171</v>
      </c>
      <c r="AJ6" s="16">
        <f t="shared" ca="1" si="1"/>
        <v>43172</v>
      </c>
      <c r="AK6" s="16">
        <f t="shared" ca="1" si="1"/>
        <v>43173</v>
      </c>
      <c r="AL6" s="16">
        <f t="shared" ca="1" si="1"/>
        <v>43174</v>
      </c>
      <c r="AM6" s="16">
        <f t="shared" ca="1" si="1"/>
        <v>43175</v>
      </c>
      <c r="AN6" s="16">
        <f t="shared" ca="1" si="1"/>
        <v>43176</v>
      </c>
      <c r="AO6" s="16">
        <f t="shared" ca="1" si="1"/>
        <v>43177</v>
      </c>
      <c r="AP6" s="16">
        <f t="shared" ca="1" si="1"/>
        <v>43178</v>
      </c>
      <c r="AQ6" s="16">
        <f t="shared" ca="1" si="1"/>
        <v>43179</v>
      </c>
      <c r="AR6" s="16">
        <f t="shared" ca="1" si="1"/>
        <v>43180</v>
      </c>
      <c r="AS6" s="16">
        <f t="shared" ca="1" si="1"/>
        <v>43181</v>
      </c>
      <c r="AT6" s="16">
        <f t="shared" ca="1" si="1"/>
        <v>43182</v>
      </c>
      <c r="AU6" s="16">
        <f t="shared" ca="1" si="1"/>
        <v>43183</v>
      </c>
      <c r="AV6" s="16">
        <f t="shared" ca="1" si="1"/>
        <v>43184</v>
      </c>
      <c r="AW6" s="16">
        <f t="shared" ca="1" si="1"/>
        <v>43185</v>
      </c>
      <c r="AX6" s="16">
        <f t="shared" ca="1" si="1"/>
        <v>43186</v>
      </c>
      <c r="AY6" s="16">
        <f t="shared" ca="1" si="1"/>
        <v>43187</v>
      </c>
      <c r="AZ6" s="16">
        <f t="shared" ca="1" si="1"/>
        <v>43188</v>
      </c>
      <c r="BA6" s="16">
        <f t="shared" ca="1" si="1"/>
        <v>43189</v>
      </c>
      <c r="BB6" s="16">
        <f t="shared" ca="1" si="1"/>
        <v>43190</v>
      </c>
      <c r="BC6" s="16">
        <f t="shared" ca="1" si="1"/>
        <v>43191</v>
      </c>
      <c r="BD6" s="16">
        <f t="shared" ca="1" si="1"/>
        <v>43192</v>
      </c>
      <c r="BE6" s="16">
        <f t="shared" ca="1" si="1"/>
        <v>43193</v>
      </c>
      <c r="BF6" s="16">
        <f t="shared" ca="1" si="1"/>
        <v>43194</v>
      </c>
      <c r="BG6" s="16">
        <f t="shared" ca="1" si="1"/>
        <v>43195</v>
      </c>
      <c r="BH6" s="16">
        <f t="shared" ca="1" si="1"/>
        <v>43196</v>
      </c>
      <c r="BI6" s="16">
        <f t="shared" ca="1" si="1"/>
        <v>43197</v>
      </c>
      <c r="BJ6" s="16">
        <f t="shared" ca="1" si="1"/>
        <v>43198</v>
      </c>
      <c r="BK6" s="16">
        <f t="shared" ca="1" si="1"/>
        <v>43199</v>
      </c>
      <c r="BL6" s="16">
        <f t="shared" ca="1" si="1"/>
        <v>43200</v>
      </c>
      <c r="BM6" s="16">
        <f t="shared" ca="1" si="1"/>
        <v>43201</v>
      </c>
      <c r="BN6" s="16">
        <f t="shared" ca="1" si="1"/>
        <v>43202</v>
      </c>
      <c r="BO6" s="16">
        <f t="shared" ca="1" si="1"/>
        <v>43203</v>
      </c>
      <c r="BP6" s="16">
        <f t="shared" ca="1" si="1"/>
        <v>43204</v>
      </c>
      <c r="BQ6" s="16">
        <f t="shared" ca="1" si="1"/>
        <v>43205</v>
      </c>
      <c r="BR6" s="16">
        <f t="shared" ca="1" si="1"/>
        <v>43206</v>
      </c>
      <c r="BS6" s="16">
        <f t="shared" ca="1" si="1"/>
        <v>43207</v>
      </c>
      <c r="BT6" s="16">
        <f t="shared" ca="1" si="1"/>
        <v>43208</v>
      </c>
      <c r="BU6" s="16">
        <f t="shared" ca="1" si="1"/>
        <v>43209</v>
      </c>
      <c r="BV6" s="16">
        <f t="shared" ca="1" si="1"/>
        <v>43210</v>
      </c>
      <c r="BW6" s="16">
        <f t="shared" ca="1" si="1"/>
        <v>43211</v>
      </c>
      <c r="BX6" s="16">
        <f t="shared" ca="1" si="1"/>
        <v>43212</v>
      </c>
      <c r="BY6" s="16">
        <f t="shared" ca="1" si="1"/>
        <v>43213</v>
      </c>
      <c r="BZ6" s="16">
        <f t="shared" ca="1" si="1"/>
        <v>43214</v>
      </c>
      <c r="CA6" s="16">
        <f t="shared" ref="CA6:EL6" ca="1" si="2">TODAY()+((COLUMN()-$H$4)*$N$3)</f>
        <v>43215</v>
      </c>
      <c r="CB6" s="16">
        <f t="shared" ca="1" si="2"/>
        <v>43216</v>
      </c>
      <c r="CC6" s="16">
        <f t="shared" ca="1" si="2"/>
        <v>43217</v>
      </c>
      <c r="CD6" s="16">
        <f t="shared" ca="1" si="2"/>
        <v>43218</v>
      </c>
      <c r="CE6" s="16">
        <f t="shared" ca="1" si="2"/>
        <v>43219</v>
      </c>
      <c r="CF6" s="16">
        <f t="shared" ca="1" si="2"/>
        <v>43220</v>
      </c>
      <c r="CG6" s="16">
        <f t="shared" ca="1" si="2"/>
        <v>43221</v>
      </c>
      <c r="CH6" s="16">
        <f t="shared" ca="1" si="2"/>
        <v>43222</v>
      </c>
      <c r="CI6" s="16">
        <f t="shared" ca="1" si="2"/>
        <v>43223</v>
      </c>
      <c r="CJ6" s="16">
        <f t="shared" ca="1" si="2"/>
        <v>43224</v>
      </c>
      <c r="CK6" s="16">
        <f t="shared" ca="1" si="2"/>
        <v>43225</v>
      </c>
      <c r="CL6" s="16">
        <f t="shared" ca="1" si="2"/>
        <v>43226</v>
      </c>
      <c r="CM6" s="16">
        <f t="shared" ca="1" si="2"/>
        <v>43227</v>
      </c>
      <c r="CN6" s="16">
        <f t="shared" ca="1" si="2"/>
        <v>43228</v>
      </c>
      <c r="CO6" s="16">
        <f t="shared" ca="1" si="2"/>
        <v>43229</v>
      </c>
      <c r="CP6" s="16">
        <f t="shared" ca="1" si="2"/>
        <v>43230</v>
      </c>
      <c r="CQ6" s="16">
        <f t="shared" ca="1" si="2"/>
        <v>43231</v>
      </c>
      <c r="CR6" s="16">
        <f t="shared" ca="1" si="2"/>
        <v>43232</v>
      </c>
      <c r="CS6" s="16">
        <f t="shared" ca="1" si="2"/>
        <v>43233</v>
      </c>
      <c r="CT6" s="16">
        <f t="shared" ca="1" si="2"/>
        <v>43234</v>
      </c>
      <c r="CU6" s="16">
        <f t="shared" ca="1" si="2"/>
        <v>43235</v>
      </c>
      <c r="CV6" s="16">
        <f t="shared" ca="1" si="2"/>
        <v>43236</v>
      </c>
      <c r="CW6" s="16">
        <f t="shared" ca="1" si="2"/>
        <v>43237</v>
      </c>
      <c r="CX6" s="16">
        <f t="shared" ca="1" si="2"/>
        <v>43238</v>
      </c>
      <c r="CY6" s="16">
        <f t="shared" ca="1" si="2"/>
        <v>43239</v>
      </c>
      <c r="CZ6" s="16">
        <f t="shared" ca="1" si="2"/>
        <v>43240</v>
      </c>
      <c r="DA6" s="16">
        <f t="shared" ca="1" si="2"/>
        <v>43241</v>
      </c>
      <c r="DB6" s="16">
        <f t="shared" ca="1" si="2"/>
        <v>43242</v>
      </c>
      <c r="DC6" s="16">
        <f t="shared" ca="1" si="2"/>
        <v>43243</v>
      </c>
      <c r="DD6" s="16">
        <f t="shared" ca="1" si="2"/>
        <v>43244</v>
      </c>
      <c r="DE6" s="16">
        <f t="shared" ca="1" si="2"/>
        <v>43245</v>
      </c>
      <c r="DF6" s="16">
        <f t="shared" ca="1" si="2"/>
        <v>43246</v>
      </c>
      <c r="DG6" s="16">
        <f t="shared" ca="1" si="2"/>
        <v>43247</v>
      </c>
      <c r="DH6" s="16">
        <f t="shared" ca="1" si="2"/>
        <v>43248</v>
      </c>
      <c r="DI6" s="16">
        <f t="shared" ca="1" si="2"/>
        <v>43249</v>
      </c>
      <c r="DJ6" s="16">
        <f t="shared" ca="1" si="2"/>
        <v>43250</v>
      </c>
      <c r="DK6" s="16">
        <f t="shared" ca="1" si="2"/>
        <v>43251</v>
      </c>
      <c r="DL6" s="16">
        <f t="shared" ca="1" si="2"/>
        <v>43252</v>
      </c>
      <c r="DM6" s="16">
        <f t="shared" ca="1" si="2"/>
        <v>43253</v>
      </c>
      <c r="DN6" s="16">
        <f t="shared" ca="1" si="2"/>
        <v>43254</v>
      </c>
      <c r="DO6" s="16">
        <f t="shared" ca="1" si="2"/>
        <v>43255</v>
      </c>
      <c r="DP6" s="16">
        <f t="shared" ca="1" si="2"/>
        <v>43256</v>
      </c>
      <c r="DQ6" s="16">
        <f t="shared" ca="1" si="2"/>
        <v>43257</v>
      </c>
      <c r="DR6" s="16">
        <f t="shared" ca="1" si="2"/>
        <v>43258</v>
      </c>
      <c r="DS6" s="16">
        <f t="shared" ca="1" si="2"/>
        <v>43259</v>
      </c>
      <c r="DT6" s="16">
        <f t="shared" ca="1" si="2"/>
        <v>43260</v>
      </c>
      <c r="DU6" s="16">
        <f t="shared" ca="1" si="2"/>
        <v>43261</v>
      </c>
      <c r="DV6" s="16">
        <f t="shared" ca="1" si="2"/>
        <v>43262</v>
      </c>
      <c r="DW6" s="16">
        <f t="shared" ca="1" si="2"/>
        <v>43263</v>
      </c>
      <c r="DX6" s="16">
        <f t="shared" ca="1" si="2"/>
        <v>43264</v>
      </c>
      <c r="DY6" s="16">
        <f t="shared" ca="1" si="2"/>
        <v>43265</v>
      </c>
      <c r="DZ6" s="16">
        <f t="shared" ca="1" si="2"/>
        <v>43266</v>
      </c>
      <c r="EA6" s="16">
        <f t="shared" ca="1" si="2"/>
        <v>43267</v>
      </c>
      <c r="EB6" s="16">
        <f t="shared" ca="1" si="2"/>
        <v>43268</v>
      </c>
      <c r="EC6" s="16">
        <f t="shared" ca="1" si="2"/>
        <v>43269</v>
      </c>
      <c r="ED6" s="16">
        <f t="shared" ca="1" si="2"/>
        <v>43270</v>
      </c>
      <c r="EE6" s="16">
        <f t="shared" ca="1" si="2"/>
        <v>43271</v>
      </c>
      <c r="EF6" s="16">
        <f t="shared" ca="1" si="2"/>
        <v>43272</v>
      </c>
      <c r="EG6" s="16">
        <f t="shared" ca="1" si="2"/>
        <v>43273</v>
      </c>
      <c r="EH6" s="16">
        <f t="shared" ca="1" si="2"/>
        <v>43274</v>
      </c>
      <c r="EI6" s="16">
        <f t="shared" ca="1" si="2"/>
        <v>43275</v>
      </c>
      <c r="EJ6" s="16">
        <f t="shared" ca="1" si="2"/>
        <v>43276</v>
      </c>
      <c r="EK6" s="16">
        <f t="shared" ca="1" si="2"/>
        <v>43277</v>
      </c>
      <c r="EL6" s="16">
        <f t="shared" ca="1" si="2"/>
        <v>43278</v>
      </c>
      <c r="EM6" s="16">
        <f t="shared" ref="EM6:GX6" ca="1" si="3">TODAY()+((COLUMN()-$H$4)*$N$3)</f>
        <v>43279</v>
      </c>
      <c r="EN6" s="16">
        <f t="shared" ca="1" si="3"/>
        <v>43280</v>
      </c>
      <c r="EO6" s="16">
        <f t="shared" ca="1" si="3"/>
        <v>43281</v>
      </c>
      <c r="EP6" s="16">
        <f t="shared" ca="1" si="3"/>
        <v>43282</v>
      </c>
      <c r="EQ6" s="16">
        <f t="shared" ca="1" si="3"/>
        <v>43283</v>
      </c>
      <c r="ER6" s="16">
        <f t="shared" ca="1" si="3"/>
        <v>43284</v>
      </c>
      <c r="ES6" s="16">
        <f t="shared" ca="1" si="3"/>
        <v>43285</v>
      </c>
      <c r="ET6" s="16">
        <f t="shared" ca="1" si="3"/>
        <v>43286</v>
      </c>
      <c r="EU6" s="16">
        <f t="shared" ca="1" si="3"/>
        <v>43287</v>
      </c>
      <c r="EV6" s="16">
        <f t="shared" ca="1" si="3"/>
        <v>43288</v>
      </c>
      <c r="EW6" s="16">
        <f t="shared" ca="1" si="3"/>
        <v>43289</v>
      </c>
      <c r="EX6" s="16">
        <f t="shared" ca="1" si="3"/>
        <v>43290</v>
      </c>
      <c r="EY6" s="16">
        <f t="shared" ca="1" si="3"/>
        <v>43291</v>
      </c>
      <c r="EZ6" s="16">
        <f t="shared" ca="1" si="3"/>
        <v>43292</v>
      </c>
      <c r="FA6" s="16">
        <f t="shared" ca="1" si="3"/>
        <v>43293</v>
      </c>
      <c r="FB6" s="16">
        <f t="shared" ca="1" si="3"/>
        <v>43294</v>
      </c>
      <c r="FC6" s="16">
        <f t="shared" ca="1" si="3"/>
        <v>43295</v>
      </c>
      <c r="FD6" s="16">
        <f t="shared" ca="1" si="3"/>
        <v>43296</v>
      </c>
      <c r="FE6" s="16">
        <f t="shared" ca="1" si="3"/>
        <v>43297</v>
      </c>
      <c r="FF6" s="16">
        <f t="shared" ca="1" si="3"/>
        <v>43298</v>
      </c>
      <c r="FG6" s="16">
        <f t="shared" ca="1" si="3"/>
        <v>43299</v>
      </c>
      <c r="FH6" s="16">
        <f t="shared" ca="1" si="3"/>
        <v>43300</v>
      </c>
      <c r="FI6" s="16">
        <f t="shared" ca="1" si="3"/>
        <v>43301</v>
      </c>
      <c r="FJ6" s="16">
        <f t="shared" ca="1" si="3"/>
        <v>43302</v>
      </c>
      <c r="FK6" s="16">
        <f t="shared" ca="1" si="3"/>
        <v>43303</v>
      </c>
      <c r="FL6" s="16">
        <f t="shared" ca="1" si="3"/>
        <v>43304</v>
      </c>
      <c r="FM6" s="16">
        <f t="shared" ca="1" si="3"/>
        <v>43305</v>
      </c>
      <c r="FN6" s="16">
        <f t="shared" ca="1" si="3"/>
        <v>43306</v>
      </c>
      <c r="FO6" s="16">
        <f t="shared" ca="1" si="3"/>
        <v>43307</v>
      </c>
      <c r="FP6" s="16">
        <f t="shared" ca="1" si="3"/>
        <v>43308</v>
      </c>
      <c r="FQ6" s="16">
        <f t="shared" ca="1" si="3"/>
        <v>43309</v>
      </c>
      <c r="FR6" s="16">
        <f t="shared" ca="1" si="3"/>
        <v>43310</v>
      </c>
      <c r="FS6" s="16">
        <f t="shared" ca="1" si="3"/>
        <v>43311</v>
      </c>
      <c r="FT6" s="16">
        <f t="shared" ca="1" si="3"/>
        <v>43312</v>
      </c>
      <c r="FU6" s="16">
        <f t="shared" ca="1" si="3"/>
        <v>43313</v>
      </c>
      <c r="FV6" s="16">
        <f t="shared" ca="1" si="3"/>
        <v>43314</v>
      </c>
      <c r="FW6" s="16">
        <f t="shared" ca="1" si="3"/>
        <v>43315</v>
      </c>
      <c r="FX6" s="16">
        <f t="shared" ca="1" si="3"/>
        <v>43316</v>
      </c>
      <c r="FY6" s="16">
        <f t="shared" ca="1" si="3"/>
        <v>43317</v>
      </c>
      <c r="FZ6" s="16">
        <f t="shared" ca="1" si="3"/>
        <v>43318</v>
      </c>
      <c r="GA6" s="16">
        <f t="shared" ca="1" si="3"/>
        <v>43319</v>
      </c>
      <c r="GB6" s="16">
        <f t="shared" ca="1" si="3"/>
        <v>43320</v>
      </c>
      <c r="GC6" s="16">
        <f t="shared" ca="1" si="3"/>
        <v>43321</v>
      </c>
      <c r="GD6" s="16">
        <f t="shared" ca="1" si="3"/>
        <v>43322</v>
      </c>
      <c r="GE6" s="16">
        <f t="shared" ca="1" si="3"/>
        <v>43323</v>
      </c>
      <c r="GF6" s="16">
        <f t="shared" ca="1" si="3"/>
        <v>43324</v>
      </c>
      <c r="GG6" s="16">
        <f t="shared" ca="1" si="3"/>
        <v>43325</v>
      </c>
      <c r="GH6" s="16">
        <f t="shared" ca="1" si="3"/>
        <v>43326</v>
      </c>
      <c r="GI6" s="16">
        <f t="shared" ca="1" si="3"/>
        <v>43327</v>
      </c>
      <c r="GJ6" s="16">
        <f t="shared" ca="1" si="3"/>
        <v>43328</v>
      </c>
      <c r="GK6" s="16">
        <f t="shared" ca="1" si="3"/>
        <v>43329</v>
      </c>
      <c r="GL6" s="16">
        <f t="shared" ca="1" si="3"/>
        <v>43330</v>
      </c>
      <c r="GM6" s="16">
        <f t="shared" ca="1" si="3"/>
        <v>43331</v>
      </c>
      <c r="GN6" s="16">
        <f t="shared" ca="1" si="3"/>
        <v>43332</v>
      </c>
      <c r="GO6" s="16">
        <f t="shared" ca="1" si="3"/>
        <v>43333</v>
      </c>
      <c r="GP6" s="16">
        <f t="shared" ca="1" si="3"/>
        <v>43334</v>
      </c>
      <c r="GQ6" s="16">
        <f t="shared" ca="1" si="3"/>
        <v>43335</v>
      </c>
      <c r="GR6" s="16">
        <f t="shared" ca="1" si="3"/>
        <v>43336</v>
      </c>
      <c r="GS6" s="16">
        <f t="shared" ca="1" si="3"/>
        <v>43337</v>
      </c>
      <c r="GT6" s="16">
        <f t="shared" ca="1" si="3"/>
        <v>43338</v>
      </c>
      <c r="GU6" s="16">
        <f t="shared" ca="1" si="3"/>
        <v>43339</v>
      </c>
      <c r="GV6" s="16">
        <f t="shared" ca="1" si="3"/>
        <v>43340</v>
      </c>
      <c r="GW6" s="16">
        <f t="shared" ca="1" si="3"/>
        <v>43341</v>
      </c>
      <c r="GX6" s="16">
        <f t="shared" ca="1" si="3"/>
        <v>43342</v>
      </c>
      <c r="GY6" s="16">
        <f t="shared" ref="GY6:JJ6" ca="1" si="4">TODAY()+((COLUMN()-$H$4)*$N$3)</f>
        <v>43343</v>
      </c>
      <c r="GZ6" s="16">
        <f t="shared" ca="1" si="4"/>
        <v>43344</v>
      </c>
      <c r="HA6" s="16">
        <f t="shared" ca="1" si="4"/>
        <v>43345</v>
      </c>
      <c r="HB6" s="16">
        <f t="shared" ca="1" si="4"/>
        <v>43346</v>
      </c>
      <c r="HC6" s="16">
        <f t="shared" ca="1" si="4"/>
        <v>43347</v>
      </c>
      <c r="HD6" s="16">
        <f t="shared" ca="1" si="4"/>
        <v>43348</v>
      </c>
      <c r="HE6" s="16">
        <f t="shared" ca="1" si="4"/>
        <v>43349</v>
      </c>
      <c r="HF6" s="16">
        <f t="shared" ca="1" si="4"/>
        <v>43350</v>
      </c>
      <c r="HG6" s="16">
        <f t="shared" ca="1" si="4"/>
        <v>43351</v>
      </c>
      <c r="HH6" s="16">
        <f t="shared" ca="1" si="4"/>
        <v>43352</v>
      </c>
      <c r="HI6" s="16">
        <f t="shared" ca="1" si="4"/>
        <v>43353</v>
      </c>
      <c r="HJ6" s="16">
        <f t="shared" ca="1" si="4"/>
        <v>43354</v>
      </c>
      <c r="HK6" s="16">
        <f t="shared" ca="1" si="4"/>
        <v>43355</v>
      </c>
      <c r="HL6" s="16">
        <f t="shared" ca="1" si="4"/>
        <v>43356</v>
      </c>
      <c r="HM6" s="16">
        <f t="shared" ca="1" si="4"/>
        <v>43357</v>
      </c>
      <c r="HN6" s="16">
        <f t="shared" ca="1" si="4"/>
        <v>43358</v>
      </c>
      <c r="HO6" s="16">
        <f t="shared" ca="1" si="4"/>
        <v>43359</v>
      </c>
      <c r="HP6" s="16">
        <f t="shared" ca="1" si="4"/>
        <v>43360</v>
      </c>
      <c r="HQ6" s="16">
        <f t="shared" ca="1" si="4"/>
        <v>43361</v>
      </c>
      <c r="HR6" s="16">
        <f t="shared" ca="1" si="4"/>
        <v>43362</v>
      </c>
      <c r="HS6" s="16">
        <f t="shared" ca="1" si="4"/>
        <v>43363</v>
      </c>
      <c r="HT6" s="16">
        <f t="shared" ca="1" si="4"/>
        <v>43364</v>
      </c>
      <c r="HU6" s="16">
        <f t="shared" ca="1" si="4"/>
        <v>43365</v>
      </c>
      <c r="HV6" s="16">
        <f t="shared" ca="1" si="4"/>
        <v>43366</v>
      </c>
      <c r="HW6" s="16">
        <f t="shared" ca="1" si="4"/>
        <v>43367</v>
      </c>
      <c r="HX6" s="16">
        <f t="shared" ca="1" si="4"/>
        <v>43368</v>
      </c>
      <c r="HY6" s="16">
        <f t="shared" ca="1" si="4"/>
        <v>43369</v>
      </c>
      <c r="HZ6" s="16">
        <f t="shared" ca="1" si="4"/>
        <v>43370</v>
      </c>
      <c r="IA6" s="16">
        <f t="shared" ca="1" si="4"/>
        <v>43371</v>
      </c>
      <c r="IB6" s="16">
        <f t="shared" ca="1" si="4"/>
        <v>43372</v>
      </c>
      <c r="IC6" s="16">
        <f t="shared" ca="1" si="4"/>
        <v>43373</v>
      </c>
      <c r="ID6" s="16">
        <f t="shared" ca="1" si="4"/>
        <v>43374</v>
      </c>
      <c r="IE6" s="16">
        <f t="shared" ca="1" si="4"/>
        <v>43375</v>
      </c>
      <c r="IF6" s="16">
        <f t="shared" ca="1" si="4"/>
        <v>43376</v>
      </c>
      <c r="IG6" s="16">
        <f t="shared" ca="1" si="4"/>
        <v>43377</v>
      </c>
      <c r="IH6" s="16">
        <f t="shared" ca="1" si="4"/>
        <v>43378</v>
      </c>
      <c r="II6" s="16">
        <f t="shared" ca="1" si="4"/>
        <v>43379</v>
      </c>
      <c r="IJ6" s="16">
        <f t="shared" ca="1" si="4"/>
        <v>43380</v>
      </c>
      <c r="IK6" s="16">
        <f t="shared" ca="1" si="4"/>
        <v>43381</v>
      </c>
      <c r="IL6" s="16">
        <f t="shared" ca="1" si="4"/>
        <v>43382</v>
      </c>
      <c r="IM6" s="16">
        <f t="shared" ca="1" si="4"/>
        <v>43383</v>
      </c>
      <c r="IN6" s="16">
        <f t="shared" ca="1" si="4"/>
        <v>43384</v>
      </c>
      <c r="IO6" s="16">
        <f t="shared" ca="1" si="4"/>
        <v>43385</v>
      </c>
      <c r="IP6" s="16">
        <f t="shared" ca="1" si="4"/>
        <v>43386</v>
      </c>
      <c r="IQ6" s="16">
        <f t="shared" ca="1" si="4"/>
        <v>43387</v>
      </c>
      <c r="IR6" s="16">
        <f t="shared" ca="1" si="4"/>
        <v>43388</v>
      </c>
      <c r="IS6" s="16">
        <f t="shared" ca="1" si="4"/>
        <v>43389</v>
      </c>
      <c r="IT6" s="16">
        <f t="shared" ca="1" si="4"/>
        <v>43390</v>
      </c>
      <c r="IU6" s="16">
        <f t="shared" ca="1" si="4"/>
        <v>43391</v>
      </c>
      <c r="IV6" s="16">
        <f t="shared" ca="1" si="4"/>
        <v>43392</v>
      </c>
      <c r="IW6" s="16">
        <f t="shared" ca="1" si="4"/>
        <v>43393</v>
      </c>
      <c r="IX6" s="16">
        <f t="shared" ca="1" si="4"/>
        <v>43394</v>
      </c>
      <c r="IY6" s="16">
        <f t="shared" ca="1" si="4"/>
        <v>43395</v>
      </c>
      <c r="IZ6" s="16">
        <f t="shared" ca="1" si="4"/>
        <v>43396</v>
      </c>
      <c r="JA6" s="16">
        <f t="shared" ca="1" si="4"/>
        <v>43397</v>
      </c>
      <c r="JB6" s="16">
        <f t="shared" ca="1" si="4"/>
        <v>43398</v>
      </c>
      <c r="JC6" s="16">
        <f t="shared" ca="1" si="4"/>
        <v>43399</v>
      </c>
      <c r="JD6" s="16">
        <f t="shared" ca="1" si="4"/>
        <v>43400</v>
      </c>
      <c r="JE6" s="16">
        <f t="shared" ca="1" si="4"/>
        <v>43401</v>
      </c>
      <c r="JF6" s="16">
        <f t="shared" ca="1" si="4"/>
        <v>43402</v>
      </c>
      <c r="JG6" s="16">
        <f t="shared" ca="1" si="4"/>
        <v>43403</v>
      </c>
      <c r="JH6" s="16">
        <f t="shared" ca="1" si="4"/>
        <v>43404</v>
      </c>
      <c r="JI6" s="16">
        <f t="shared" ca="1" si="4"/>
        <v>43405</v>
      </c>
      <c r="JJ6" s="16">
        <f t="shared" ca="1" si="4"/>
        <v>43406</v>
      </c>
      <c r="JK6" s="16">
        <f t="shared" ref="JK6:LV6" ca="1" si="5">TODAY()+((COLUMN()-$H$4)*$N$3)</f>
        <v>43407</v>
      </c>
      <c r="JL6" s="16">
        <f t="shared" ca="1" si="5"/>
        <v>43408</v>
      </c>
      <c r="JM6" s="16">
        <f t="shared" ca="1" si="5"/>
        <v>43409</v>
      </c>
      <c r="JN6" s="16">
        <f t="shared" ca="1" si="5"/>
        <v>43410</v>
      </c>
      <c r="JO6" s="16">
        <f t="shared" ca="1" si="5"/>
        <v>43411</v>
      </c>
      <c r="JP6" s="16">
        <f t="shared" ca="1" si="5"/>
        <v>43412</v>
      </c>
      <c r="JQ6" s="16">
        <f t="shared" ca="1" si="5"/>
        <v>43413</v>
      </c>
      <c r="JR6" s="16">
        <f t="shared" ca="1" si="5"/>
        <v>43414</v>
      </c>
      <c r="JS6" s="16">
        <f t="shared" ca="1" si="5"/>
        <v>43415</v>
      </c>
      <c r="JT6" s="16">
        <f t="shared" ca="1" si="5"/>
        <v>43416</v>
      </c>
      <c r="JU6" s="16">
        <f t="shared" ca="1" si="5"/>
        <v>43417</v>
      </c>
      <c r="JV6" s="16">
        <f t="shared" ca="1" si="5"/>
        <v>43418</v>
      </c>
      <c r="JW6" s="16">
        <f t="shared" ca="1" si="5"/>
        <v>43419</v>
      </c>
      <c r="JX6" s="16">
        <f t="shared" ca="1" si="5"/>
        <v>43420</v>
      </c>
      <c r="JY6" s="16">
        <f t="shared" ca="1" si="5"/>
        <v>43421</v>
      </c>
      <c r="JZ6" s="16">
        <f t="shared" ca="1" si="5"/>
        <v>43422</v>
      </c>
      <c r="KA6" s="16">
        <f t="shared" ca="1" si="5"/>
        <v>43423</v>
      </c>
      <c r="KB6" s="16">
        <f t="shared" ca="1" si="5"/>
        <v>43424</v>
      </c>
      <c r="KC6" s="16">
        <f t="shared" ca="1" si="5"/>
        <v>43425</v>
      </c>
      <c r="KD6" s="16">
        <f t="shared" ca="1" si="5"/>
        <v>43426</v>
      </c>
      <c r="KE6" s="16">
        <f t="shared" ca="1" si="5"/>
        <v>43427</v>
      </c>
      <c r="KF6" s="16">
        <f t="shared" ca="1" si="5"/>
        <v>43428</v>
      </c>
      <c r="KG6" s="16">
        <f t="shared" ca="1" si="5"/>
        <v>43429</v>
      </c>
      <c r="KH6" s="16">
        <f t="shared" ca="1" si="5"/>
        <v>43430</v>
      </c>
      <c r="KI6" s="16">
        <f t="shared" ca="1" si="5"/>
        <v>43431</v>
      </c>
      <c r="KJ6" s="16">
        <f t="shared" ca="1" si="5"/>
        <v>43432</v>
      </c>
      <c r="KK6" s="16">
        <f t="shared" ca="1" si="5"/>
        <v>43433</v>
      </c>
      <c r="KL6" s="16">
        <f t="shared" ca="1" si="5"/>
        <v>43434</v>
      </c>
      <c r="KM6" s="16">
        <f t="shared" ca="1" si="5"/>
        <v>43435</v>
      </c>
      <c r="KN6" s="16">
        <f t="shared" ca="1" si="5"/>
        <v>43436</v>
      </c>
      <c r="KO6" s="16">
        <f t="shared" ca="1" si="5"/>
        <v>43437</v>
      </c>
      <c r="KP6" s="16">
        <f t="shared" ca="1" si="5"/>
        <v>43438</v>
      </c>
      <c r="KQ6" s="16">
        <f t="shared" ca="1" si="5"/>
        <v>43439</v>
      </c>
      <c r="KR6" s="16">
        <f t="shared" ca="1" si="5"/>
        <v>43440</v>
      </c>
      <c r="KS6" s="16">
        <f t="shared" ca="1" si="5"/>
        <v>43441</v>
      </c>
      <c r="KT6" s="16">
        <f t="shared" ca="1" si="5"/>
        <v>43442</v>
      </c>
      <c r="KU6" s="16">
        <f t="shared" ca="1" si="5"/>
        <v>43443</v>
      </c>
      <c r="KV6" s="16">
        <f t="shared" ca="1" si="5"/>
        <v>43444</v>
      </c>
      <c r="KW6" s="16">
        <f t="shared" ca="1" si="5"/>
        <v>43445</v>
      </c>
      <c r="KX6" s="16">
        <f t="shared" ca="1" si="5"/>
        <v>43446</v>
      </c>
      <c r="KY6" s="16">
        <f t="shared" ca="1" si="5"/>
        <v>43447</v>
      </c>
      <c r="KZ6" s="16">
        <f t="shared" ca="1" si="5"/>
        <v>43448</v>
      </c>
      <c r="LA6" s="16">
        <f t="shared" ca="1" si="5"/>
        <v>43449</v>
      </c>
      <c r="LB6" s="16">
        <f t="shared" ca="1" si="5"/>
        <v>43450</v>
      </c>
      <c r="LC6" s="16">
        <f t="shared" ca="1" si="5"/>
        <v>43451</v>
      </c>
      <c r="LD6" s="16">
        <f t="shared" ca="1" si="5"/>
        <v>43452</v>
      </c>
      <c r="LE6" s="16">
        <f t="shared" ca="1" si="5"/>
        <v>43453</v>
      </c>
      <c r="LF6" s="16">
        <f t="shared" ca="1" si="5"/>
        <v>43454</v>
      </c>
      <c r="LG6" s="16">
        <f t="shared" ca="1" si="5"/>
        <v>43455</v>
      </c>
      <c r="LH6" s="16">
        <f t="shared" ca="1" si="5"/>
        <v>43456</v>
      </c>
      <c r="LI6" s="16">
        <f t="shared" ca="1" si="5"/>
        <v>43457</v>
      </c>
      <c r="LJ6" s="16">
        <f t="shared" ca="1" si="5"/>
        <v>43458</v>
      </c>
      <c r="LK6" s="16">
        <f t="shared" ca="1" si="5"/>
        <v>43459</v>
      </c>
      <c r="LL6" s="16">
        <f t="shared" ca="1" si="5"/>
        <v>43460</v>
      </c>
      <c r="LM6" s="16">
        <f t="shared" ca="1" si="5"/>
        <v>43461</v>
      </c>
      <c r="LN6" s="16">
        <f t="shared" ca="1" si="5"/>
        <v>43462</v>
      </c>
      <c r="LO6" s="16">
        <f t="shared" ca="1" si="5"/>
        <v>43463</v>
      </c>
      <c r="LP6" s="16">
        <f t="shared" ca="1" si="5"/>
        <v>43464</v>
      </c>
      <c r="LQ6" s="16">
        <f t="shared" ca="1" si="5"/>
        <v>43465</v>
      </c>
      <c r="LR6" s="16">
        <f t="shared" ca="1" si="5"/>
        <v>43466</v>
      </c>
      <c r="LS6" s="16">
        <f t="shared" ca="1" si="5"/>
        <v>43467</v>
      </c>
      <c r="LT6" s="16">
        <f t="shared" ca="1" si="5"/>
        <v>43468</v>
      </c>
      <c r="LU6" s="16">
        <f t="shared" ca="1" si="5"/>
        <v>43469</v>
      </c>
      <c r="LV6" s="16">
        <f t="shared" ca="1" si="5"/>
        <v>43470</v>
      </c>
      <c r="LW6" s="16">
        <f t="shared" ref="LW6:NA6" ca="1" si="6">TODAY()+((COLUMN()-$H$4)*$N$3)</f>
        <v>43471</v>
      </c>
      <c r="LX6" s="16">
        <f t="shared" ca="1" si="6"/>
        <v>43472</v>
      </c>
      <c r="LY6" s="16">
        <f t="shared" ca="1" si="6"/>
        <v>43473</v>
      </c>
      <c r="LZ6" s="16">
        <f t="shared" ca="1" si="6"/>
        <v>43474</v>
      </c>
      <c r="MA6" s="16">
        <f t="shared" ca="1" si="6"/>
        <v>43475</v>
      </c>
      <c r="MB6" s="16">
        <f t="shared" ca="1" si="6"/>
        <v>43476</v>
      </c>
      <c r="MC6" s="16">
        <f t="shared" ca="1" si="6"/>
        <v>43477</v>
      </c>
      <c r="MD6" s="16">
        <f t="shared" ca="1" si="6"/>
        <v>43478</v>
      </c>
      <c r="ME6" s="16">
        <f t="shared" ca="1" si="6"/>
        <v>43479</v>
      </c>
      <c r="MF6" s="16">
        <f t="shared" ca="1" si="6"/>
        <v>43480</v>
      </c>
      <c r="MG6" s="16">
        <f t="shared" ca="1" si="6"/>
        <v>43481</v>
      </c>
      <c r="MH6" s="16">
        <f t="shared" ca="1" si="6"/>
        <v>43482</v>
      </c>
      <c r="MI6" s="16">
        <f t="shared" ca="1" si="6"/>
        <v>43483</v>
      </c>
      <c r="MJ6" s="16">
        <f t="shared" ca="1" si="6"/>
        <v>43484</v>
      </c>
      <c r="MK6" s="16">
        <f t="shared" ca="1" si="6"/>
        <v>43485</v>
      </c>
      <c r="ML6" s="16">
        <f t="shared" ca="1" si="6"/>
        <v>43486</v>
      </c>
      <c r="MM6" s="16">
        <f t="shared" ca="1" si="6"/>
        <v>43487</v>
      </c>
      <c r="MN6" s="16">
        <f t="shared" ca="1" si="6"/>
        <v>43488</v>
      </c>
      <c r="MO6" s="16">
        <f t="shared" ca="1" si="6"/>
        <v>43489</v>
      </c>
      <c r="MP6" s="16">
        <f t="shared" ca="1" si="6"/>
        <v>43490</v>
      </c>
      <c r="MQ6" s="16">
        <f t="shared" ca="1" si="6"/>
        <v>43491</v>
      </c>
      <c r="MR6" s="16">
        <f t="shared" ca="1" si="6"/>
        <v>43492</v>
      </c>
      <c r="MS6" s="16">
        <f t="shared" ca="1" si="6"/>
        <v>43493</v>
      </c>
      <c r="MT6" s="16">
        <f t="shared" ca="1" si="6"/>
        <v>43494</v>
      </c>
      <c r="MU6" s="16">
        <f t="shared" ca="1" si="6"/>
        <v>43495</v>
      </c>
      <c r="MV6" s="16">
        <f t="shared" ca="1" si="6"/>
        <v>43496</v>
      </c>
      <c r="MW6" s="16">
        <f t="shared" ca="1" si="6"/>
        <v>43497</v>
      </c>
      <c r="MX6" s="16">
        <f t="shared" ca="1" si="6"/>
        <v>43498</v>
      </c>
      <c r="MY6" s="16">
        <f t="shared" ca="1" si="6"/>
        <v>43499</v>
      </c>
      <c r="MZ6" s="16">
        <f t="shared" ca="1" si="6"/>
        <v>43500</v>
      </c>
      <c r="NA6" s="16">
        <f t="shared" ca="1" si="6"/>
        <v>43501</v>
      </c>
    </row>
    <row r="7" spans="1:367" s="2" customFormat="1" ht="24" customHeight="1" x14ac:dyDescent="0.25">
      <c r="A7" s="10"/>
      <c r="B7" s="39" t="s">
        <v>4</v>
      </c>
      <c r="C7" s="39" t="s">
        <v>0</v>
      </c>
      <c r="D7" s="38" t="s">
        <v>1</v>
      </c>
      <c r="E7" s="38" t="s">
        <v>2</v>
      </c>
      <c r="F7" s="40" t="s">
        <v>3</v>
      </c>
      <c r="G7" s="1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row>
    <row r="8" spans="1:367" s="240" customFormat="1" ht="24" customHeight="1" x14ac:dyDescent="0.25">
      <c r="A8" s="236"/>
      <c r="B8" s="237"/>
      <c r="C8" s="241" t="s">
        <v>271</v>
      </c>
      <c r="D8" s="238"/>
      <c r="E8" s="238"/>
      <c r="F8" s="239"/>
      <c r="G8" s="15"/>
    </row>
    <row r="9" spans="1:367" s="2" customFormat="1" ht="20.100000000000001" customHeight="1" outlineLevel="1" x14ac:dyDescent="0.25">
      <c r="A9" s="10"/>
      <c r="B9" s="35" t="s">
        <v>9</v>
      </c>
      <c r="C9" s="19" t="s">
        <v>8</v>
      </c>
      <c r="D9" s="19">
        <v>43127</v>
      </c>
      <c r="E9" s="20">
        <v>43129</v>
      </c>
      <c r="F9" s="150">
        <v>1</v>
      </c>
      <c r="G9" s="1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row>
    <row r="10" spans="1:367" ht="20.100000000000001" customHeight="1" outlineLevel="1" x14ac:dyDescent="0.25">
      <c r="B10" s="35" t="s">
        <v>9</v>
      </c>
      <c r="C10" s="19" t="s">
        <v>10</v>
      </c>
      <c r="D10" s="19">
        <v>43127</v>
      </c>
      <c r="E10" s="20">
        <v>43129</v>
      </c>
      <c r="F10" s="150">
        <v>1</v>
      </c>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row>
    <row r="11" spans="1:367" ht="20.100000000000001" customHeight="1" outlineLevel="1" x14ac:dyDescent="0.25">
      <c r="B11" s="35" t="s">
        <v>9</v>
      </c>
      <c r="C11" s="19" t="s">
        <v>32</v>
      </c>
      <c r="D11" s="19">
        <v>43128</v>
      </c>
      <c r="E11" s="20">
        <v>43129</v>
      </c>
      <c r="F11" s="151">
        <v>1</v>
      </c>
      <c r="H11" s="45"/>
      <c r="I11" s="45"/>
      <c r="J11" s="45"/>
      <c r="K11" s="45"/>
      <c r="L11" s="45"/>
      <c r="M11" s="45"/>
      <c r="N11" s="45"/>
      <c r="O11" s="45"/>
      <c r="P11" s="126"/>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row>
    <row r="12" spans="1:367" ht="20.100000000000001" customHeight="1" outlineLevel="1" x14ac:dyDescent="0.25">
      <c r="B12" s="35" t="s">
        <v>9</v>
      </c>
      <c r="C12" s="19" t="s">
        <v>33</v>
      </c>
      <c r="D12" s="19">
        <v>43129</v>
      </c>
      <c r="E12" s="20">
        <v>43147</v>
      </c>
      <c r="F12" s="151">
        <v>1</v>
      </c>
      <c r="H12" s="45"/>
      <c r="I12" s="45"/>
      <c r="J12" s="45"/>
      <c r="K12" s="45"/>
      <c r="L12" s="127"/>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row>
    <row r="13" spans="1:367" ht="21.75" customHeight="1" outlineLevel="1" x14ac:dyDescent="0.25">
      <c r="B13" s="35" t="s">
        <v>9</v>
      </c>
      <c r="C13" s="19" t="s">
        <v>269</v>
      </c>
      <c r="D13" s="19">
        <v>43131</v>
      </c>
      <c r="E13" s="20">
        <v>43150</v>
      </c>
      <c r="F13" s="151">
        <v>1</v>
      </c>
      <c r="H13" s="45"/>
      <c r="I13" s="45"/>
      <c r="J13" s="45"/>
      <c r="K13" s="45"/>
      <c r="L13" s="45"/>
      <c r="M13" s="45"/>
      <c r="N13" s="45"/>
      <c r="O13" s="128"/>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row>
    <row r="14" spans="1:367" ht="21" customHeight="1" outlineLevel="1" x14ac:dyDescent="0.25">
      <c r="B14" s="35" t="s">
        <v>65</v>
      </c>
      <c r="C14" s="19" t="s">
        <v>268</v>
      </c>
      <c r="D14" s="19">
        <v>43131</v>
      </c>
      <c r="E14" s="20">
        <v>43156</v>
      </c>
      <c r="F14" s="150">
        <v>1</v>
      </c>
      <c r="H14" s="45"/>
      <c r="I14" s="45"/>
      <c r="J14" s="45"/>
      <c r="K14" s="45"/>
      <c r="L14" s="45"/>
      <c r="M14" s="45"/>
      <c r="N14" s="45"/>
      <c r="O14" s="128"/>
      <c r="P14" s="45"/>
      <c r="Q14" s="45"/>
      <c r="R14" s="45"/>
      <c r="S14" s="45"/>
      <c r="T14" s="45"/>
      <c r="U14" s="129"/>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row>
    <row r="15" spans="1:367" ht="20.100000000000001" customHeight="1" outlineLevel="1" x14ac:dyDescent="0.25">
      <c r="B15" s="35" t="s">
        <v>9</v>
      </c>
      <c r="C15" s="19" t="s">
        <v>36</v>
      </c>
      <c r="D15" s="19">
        <v>43129</v>
      </c>
      <c r="E15" s="20">
        <v>43159</v>
      </c>
      <c r="F15" s="150">
        <v>1</v>
      </c>
      <c r="H15" s="45"/>
      <c r="I15" s="45"/>
      <c r="J15" s="45"/>
      <c r="K15" s="45"/>
      <c r="L15" s="127"/>
      <c r="M15" s="45"/>
      <c r="N15" s="45"/>
      <c r="O15" s="45"/>
      <c r="P15" s="45"/>
      <c r="Q15" s="45"/>
      <c r="R15" s="45"/>
      <c r="S15" s="45"/>
      <c r="T15" s="45"/>
      <c r="U15" s="45"/>
      <c r="V15" s="129"/>
      <c r="W15" s="45"/>
      <c r="X15" s="45"/>
      <c r="Y15" s="45"/>
      <c r="Z15" s="45"/>
      <c r="AA15" s="45"/>
      <c r="AB15" s="45"/>
      <c r="AC15" s="45"/>
      <c r="AD15" s="45"/>
      <c r="AE15" s="45"/>
      <c r="AF15" s="45"/>
      <c r="AG15" s="45"/>
      <c r="AH15" s="45"/>
      <c r="AI15" s="45"/>
      <c r="AJ15" s="45"/>
      <c r="AK15" s="45"/>
      <c r="AL15" s="45"/>
      <c r="AM15" s="45"/>
      <c r="AN15" s="45"/>
      <c r="AO15" s="45"/>
      <c r="AP15" s="45"/>
      <c r="AQ15" s="45"/>
      <c r="AR15" s="45"/>
      <c r="AS15" s="45"/>
    </row>
    <row r="16" spans="1:367" ht="20.100000000000001" customHeight="1" outlineLevel="1" x14ac:dyDescent="0.25">
      <c r="B16" s="35" t="s">
        <v>34</v>
      </c>
      <c r="C16" s="19" t="s">
        <v>305</v>
      </c>
      <c r="D16" s="19">
        <v>43144</v>
      </c>
      <c r="E16" s="20">
        <v>43152</v>
      </c>
      <c r="F16" s="150">
        <v>0</v>
      </c>
      <c r="H16" s="45"/>
      <c r="I16" s="45"/>
      <c r="J16" s="45"/>
      <c r="K16" s="45"/>
      <c r="L16" s="127"/>
      <c r="M16" s="45"/>
      <c r="N16" s="45"/>
      <c r="O16" s="45"/>
      <c r="P16" s="45"/>
      <c r="Q16" s="45"/>
      <c r="R16" s="45"/>
      <c r="S16" s="45"/>
      <c r="T16" s="45"/>
      <c r="U16" s="45"/>
      <c r="V16" s="129"/>
      <c r="W16" s="45"/>
      <c r="X16" s="45"/>
      <c r="Y16" s="45"/>
      <c r="Z16" s="45"/>
      <c r="AA16" s="45"/>
      <c r="AB16" s="45"/>
      <c r="AC16" s="45"/>
      <c r="AD16" s="45"/>
      <c r="AE16" s="45"/>
      <c r="AF16" s="45"/>
      <c r="AG16" s="45"/>
      <c r="AH16" s="45"/>
      <c r="AI16" s="45"/>
      <c r="AJ16" s="45"/>
      <c r="AK16" s="45"/>
      <c r="AL16" s="45"/>
      <c r="AM16" s="45"/>
      <c r="AN16" s="45"/>
      <c r="AO16" s="45"/>
      <c r="AP16" s="45"/>
      <c r="AQ16" s="45"/>
      <c r="AR16" s="45"/>
      <c r="AS16" s="45"/>
    </row>
    <row r="17" spans="1:45" ht="20.100000000000001" customHeight="1" outlineLevel="1" x14ac:dyDescent="0.25">
      <c r="B17" s="35" t="s">
        <v>34</v>
      </c>
      <c r="C17" s="19" t="s">
        <v>35</v>
      </c>
      <c r="D17" s="19">
        <v>43127</v>
      </c>
      <c r="E17" s="20">
        <v>43135</v>
      </c>
      <c r="F17" s="150">
        <v>1</v>
      </c>
      <c r="H17" s="45"/>
      <c r="I17" s="45"/>
      <c r="J17" s="45"/>
      <c r="K17" s="130"/>
      <c r="L17" s="45"/>
      <c r="M17" s="45"/>
      <c r="N17" s="45"/>
      <c r="O17" s="45"/>
      <c r="P17" s="45"/>
      <c r="Q17" s="45"/>
      <c r="R17" s="45"/>
      <c r="S17" s="45"/>
      <c r="T17" s="45"/>
      <c r="U17" s="126"/>
      <c r="V17" s="126"/>
      <c r="W17" s="126"/>
      <c r="X17" s="126"/>
      <c r="Y17" s="126"/>
      <c r="Z17" s="45"/>
      <c r="AA17" s="45"/>
      <c r="AB17" s="45"/>
      <c r="AC17" s="45"/>
      <c r="AD17" s="45"/>
      <c r="AE17" s="45"/>
      <c r="AF17" s="45"/>
      <c r="AG17" s="45"/>
      <c r="AH17" s="45"/>
      <c r="AI17" s="45"/>
      <c r="AJ17" s="45"/>
      <c r="AK17" s="45"/>
      <c r="AL17" s="45"/>
      <c r="AM17" s="45"/>
      <c r="AN17" s="45"/>
      <c r="AO17" s="45"/>
      <c r="AP17" s="45"/>
      <c r="AQ17" s="45"/>
      <c r="AR17" s="45"/>
      <c r="AS17" s="45"/>
    </row>
    <row r="18" spans="1:45" ht="20.100000000000001" customHeight="1" x14ac:dyDescent="0.25">
      <c r="B18" s="35"/>
      <c r="C18" s="19"/>
      <c r="D18" s="19"/>
      <c r="E18" s="20"/>
      <c r="F18" s="4"/>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row>
    <row r="19" spans="1:45" s="240" customFormat="1" ht="24" customHeight="1" x14ac:dyDescent="0.25">
      <c r="A19" s="236"/>
      <c r="B19" s="237"/>
      <c r="C19" s="241" t="s">
        <v>159</v>
      </c>
      <c r="D19" s="238"/>
      <c r="E19" s="238"/>
      <c r="F19" s="239"/>
      <c r="G19" s="15"/>
    </row>
    <row r="20" spans="1:45" ht="20.100000000000001" customHeight="1" outlineLevel="1" x14ac:dyDescent="0.25">
      <c r="B20" s="35" t="s">
        <v>272</v>
      </c>
      <c r="C20" s="19" t="s">
        <v>163</v>
      </c>
      <c r="D20" s="19">
        <v>43142</v>
      </c>
      <c r="E20" s="20">
        <v>43149</v>
      </c>
      <c r="F20" s="4">
        <v>1</v>
      </c>
    </row>
    <row r="21" spans="1:45" ht="20.100000000000001" customHeight="1" outlineLevel="1" x14ac:dyDescent="0.25">
      <c r="B21" s="35" t="s">
        <v>272</v>
      </c>
      <c r="C21" s="19" t="s">
        <v>274</v>
      </c>
      <c r="D21" s="19">
        <v>43143</v>
      </c>
      <c r="E21" s="20">
        <v>43150</v>
      </c>
      <c r="F21" s="4">
        <v>1</v>
      </c>
    </row>
    <row r="22" spans="1:45" ht="20.100000000000001" customHeight="1" x14ac:dyDescent="0.25">
      <c r="B22" s="35"/>
      <c r="C22" s="19"/>
      <c r="D22" s="19"/>
      <c r="E22" s="20"/>
      <c r="F22" s="4"/>
    </row>
    <row r="23" spans="1:45" s="240" customFormat="1" ht="24" customHeight="1" x14ac:dyDescent="0.25">
      <c r="A23" s="236"/>
      <c r="B23" s="237"/>
      <c r="C23" s="241" t="s">
        <v>275</v>
      </c>
      <c r="D23" s="238"/>
      <c r="E23" s="238"/>
      <c r="F23" s="239"/>
      <c r="G23" s="15"/>
    </row>
    <row r="24" spans="1:45" ht="20.100000000000001" customHeight="1" outlineLevel="1" x14ac:dyDescent="0.25">
      <c r="B24" s="35" t="s">
        <v>277</v>
      </c>
      <c r="C24" s="19" t="s">
        <v>276</v>
      </c>
      <c r="D24" s="19">
        <v>43142</v>
      </c>
      <c r="E24" s="20">
        <v>43148</v>
      </c>
      <c r="F24" s="4">
        <v>0.5</v>
      </c>
    </row>
    <row r="25" spans="1:45" ht="21" customHeight="1" outlineLevel="1" x14ac:dyDescent="0.25">
      <c r="B25" s="35" t="s">
        <v>277</v>
      </c>
      <c r="C25" s="243" t="s">
        <v>278</v>
      </c>
      <c r="D25" s="19">
        <v>43142</v>
      </c>
      <c r="E25" s="20">
        <v>43149</v>
      </c>
      <c r="F25" s="4">
        <v>0.7</v>
      </c>
    </row>
    <row r="26" spans="1:45" ht="20.100000000000001" customHeight="1" outlineLevel="1" x14ac:dyDescent="0.25">
      <c r="B26" s="35" t="s">
        <v>277</v>
      </c>
      <c r="C26" s="19" t="s">
        <v>293</v>
      </c>
      <c r="D26" s="19">
        <v>43144</v>
      </c>
      <c r="E26" s="20">
        <v>43151</v>
      </c>
      <c r="F26" s="4">
        <v>0.2</v>
      </c>
    </row>
    <row r="27" spans="1:45" ht="20.100000000000001" customHeight="1" outlineLevel="1" x14ac:dyDescent="0.25">
      <c r="B27" s="35" t="s">
        <v>277</v>
      </c>
      <c r="C27" s="19" t="s">
        <v>181</v>
      </c>
      <c r="D27" s="19">
        <v>43143</v>
      </c>
      <c r="E27" s="20">
        <v>43161</v>
      </c>
      <c r="F27" s="4">
        <v>0.2</v>
      </c>
    </row>
    <row r="28" spans="1:45" ht="20.100000000000001" customHeight="1" outlineLevel="1" x14ac:dyDescent="0.25">
      <c r="B28" s="35" t="s">
        <v>277</v>
      </c>
      <c r="C28" s="19" t="s">
        <v>296</v>
      </c>
      <c r="D28" s="19">
        <v>43144</v>
      </c>
      <c r="E28" s="20">
        <v>43162</v>
      </c>
      <c r="F28" s="4">
        <v>0.75</v>
      </c>
    </row>
    <row r="29" spans="1:45" ht="20.100000000000001" customHeight="1" outlineLevel="1" x14ac:dyDescent="0.25">
      <c r="B29" s="35" t="s">
        <v>277</v>
      </c>
      <c r="C29" s="19" t="s">
        <v>297</v>
      </c>
      <c r="D29" s="19">
        <v>43145</v>
      </c>
      <c r="E29" s="20">
        <v>43163</v>
      </c>
      <c r="F29" s="4">
        <v>0.1</v>
      </c>
    </row>
    <row r="30" spans="1:45" ht="20.100000000000001" customHeight="1" outlineLevel="1" x14ac:dyDescent="0.25">
      <c r="B30" s="35" t="s">
        <v>277</v>
      </c>
      <c r="C30" s="19" t="s">
        <v>298</v>
      </c>
      <c r="D30" s="19">
        <v>43146</v>
      </c>
      <c r="E30" s="20">
        <v>43164</v>
      </c>
      <c r="F30" s="4">
        <v>0.05</v>
      </c>
    </row>
    <row r="31" spans="1:45" ht="20.100000000000001" customHeight="1" outlineLevel="1" x14ac:dyDescent="0.25">
      <c r="B31" s="35" t="s">
        <v>277</v>
      </c>
      <c r="C31" s="19" t="s">
        <v>179</v>
      </c>
      <c r="D31" s="19">
        <v>43147</v>
      </c>
      <c r="E31" s="20">
        <v>43165</v>
      </c>
      <c r="F31" s="4">
        <v>0</v>
      </c>
    </row>
    <row r="32" spans="1:45" ht="20.100000000000001" customHeight="1" outlineLevel="1" x14ac:dyDescent="0.25">
      <c r="B32" s="35" t="s">
        <v>277</v>
      </c>
      <c r="C32" s="19" t="s">
        <v>299</v>
      </c>
      <c r="D32" s="19">
        <v>43148</v>
      </c>
      <c r="E32" s="20">
        <v>43166</v>
      </c>
      <c r="F32" s="4">
        <v>0</v>
      </c>
    </row>
    <row r="33" spans="1:7" ht="20.100000000000001" customHeight="1" x14ac:dyDescent="0.25">
      <c r="B33" s="35"/>
      <c r="C33" s="19"/>
      <c r="D33" s="19"/>
      <c r="E33" s="20"/>
      <c r="F33" s="4"/>
    </row>
    <row r="34" spans="1:7" s="240" customFormat="1" ht="24" customHeight="1" x14ac:dyDescent="0.25">
      <c r="A34" s="236"/>
      <c r="B34" s="237"/>
      <c r="C34" s="241" t="s">
        <v>303</v>
      </c>
      <c r="D34" s="238"/>
      <c r="E34" s="238"/>
      <c r="F34" s="239"/>
      <c r="G34" s="15"/>
    </row>
    <row r="35" spans="1:7" ht="20.100000000000001" customHeight="1" x14ac:dyDescent="0.25">
      <c r="B35" s="35" t="s">
        <v>304</v>
      </c>
      <c r="C35" s="19" t="s">
        <v>184</v>
      </c>
      <c r="D35" s="19">
        <v>43163</v>
      </c>
      <c r="E35" s="20">
        <v>43177</v>
      </c>
      <c r="F35" s="4">
        <v>0</v>
      </c>
    </row>
    <row r="36" spans="1:7" ht="20.100000000000001" customHeight="1" x14ac:dyDescent="0.25">
      <c r="B36" s="35" t="s">
        <v>304</v>
      </c>
      <c r="C36" s="19" t="s">
        <v>329</v>
      </c>
      <c r="D36" s="19">
        <v>43145</v>
      </c>
      <c r="E36" s="20">
        <v>43151</v>
      </c>
      <c r="F36" s="4">
        <v>0.1</v>
      </c>
    </row>
    <row r="37" spans="1:7" ht="20.100000000000001" customHeight="1" x14ac:dyDescent="0.25">
      <c r="B37" s="35" t="s">
        <v>304</v>
      </c>
      <c r="C37" s="19" t="s">
        <v>301</v>
      </c>
      <c r="D37" s="19">
        <v>43173</v>
      </c>
      <c r="E37" s="20">
        <v>43184</v>
      </c>
      <c r="F37" s="4">
        <v>0</v>
      </c>
    </row>
    <row r="38" spans="1:7" ht="20.100000000000001" customHeight="1" x14ac:dyDescent="0.25">
      <c r="B38" s="35" t="s">
        <v>304</v>
      </c>
      <c r="C38" s="19" t="s">
        <v>302</v>
      </c>
      <c r="D38" s="19">
        <v>43180</v>
      </c>
      <c r="E38" s="20">
        <v>43195</v>
      </c>
      <c r="F38" s="4">
        <v>0</v>
      </c>
    </row>
    <row r="39" spans="1:7" ht="20.100000000000001" customHeight="1" x14ac:dyDescent="0.25">
      <c r="B39" s="35"/>
      <c r="C39" s="19"/>
      <c r="D39" s="19"/>
      <c r="E39" s="20"/>
      <c r="F39" s="4"/>
    </row>
    <row r="40" spans="1:7" s="240" customFormat="1" ht="24" customHeight="1" x14ac:dyDescent="0.25">
      <c r="A40" s="236"/>
      <c r="B40" s="237"/>
      <c r="C40" s="241" t="s">
        <v>310</v>
      </c>
      <c r="D40" s="238"/>
      <c r="E40" s="238"/>
      <c r="F40" s="239"/>
      <c r="G40" s="15"/>
    </row>
    <row r="41" spans="1:7" ht="20.100000000000001" customHeight="1" x14ac:dyDescent="0.25">
      <c r="B41" s="35" t="s">
        <v>314</v>
      </c>
      <c r="C41" s="19" t="s">
        <v>194</v>
      </c>
      <c r="D41" s="19">
        <v>43195</v>
      </c>
      <c r="E41" s="20">
        <v>43217</v>
      </c>
      <c r="F41" s="4">
        <v>0</v>
      </c>
    </row>
    <row r="42" spans="1:7" ht="20.100000000000001" customHeight="1" x14ac:dyDescent="0.25">
      <c r="B42" s="35" t="s">
        <v>314</v>
      </c>
      <c r="C42" s="19" t="s">
        <v>316</v>
      </c>
      <c r="D42" s="19">
        <v>43217</v>
      </c>
      <c r="E42" s="20">
        <v>43230</v>
      </c>
      <c r="F42" s="4">
        <v>0</v>
      </c>
    </row>
    <row r="43" spans="1:7" ht="20.100000000000001" customHeight="1" x14ac:dyDescent="0.25">
      <c r="B43" s="35" t="s">
        <v>314</v>
      </c>
      <c r="C43" s="19" t="s">
        <v>196</v>
      </c>
      <c r="D43" s="19">
        <v>43230</v>
      </c>
      <c r="E43" s="20">
        <v>43240</v>
      </c>
      <c r="F43" s="4">
        <v>0</v>
      </c>
    </row>
    <row r="44" spans="1:7" ht="20.100000000000001" customHeight="1" x14ac:dyDescent="0.25">
      <c r="B44" s="35" t="s">
        <v>314</v>
      </c>
      <c r="C44" s="19" t="s">
        <v>317</v>
      </c>
      <c r="D44" s="19">
        <v>43240</v>
      </c>
      <c r="E44" s="20">
        <v>43243</v>
      </c>
      <c r="F44" s="4">
        <v>0</v>
      </c>
    </row>
    <row r="45" spans="1:7" ht="20.100000000000001" customHeight="1" x14ac:dyDescent="0.25">
      <c r="B45" s="35" t="s">
        <v>314</v>
      </c>
      <c r="C45" s="19" t="s">
        <v>323</v>
      </c>
      <c r="D45" s="19">
        <v>43240</v>
      </c>
      <c r="E45" s="20">
        <v>43250</v>
      </c>
      <c r="F45" s="4">
        <v>0</v>
      </c>
    </row>
    <row r="46" spans="1:7" ht="20.100000000000001" customHeight="1" x14ac:dyDescent="0.25">
      <c r="B46" s="35" t="s">
        <v>314</v>
      </c>
      <c r="C46" s="19" t="s">
        <v>324</v>
      </c>
      <c r="D46" s="19">
        <v>43250</v>
      </c>
      <c r="E46" s="20">
        <v>43261</v>
      </c>
      <c r="F46" s="4">
        <v>0</v>
      </c>
    </row>
    <row r="47" spans="1:7" ht="20.100000000000001" customHeight="1" x14ac:dyDescent="0.25">
      <c r="B47" s="35" t="s">
        <v>314</v>
      </c>
      <c r="C47" s="19" t="s">
        <v>325</v>
      </c>
      <c r="D47" s="19">
        <v>43261</v>
      </c>
      <c r="E47" s="20">
        <v>43271</v>
      </c>
      <c r="F47" s="4">
        <v>0</v>
      </c>
    </row>
    <row r="48" spans="1:7" ht="20.100000000000001" customHeight="1" x14ac:dyDescent="0.25">
      <c r="B48" s="35"/>
      <c r="C48" s="19"/>
      <c r="D48" s="19"/>
      <c r="E48" s="20"/>
      <c r="F48" s="4"/>
    </row>
    <row r="49" spans="2:6" ht="20.100000000000001" customHeight="1" x14ac:dyDescent="0.25">
      <c r="B49" s="35"/>
      <c r="C49" s="19"/>
      <c r="D49" s="19"/>
      <c r="E49" s="20"/>
      <c r="F49" s="4"/>
    </row>
    <row r="50" spans="2:6" ht="20.100000000000001" customHeight="1" x14ac:dyDescent="0.25">
      <c r="B50" s="35"/>
      <c r="C50" s="19"/>
      <c r="D50" s="19"/>
      <c r="E50" s="20"/>
      <c r="F50" s="4"/>
    </row>
    <row r="51" spans="2:6" ht="20.100000000000001" customHeight="1" x14ac:dyDescent="0.25">
      <c r="B51" s="35"/>
      <c r="C51" s="19"/>
      <c r="D51" s="19"/>
      <c r="E51" s="20"/>
      <c r="F51" s="4"/>
    </row>
    <row r="52" spans="2:6" ht="20.100000000000001" customHeight="1" x14ac:dyDescent="0.25">
      <c r="B52" s="35"/>
      <c r="C52" s="19"/>
      <c r="D52" s="19"/>
      <c r="E52" s="20"/>
      <c r="F52" s="4"/>
    </row>
    <row r="53" spans="2:6" ht="20.100000000000001" customHeight="1" x14ac:dyDescent="0.25">
      <c r="B53" s="35"/>
      <c r="C53" s="19"/>
      <c r="D53" s="19"/>
      <c r="E53" s="20"/>
      <c r="F53" s="4"/>
    </row>
    <row r="54" spans="2:6" ht="20.100000000000001" customHeight="1" x14ac:dyDescent="0.25">
      <c r="B54" s="35"/>
      <c r="C54" s="19"/>
      <c r="D54" s="19"/>
      <c r="E54" s="20"/>
      <c r="F54" s="4"/>
    </row>
    <row r="55" spans="2:6" ht="20.100000000000001" customHeight="1" x14ac:dyDescent="0.25">
      <c r="B55" s="35"/>
      <c r="C55" s="19"/>
      <c r="D55" s="19"/>
      <c r="E55" s="20"/>
      <c r="F55" s="4"/>
    </row>
    <row r="56" spans="2:6" ht="20.100000000000001" customHeight="1" x14ac:dyDescent="0.25">
      <c r="B56" s="35"/>
      <c r="C56" s="19"/>
      <c r="D56" s="19"/>
      <c r="E56" s="20"/>
      <c r="F56" s="4"/>
    </row>
    <row r="57" spans="2:6" ht="20.100000000000001" customHeight="1" x14ac:dyDescent="0.25">
      <c r="B57" s="35"/>
      <c r="C57" s="19"/>
      <c r="D57" s="19"/>
      <c r="E57" s="20"/>
      <c r="F57" s="4"/>
    </row>
    <row r="58" spans="2:6" ht="20.100000000000001" customHeight="1" x14ac:dyDescent="0.25">
      <c r="B58" s="35"/>
      <c r="C58" s="19"/>
      <c r="D58" s="19"/>
      <c r="E58" s="20"/>
      <c r="F58" s="4"/>
    </row>
    <row r="59" spans="2:6" ht="20.100000000000001" customHeight="1" x14ac:dyDescent="0.25">
      <c r="B59" s="35"/>
      <c r="C59" s="19"/>
      <c r="D59" s="19"/>
      <c r="E59" s="20"/>
      <c r="F59" s="4"/>
    </row>
    <row r="60" spans="2:6" ht="20.100000000000001" customHeight="1" x14ac:dyDescent="0.25">
      <c r="B60" s="35"/>
      <c r="C60" s="19"/>
      <c r="D60" s="19"/>
      <c r="E60" s="20"/>
      <c r="F60" s="4"/>
    </row>
    <row r="61" spans="2:6" ht="20.100000000000001" customHeight="1" x14ac:dyDescent="0.25">
      <c r="B61" s="35"/>
      <c r="C61" s="19"/>
      <c r="D61" s="19"/>
      <c r="E61" s="20"/>
      <c r="F61" s="4"/>
    </row>
    <row r="62" spans="2:6" ht="20.100000000000001" customHeight="1" x14ac:dyDescent="0.25">
      <c r="B62" s="35"/>
      <c r="C62" s="19"/>
      <c r="D62" s="19"/>
      <c r="E62" s="20"/>
      <c r="F62" s="4"/>
    </row>
    <row r="63" spans="2:6" ht="20.100000000000001" customHeight="1" x14ac:dyDescent="0.25">
      <c r="B63" s="35"/>
      <c r="C63" s="19"/>
      <c r="D63" s="19"/>
      <c r="E63" s="20"/>
      <c r="F63" s="4"/>
    </row>
    <row r="64" spans="2:6" ht="20.100000000000001" customHeight="1" x14ac:dyDescent="0.25">
      <c r="B64" s="35"/>
      <c r="C64" s="19"/>
      <c r="D64" s="19"/>
      <c r="E64" s="20"/>
      <c r="F64" s="4"/>
    </row>
    <row r="65" spans="2:6" ht="20.100000000000001" customHeight="1" x14ac:dyDescent="0.25">
      <c r="B65" s="35"/>
      <c r="C65" s="19"/>
      <c r="D65" s="19"/>
      <c r="E65" s="20"/>
      <c r="F65" s="4"/>
    </row>
    <row r="66" spans="2:6" ht="20.100000000000001" customHeight="1" x14ac:dyDescent="0.25">
      <c r="B66" s="35"/>
      <c r="C66" s="19"/>
      <c r="D66" s="19"/>
      <c r="E66" s="20"/>
      <c r="F66" s="4"/>
    </row>
    <row r="67" spans="2:6" ht="20.100000000000001" customHeight="1" x14ac:dyDescent="0.25">
      <c r="B67" s="35"/>
      <c r="C67" s="19"/>
      <c r="D67" s="19"/>
      <c r="E67" s="20"/>
      <c r="F67" s="4"/>
    </row>
    <row r="68" spans="2:6" ht="20.100000000000001" customHeight="1" x14ac:dyDescent="0.25">
      <c r="B68" s="35"/>
      <c r="C68" s="19"/>
      <c r="D68" s="19"/>
      <c r="E68" s="20"/>
      <c r="F68" s="4"/>
    </row>
    <row r="69" spans="2:6" ht="20.100000000000001" customHeight="1" x14ac:dyDescent="0.25">
      <c r="B69" s="35"/>
      <c r="C69" s="19"/>
      <c r="D69" s="19"/>
      <c r="E69" s="20"/>
      <c r="F69" s="4"/>
    </row>
    <row r="70" spans="2:6" ht="20.100000000000001" customHeight="1" x14ac:dyDescent="0.25">
      <c r="B70" s="35"/>
      <c r="C70" s="19"/>
      <c r="D70" s="19"/>
      <c r="E70" s="20"/>
      <c r="F70" s="4"/>
    </row>
    <row r="71" spans="2:6" ht="20.100000000000001" customHeight="1" x14ac:dyDescent="0.25">
      <c r="B71" s="35"/>
      <c r="C71" s="19"/>
      <c r="D71" s="19"/>
      <c r="E71" s="20"/>
      <c r="F71" s="4"/>
    </row>
    <row r="72" spans="2:6" ht="20.100000000000001" customHeight="1" x14ac:dyDescent="0.25">
      <c r="B72" s="35"/>
      <c r="C72" s="19"/>
      <c r="D72" s="19"/>
      <c r="E72" s="20"/>
      <c r="F72" s="4"/>
    </row>
    <row r="73" spans="2:6" ht="20.100000000000001" customHeight="1" x14ac:dyDescent="0.25">
      <c r="B73" s="35"/>
      <c r="C73" s="19"/>
      <c r="D73" s="19"/>
      <c r="E73" s="20"/>
      <c r="F73" s="4"/>
    </row>
    <row r="74" spans="2:6" ht="20.100000000000001" customHeight="1" x14ac:dyDescent="0.25">
      <c r="B74" s="35"/>
      <c r="C74" s="19"/>
      <c r="D74" s="19"/>
      <c r="E74" s="20"/>
      <c r="F74" s="4"/>
    </row>
    <row r="75" spans="2:6" ht="20.100000000000001" customHeight="1" x14ac:dyDescent="0.25">
      <c r="B75" s="35"/>
      <c r="C75" s="19"/>
      <c r="D75" s="19"/>
      <c r="E75" s="20"/>
      <c r="F75" s="4"/>
    </row>
    <row r="76" spans="2:6" ht="20.100000000000001" customHeight="1" x14ac:dyDescent="0.25">
      <c r="B76" s="35"/>
      <c r="C76" s="19"/>
      <c r="D76" s="19"/>
      <c r="E76" s="20"/>
      <c r="F76" s="4"/>
    </row>
    <row r="77" spans="2:6" ht="20.100000000000001" customHeight="1" x14ac:dyDescent="0.25">
      <c r="B77" s="35"/>
      <c r="C77" s="19"/>
      <c r="D77" s="19"/>
      <c r="E77" s="20"/>
      <c r="F77" s="4"/>
    </row>
    <row r="78" spans="2:6" ht="20.100000000000001" customHeight="1" x14ac:dyDescent="0.25">
      <c r="B78" s="35"/>
      <c r="C78" s="19"/>
      <c r="D78" s="19"/>
      <c r="E78" s="20"/>
      <c r="F78" s="4"/>
    </row>
    <row r="79" spans="2:6" ht="20.100000000000001" customHeight="1" x14ac:dyDescent="0.25">
      <c r="B79" s="35"/>
      <c r="C79" s="19"/>
      <c r="D79" s="19"/>
      <c r="E79" s="20"/>
      <c r="F79" s="4"/>
    </row>
    <row r="80" spans="2:6" ht="20.100000000000001" customHeight="1" x14ac:dyDescent="0.25">
      <c r="B80" s="35"/>
      <c r="C80" s="19"/>
      <c r="D80" s="19"/>
      <c r="E80" s="20"/>
      <c r="F80" s="4"/>
    </row>
    <row r="81" spans="2:6" ht="20.100000000000001" customHeight="1" x14ac:dyDescent="0.25">
      <c r="B81" s="35"/>
      <c r="C81" s="19"/>
      <c r="D81" s="19"/>
      <c r="E81" s="20"/>
      <c r="F81" s="4"/>
    </row>
    <row r="82" spans="2:6" ht="20.100000000000001" customHeight="1" x14ac:dyDescent="0.25">
      <c r="B82" s="35"/>
      <c r="C82" s="19"/>
      <c r="D82" s="19"/>
      <c r="E82" s="20"/>
      <c r="F82" s="4"/>
    </row>
    <row r="83" spans="2:6" ht="20.100000000000001" customHeight="1" x14ac:dyDescent="0.25">
      <c r="B83" s="35"/>
      <c r="C83" s="19"/>
      <c r="D83" s="19"/>
      <c r="E83" s="20"/>
      <c r="F83" s="4"/>
    </row>
    <row r="84" spans="2:6" ht="20.100000000000001" customHeight="1" x14ac:dyDescent="0.25">
      <c r="B84" s="35"/>
      <c r="C84" s="19"/>
      <c r="D84" s="19"/>
      <c r="E84" s="20"/>
      <c r="F84" s="4"/>
    </row>
    <row r="85" spans="2:6" ht="20.100000000000001" customHeight="1" x14ac:dyDescent="0.25">
      <c r="B85" s="35"/>
      <c r="C85" s="19"/>
      <c r="D85" s="19"/>
      <c r="E85" s="20"/>
      <c r="F85" s="4"/>
    </row>
    <row r="86" spans="2:6" ht="20.100000000000001" customHeight="1" x14ac:dyDescent="0.25">
      <c r="B86" s="35"/>
      <c r="C86" s="19"/>
      <c r="D86" s="19"/>
      <c r="E86" s="20"/>
      <c r="F86" s="4"/>
    </row>
    <row r="87" spans="2:6" ht="20.100000000000001" customHeight="1" x14ac:dyDescent="0.25">
      <c r="B87" s="35"/>
      <c r="C87" s="19"/>
      <c r="D87" s="19"/>
      <c r="E87" s="20"/>
      <c r="F87" s="4"/>
    </row>
    <row r="88" spans="2:6" ht="20.100000000000001" customHeight="1" x14ac:dyDescent="0.25">
      <c r="B88" s="35"/>
      <c r="C88" s="19"/>
      <c r="D88" s="19"/>
      <c r="E88" s="20"/>
      <c r="F88" s="4"/>
    </row>
    <row r="89" spans="2:6" ht="20.100000000000001" customHeight="1" x14ac:dyDescent="0.25">
      <c r="B89" s="35"/>
      <c r="C89" s="19"/>
      <c r="D89" s="19"/>
      <c r="E89" s="20"/>
      <c r="F89" s="4"/>
    </row>
    <row r="90" spans="2:6" ht="20.100000000000001" customHeight="1" x14ac:dyDescent="0.25">
      <c r="B90" s="35"/>
      <c r="C90" s="19"/>
      <c r="D90" s="19"/>
      <c r="E90" s="20"/>
      <c r="F90" s="4"/>
    </row>
    <row r="91" spans="2:6" ht="20.100000000000001" customHeight="1" x14ac:dyDescent="0.25">
      <c r="B91" s="35"/>
      <c r="C91" s="19"/>
      <c r="D91" s="19"/>
      <c r="E91" s="20"/>
      <c r="F91" s="4"/>
    </row>
    <row r="92" spans="2:6" ht="20.100000000000001" customHeight="1" x14ac:dyDescent="0.25">
      <c r="B92" s="35"/>
      <c r="C92" s="19"/>
      <c r="D92" s="19"/>
      <c r="E92" s="20"/>
      <c r="F92" s="4"/>
    </row>
    <row r="93" spans="2:6" ht="20.100000000000001" customHeight="1" x14ac:dyDescent="0.25">
      <c r="B93" s="35"/>
      <c r="C93" s="19"/>
      <c r="D93" s="19"/>
      <c r="E93" s="20"/>
      <c r="F93" s="4"/>
    </row>
    <row r="94" spans="2:6" ht="20.100000000000001" customHeight="1" x14ac:dyDescent="0.25">
      <c r="B94" s="35"/>
      <c r="C94" s="19"/>
      <c r="D94" s="19"/>
      <c r="E94" s="20"/>
      <c r="F94" s="4"/>
    </row>
    <row r="95" spans="2:6" ht="20.100000000000001" customHeight="1" x14ac:dyDescent="0.25">
      <c r="B95" s="35"/>
      <c r="C95" s="19"/>
      <c r="D95" s="19"/>
      <c r="E95" s="20"/>
      <c r="F95" s="4"/>
    </row>
    <row r="96" spans="2:6" ht="20.100000000000001" customHeight="1" x14ac:dyDescent="0.25">
      <c r="B96" s="35"/>
      <c r="C96" s="19"/>
      <c r="D96" s="19"/>
      <c r="E96" s="20"/>
      <c r="F96" s="4"/>
    </row>
    <row r="97" spans="2:6" ht="20.100000000000001" customHeight="1" x14ac:dyDescent="0.25">
      <c r="B97" s="35"/>
      <c r="C97" s="19"/>
      <c r="D97" s="19"/>
      <c r="E97" s="20"/>
      <c r="F97" s="4"/>
    </row>
    <row r="98" spans="2:6" ht="20.100000000000001" customHeight="1" x14ac:dyDescent="0.25">
      <c r="B98" s="35"/>
      <c r="C98" s="19"/>
      <c r="D98" s="19"/>
      <c r="E98" s="20"/>
      <c r="F98" s="4"/>
    </row>
    <row r="99" spans="2:6" ht="20.100000000000001" customHeight="1" x14ac:dyDescent="0.25">
      <c r="B99" s="35"/>
      <c r="C99" s="19"/>
      <c r="D99" s="19"/>
      <c r="E99" s="20"/>
      <c r="F99" s="4"/>
    </row>
    <row r="100" spans="2:6" ht="20.100000000000001" customHeight="1" x14ac:dyDescent="0.25">
      <c r="B100" s="35"/>
      <c r="C100" s="19"/>
      <c r="D100" s="19"/>
      <c r="E100" s="20"/>
      <c r="F100" s="4"/>
    </row>
    <row r="101" spans="2:6" ht="20.100000000000001" customHeight="1" x14ac:dyDescent="0.25">
      <c r="B101" s="35"/>
      <c r="C101" s="19"/>
      <c r="D101" s="19"/>
      <c r="E101" s="20"/>
      <c r="F101" s="4"/>
    </row>
    <row r="102" spans="2:6" ht="20.100000000000001" customHeight="1" x14ac:dyDescent="0.25">
      <c r="B102" s="35"/>
      <c r="C102" s="19"/>
      <c r="D102" s="19"/>
      <c r="E102" s="20"/>
      <c r="F102" s="4"/>
    </row>
    <row r="103" spans="2:6" ht="20.100000000000001" customHeight="1" x14ac:dyDescent="0.25">
      <c r="B103" s="35"/>
      <c r="C103" s="19"/>
      <c r="D103" s="19"/>
      <c r="E103" s="20"/>
      <c r="F103" s="4"/>
    </row>
    <row r="104" spans="2:6" ht="20.100000000000001" customHeight="1" x14ac:dyDescent="0.25">
      <c r="B104" s="35"/>
      <c r="C104" s="19"/>
      <c r="D104" s="19"/>
      <c r="E104" s="20"/>
      <c r="F104" s="4"/>
    </row>
    <row r="105" spans="2:6" ht="20.100000000000001" customHeight="1" x14ac:dyDescent="0.25">
      <c r="B105" s="35"/>
      <c r="C105" s="19"/>
      <c r="D105" s="19"/>
      <c r="E105" s="20"/>
      <c r="F105" s="4"/>
    </row>
    <row r="106" spans="2:6" ht="20.100000000000001" customHeight="1" x14ac:dyDescent="0.25">
      <c r="B106" s="35"/>
      <c r="C106" s="19"/>
      <c r="D106" s="19"/>
      <c r="E106" s="20"/>
      <c r="F106" s="4"/>
    </row>
    <row r="107" spans="2:6" ht="20.100000000000001" customHeight="1" x14ac:dyDescent="0.25">
      <c r="B107" s="35"/>
      <c r="C107" s="19"/>
      <c r="D107" s="19"/>
      <c r="E107" s="20"/>
      <c r="F107" s="4"/>
    </row>
    <row r="108" spans="2:6" ht="20.100000000000001" customHeight="1" x14ac:dyDescent="0.25">
      <c r="B108" s="35"/>
      <c r="C108" s="19"/>
      <c r="D108" s="19"/>
      <c r="E108" s="20"/>
      <c r="F108" s="4"/>
    </row>
    <row r="109" spans="2:6" ht="20.100000000000001" customHeight="1" x14ac:dyDescent="0.25">
      <c r="B109" s="35"/>
      <c r="C109" s="19"/>
      <c r="D109" s="19"/>
      <c r="E109" s="20"/>
      <c r="F109" s="4"/>
    </row>
    <row r="110" spans="2:6" ht="20.100000000000001" customHeight="1" x14ac:dyDescent="0.25">
      <c r="B110" s="35"/>
      <c r="C110" s="19"/>
      <c r="D110" s="19"/>
      <c r="E110" s="20"/>
      <c r="F110" s="4"/>
    </row>
    <row r="111" spans="2:6" ht="20.100000000000001" customHeight="1" x14ac:dyDescent="0.25">
      <c r="B111" s="35"/>
      <c r="C111" s="19"/>
      <c r="D111" s="19"/>
      <c r="E111" s="20"/>
      <c r="F111" s="4"/>
    </row>
    <row r="112" spans="2:6" ht="20.100000000000001" customHeight="1" x14ac:dyDescent="0.25">
      <c r="B112" s="35"/>
      <c r="C112" s="19"/>
      <c r="D112" s="19"/>
      <c r="E112" s="20"/>
      <c r="F112" s="4"/>
    </row>
    <row r="113" spans="2:6" ht="20.100000000000001" customHeight="1" x14ac:dyDescent="0.25">
      <c r="B113" s="35"/>
      <c r="C113" s="19"/>
      <c r="D113" s="19"/>
      <c r="E113" s="20"/>
      <c r="F113" s="4"/>
    </row>
    <row r="114" spans="2:6" ht="20.100000000000001" customHeight="1" x14ac:dyDescent="0.25">
      <c r="B114" s="35"/>
      <c r="C114" s="19"/>
      <c r="D114" s="19"/>
      <c r="E114" s="20"/>
      <c r="F114" s="4"/>
    </row>
    <row r="115" spans="2:6" ht="20.100000000000001" customHeight="1" x14ac:dyDescent="0.25">
      <c r="B115" s="35"/>
      <c r="C115" s="19"/>
      <c r="D115" s="19"/>
      <c r="E115" s="20"/>
      <c r="F115" s="4"/>
    </row>
    <row r="116" spans="2:6" ht="20.100000000000001" customHeight="1" x14ac:dyDescent="0.25">
      <c r="B116" s="35"/>
      <c r="C116" s="19"/>
      <c r="D116" s="19"/>
      <c r="E116" s="20"/>
      <c r="F116" s="4"/>
    </row>
    <row r="117" spans="2:6" ht="20.100000000000001" customHeight="1" x14ac:dyDescent="0.25">
      <c r="B117" s="35"/>
      <c r="C117" s="19"/>
      <c r="D117" s="19"/>
      <c r="E117" s="20"/>
      <c r="F117" s="4"/>
    </row>
    <row r="118" spans="2:6" ht="20.100000000000001" customHeight="1" x14ac:dyDescent="0.25">
      <c r="B118" s="35"/>
      <c r="C118" s="19"/>
      <c r="D118" s="19"/>
      <c r="E118" s="20"/>
      <c r="F118" s="4"/>
    </row>
    <row r="119" spans="2:6" ht="20.100000000000001" customHeight="1" x14ac:dyDescent="0.25">
      <c r="B119" s="35"/>
      <c r="C119" s="19"/>
      <c r="D119" s="19"/>
      <c r="E119" s="20"/>
      <c r="F119" s="4"/>
    </row>
    <row r="120" spans="2:6" ht="20.100000000000001" customHeight="1" x14ac:dyDescent="0.25">
      <c r="B120" s="35"/>
      <c r="C120" s="19"/>
      <c r="D120" s="19"/>
      <c r="E120" s="20"/>
      <c r="F120" s="4"/>
    </row>
    <row r="121" spans="2:6" ht="20.100000000000001" customHeight="1" x14ac:dyDescent="0.25">
      <c r="B121" s="35"/>
      <c r="C121" s="19"/>
      <c r="D121" s="19"/>
      <c r="E121" s="20"/>
      <c r="F121" s="4"/>
    </row>
    <row r="122" spans="2:6" ht="20.100000000000001" customHeight="1" x14ac:dyDescent="0.25">
      <c r="B122" s="35"/>
      <c r="C122" s="19"/>
      <c r="D122" s="19"/>
      <c r="E122" s="20"/>
      <c r="F122" s="4"/>
    </row>
    <row r="123" spans="2:6" ht="20.100000000000001" customHeight="1" x14ac:dyDescent="0.25">
      <c r="B123" s="35"/>
      <c r="C123" s="19"/>
      <c r="D123" s="19"/>
      <c r="E123" s="20"/>
      <c r="F123" s="4"/>
    </row>
    <row r="124" spans="2:6" ht="20.100000000000001" customHeight="1" x14ac:dyDescent="0.25">
      <c r="B124" s="35"/>
      <c r="C124" s="19"/>
      <c r="D124" s="19"/>
      <c r="E124" s="20"/>
      <c r="F124" s="4"/>
    </row>
    <row r="125" spans="2:6" ht="20.100000000000001" customHeight="1" x14ac:dyDescent="0.25">
      <c r="B125" s="35"/>
      <c r="C125" s="19"/>
      <c r="D125" s="19"/>
      <c r="E125" s="20"/>
      <c r="F125" s="4"/>
    </row>
    <row r="126" spans="2:6" ht="20.100000000000001" customHeight="1" x14ac:dyDescent="0.25">
      <c r="B126" s="35"/>
      <c r="C126" s="19"/>
      <c r="D126" s="19"/>
      <c r="E126" s="20"/>
      <c r="F126" s="4"/>
    </row>
    <row r="127" spans="2:6" ht="20.100000000000001" customHeight="1" x14ac:dyDescent="0.25">
      <c r="B127" s="35"/>
      <c r="C127" s="19"/>
      <c r="D127" s="19"/>
      <c r="E127" s="20"/>
      <c r="F127" s="4"/>
    </row>
    <row r="128" spans="2:6" ht="20.100000000000001" customHeight="1" x14ac:dyDescent="0.25">
      <c r="B128" s="35"/>
      <c r="C128" s="19"/>
      <c r="D128" s="19"/>
      <c r="E128" s="20"/>
      <c r="F128" s="4"/>
    </row>
    <row r="129" spans="2:6" ht="20.100000000000001" customHeight="1" x14ac:dyDescent="0.25">
      <c r="B129" s="35"/>
      <c r="C129" s="19"/>
      <c r="D129" s="19"/>
      <c r="E129" s="20"/>
      <c r="F129" s="4"/>
    </row>
    <row r="130" spans="2:6" ht="20.100000000000001" customHeight="1" x14ac:dyDescent="0.25">
      <c r="B130" s="35"/>
      <c r="C130" s="19"/>
      <c r="D130" s="19"/>
      <c r="E130" s="20"/>
      <c r="F130" s="4"/>
    </row>
    <row r="131" spans="2:6" ht="20.100000000000001" customHeight="1" x14ac:dyDescent="0.25">
      <c r="B131" s="35"/>
      <c r="C131" s="19"/>
      <c r="D131" s="19"/>
      <c r="E131" s="20"/>
      <c r="F131" s="4"/>
    </row>
    <row r="132" spans="2:6" ht="20.100000000000001" customHeight="1" x14ac:dyDescent="0.25">
      <c r="B132" s="35"/>
      <c r="C132" s="19"/>
      <c r="D132" s="19"/>
      <c r="E132" s="20"/>
      <c r="F132" s="4"/>
    </row>
    <row r="133" spans="2:6" ht="20.100000000000001" customHeight="1" x14ac:dyDescent="0.25">
      <c r="B133" s="35"/>
      <c r="C133" s="19"/>
      <c r="D133" s="19"/>
      <c r="E133" s="20"/>
      <c r="F133" s="4"/>
    </row>
    <row r="134" spans="2:6" ht="20.100000000000001" customHeight="1" x14ac:dyDescent="0.25">
      <c r="B134" s="35"/>
      <c r="C134" s="19"/>
      <c r="D134" s="19"/>
      <c r="E134" s="20"/>
      <c r="F134" s="4"/>
    </row>
    <row r="135" spans="2:6" ht="20.100000000000001" customHeight="1" x14ac:dyDescent="0.25">
      <c r="B135" s="35"/>
      <c r="C135" s="19"/>
      <c r="D135" s="19"/>
      <c r="E135" s="20"/>
      <c r="F135" s="4"/>
    </row>
    <row r="136" spans="2:6" ht="20.100000000000001" customHeight="1" x14ac:dyDescent="0.25">
      <c r="B136" s="35"/>
      <c r="C136" s="19"/>
      <c r="D136" s="19"/>
      <c r="E136" s="20"/>
      <c r="F136" s="4"/>
    </row>
    <row r="137" spans="2:6" ht="20.100000000000001" customHeight="1" x14ac:dyDescent="0.25">
      <c r="B137" s="35"/>
      <c r="C137" s="19"/>
      <c r="D137" s="19"/>
      <c r="E137" s="20"/>
      <c r="F137" s="4"/>
    </row>
    <row r="138" spans="2:6" ht="20.100000000000001" customHeight="1" x14ac:dyDescent="0.25">
      <c r="B138" s="35"/>
      <c r="C138" s="19"/>
      <c r="D138" s="19"/>
      <c r="E138" s="20"/>
      <c r="F138" s="4"/>
    </row>
    <row r="139" spans="2:6" ht="20.100000000000001" customHeight="1" x14ac:dyDescent="0.25">
      <c r="B139" s="35"/>
      <c r="C139" s="19"/>
      <c r="D139" s="19"/>
      <c r="E139" s="20"/>
      <c r="F139" s="4"/>
    </row>
    <row r="140" spans="2:6" ht="20.100000000000001" customHeight="1" x14ac:dyDescent="0.25">
      <c r="B140" s="35"/>
      <c r="C140" s="19"/>
      <c r="D140" s="19"/>
      <c r="E140" s="20"/>
      <c r="F140" s="4"/>
    </row>
    <row r="141" spans="2:6" ht="20.100000000000001" customHeight="1" x14ac:dyDescent="0.25">
      <c r="B141" s="35"/>
      <c r="C141" s="19"/>
      <c r="D141" s="19"/>
      <c r="E141" s="20"/>
      <c r="F141" s="4"/>
    </row>
    <row r="142" spans="2:6" ht="20.100000000000001" customHeight="1" x14ac:dyDescent="0.25">
      <c r="B142" s="35"/>
      <c r="C142" s="19"/>
      <c r="D142" s="19"/>
      <c r="E142" s="20"/>
      <c r="F142" s="4"/>
    </row>
    <row r="143" spans="2:6" ht="20.100000000000001" customHeight="1" x14ac:dyDescent="0.25">
      <c r="B143" s="35"/>
      <c r="C143" s="19"/>
      <c r="D143" s="19"/>
      <c r="E143" s="20"/>
      <c r="F143" s="4"/>
    </row>
    <row r="144" spans="2:6" ht="20.100000000000001" customHeight="1" x14ac:dyDescent="0.25">
      <c r="B144" s="35"/>
      <c r="C144" s="19"/>
      <c r="D144" s="19"/>
      <c r="E144" s="20"/>
      <c r="F144" s="4"/>
    </row>
    <row r="145" spans="2:6" ht="20.100000000000001" customHeight="1" x14ac:dyDescent="0.25">
      <c r="B145" s="35"/>
      <c r="C145" s="19"/>
      <c r="D145" s="19"/>
      <c r="E145" s="20"/>
      <c r="F145" s="4"/>
    </row>
    <row r="146" spans="2:6" ht="20.100000000000001" customHeight="1" x14ac:dyDescent="0.25">
      <c r="B146" s="35"/>
      <c r="C146" s="19"/>
      <c r="D146" s="19"/>
      <c r="E146" s="20"/>
      <c r="F146" s="4"/>
    </row>
    <row r="147" spans="2:6" ht="20.100000000000001" customHeight="1" x14ac:dyDescent="0.25">
      <c r="B147" s="35"/>
      <c r="C147" s="19"/>
      <c r="D147" s="19"/>
      <c r="E147" s="20"/>
      <c r="F147" s="4"/>
    </row>
    <row r="148" spans="2:6" ht="20.100000000000001" customHeight="1" x14ac:dyDescent="0.25">
      <c r="B148" s="35"/>
      <c r="C148" s="19"/>
      <c r="D148" s="19"/>
      <c r="E148" s="20"/>
      <c r="F148" s="4"/>
    </row>
    <row r="149" spans="2:6" ht="20.100000000000001" customHeight="1" x14ac:dyDescent="0.25">
      <c r="B149" s="35"/>
      <c r="C149" s="19"/>
      <c r="D149" s="19"/>
      <c r="E149" s="20"/>
      <c r="F149" s="4"/>
    </row>
    <row r="150" spans="2:6" ht="20.100000000000001" customHeight="1" x14ac:dyDescent="0.25">
      <c r="B150" s="35"/>
      <c r="C150" s="19"/>
      <c r="D150" s="19"/>
      <c r="E150" s="20"/>
      <c r="F150" s="4"/>
    </row>
    <row r="151" spans="2:6" ht="20.100000000000001" customHeight="1" x14ac:dyDescent="0.25">
      <c r="B151" s="35"/>
      <c r="C151" s="19"/>
      <c r="D151" s="19"/>
      <c r="E151" s="20"/>
      <c r="F151" s="4"/>
    </row>
    <row r="152" spans="2:6" ht="20.100000000000001" customHeight="1" x14ac:dyDescent="0.25">
      <c r="B152" s="35"/>
      <c r="C152" s="19"/>
      <c r="D152" s="19"/>
      <c r="E152" s="20"/>
      <c r="F152" s="4"/>
    </row>
    <row r="153" spans="2:6" ht="20.100000000000001" customHeight="1" x14ac:dyDescent="0.25">
      <c r="B153" s="35"/>
      <c r="C153" s="19"/>
      <c r="D153" s="19"/>
      <c r="E153" s="20"/>
      <c r="F153" s="4"/>
    </row>
    <row r="154" spans="2:6" ht="20.100000000000001" customHeight="1" x14ac:dyDescent="0.25">
      <c r="B154" s="35"/>
      <c r="C154" s="19"/>
      <c r="D154" s="19"/>
      <c r="E154" s="20"/>
      <c r="F154" s="4"/>
    </row>
    <row r="155" spans="2:6" ht="20.100000000000001" customHeight="1" x14ac:dyDescent="0.25">
      <c r="B155" s="35"/>
      <c r="C155" s="19"/>
      <c r="D155" s="19"/>
      <c r="E155" s="20"/>
      <c r="F155" s="4"/>
    </row>
    <row r="156" spans="2:6" ht="20.100000000000001" customHeight="1" x14ac:dyDescent="0.25">
      <c r="B156" s="35"/>
      <c r="C156" s="19"/>
      <c r="D156" s="19"/>
      <c r="E156" s="20"/>
      <c r="F156" s="4"/>
    </row>
    <row r="157" spans="2:6" ht="20.100000000000001" customHeight="1" x14ac:dyDescent="0.25">
      <c r="B157" s="35"/>
      <c r="C157" s="19"/>
      <c r="D157" s="19"/>
      <c r="E157" s="20"/>
      <c r="F157" s="4"/>
    </row>
    <row r="158" spans="2:6" ht="20.100000000000001" customHeight="1" x14ac:dyDescent="0.25">
      <c r="B158" s="35"/>
      <c r="C158" s="19"/>
      <c r="D158" s="19"/>
      <c r="E158" s="20"/>
      <c r="F158" s="4"/>
    </row>
    <row r="159" spans="2:6" ht="20.100000000000001" customHeight="1" x14ac:dyDescent="0.25">
      <c r="B159" s="35"/>
      <c r="C159" s="19"/>
      <c r="D159" s="19"/>
      <c r="E159" s="20"/>
      <c r="F159" s="4"/>
    </row>
    <row r="160" spans="2:6" ht="20.100000000000001" customHeight="1" x14ac:dyDescent="0.25">
      <c r="B160" s="35"/>
      <c r="C160" s="19"/>
      <c r="D160" s="19"/>
      <c r="E160" s="20"/>
      <c r="F160" s="4"/>
    </row>
    <row r="161" spans="2:6" ht="20.100000000000001" customHeight="1" x14ac:dyDescent="0.25">
      <c r="B161" s="35"/>
      <c r="C161" s="19"/>
      <c r="D161" s="19"/>
      <c r="E161" s="20"/>
      <c r="F161" s="4"/>
    </row>
    <row r="162" spans="2:6" ht="20.100000000000001" customHeight="1" x14ac:dyDescent="0.25">
      <c r="B162" s="35"/>
      <c r="C162" s="19"/>
      <c r="D162" s="19"/>
      <c r="E162" s="20"/>
      <c r="F162" s="4"/>
    </row>
    <row r="163" spans="2:6" ht="20.100000000000001" customHeight="1" x14ac:dyDescent="0.25">
      <c r="B163" s="35"/>
      <c r="C163" s="19"/>
      <c r="D163" s="19"/>
      <c r="E163" s="20"/>
      <c r="F163" s="4"/>
    </row>
    <row r="164" spans="2:6" ht="20.100000000000001" customHeight="1" x14ac:dyDescent="0.25">
      <c r="B164" s="35"/>
      <c r="C164" s="19"/>
      <c r="D164" s="19"/>
      <c r="E164" s="20"/>
      <c r="F164" s="4"/>
    </row>
    <row r="165" spans="2:6" ht="20.100000000000001" customHeight="1" x14ac:dyDescent="0.25">
      <c r="B165" s="35"/>
      <c r="C165" s="19"/>
      <c r="D165" s="19"/>
      <c r="E165" s="20"/>
      <c r="F165" s="4"/>
    </row>
    <row r="166" spans="2:6" ht="20.100000000000001" customHeight="1" x14ac:dyDescent="0.25">
      <c r="B166" s="35"/>
      <c r="C166" s="19"/>
      <c r="D166" s="19"/>
      <c r="E166" s="20"/>
      <c r="F166" s="4"/>
    </row>
    <row r="167" spans="2:6" ht="20.100000000000001" customHeight="1" x14ac:dyDescent="0.25">
      <c r="B167" s="35"/>
      <c r="C167" s="19"/>
      <c r="D167" s="19"/>
      <c r="E167" s="20"/>
      <c r="F167" s="4"/>
    </row>
    <row r="168" spans="2:6" ht="20.100000000000001" customHeight="1" x14ac:dyDescent="0.25">
      <c r="B168" s="35"/>
      <c r="C168" s="19"/>
      <c r="D168" s="19"/>
      <c r="E168" s="20"/>
      <c r="F168" s="4"/>
    </row>
    <row r="169" spans="2:6" ht="20.100000000000001" customHeight="1" x14ac:dyDescent="0.25">
      <c r="B169" s="35"/>
      <c r="C169" s="19"/>
      <c r="D169" s="19"/>
      <c r="E169" s="20"/>
      <c r="F169" s="4"/>
    </row>
    <row r="170" spans="2:6" ht="20.100000000000001" customHeight="1" x14ac:dyDescent="0.25">
      <c r="B170" s="35"/>
      <c r="C170" s="19"/>
      <c r="D170" s="19"/>
      <c r="E170" s="20"/>
      <c r="F170" s="4"/>
    </row>
    <row r="171" spans="2:6" ht="20.100000000000001" customHeight="1" x14ac:dyDescent="0.25">
      <c r="B171" s="35"/>
      <c r="C171" s="19"/>
      <c r="D171" s="19"/>
      <c r="E171" s="20"/>
      <c r="F171" s="4"/>
    </row>
    <row r="172" spans="2:6" ht="20.100000000000001" customHeight="1" x14ac:dyDescent="0.25">
      <c r="B172" s="35"/>
      <c r="C172" s="19"/>
      <c r="D172" s="19"/>
      <c r="E172" s="20"/>
      <c r="F172" s="4"/>
    </row>
    <row r="173" spans="2:6" ht="20.100000000000001" customHeight="1" x14ac:dyDescent="0.25">
      <c r="B173" s="35"/>
      <c r="C173" s="19"/>
      <c r="D173" s="19"/>
      <c r="E173" s="20"/>
      <c r="F173" s="4"/>
    </row>
    <row r="174" spans="2:6" ht="20.100000000000001" customHeight="1" x14ac:dyDescent="0.25">
      <c r="B174" s="35"/>
      <c r="C174" s="19"/>
      <c r="D174" s="19"/>
      <c r="E174" s="20"/>
      <c r="F174" s="4"/>
    </row>
    <row r="175" spans="2:6" ht="20.100000000000001" customHeight="1" x14ac:dyDescent="0.25">
      <c r="B175" s="35"/>
      <c r="C175" s="19"/>
      <c r="D175" s="19"/>
      <c r="E175" s="20"/>
      <c r="F175" s="4"/>
    </row>
    <row r="176" spans="2:6" ht="20.100000000000001" customHeight="1" x14ac:dyDescent="0.25">
      <c r="B176" s="35"/>
      <c r="C176" s="19"/>
      <c r="D176" s="19"/>
      <c r="E176" s="20"/>
      <c r="F176" s="4"/>
    </row>
    <row r="177" spans="2:6" ht="20.100000000000001" customHeight="1" x14ac:dyDescent="0.25">
      <c r="B177" s="35"/>
      <c r="C177" s="19"/>
      <c r="D177" s="19"/>
      <c r="E177" s="20"/>
      <c r="F177" s="4"/>
    </row>
    <row r="178" spans="2:6" ht="20.100000000000001" customHeight="1" x14ac:dyDescent="0.25">
      <c r="B178" s="35"/>
      <c r="C178" s="19"/>
      <c r="D178" s="19"/>
      <c r="E178" s="20"/>
      <c r="F178" s="4"/>
    </row>
    <row r="179" spans="2:6" ht="20.100000000000001" customHeight="1" x14ac:dyDescent="0.25">
      <c r="B179" s="35"/>
      <c r="C179" s="19"/>
      <c r="D179" s="19"/>
      <c r="E179" s="20"/>
      <c r="F179" s="4"/>
    </row>
    <row r="180" spans="2:6" ht="20.100000000000001" customHeight="1" x14ac:dyDescent="0.25">
      <c r="B180" s="35"/>
      <c r="C180" s="19"/>
      <c r="D180" s="19"/>
      <c r="E180" s="20"/>
      <c r="F180" s="4"/>
    </row>
    <row r="181" spans="2:6" ht="20.100000000000001" customHeight="1" x14ac:dyDescent="0.25">
      <c r="B181" s="35"/>
      <c r="C181" s="19"/>
      <c r="D181" s="19"/>
      <c r="E181" s="20"/>
      <c r="F181" s="4"/>
    </row>
    <row r="182" spans="2:6" ht="20.100000000000001" customHeight="1" x14ac:dyDescent="0.25">
      <c r="B182" s="35"/>
      <c r="C182" s="19"/>
      <c r="D182" s="19"/>
      <c r="E182" s="20"/>
      <c r="F182" s="4"/>
    </row>
    <row r="183" spans="2:6" ht="20.100000000000001" customHeight="1" x14ac:dyDescent="0.25">
      <c r="B183" s="35"/>
      <c r="C183" s="19"/>
      <c r="D183" s="19"/>
      <c r="E183" s="20"/>
      <c r="F183" s="4"/>
    </row>
    <row r="184" spans="2:6" ht="20.100000000000001" customHeight="1" x14ac:dyDescent="0.25">
      <c r="B184" s="35"/>
      <c r="C184" s="19"/>
      <c r="D184" s="19"/>
      <c r="E184" s="20"/>
      <c r="F184" s="4"/>
    </row>
    <row r="185" spans="2:6" ht="20.100000000000001" customHeight="1" x14ac:dyDescent="0.25">
      <c r="B185" s="35"/>
      <c r="C185" s="19"/>
      <c r="D185" s="19"/>
      <c r="E185" s="20"/>
      <c r="F185" s="4"/>
    </row>
    <row r="186" spans="2:6" ht="20.100000000000001" customHeight="1" x14ac:dyDescent="0.25">
      <c r="B186" s="35"/>
      <c r="C186" s="19"/>
      <c r="D186" s="19"/>
      <c r="E186" s="20"/>
      <c r="F186" s="4"/>
    </row>
    <row r="187" spans="2:6" ht="20.100000000000001" customHeight="1" x14ac:dyDescent="0.25">
      <c r="B187" s="35"/>
      <c r="C187" s="19"/>
      <c r="D187" s="19"/>
      <c r="E187" s="20"/>
      <c r="F187" s="4"/>
    </row>
    <row r="188" spans="2:6" ht="20.100000000000001" customHeight="1" x14ac:dyDescent="0.25">
      <c r="B188" s="35"/>
      <c r="C188" s="19"/>
      <c r="D188" s="19"/>
      <c r="E188" s="20"/>
      <c r="F188" s="4"/>
    </row>
    <row r="189" spans="2:6" ht="20.100000000000001" customHeight="1" x14ac:dyDescent="0.25">
      <c r="B189" s="35"/>
      <c r="C189" s="19"/>
      <c r="D189" s="19"/>
      <c r="E189" s="20"/>
      <c r="F189" s="4"/>
    </row>
    <row r="190" spans="2:6" ht="20.100000000000001" customHeight="1" x14ac:dyDescent="0.25">
      <c r="B190" s="35"/>
      <c r="C190" s="19"/>
      <c r="D190" s="19"/>
      <c r="E190" s="20"/>
      <c r="F190" s="4"/>
    </row>
    <row r="191" spans="2:6" ht="20.100000000000001" customHeight="1" x14ac:dyDescent="0.25">
      <c r="B191" s="35"/>
      <c r="C191" s="19"/>
      <c r="D191" s="19"/>
      <c r="E191" s="20"/>
      <c r="F191" s="4"/>
    </row>
    <row r="192" spans="2:6" ht="20.100000000000001" customHeight="1" x14ac:dyDescent="0.25">
      <c r="B192" s="35"/>
      <c r="C192" s="19"/>
      <c r="D192" s="19"/>
      <c r="E192" s="20"/>
      <c r="F192" s="4"/>
    </row>
    <row r="193" spans="2:6" ht="20.100000000000001" customHeight="1" x14ac:dyDescent="0.25">
      <c r="B193" s="35"/>
      <c r="C193" s="19"/>
      <c r="D193" s="19"/>
      <c r="E193" s="20"/>
      <c r="F193" s="4"/>
    </row>
    <row r="194" spans="2:6" ht="20.100000000000001" customHeight="1" x14ac:dyDescent="0.25">
      <c r="B194" s="35"/>
      <c r="C194" s="19"/>
      <c r="D194" s="19"/>
      <c r="E194" s="20"/>
      <c r="F194" s="4"/>
    </row>
    <row r="195" spans="2:6" ht="20.100000000000001" customHeight="1" x14ac:dyDescent="0.25">
      <c r="B195" s="35"/>
      <c r="C195" s="19"/>
      <c r="D195" s="19"/>
      <c r="E195" s="20"/>
      <c r="F195" s="4"/>
    </row>
    <row r="196" spans="2:6" ht="20.100000000000001" customHeight="1" x14ac:dyDescent="0.25">
      <c r="B196" s="35"/>
      <c r="C196" s="19"/>
      <c r="D196" s="19"/>
      <c r="E196" s="20"/>
      <c r="F196" s="4"/>
    </row>
    <row r="197" spans="2:6" ht="20.100000000000001" customHeight="1" x14ac:dyDescent="0.25">
      <c r="B197" s="35"/>
      <c r="C197" s="19"/>
      <c r="D197" s="19"/>
      <c r="E197" s="20"/>
      <c r="F197" s="4"/>
    </row>
    <row r="198" spans="2:6" ht="20.100000000000001" customHeight="1" x14ac:dyDescent="0.25">
      <c r="B198" s="35"/>
      <c r="C198" s="19"/>
      <c r="D198" s="19"/>
      <c r="E198" s="20"/>
      <c r="F198" s="4"/>
    </row>
    <row r="199" spans="2:6" ht="20.100000000000001" customHeight="1" x14ac:dyDescent="0.25">
      <c r="B199" s="35"/>
      <c r="C199" s="19"/>
      <c r="D199" s="19"/>
      <c r="E199" s="20"/>
      <c r="F199" s="4"/>
    </row>
    <row r="200" spans="2:6" ht="20.100000000000001" customHeight="1" x14ac:dyDescent="0.25">
      <c r="B200" s="35"/>
      <c r="C200" s="19"/>
      <c r="D200" s="19"/>
      <c r="E200" s="20"/>
      <c r="F200" s="4"/>
    </row>
    <row r="201" spans="2:6" ht="20.100000000000001" customHeight="1" x14ac:dyDescent="0.25">
      <c r="B201" s="35"/>
      <c r="C201" s="19"/>
      <c r="D201" s="19"/>
      <c r="E201" s="20"/>
      <c r="F201" s="4"/>
    </row>
    <row r="202" spans="2:6" ht="20.100000000000001" customHeight="1" x14ac:dyDescent="0.25">
      <c r="B202" s="35"/>
      <c r="C202" s="19"/>
      <c r="D202" s="19"/>
      <c r="E202" s="20"/>
      <c r="F202" s="4"/>
    </row>
    <row r="203" spans="2:6" ht="20.100000000000001" customHeight="1" x14ac:dyDescent="0.25">
      <c r="B203" s="35"/>
      <c r="C203" s="19"/>
      <c r="D203" s="19"/>
      <c r="E203" s="20"/>
      <c r="F203" s="4"/>
    </row>
    <row r="204" spans="2:6" ht="20.100000000000001" customHeight="1" x14ac:dyDescent="0.25">
      <c r="B204" s="35"/>
      <c r="C204" s="19"/>
      <c r="D204" s="19"/>
      <c r="E204" s="20"/>
      <c r="F204" s="4"/>
    </row>
    <row r="205" spans="2:6" ht="20.100000000000001" customHeight="1" x14ac:dyDescent="0.25">
      <c r="B205" s="35"/>
      <c r="C205" s="19"/>
      <c r="D205" s="19"/>
      <c r="E205" s="20"/>
      <c r="F205" s="4"/>
    </row>
    <row r="206" spans="2:6" ht="20.100000000000001" customHeight="1" x14ac:dyDescent="0.25">
      <c r="B206" s="35"/>
      <c r="C206" s="19"/>
      <c r="D206" s="19"/>
      <c r="E206" s="20"/>
      <c r="F206" s="4"/>
    </row>
    <row r="207" spans="2:6" ht="20.100000000000001" customHeight="1" x14ac:dyDescent="0.25">
      <c r="B207" s="35"/>
      <c r="C207" s="19"/>
      <c r="D207" s="19"/>
      <c r="E207" s="20"/>
      <c r="F207" s="4"/>
    </row>
    <row r="208" spans="2:6" ht="20.100000000000001" customHeight="1" x14ac:dyDescent="0.25">
      <c r="B208" s="35"/>
      <c r="C208" s="19"/>
      <c r="D208" s="19"/>
      <c r="E208" s="20"/>
      <c r="F208" s="4"/>
    </row>
    <row r="209" spans="2:6" ht="20.100000000000001" customHeight="1" x14ac:dyDescent="0.25">
      <c r="B209" s="35"/>
      <c r="C209" s="19"/>
      <c r="D209" s="19"/>
      <c r="E209" s="20"/>
      <c r="F209" s="4"/>
    </row>
    <row r="210" spans="2:6" ht="20.100000000000001" customHeight="1" x14ac:dyDescent="0.25">
      <c r="B210" s="35"/>
      <c r="C210" s="19"/>
      <c r="D210" s="19"/>
      <c r="E210" s="20"/>
      <c r="F210" s="4"/>
    </row>
    <row r="211" spans="2:6" ht="20.100000000000001" customHeight="1" x14ac:dyDescent="0.25">
      <c r="B211" s="35"/>
      <c r="C211" s="19"/>
      <c r="D211" s="19"/>
      <c r="E211" s="20"/>
      <c r="F211" s="4"/>
    </row>
    <row r="212" spans="2:6" ht="20.100000000000001" customHeight="1" x14ac:dyDescent="0.25">
      <c r="B212" s="35"/>
      <c r="C212" s="19"/>
      <c r="D212" s="19"/>
      <c r="E212" s="20"/>
      <c r="F212" s="4"/>
    </row>
    <row r="213" spans="2:6" ht="20.100000000000001" customHeight="1" x14ac:dyDescent="0.25">
      <c r="B213" s="35"/>
      <c r="C213" s="19"/>
      <c r="D213" s="19"/>
      <c r="E213" s="20"/>
      <c r="F213" s="4"/>
    </row>
    <row r="214" spans="2:6" ht="20.100000000000001" customHeight="1" x14ac:dyDescent="0.25">
      <c r="B214" s="35"/>
      <c r="C214" s="19"/>
      <c r="D214" s="19"/>
      <c r="E214" s="20"/>
      <c r="F214" s="4"/>
    </row>
    <row r="215" spans="2:6" ht="20.100000000000001" customHeight="1" x14ac:dyDescent="0.25">
      <c r="B215" s="35"/>
      <c r="C215" s="19"/>
      <c r="D215" s="19"/>
      <c r="E215" s="20"/>
      <c r="F215" s="4"/>
    </row>
    <row r="216" spans="2:6" ht="20.100000000000001" customHeight="1" x14ac:dyDescent="0.25">
      <c r="B216" s="35"/>
      <c r="C216" s="19"/>
      <c r="D216" s="19"/>
      <c r="E216" s="20"/>
      <c r="F216" s="4"/>
    </row>
    <row r="217" spans="2:6" ht="20.100000000000001" customHeight="1" x14ac:dyDescent="0.25">
      <c r="B217" s="35"/>
      <c r="C217" s="19"/>
      <c r="D217" s="19"/>
      <c r="E217" s="20"/>
      <c r="F217" s="4"/>
    </row>
    <row r="218" spans="2:6" ht="20.100000000000001" customHeight="1" x14ac:dyDescent="0.25">
      <c r="B218" s="35"/>
      <c r="C218" s="19"/>
      <c r="D218" s="19"/>
      <c r="E218" s="20"/>
      <c r="F218" s="4"/>
    </row>
    <row r="219" spans="2:6" ht="20.100000000000001" customHeight="1" x14ac:dyDescent="0.25">
      <c r="B219" s="35"/>
      <c r="C219" s="19"/>
      <c r="D219" s="19"/>
      <c r="E219" s="20"/>
      <c r="F219" s="4"/>
    </row>
    <row r="220" spans="2:6" ht="20.100000000000001" customHeight="1" x14ac:dyDescent="0.25">
      <c r="B220" s="35"/>
      <c r="C220" s="19"/>
      <c r="D220" s="19"/>
      <c r="E220" s="20"/>
      <c r="F220" s="4"/>
    </row>
    <row r="221" spans="2:6" ht="20.100000000000001" customHeight="1" x14ac:dyDescent="0.25">
      <c r="B221" s="35"/>
      <c r="C221" s="19"/>
      <c r="D221" s="19"/>
      <c r="E221" s="20"/>
      <c r="F221" s="4"/>
    </row>
    <row r="222" spans="2:6" ht="20.100000000000001" customHeight="1" x14ac:dyDescent="0.25">
      <c r="B222" s="35"/>
      <c r="C222" s="19"/>
      <c r="D222" s="19"/>
      <c r="E222" s="20"/>
      <c r="F222" s="4"/>
    </row>
    <row r="223" spans="2:6" ht="20.100000000000001" customHeight="1" x14ac:dyDescent="0.25">
      <c r="B223" s="35"/>
      <c r="C223" s="19"/>
      <c r="D223" s="19"/>
      <c r="E223" s="20"/>
      <c r="F223" s="4"/>
    </row>
    <row r="224" spans="2:6" ht="20.100000000000001" customHeight="1" x14ac:dyDescent="0.25">
      <c r="B224" s="35"/>
      <c r="C224" s="19"/>
      <c r="D224" s="19"/>
      <c r="E224" s="20"/>
      <c r="F224" s="4"/>
    </row>
    <row r="225" spans="2:6" ht="20.100000000000001" customHeight="1" x14ac:dyDescent="0.25">
      <c r="B225" s="35"/>
      <c r="C225" s="19"/>
      <c r="D225" s="19"/>
      <c r="E225" s="20"/>
      <c r="F225" s="4"/>
    </row>
    <row r="226" spans="2:6" ht="20.100000000000001" customHeight="1" x14ac:dyDescent="0.25">
      <c r="B226" s="35"/>
      <c r="C226" s="19"/>
      <c r="D226" s="19"/>
      <c r="E226" s="20"/>
      <c r="F226" s="4"/>
    </row>
    <row r="227" spans="2:6" ht="20.100000000000001" customHeight="1" x14ac:dyDescent="0.25">
      <c r="B227" s="35"/>
      <c r="C227" s="19"/>
      <c r="D227" s="19"/>
      <c r="E227" s="20"/>
      <c r="F227" s="4"/>
    </row>
    <row r="228" spans="2:6" ht="20.100000000000001" customHeight="1" x14ac:dyDescent="0.25">
      <c r="B228" s="35"/>
      <c r="C228" s="19"/>
      <c r="D228" s="19"/>
      <c r="E228" s="20"/>
      <c r="F228" s="4"/>
    </row>
    <row r="229" spans="2:6" ht="20.100000000000001" customHeight="1" x14ac:dyDescent="0.25">
      <c r="B229" s="35"/>
      <c r="C229" s="19"/>
      <c r="D229" s="19"/>
      <c r="E229" s="20"/>
      <c r="F229" s="4"/>
    </row>
    <row r="230" spans="2:6" ht="20.100000000000001" customHeight="1" x14ac:dyDescent="0.25">
      <c r="B230" s="35"/>
      <c r="C230" s="19"/>
      <c r="D230" s="19"/>
      <c r="E230" s="20"/>
      <c r="F230" s="4"/>
    </row>
    <row r="231" spans="2:6" ht="20.100000000000001" customHeight="1" x14ac:dyDescent="0.25">
      <c r="B231" s="35"/>
      <c r="C231" s="19"/>
      <c r="D231" s="19"/>
      <c r="E231" s="20"/>
      <c r="F231" s="4"/>
    </row>
    <row r="232" spans="2:6" ht="20.100000000000001" customHeight="1" x14ac:dyDescent="0.25">
      <c r="B232" s="35"/>
      <c r="C232" s="19"/>
      <c r="D232" s="19"/>
      <c r="E232" s="20"/>
      <c r="F232" s="4"/>
    </row>
    <row r="233" spans="2:6" ht="20.100000000000001" customHeight="1" x14ac:dyDescent="0.25">
      <c r="B233" s="35"/>
      <c r="C233" s="19"/>
      <c r="D233" s="19"/>
      <c r="E233" s="20"/>
      <c r="F233" s="4"/>
    </row>
    <row r="234" spans="2:6" ht="20.100000000000001" customHeight="1" x14ac:dyDescent="0.25">
      <c r="B234" s="35"/>
      <c r="C234" s="19"/>
      <c r="D234" s="19"/>
      <c r="E234" s="20"/>
      <c r="F234" s="4"/>
    </row>
    <row r="235" spans="2:6" ht="20.100000000000001" customHeight="1" x14ac:dyDescent="0.25">
      <c r="B235" s="35"/>
      <c r="C235" s="19"/>
      <c r="D235" s="19"/>
      <c r="E235" s="20"/>
      <c r="F235" s="4"/>
    </row>
    <row r="236" spans="2:6" ht="20.100000000000001" customHeight="1" x14ac:dyDescent="0.25">
      <c r="B236" s="35"/>
      <c r="C236" s="19"/>
      <c r="D236" s="19"/>
      <c r="E236" s="20"/>
      <c r="F236" s="4"/>
    </row>
    <row r="237" spans="2:6" ht="20.100000000000001" customHeight="1" x14ac:dyDescent="0.25">
      <c r="B237" s="35"/>
      <c r="C237" s="19"/>
      <c r="D237" s="19"/>
      <c r="E237" s="20"/>
      <c r="F237" s="4"/>
    </row>
    <row r="238" spans="2:6" ht="20.100000000000001" customHeight="1" x14ac:dyDescent="0.25">
      <c r="B238" s="35"/>
      <c r="C238" s="19"/>
      <c r="D238" s="19"/>
      <c r="E238" s="20"/>
      <c r="F238" s="4"/>
    </row>
    <row r="239" spans="2:6" ht="20.100000000000001" customHeight="1" x14ac:dyDescent="0.25">
      <c r="B239" s="35"/>
      <c r="C239" s="19"/>
      <c r="D239" s="19"/>
      <c r="E239" s="20"/>
      <c r="F239" s="4"/>
    </row>
    <row r="240" spans="2:6" ht="20.100000000000001" customHeight="1" x14ac:dyDescent="0.25">
      <c r="B240" s="35"/>
      <c r="C240" s="19"/>
      <c r="D240" s="19"/>
      <c r="E240" s="20"/>
      <c r="F240" s="4"/>
    </row>
    <row r="241" spans="2:6" ht="20.100000000000001" customHeight="1" x14ac:dyDescent="0.25">
      <c r="B241" s="35"/>
      <c r="C241" s="19"/>
      <c r="D241" s="19"/>
      <c r="E241" s="20"/>
      <c r="F241" s="4"/>
    </row>
    <row r="242" spans="2:6" ht="20.100000000000001" customHeight="1" x14ac:dyDescent="0.25">
      <c r="B242" s="35"/>
      <c r="C242" s="19"/>
      <c r="D242" s="19"/>
      <c r="E242" s="20"/>
      <c r="F242" s="4"/>
    </row>
    <row r="243" spans="2:6" ht="20.100000000000001" customHeight="1" x14ac:dyDescent="0.25">
      <c r="B243" s="35"/>
      <c r="C243" s="19"/>
      <c r="D243" s="19"/>
      <c r="E243" s="20"/>
      <c r="F243" s="4"/>
    </row>
    <row r="244" spans="2:6" ht="20.100000000000001" customHeight="1" x14ac:dyDescent="0.25">
      <c r="B244" s="35"/>
      <c r="C244" s="19"/>
      <c r="D244" s="19"/>
      <c r="E244" s="20"/>
      <c r="F244" s="4"/>
    </row>
    <row r="245" spans="2:6" ht="20.100000000000001" customHeight="1" x14ac:dyDescent="0.25">
      <c r="B245" s="35"/>
      <c r="C245" s="19"/>
      <c r="D245" s="19"/>
      <c r="E245" s="20"/>
      <c r="F245" s="4"/>
    </row>
    <row r="246" spans="2:6" ht="20.100000000000001" customHeight="1" x14ac:dyDescent="0.25">
      <c r="B246" s="35"/>
      <c r="C246" s="19"/>
      <c r="D246" s="19"/>
      <c r="E246" s="20"/>
      <c r="F246" s="4"/>
    </row>
    <row r="247" spans="2:6" ht="20.100000000000001" customHeight="1" x14ac:dyDescent="0.25">
      <c r="B247" s="35"/>
      <c r="C247" s="19"/>
      <c r="D247" s="19"/>
      <c r="E247" s="20"/>
      <c r="F247" s="4"/>
    </row>
    <row r="248" spans="2:6" ht="20.100000000000001" customHeight="1" x14ac:dyDescent="0.25">
      <c r="B248" s="35"/>
      <c r="C248" s="19"/>
      <c r="D248" s="19"/>
      <c r="E248" s="20"/>
      <c r="F248" s="4"/>
    </row>
    <row r="249" spans="2:6" ht="20.100000000000001" customHeight="1" x14ac:dyDescent="0.25">
      <c r="B249" s="35"/>
      <c r="C249" s="19"/>
      <c r="D249" s="19"/>
      <c r="E249" s="20"/>
      <c r="F249" s="4"/>
    </row>
    <row r="250" spans="2:6" ht="20.100000000000001" customHeight="1" x14ac:dyDescent="0.25">
      <c r="B250" s="35"/>
      <c r="C250" s="19"/>
      <c r="D250" s="19"/>
      <c r="E250" s="20"/>
      <c r="F250" s="4"/>
    </row>
    <row r="251" spans="2:6" ht="20.100000000000001" customHeight="1" x14ac:dyDescent="0.25">
      <c r="B251" s="35"/>
      <c r="C251" s="19"/>
      <c r="D251" s="19"/>
      <c r="E251" s="20"/>
      <c r="F251" s="4"/>
    </row>
    <row r="252" spans="2:6" ht="20.100000000000001" customHeight="1" x14ac:dyDescent="0.25">
      <c r="B252" s="35"/>
      <c r="C252" s="19"/>
      <c r="D252" s="19"/>
      <c r="E252" s="20"/>
      <c r="F252" s="4"/>
    </row>
    <row r="253" spans="2:6" ht="20.100000000000001" customHeight="1" x14ac:dyDescent="0.25">
      <c r="B253" s="35"/>
      <c r="C253" s="19"/>
      <c r="D253" s="19"/>
      <c r="E253" s="20"/>
      <c r="F253" s="4"/>
    </row>
    <row r="254" spans="2:6" ht="20.100000000000001" customHeight="1" x14ac:dyDescent="0.25">
      <c r="B254" s="35"/>
      <c r="C254" s="19"/>
      <c r="D254" s="19"/>
      <c r="E254" s="20"/>
      <c r="F254" s="4"/>
    </row>
    <row r="255" spans="2:6" ht="20.100000000000001" customHeight="1" x14ac:dyDescent="0.25">
      <c r="B255" s="35"/>
      <c r="C255" s="19"/>
      <c r="D255" s="19"/>
      <c r="E255" s="20"/>
      <c r="F255" s="4"/>
    </row>
    <row r="256" spans="2:6" ht="20.100000000000001" customHeight="1" x14ac:dyDescent="0.25">
      <c r="B256" s="35"/>
      <c r="C256" s="19"/>
      <c r="D256" s="19"/>
      <c r="E256" s="20"/>
      <c r="F256" s="4"/>
    </row>
    <row r="257" spans="2:6" ht="20.100000000000001" customHeight="1" x14ac:dyDescent="0.25">
      <c r="B257" s="35"/>
      <c r="C257" s="19"/>
      <c r="D257" s="19"/>
      <c r="E257" s="20"/>
      <c r="F257" s="4"/>
    </row>
    <row r="258" spans="2:6" ht="20.100000000000001" customHeight="1" x14ac:dyDescent="0.25">
      <c r="B258" s="35"/>
      <c r="C258" s="19"/>
      <c r="D258" s="19"/>
      <c r="E258" s="20"/>
      <c r="F258" s="4"/>
    </row>
    <row r="259" spans="2:6" ht="20.100000000000001" customHeight="1" x14ac:dyDescent="0.25">
      <c r="B259" s="35"/>
      <c r="C259" s="19"/>
      <c r="D259" s="19"/>
      <c r="E259" s="20"/>
      <c r="F259" s="4"/>
    </row>
    <row r="260" spans="2:6" ht="20.100000000000001" customHeight="1" x14ac:dyDescent="0.25">
      <c r="B260" s="35"/>
      <c r="C260" s="19"/>
      <c r="D260" s="19"/>
      <c r="E260" s="20"/>
      <c r="F260" s="4"/>
    </row>
    <row r="261" spans="2:6" ht="20.100000000000001" customHeight="1" x14ac:dyDescent="0.25">
      <c r="B261" s="35"/>
      <c r="C261" s="19"/>
      <c r="D261" s="19"/>
      <c r="E261" s="20"/>
      <c r="F261" s="4"/>
    </row>
    <row r="262" spans="2:6" ht="20.100000000000001" customHeight="1" x14ac:dyDescent="0.25">
      <c r="B262" s="35"/>
      <c r="C262" s="19"/>
      <c r="D262" s="19"/>
      <c r="E262" s="20"/>
      <c r="F262" s="4"/>
    </row>
    <row r="263" spans="2:6" ht="20.100000000000001" customHeight="1" x14ac:dyDescent="0.25">
      <c r="B263" s="35"/>
      <c r="C263" s="19"/>
      <c r="D263" s="19"/>
      <c r="E263" s="20"/>
      <c r="F263" s="4"/>
    </row>
    <row r="264" spans="2:6" ht="20.100000000000001" customHeight="1" x14ac:dyDescent="0.25">
      <c r="B264" s="35"/>
      <c r="C264" s="19"/>
      <c r="D264" s="19"/>
      <c r="E264" s="20"/>
      <c r="F264" s="4"/>
    </row>
    <row r="265" spans="2:6" ht="20.100000000000001" customHeight="1" x14ac:dyDescent="0.25">
      <c r="B265" s="35"/>
      <c r="C265" s="19"/>
      <c r="D265" s="19"/>
      <c r="E265" s="20"/>
      <c r="F265" s="4"/>
    </row>
    <row r="266" spans="2:6" ht="20.100000000000001" customHeight="1" x14ac:dyDescent="0.25">
      <c r="B266" s="35"/>
      <c r="C266" s="19"/>
      <c r="D266" s="19"/>
      <c r="E266" s="20"/>
      <c r="F266" s="4"/>
    </row>
    <row r="267" spans="2:6" ht="20.100000000000001" customHeight="1" x14ac:dyDescent="0.25">
      <c r="B267" s="35"/>
      <c r="C267" s="19"/>
      <c r="D267" s="19"/>
      <c r="E267" s="20"/>
      <c r="F267" s="4"/>
    </row>
    <row r="268" spans="2:6" ht="20.100000000000001" customHeight="1" x14ac:dyDescent="0.25">
      <c r="B268" s="35"/>
      <c r="C268" s="19"/>
      <c r="D268" s="19"/>
      <c r="E268" s="20"/>
      <c r="F268" s="4"/>
    </row>
    <row r="269" spans="2:6" ht="20.100000000000001" customHeight="1" x14ac:dyDescent="0.25">
      <c r="B269" s="35"/>
      <c r="C269" s="19"/>
      <c r="D269" s="19"/>
      <c r="E269" s="20"/>
      <c r="F269" s="4"/>
    </row>
    <row r="270" spans="2:6" ht="20.100000000000001" customHeight="1" x14ac:dyDescent="0.25">
      <c r="B270" s="35"/>
      <c r="C270" s="19"/>
      <c r="D270" s="19"/>
      <c r="E270" s="20"/>
      <c r="F270" s="4"/>
    </row>
    <row r="271" spans="2:6" ht="20.100000000000001" customHeight="1" x14ac:dyDescent="0.25">
      <c r="B271" s="35"/>
      <c r="C271" s="19"/>
      <c r="D271" s="19"/>
      <c r="E271" s="20"/>
      <c r="F271" s="4"/>
    </row>
    <row r="272" spans="2:6" ht="20.100000000000001" customHeight="1" x14ac:dyDescent="0.25">
      <c r="B272" s="35"/>
      <c r="C272" s="19"/>
      <c r="D272" s="19"/>
      <c r="E272" s="20"/>
      <c r="F272" s="4"/>
    </row>
    <row r="273" spans="2:6" ht="20.100000000000001" customHeight="1" x14ac:dyDescent="0.25">
      <c r="B273" s="35"/>
      <c r="C273" s="19"/>
      <c r="D273" s="19"/>
      <c r="E273" s="20"/>
      <c r="F273" s="4"/>
    </row>
    <row r="274" spans="2:6" ht="20.100000000000001" customHeight="1" x14ac:dyDescent="0.25">
      <c r="B274" s="35"/>
      <c r="C274" s="19"/>
      <c r="D274" s="19"/>
      <c r="E274" s="20"/>
      <c r="F274" s="4"/>
    </row>
    <row r="275" spans="2:6" ht="20.100000000000001" customHeight="1" x14ac:dyDescent="0.25">
      <c r="B275" s="35"/>
      <c r="C275" s="19"/>
      <c r="D275" s="19"/>
      <c r="E275" s="20"/>
      <c r="F275" s="4"/>
    </row>
    <row r="276" spans="2:6" ht="20.100000000000001" customHeight="1" x14ac:dyDescent="0.25">
      <c r="B276" s="35"/>
      <c r="C276" s="19"/>
      <c r="D276" s="19"/>
      <c r="E276" s="20"/>
      <c r="F276" s="4"/>
    </row>
    <row r="277" spans="2:6" ht="20.100000000000001" customHeight="1" x14ac:dyDescent="0.25">
      <c r="B277" s="35"/>
      <c r="C277" s="19"/>
      <c r="D277" s="19"/>
      <c r="E277" s="20"/>
      <c r="F277" s="4"/>
    </row>
    <row r="278" spans="2:6" ht="20.100000000000001" customHeight="1" x14ac:dyDescent="0.25">
      <c r="B278" s="35"/>
      <c r="C278" s="19"/>
      <c r="D278" s="19"/>
      <c r="E278" s="20"/>
      <c r="F278" s="4"/>
    </row>
    <row r="279" spans="2:6" ht="20.100000000000001" customHeight="1" x14ac:dyDescent="0.25">
      <c r="B279" s="35"/>
      <c r="C279" s="19"/>
      <c r="D279" s="19"/>
      <c r="E279" s="20"/>
      <c r="F279" s="4"/>
    </row>
    <row r="280" spans="2:6" ht="20.100000000000001" customHeight="1" x14ac:dyDescent="0.25">
      <c r="B280" s="35"/>
      <c r="C280" s="19"/>
      <c r="D280" s="19"/>
      <c r="E280" s="20"/>
      <c r="F280" s="4"/>
    </row>
    <row r="281" spans="2:6" ht="20.100000000000001" customHeight="1" x14ac:dyDescent="0.25">
      <c r="B281" s="35"/>
      <c r="C281" s="19"/>
      <c r="D281" s="19"/>
      <c r="E281" s="20"/>
      <c r="F281" s="4"/>
    </row>
    <row r="282" spans="2:6" ht="20.100000000000001" customHeight="1" x14ac:dyDescent="0.25">
      <c r="B282" s="35"/>
      <c r="C282" s="19"/>
      <c r="D282" s="19"/>
      <c r="E282" s="20"/>
      <c r="F282" s="4"/>
    </row>
    <row r="283" spans="2:6" ht="20.100000000000001" customHeight="1" x14ac:dyDescent="0.25">
      <c r="B283" s="35"/>
      <c r="C283" s="19"/>
      <c r="D283" s="19"/>
      <c r="E283" s="20"/>
      <c r="F283" s="4"/>
    </row>
    <row r="284" spans="2:6" ht="20.100000000000001" customHeight="1" x14ac:dyDescent="0.25">
      <c r="B284" s="35"/>
      <c r="C284" s="19"/>
      <c r="D284" s="19"/>
      <c r="E284" s="20"/>
      <c r="F284" s="4"/>
    </row>
    <row r="285" spans="2:6" ht="20.100000000000001" customHeight="1" x14ac:dyDescent="0.25">
      <c r="B285" s="35"/>
      <c r="C285" s="19"/>
      <c r="D285" s="19"/>
      <c r="E285" s="20"/>
      <c r="F285" s="4"/>
    </row>
    <row r="286" spans="2:6" ht="20.100000000000001" customHeight="1" x14ac:dyDescent="0.25">
      <c r="B286" s="35"/>
      <c r="C286" s="19"/>
      <c r="D286" s="19"/>
      <c r="E286" s="20"/>
      <c r="F286" s="4"/>
    </row>
    <row r="287" spans="2:6" ht="20.100000000000001" customHeight="1" x14ac:dyDescent="0.25">
      <c r="B287" s="35"/>
      <c r="C287" s="19"/>
      <c r="D287" s="19"/>
      <c r="E287" s="20"/>
      <c r="F287" s="4"/>
    </row>
    <row r="288" spans="2:6" ht="20.100000000000001" customHeight="1" x14ac:dyDescent="0.25">
      <c r="B288" s="35"/>
      <c r="C288" s="19"/>
      <c r="D288" s="19"/>
      <c r="E288" s="20"/>
      <c r="F288" s="4"/>
    </row>
    <row r="289" spans="2:6" ht="20.100000000000001" customHeight="1" x14ac:dyDescent="0.25">
      <c r="B289" s="35"/>
      <c r="C289" s="19"/>
      <c r="D289" s="19"/>
      <c r="E289" s="20"/>
      <c r="F289" s="4"/>
    </row>
    <row r="290" spans="2:6" ht="20.100000000000001" customHeight="1" x14ac:dyDescent="0.25">
      <c r="B290" s="35"/>
      <c r="C290" s="19"/>
      <c r="D290" s="19"/>
      <c r="E290" s="20"/>
      <c r="F290" s="4"/>
    </row>
    <row r="291" spans="2:6" ht="20.100000000000001" customHeight="1" x14ac:dyDescent="0.25">
      <c r="B291" s="35"/>
      <c r="C291" s="19"/>
      <c r="D291" s="19"/>
      <c r="E291" s="20"/>
      <c r="F291" s="4"/>
    </row>
    <row r="292" spans="2:6" ht="20.100000000000001" customHeight="1" x14ac:dyDescent="0.25">
      <c r="B292" s="35"/>
      <c r="C292" s="19"/>
      <c r="D292" s="19"/>
      <c r="E292" s="20"/>
      <c r="F292" s="4"/>
    </row>
    <row r="293" spans="2:6" ht="20.100000000000001" customHeight="1" x14ac:dyDescent="0.25">
      <c r="B293" s="35"/>
      <c r="C293" s="19"/>
      <c r="D293" s="19"/>
      <c r="E293" s="20"/>
      <c r="F293" s="4"/>
    </row>
    <row r="294" spans="2:6" ht="20.100000000000001" customHeight="1" x14ac:dyDescent="0.25">
      <c r="B294" s="35"/>
      <c r="C294" s="19"/>
      <c r="D294" s="19"/>
      <c r="E294" s="20"/>
      <c r="F294" s="4"/>
    </row>
    <row r="295" spans="2:6" ht="20.100000000000001" customHeight="1" x14ac:dyDescent="0.25">
      <c r="B295" s="35"/>
      <c r="C295" s="19"/>
      <c r="D295" s="19"/>
      <c r="E295" s="20"/>
      <c r="F295" s="4"/>
    </row>
    <row r="296" spans="2:6" ht="20.100000000000001" customHeight="1" x14ac:dyDescent="0.25">
      <c r="B296" s="35"/>
      <c r="C296" s="19"/>
      <c r="D296" s="19"/>
      <c r="E296" s="20"/>
      <c r="F296" s="4"/>
    </row>
    <row r="297" spans="2:6" ht="20.100000000000001" customHeight="1" x14ac:dyDescent="0.25">
      <c r="B297" s="35"/>
      <c r="C297" s="19"/>
      <c r="D297" s="19"/>
      <c r="E297" s="20"/>
      <c r="F297" s="4"/>
    </row>
    <row r="298" spans="2:6" ht="20.100000000000001" customHeight="1" x14ac:dyDescent="0.25">
      <c r="B298" s="35"/>
      <c r="C298" s="19"/>
      <c r="D298" s="19"/>
      <c r="E298" s="20"/>
      <c r="F298" s="4"/>
    </row>
    <row r="299" spans="2:6" ht="20.100000000000001" customHeight="1" x14ac:dyDescent="0.25">
      <c r="B299" s="35"/>
      <c r="C299" s="19"/>
      <c r="D299" s="19"/>
      <c r="E299" s="20"/>
      <c r="F299" s="4"/>
    </row>
    <row r="300" spans="2:6" ht="20.100000000000001" customHeight="1" x14ac:dyDescent="0.25">
      <c r="B300" s="35"/>
      <c r="C300" s="19"/>
      <c r="D300" s="19"/>
      <c r="E300" s="20"/>
      <c r="F300" s="4"/>
    </row>
    <row r="301" spans="2:6" ht="20.100000000000001" customHeight="1" x14ac:dyDescent="0.25">
      <c r="B301" s="35"/>
      <c r="C301" s="19"/>
      <c r="D301" s="19"/>
      <c r="E301" s="20"/>
      <c r="F301" s="4"/>
    </row>
    <row r="302" spans="2:6" ht="20.100000000000001" customHeight="1" x14ac:dyDescent="0.25">
      <c r="B302" s="35"/>
      <c r="C302" s="19"/>
      <c r="D302" s="19"/>
      <c r="E302" s="20"/>
      <c r="F302" s="4"/>
    </row>
    <row r="303" spans="2:6" ht="20.100000000000001" customHeight="1" x14ac:dyDescent="0.25">
      <c r="B303" s="35"/>
      <c r="C303" s="19"/>
      <c r="D303" s="19"/>
      <c r="E303" s="20"/>
      <c r="F303" s="4"/>
    </row>
    <row r="304" spans="2:6" ht="20.100000000000001" customHeight="1" x14ac:dyDescent="0.25">
      <c r="B304" s="35"/>
      <c r="C304" s="19"/>
      <c r="D304" s="19"/>
      <c r="E304" s="20"/>
      <c r="F304" s="4"/>
    </row>
    <row r="305" spans="2:6" ht="20.100000000000001" customHeight="1" x14ac:dyDescent="0.25">
      <c r="B305" s="35"/>
      <c r="C305" s="19"/>
      <c r="D305" s="19"/>
      <c r="E305" s="20"/>
      <c r="F305" s="4"/>
    </row>
    <row r="306" spans="2:6" ht="20.100000000000001" customHeight="1" x14ac:dyDescent="0.25">
      <c r="B306" s="35"/>
      <c r="C306" s="19"/>
      <c r="D306" s="19"/>
      <c r="E306" s="20"/>
      <c r="F306" s="4"/>
    </row>
    <row r="307" spans="2:6" ht="20.100000000000001" customHeight="1" x14ac:dyDescent="0.25">
      <c r="B307" s="35"/>
      <c r="C307" s="19"/>
      <c r="D307" s="19"/>
      <c r="E307" s="20"/>
      <c r="F307" s="4"/>
    </row>
    <row r="308" spans="2:6" ht="20.100000000000001" customHeight="1" x14ac:dyDescent="0.25">
      <c r="B308" s="35"/>
      <c r="C308" s="19"/>
      <c r="D308" s="19"/>
      <c r="E308" s="20"/>
      <c r="F308" s="4"/>
    </row>
    <row r="309" spans="2:6" ht="20.100000000000001" customHeight="1" x14ac:dyDescent="0.25">
      <c r="B309" s="35"/>
      <c r="C309" s="19"/>
      <c r="D309" s="19"/>
      <c r="E309" s="20"/>
      <c r="F309" s="4"/>
    </row>
    <row r="310" spans="2:6" ht="20.100000000000001" customHeight="1" x14ac:dyDescent="0.25">
      <c r="B310" s="35"/>
      <c r="C310" s="19"/>
      <c r="D310" s="19"/>
      <c r="E310" s="20"/>
      <c r="F310" s="4"/>
    </row>
    <row r="311" spans="2:6" ht="20.100000000000001" customHeight="1" x14ac:dyDescent="0.25">
      <c r="B311" s="35"/>
      <c r="C311" s="19"/>
      <c r="D311" s="19"/>
      <c r="E311" s="20"/>
      <c r="F311" s="4"/>
    </row>
    <row r="312" spans="2:6" ht="20.100000000000001" customHeight="1" x14ac:dyDescent="0.25">
      <c r="B312" s="35"/>
      <c r="C312" s="19"/>
      <c r="D312" s="19"/>
      <c r="E312" s="20"/>
      <c r="F312" s="4"/>
    </row>
    <row r="313" spans="2:6" ht="20.100000000000001" customHeight="1" x14ac:dyDescent="0.25">
      <c r="B313" s="35"/>
      <c r="C313" s="19"/>
      <c r="D313" s="19"/>
      <c r="E313" s="20"/>
      <c r="F313" s="4"/>
    </row>
    <row r="314" spans="2:6" ht="20.100000000000001" customHeight="1" x14ac:dyDescent="0.25">
      <c r="B314" s="35"/>
      <c r="C314" s="19"/>
      <c r="D314" s="19"/>
      <c r="E314" s="20"/>
      <c r="F314" s="4"/>
    </row>
    <row r="315" spans="2:6" ht="20.100000000000001" customHeight="1" x14ac:dyDescent="0.25">
      <c r="B315" s="35"/>
      <c r="C315" s="19"/>
      <c r="D315" s="19"/>
      <c r="E315" s="20"/>
      <c r="F315" s="4"/>
    </row>
    <row r="316" spans="2:6" ht="20.100000000000001" customHeight="1" x14ac:dyDescent="0.25">
      <c r="B316" s="35"/>
      <c r="C316" s="19"/>
      <c r="D316" s="19"/>
      <c r="E316" s="20"/>
      <c r="F316" s="4"/>
    </row>
    <row r="317" spans="2:6" ht="20.100000000000001" customHeight="1" x14ac:dyDescent="0.25">
      <c r="B317" s="35"/>
      <c r="C317" s="19"/>
      <c r="D317" s="19"/>
      <c r="E317" s="20"/>
      <c r="F317" s="4"/>
    </row>
    <row r="318" spans="2:6" ht="20.100000000000001" customHeight="1" x14ac:dyDescent="0.25">
      <c r="B318" s="35"/>
      <c r="C318" s="19"/>
      <c r="D318" s="19"/>
      <c r="E318" s="20"/>
      <c r="F318" s="4"/>
    </row>
    <row r="319" spans="2:6" ht="20.100000000000001" customHeight="1" x14ac:dyDescent="0.25">
      <c r="B319" s="35"/>
      <c r="C319" s="19"/>
      <c r="D319" s="19"/>
      <c r="E319" s="20"/>
      <c r="F319" s="4"/>
    </row>
    <row r="320" spans="2:6" ht="20.100000000000001" customHeight="1" x14ac:dyDescent="0.25">
      <c r="B320" s="35"/>
      <c r="C320" s="19"/>
      <c r="D320" s="19"/>
      <c r="E320" s="20"/>
      <c r="F320" s="4"/>
    </row>
    <row r="321" spans="2:6" ht="20.100000000000001" customHeight="1" x14ac:dyDescent="0.25">
      <c r="B321" s="35"/>
      <c r="C321" s="19"/>
      <c r="D321" s="19"/>
      <c r="E321" s="20"/>
      <c r="F321" s="4"/>
    </row>
    <row r="322" spans="2:6" ht="20.100000000000001" customHeight="1" x14ac:dyDescent="0.25">
      <c r="B322" s="35"/>
      <c r="C322" s="19"/>
      <c r="D322" s="19"/>
      <c r="E322" s="20"/>
      <c r="F322" s="4"/>
    </row>
    <row r="323" spans="2:6" ht="20.100000000000001" customHeight="1" x14ac:dyDescent="0.25">
      <c r="B323" s="35"/>
      <c r="C323" s="19"/>
      <c r="D323" s="19"/>
      <c r="E323" s="20"/>
      <c r="F323" s="4"/>
    </row>
    <row r="324" spans="2:6" ht="20.100000000000001" customHeight="1" x14ac:dyDescent="0.25">
      <c r="B324" s="35"/>
      <c r="C324" s="19"/>
      <c r="D324" s="19"/>
      <c r="E324" s="20"/>
      <c r="F324" s="4"/>
    </row>
    <row r="325" spans="2:6" ht="20.100000000000001" customHeight="1" x14ac:dyDescent="0.25">
      <c r="B325" s="35"/>
      <c r="C325" s="19"/>
      <c r="D325" s="19"/>
      <c r="E325" s="20"/>
      <c r="F325" s="4"/>
    </row>
    <row r="326" spans="2:6" ht="20.100000000000001" customHeight="1" x14ac:dyDescent="0.25">
      <c r="B326" s="35"/>
      <c r="C326" s="19"/>
      <c r="D326" s="19"/>
      <c r="E326" s="20"/>
      <c r="F326" s="4"/>
    </row>
    <row r="327" spans="2:6" ht="20.100000000000001" customHeight="1" x14ac:dyDescent="0.25">
      <c r="B327" s="35"/>
      <c r="C327" s="19"/>
      <c r="D327" s="19"/>
      <c r="E327" s="20"/>
      <c r="F327" s="4"/>
    </row>
    <row r="328" spans="2:6" ht="20.100000000000001" customHeight="1" x14ac:dyDescent="0.25">
      <c r="B328" s="35"/>
      <c r="C328" s="19"/>
      <c r="D328" s="19"/>
      <c r="E328" s="20"/>
      <c r="F328" s="4"/>
    </row>
    <row r="329" spans="2:6" ht="20.100000000000001" customHeight="1" x14ac:dyDescent="0.25">
      <c r="B329" s="35"/>
      <c r="C329" s="19"/>
      <c r="D329" s="19"/>
      <c r="E329" s="20"/>
      <c r="F329" s="4"/>
    </row>
    <row r="330" spans="2:6" ht="20.100000000000001" customHeight="1" x14ac:dyDescent="0.25">
      <c r="B330" s="35"/>
      <c r="C330" s="19"/>
      <c r="D330" s="19"/>
      <c r="E330" s="20"/>
      <c r="F330" s="4"/>
    </row>
    <row r="331" spans="2:6" ht="20.100000000000001" customHeight="1" x14ac:dyDescent="0.25">
      <c r="B331" s="35"/>
      <c r="C331" s="19"/>
      <c r="D331" s="19"/>
      <c r="E331" s="20"/>
      <c r="F331" s="4"/>
    </row>
    <row r="332" spans="2:6" ht="20.100000000000001" customHeight="1" x14ac:dyDescent="0.25">
      <c r="B332" s="35"/>
      <c r="C332" s="19"/>
      <c r="D332" s="19"/>
      <c r="E332" s="20"/>
      <c r="F332" s="4"/>
    </row>
    <row r="333" spans="2:6" ht="20.100000000000001" customHeight="1" x14ac:dyDescent="0.25">
      <c r="B333" s="35"/>
      <c r="C333" s="19"/>
      <c r="D333" s="19"/>
      <c r="E333" s="20"/>
      <c r="F333" s="4"/>
    </row>
    <row r="334" spans="2:6" ht="20.100000000000001" customHeight="1" x14ac:dyDescent="0.25">
      <c r="B334" s="35"/>
      <c r="C334" s="19"/>
      <c r="D334" s="19"/>
      <c r="E334" s="20"/>
      <c r="F334" s="4"/>
    </row>
    <row r="335" spans="2:6" ht="20.100000000000001" customHeight="1" x14ac:dyDescent="0.25">
      <c r="B335" s="35"/>
      <c r="C335" s="19"/>
      <c r="D335" s="19"/>
      <c r="E335" s="20"/>
      <c r="F335" s="4"/>
    </row>
    <row r="336" spans="2:6" ht="20.100000000000001" customHeight="1" x14ac:dyDescent="0.25">
      <c r="B336" s="35"/>
      <c r="C336" s="19"/>
      <c r="D336" s="19"/>
      <c r="E336" s="20"/>
      <c r="F336" s="4"/>
    </row>
    <row r="337" spans="2:6" ht="20.100000000000001" customHeight="1" x14ac:dyDescent="0.25">
      <c r="B337" s="35"/>
      <c r="C337" s="19"/>
      <c r="D337" s="19"/>
      <c r="E337" s="20"/>
      <c r="F337" s="4"/>
    </row>
    <row r="338" spans="2:6" ht="20.100000000000001" customHeight="1" x14ac:dyDescent="0.25">
      <c r="B338" s="35"/>
      <c r="C338" s="19"/>
      <c r="D338" s="19"/>
      <c r="E338" s="20"/>
      <c r="F338" s="4"/>
    </row>
    <row r="339" spans="2:6" ht="20.100000000000001" customHeight="1" x14ac:dyDescent="0.25"/>
    <row r="340" spans="2:6" ht="20.100000000000001" customHeight="1" x14ac:dyDescent="0.25"/>
    <row r="341" spans="2:6" ht="20.100000000000001" customHeight="1" x14ac:dyDescent="0.25"/>
    <row r="342" spans="2:6" ht="20.100000000000001" customHeight="1" x14ac:dyDescent="0.25"/>
    <row r="343" spans="2:6" ht="20.100000000000001" customHeight="1" x14ac:dyDescent="0.25"/>
    <row r="344" spans="2:6" ht="20.100000000000001" customHeight="1" x14ac:dyDescent="0.25"/>
    <row r="345" spans="2:6" ht="20.100000000000001" customHeight="1" x14ac:dyDescent="0.25"/>
    <row r="346" spans="2:6" ht="20.100000000000001" customHeight="1" x14ac:dyDescent="0.25"/>
    <row r="347" spans="2:6" ht="20.100000000000001" customHeight="1" x14ac:dyDescent="0.25"/>
    <row r="348" spans="2:6" ht="20.100000000000001" customHeight="1" x14ac:dyDescent="0.25"/>
    <row r="349" spans="2:6" ht="20.100000000000001" customHeight="1" x14ac:dyDescent="0.25"/>
    <row r="350" spans="2:6" ht="20.100000000000001" customHeight="1" x14ac:dyDescent="0.25"/>
    <row r="351" spans="2:6" ht="20.100000000000001" customHeight="1" x14ac:dyDescent="0.25"/>
    <row r="352" spans="2:6"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sheetData>
  <conditionalFormatting sqref="A6:XFD6">
    <cfRule type="timePeriod" dxfId="110" priority="56" timePeriod="yesterday">
      <formula>FLOOR(A6,1)=TODAY()-1</formula>
    </cfRule>
    <cfRule type="timePeriod" dxfId="109" priority="99" timePeriod="tomorrow">
      <formula>FLOOR(A6,1)=TODAY()+1</formula>
    </cfRule>
    <cfRule type="timePeriod" dxfId="108" priority="100" timePeriod="yesterday">
      <formula>FLOOR(A6,1)=TODAY()-1</formula>
    </cfRule>
    <cfRule type="timePeriod" dxfId="107" priority="101" timePeriod="yesterday">
      <formula>FLOOR(A6,1)=TODAY()-1</formula>
    </cfRule>
    <cfRule type="timePeriod" dxfId="106" priority="102" timePeriod="today">
      <formula>FLOOR(A6,1)=TODAY()</formula>
    </cfRule>
  </conditionalFormatting>
  <conditionalFormatting sqref="F9:F18 F24:F33 F35:F39 F20:F22 F41:F338">
    <cfRule type="colorScale" priority="93">
      <colorScale>
        <cfvo type="num" val="0"/>
        <cfvo type="num" val="0.5"/>
        <cfvo type="num" val="1"/>
        <color rgb="FFFF3300"/>
        <color rgb="FFFFC000"/>
        <color rgb="FF92D050"/>
      </colorScale>
    </cfRule>
  </conditionalFormatting>
  <conditionalFormatting sqref="F1:F18 F24:F33 F35:F39 F20:F22 F41:F1048576">
    <cfRule type="colorScale" priority="92">
      <colorScale>
        <cfvo type="num" val="0"/>
        <cfvo type="num" val="0.5"/>
        <cfvo type="num" val="1"/>
        <color rgb="FFF8696B"/>
        <color rgb="FFFFEB84"/>
        <color rgb="FF63BE7B"/>
      </colorScale>
    </cfRule>
  </conditionalFormatting>
  <conditionalFormatting sqref="E1:E8 E339:E1048576">
    <cfRule type="cellIs" priority="88" operator="lessThan">
      <formula>TODAY()</formula>
    </cfRule>
  </conditionalFormatting>
  <conditionalFormatting sqref="E9 E12:E18 E24:E33 E35:E39 E20:E22 E41:E338">
    <cfRule type="cellIs" dxfId="105" priority="82" operator="lessThanOrEqual">
      <formula>TODAY()</formula>
    </cfRule>
    <cfRule type="cellIs" dxfId="104" priority="83" operator="greaterThan">
      <formula>TODAY()</formula>
    </cfRule>
  </conditionalFormatting>
  <conditionalFormatting sqref="B9:D9">
    <cfRule type="expression" dxfId="103" priority="67">
      <formula>ISBLANK(INDIRECT("E"&amp;ROW()))*ISBLANK(INDIRECT("F"&amp;ROW()))</formula>
    </cfRule>
    <cfRule type="expression" dxfId="102" priority="74">
      <formula>INDIRECT("F"&amp;ROW()) &gt;= 0.9</formula>
    </cfRule>
    <cfRule type="expression" dxfId="101" priority="75">
      <formula>INDIRECT("F"&amp;ROW())&lt;0.9 * NOT(ISBLANK("F"&amp;ROW()))</formula>
    </cfRule>
    <cfRule type="expression" dxfId="100" priority="76">
      <formula>INDIRECT("E"&amp;ROW())&lt;TODAY() * NOT(ISBLANK(INDIRECT("E"&amp;ROW())))</formula>
    </cfRule>
  </conditionalFormatting>
  <conditionalFormatting sqref="E9 E12:E18 E24:E33 E35:E39 E20:E22 E41:E338">
    <cfRule type="expression" dxfId="99" priority="66">
      <formula>ISBLANK(INDIRECT("E"&amp;ROW()))</formula>
    </cfRule>
  </conditionalFormatting>
  <conditionalFormatting sqref="E10:E11">
    <cfRule type="cellIs" dxfId="98" priority="62" operator="lessThanOrEqual">
      <formula>TODAY()</formula>
    </cfRule>
    <cfRule type="cellIs" dxfId="97" priority="63" operator="greaterThan">
      <formula>TODAY()</formula>
    </cfRule>
  </conditionalFormatting>
  <conditionalFormatting sqref="B10:D18 B24:D33 B35:D39 B20:D22 B41:D338">
    <cfRule type="expression" dxfId="96" priority="58">
      <formula>ISBLANK(INDIRECT("E"&amp;ROW()))*ISBLANK(INDIRECT("F"&amp;ROW()))</formula>
    </cfRule>
    <cfRule type="expression" dxfId="95" priority="59">
      <formula>INDIRECT("F"&amp;ROW()) &gt;= 0.9</formula>
    </cfRule>
    <cfRule type="expression" dxfId="94" priority="60">
      <formula>INDIRECT("F"&amp;ROW())&lt;0.9</formula>
    </cfRule>
    <cfRule type="expression" dxfId="93" priority="61">
      <formula>INDIRECT("E"&amp;ROW())&lt;TODAY() * NOT(ISBLANK(INDIRECT("E"&amp;ROW())))</formula>
    </cfRule>
  </conditionalFormatting>
  <conditionalFormatting sqref="E10:E11">
    <cfRule type="expression" dxfId="92" priority="57">
      <formula>ISBLANK(INDIRECT("E"&amp;ROW()))</formula>
    </cfRule>
  </conditionalFormatting>
  <conditionalFormatting sqref="B1:D18 B24:D33 B35:D39 B20:D22 B41:D1048576">
    <cfRule type="expression" dxfId="91" priority="52">
      <formula xml:space="preserve"> (INDIRECT("F" &amp; ROW()) &lt; 0.9) * (INDIRECT("E" &amp; ROW()) &gt; TODAY())</formula>
    </cfRule>
  </conditionalFormatting>
  <conditionalFormatting sqref="I7:DZ7 H8:DZ18 H24:DZ33 H35:DZ39 H20:DZ22 H41:DZ728">
    <cfRule type="expression" dxfId="90" priority="50">
      <formula xml:space="preserve"> INDIRECT(SUBSTITUTE(ADDRESS(1,COLUMN(),4),1,"") &amp; 6) = TODAY()</formula>
    </cfRule>
  </conditionalFormatting>
  <conditionalFormatting sqref="A7:G7 I7:XFD7 A8:XFD18 A24:XFD33 A35:XFD39 A20:XFD22 A41:XFD1048576 A1:XFD6">
    <cfRule type="expression" dxfId="89" priority="46">
      <formula xml:space="preserve"> NOT(ISBLANK(INDIRECT("D"&amp;ROW()))) * NOT(ISODD(ROW())) *NOT(ISBLANK(INDIRECT("E"&amp;ROW())))*(INDIRECT(SUBSTITUTE(ADDRESS(1,COLUMN(),4),1,"") &amp; 6) &lt;= INDIRECT("E" &amp; ROW()))*(INDIRECT(SUBSTITUTE(ADDRESS(1,COLUMN(),4),1,"") &amp; 6) &gt;= INDIRECT("D" &amp; ROW()))</formula>
    </cfRule>
    <cfRule type="expression" dxfId="88"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S18">
    <cfRule type="expression" dxfId="87" priority="39">
      <formula>"'NOT(ISBLANK(INDIRECT(""E"" &amp; ROW()))) * NOT (ISBLANK(INDIRECT(""D"" &amp; ROW() ))) * (INDIRECT(""E"" &amp; ROW()) &lt; TODAY()) * INDIRECT(SUBSTITUTE(ADDRESS(1,COLUMN(),4),1,"""") &amp; 6) &gt; INDIRECT(""E"" &amp; ROW()) "</formula>
    </cfRule>
  </conditionalFormatting>
  <conditionalFormatting sqref="F19">
    <cfRule type="colorScale" priority="29">
      <colorScale>
        <cfvo type="num" val="0"/>
        <cfvo type="num" val="0.5"/>
        <cfvo type="num" val="1"/>
        <color rgb="FFF8696B"/>
        <color rgb="FFFFEB84"/>
        <color rgb="FF63BE7B"/>
      </colorScale>
    </cfRule>
  </conditionalFormatting>
  <conditionalFormatting sqref="E19">
    <cfRule type="cellIs" priority="28" operator="lessThan">
      <formula>TODAY()</formula>
    </cfRule>
  </conditionalFormatting>
  <conditionalFormatting sqref="B19:D19">
    <cfRule type="expression" dxfId="86" priority="27">
      <formula xml:space="preserve"> (INDIRECT("F" &amp; ROW()) &lt; 0.9) * (INDIRECT("E" &amp; ROW()) &gt; TODAY())</formula>
    </cfRule>
  </conditionalFormatting>
  <conditionalFormatting sqref="H19:DZ19">
    <cfRule type="expression" dxfId="85" priority="24">
      <formula xml:space="preserve"> INDIRECT(SUBSTITUTE(ADDRESS(1,COLUMN(),4),1,"") &amp; 6) = TODAY()</formula>
    </cfRule>
  </conditionalFormatting>
  <conditionalFormatting sqref="A19:XFD19">
    <cfRule type="expression" dxfId="84" priority="25">
      <formula xml:space="preserve"> NOT(ISBLANK(INDIRECT("D"&amp;ROW()))) * NOT(ISODD(ROW())) *NOT(ISBLANK(INDIRECT("E"&amp;ROW())))*(INDIRECT(SUBSTITUTE(ADDRESS(1,COLUMN(),4),1,"") &amp; 6) &lt;= INDIRECT("E" &amp; ROW()))*(INDIRECT(SUBSTITUTE(ADDRESS(1,COLUMN(),4),1,"") &amp; 6) &gt;= INDIRECT("D" &amp; ROW()))</formula>
    </cfRule>
    <cfRule type="expression" dxfId="83" priority="26">
      <formula xml:space="preserve"> NOT(ISBLANK(INDIRECT("D"&amp;ROW()))) * ISODD(ROW()) *NOT(ISBLANK(INDIRECT("E"&amp;ROW())))*(INDIRECT(SUBSTITUTE(ADDRESS(1,COLUMN(),4),1,"") &amp; 6) &lt;= INDIRECT("E" &amp; ROW()))*(INDIRECT(SUBSTITUTE(ADDRESS(1,COLUMN(),4),1,"") &amp; 6) &gt;= INDIRECT("D" &amp; ROW()))</formula>
    </cfRule>
  </conditionalFormatting>
  <conditionalFormatting sqref="F23">
    <cfRule type="colorScale" priority="22">
      <colorScale>
        <cfvo type="num" val="0"/>
        <cfvo type="num" val="0.5"/>
        <cfvo type="num" val="1"/>
        <color rgb="FFF8696B"/>
        <color rgb="FFFFEB84"/>
        <color rgb="FF63BE7B"/>
      </colorScale>
    </cfRule>
  </conditionalFormatting>
  <conditionalFormatting sqref="E23">
    <cfRule type="cellIs" priority="21" operator="lessThan">
      <formula>TODAY()</formula>
    </cfRule>
  </conditionalFormatting>
  <conditionalFormatting sqref="B23:D23">
    <cfRule type="expression" dxfId="82" priority="20">
      <formula xml:space="preserve"> (INDIRECT("F" &amp; ROW()) &lt; 0.9) * (INDIRECT("E" &amp; ROW()) &gt; TODAY())</formula>
    </cfRule>
  </conditionalFormatting>
  <conditionalFormatting sqref="H23:DZ23">
    <cfRule type="expression" dxfId="81" priority="17">
      <formula xml:space="preserve"> INDIRECT(SUBSTITUTE(ADDRESS(1,COLUMN(),4),1,"") &amp; 6) = TODAY()</formula>
    </cfRule>
  </conditionalFormatting>
  <conditionalFormatting sqref="A23:XFD23">
    <cfRule type="expression" dxfId="80" priority="18">
      <formula xml:space="preserve"> NOT(ISBLANK(INDIRECT("D"&amp;ROW()))) * NOT(ISODD(ROW())) *NOT(ISBLANK(INDIRECT("E"&amp;ROW())))*(INDIRECT(SUBSTITUTE(ADDRESS(1,COLUMN(),4),1,"") &amp; 6) &lt;= INDIRECT("E" &amp; ROW()))*(INDIRECT(SUBSTITUTE(ADDRESS(1,COLUMN(),4),1,"") &amp; 6) &gt;= INDIRECT("D" &amp; ROW()))</formula>
    </cfRule>
    <cfRule type="expression" dxfId="79" priority="19">
      <formula xml:space="preserve"> NOT(ISBLANK(INDIRECT("D"&amp;ROW()))) * ISODD(ROW()) *NOT(ISBLANK(INDIRECT("E"&amp;ROW())))*(INDIRECT(SUBSTITUTE(ADDRESS(1,COLUMN(),4),1,"") &amp; 6) &lt;= INDIRECT("E" &amp; ROW()))*(INDIRECT(SUBSTITUTE(ADDRESS(1,COLUMN(),4),1,"") &amp; 6) &gt;= INDIRECT("D" &amp; ROW()))</formula>
    </cfRule>
  </conditionalFormatting>
  <conditionalFormatting sqref="B35:D39 B8:D33 B41:D726">
    <cfRule type="expression" dxfId="78" priority="1">
      <formula xml:space="preserve"> NOT(ISBLANK(INDIRECT("F" &amp; ROW()))) *( INDIRECT("D" &amp; ROW()) &gt; TODAY()) * INDIRECT("F"&amp;ROW()) &gt; 0.01</formula>
    </cfRule>
    <cfRule type="expression" dxfId="77" priority="23">
      <formula>INDIRECT("D" &amp; ROW()) &gt; TODAY()</formula>
    </cfRule>
  </conditionalFormatting>
  <conditionalFormatting sqref="F34">
    <cfRule type="colorScale" priority="15">
      <colorScale>
        <cfvo type="num" val="0"/>
        <cfvo type="num" val="0.5"/>
        <cfvo type="num" val="1"/>
        <color rgb="FFF8696B"/>
        <color rgb="FFFFEB84"/>
        <color rgb="FF63BE7B"/>
      </colorScale>
    </cfRule>
  </conditionalFormatting>
  <conditionalFormatting sqref="E34">
    <cfRule type="cellIs" priority="14" operator="lessThan">
      <formula>TODAY()</formula>
    </cfRule>
  </conditionalFormatting>
  <conditionalFormatting sqref="B34:D34">
    <cfRule type="expression" dxfId="76" priority="13">
      <formula xml:space="preserve"> (INDIRECT("F" &amp; ROW()) &lt; 0.9) * (INDIRECT("E" &amp; ROW()) &gt; TODAY())</formula>
    </cfRule>
  </conditionalFormatting>
  <conditionalFormatting sqref="H34:DZ34">
    <cfRule type="expression" dxfId="75" priority="10">
      <formula xml:space="preserve"> INDIRECT(SUBSTITUTE(ADDRESS(1,COLUMN(),4),1,"") &amp; 6) = TODAY()</formula>
    </cfRule>
  </conditionalFormatting>
  <conditionalFormatting sqref="A34:XFD34">
    <cfRule type="expression" dxfId="74" priority="11">
      <formula xml:space="preserve"> NOT(ISBLANK(INDIRECT("D"&amp;ROW()))) * NOT(ISODD(ROW())) *NOT(ISBLANK(INDIRECT("E"&amp;ROW())))*(INDIRECT(SUBSTITUTE(ADDRESS(1,COLUMN(),4),1,"") &amp; 6) &lt;= INDIRECT("E" &amp; ROW()))*(INDIRECT(SUBSTITUTE(ADDRESS(1,COLUMN(),4),1,"") &amp; 6) &gt;= INDIRECT("D" &amp; ROW()))</formula>
    </cfRule>
    <cfRule type="expression" dxfId="73" priority="12">
      <formula xml:space="preserve"> NOT(ISBLANK(INDIRECT("D"&amp;ROW()))) * ISODD(ROW()) *NOT(ISBLANK(INDIRECT("E"&amp;ROW())))*(INDIRECT(SUBSTITUTE(ADDRESS(1,COLUMN(),4),1,"") &amp; 6) &lt;= INDIRECT("E" &amp; ROW()))*(INDIRECT(SUBSTITUTE(ADDRESS(1,COLUMN(),4),1,"") &amp; 6) &gt;= INDIRECT("D" &amp; ROW()))</formula>
    </cfRule>
  </conditionalFormatting>
  <conditionalFormatting sqref="B34:E34">
    <cfRule type="expression" dxfId="72" priority="16">
      <formula xml:space="preserve"> INDIRECT("D" &amp; ROW()) &gt; TODAY()</formula>
    </cfRule>
  </conditionalFormatting>
  <conditionalFormatting sqref="F40">
    <cfRule type="colorScale" priority="8">
      <colorScale>
        <cfvo type="num" val="0"/>
        <cfvo type="num" val="0.5"/>
        <cfvo type="num" val="1"/>
        <color rgb="FFF8696B"/>
        <color rgb="FFFFEB84"/>
        <color rgb="FF63BE7B"/>
      </colorScale>
    </cfRule>
  </conditionalFormatting>
  <conditionalFormatting sqref="E40">
    <cfRule type="cellIs" priority="7" operator="lessThan">
      <formula>TODAY()</formula>
    </cfRule>
  </conditionalFormatting>
  <conditionalFormatting sqref="B40:D40">
    <cfRule type="expression" dxfId="71" priority="6">
      <formula xml:space="preserve"> (INDIRECT("F" &amp; ROW()) &lt; 0.9) * (INDIRECT("E" &amp; ROW()) &gt; TODAY())</formula>
    </cfRule>
  </conditionalFormatting>
  <conditionalFormatting sqref="H40:DZ40">
    <cfRule type="expression" dxfId="70" priority="3">
      <formula xml:space="preserve"> INDIRECT(SUBSTITUTE(ADDRESS(1,COLUMN(),4),1,"") &amp; 6) = TODAY()</formula>
    </cfRule>
  </conditionalFormatting>
  <conditionalFormatting sqref="A40:XFD40">
    <cfRule type="expression" dxfId="69" priority="4">
      <formula xml:space="preserve"> NOT(ISBLANK(INDIRECT("D"&amp;ROW()))) * NOT(ISODD(ROW())) *NOT(ISBLANK(INDIRECT("E"&amp;ROW())))*(INDIRECT(SUBSTITUTE(ADDRESS(1,COLUMN(),4),1,"") &amp; 6) &lt;= INDIRECT("E" &amp; ROW()))*(INDIRECT(SUBSTITUTE(ADDRESS(1,COLUMN(),4),1,"") &amp; 6) &gt;= INDIRECT("D" &amp; ROW()))</formula>
    </cfRule>
    <cfRule type="expression" dxfId="68"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40:E40">
    <cfRule type="expression" dxfId="67" priority="9">
      <formula xml:space="preserve"> INDIRECT("D" &amp; ROW()) &gt; TODAY()</formula>
    </cfRule>
  </conditionalFormatting>
  <conditionalFormatting sqref="E24:E32 E35:E38 E41:E818 E20:E21 E9:E17">
    <cfRule type="expression" dxfId="66" priority="2">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90"/>
  <sheetViews>
    <sheetView topLeftCell="C21" zoomScale="135" workbookViewId="0">
      <selection activeCell="D33" sqref="D33"/>
    </sheetView>
  </sheetViews>
  <sheetFormatPr defaultColWidth="8.85546875" defaultRowHeight="15" outlineLevelRow="2" x14ac:dyDescent="0.25"/>
  <cols>
    <col min="1" max="1" width="12.42578125" style="123" customWidth="1"/>
    <col min="2" max="2" width="12.42578125" style="199" customWidth="1"/>
    <col min="3" max="3" width="10.28515625" style="218" customWidth="1"/>
    <col min="4" max="4" width="20.140625" style="207" customWidth="1"/>
    <col min="5" max="5" width="30.28515625" style="160" customWidth="1"/>
    <col min="6" max="6" width="24.42578125" style="213" customWidth="1"/>
    <col min="7" max="7" width="40.85546875" style="93"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152" customFormat="1" ht="27.75" customHeight="1" x14ac:dyDescent="0.25">
      <c r="A1" s="123"/>
      <c r="B1" s="194"/>
      <c r="C1" s="216"/>
      <c r="D1" s="205"/>
      <c r="E1" s="156">
        <f ca="1">TODAY()</f>
        <v>43145</v>
      </c>
      <c r="G1" s="209" t="s">
        <v>146</v>
      </c>
      <c r="H1" s="179">
        <f ca="1">HOUR(I1)</f>
        <v>15</v>
      </c>
      <c r="I1" s="180">
        <f ca="1">NOW()</f>
        <v>43145.642241435184</v>
      </c>
      <c r="J1" s="152" t="s">
        <v>40</v>
      </c>
      <c r="L1" s="152" t="s">
        <v>39</v>
      </c>
    </row>
    <row r="2" spans="1:12" s="152" customFormat="1" ht="29.25" customHeight="1" x14ac:dyDescent="0.25">
      <c r="A2" s="121"/>
      <c r="B2" s="195"/>
      <c r="C2" s="216"/>
      <c r="D2" s="205"/>
      <c r="F2" s="210"/>
      <c r="G2" s="192"/>
      <c r="H2" s="154"/>
    </row>
    <row r="4" spans="1:12" x14ac:dyDescent="0.25">
      <c r="A4" s="191" t="s">
        <v>145</v>
      </c>
      <c r="B4" s="196" t="s">
        <v>139</v>
      </c>
      <c r="C4" s="217" t="s">
        <v>141</v>
      </c>
      <c r="D4" s="206" t="s">
        <v>188</v>
      </c>
      <c r="E4" s="202" t="s">
        <v>138</v>
      </c>
      <c r="F4" s="211" t="s">
        <v>140</v>
      </c>
      <c r="G4" s="203" t="s">
        <v>15</v>
      </c>
      <c r="H4" s="202" t="s">
        <v>142</v>
      </c>
      <c r="I4" s="202" t="s">
        <v>143</v>
      </c>
      <c r="J4" s="202" t="s">
        <v>144</v>
      </c>
    </row>
    <row r="5" spans="1:12" x14ac:dyDescent="0.25">
      <c r="A5" s="191"/>
      <c r="B5" s="196"/>
      <c r="C5" s="217"/>
      <c r="D5" s="206"/>
      <c r="E5" s="202"/>
      <c r="F5" s="211"/>
      <c r="G5" s="203"/>
      <c r="H5" s="202"/>
      <c r="I5" s="202"/>
      <c r="J5" s="202"/>
    </row>
    <row r="6" spans="1:12" ht="15.75" x14ac:dyDescent="0.25">
      <c r="A6" s="191"/>
      <c r="B6" s="196"/>
      <c r="C6" s="217"/>
      <c r="D6" s="206"/>
      <c r="E6" s="215" t="s">
        <v>223</v>
      </c>
      <c r="F6" s="211"/>
      <c r="G6" s="203"/>
      <c r="H6" s="202"/>
      <c r="I6" s="202"/>
      <c r="J6" s="202"/>
    </row>
    <row r="8" spans="1:12" s="160" customFormat="1" outlineLevel="1" x14ac:dyDescent="0.25">
      <c r="A8" s="193"/>
      <c r="B8" s="201"/>
      <c r="C8" s="218">
        <f>AVERAGE(C9:C12)</f>
        <v>0.75</v>
      </c>
      <c r="D8" s="207">
        <f ca="1">TODAY()</f>
        <v>43145</v>
      </c>
      <c r="E8" s="202" t="s">
        <v>158</v>
      </c>
      <c r="F8" s="213">
        <v>43146</v>
      </c>
      <c r="G8" s="204"/>
    </row>
    <row r="9" spans="1:12" s="160" customFormat="1" ht="40.5" hidden="1" customHeight="1" outlineLevel="2" x14ac:dyDescent="0.25">
      <c r="A9" s="193"/>
      <c r="B9" s="197" t="s">
        <v>152</v>
      </c>
      <c r="C9" s="218">
        <v>1</v>
      </c>
      <c r="D9" s="208">
        <v>43141</v>
      </c>
      <c r="E9" s="160" t="s">
        <v>151</v>
      </c>
      <c r="F9" s="212">
        <f ca="1">TODAY()+1</f>
        <v>43146</v>
      </c>
      <c r="G9" s="204"/>
    </row>
    <row r="10" spans="1:12" ht="47.25" hidden="1" customHeight="1" outlineLevel="2" x14ac:dyDescent="0.25">
      <c r="A10" s="190"/>
      <c r="B10" s="200" t="s">
        <v>153</v>
      </c>
      <c r="C10" s="218">
        <v>1</v>
      </c>
      <c r="D10" s="207">
        <v>43141</v>
      </c>
      <c r="E10" s="160" t="s">
        <v>148</v>
      </c>
      <c r="F10" s="213">
        <v>43146</v>
      </c>
    </row>
    <row r="11" spans="1:12" ht="67.5" hidden="1" customHeight="1" outlineLevel="2" x14ac:dyDescent="0.25">
      <c r="A11" s="179"/>
      <c r="B11" s="200" t="s">
        <v>154</v>
      </c>
      <c r="C11" s="218">
        <v>1</v>
      </c>
      <c r="D11" s="207">
        <f ca="1">TODAY()</f>
        <v>43145</v>
      </c>
      <c r="E11" s="160" t="s">
        <v>147</v>
      </c>
      <c r="F11" s="213">
        <v>43146</v>
      </c>
    </row>
    <row r="12" spans="1:12" ht="72" hidden="1" customHeight="1" outlineLevel="2" x14ac:dyDescent="0.25">
      <c r="A12" s="179"/>
      <c r="B12" s="200" t="s">
        <v>155</v>
      </c>
      <c r="C12" s="218">
        <v>0</v>
      </c>
      <c r="D12" s="207">
        <f ca="1">TODAY()</f>
        <v>43145</v>
      </c>
      <c r="E12" s="160" t="s">
        <v>149</v>
      </c>
      <c r="F12" s="213">
        <v>43146</v>
      </c>
      <c r="G12" s="93" t="s">
        <v>150</v>
      </c>
    </row>
    <row r="13" spans="1:12" outlineLevel="1" collapsed="1" x14ac:dyDescent="0.25"/>
    <row r="14" spans="1:12" ht="16.5" customHeight="1" outlineLevel="1" x14ac:dyDescent="0.25">
      <c r="A14" s="179"/>
      <c r="B14" s="200"/>
      <c r="C14" s="218">
        <v>0</v>
      </c>
      <c r="D14" s="207">
        <v>43144</v>
      </c>
      <c r="E14" s="202" t="s">
        <v>159</v>
      </c>
      <c r="F14" s="213">
        <v>43151</v>
      </c>
    </row>
    <row r="15" spans="1:12" ht="75" hidden="1" customHeight="1" outlineLevel="2" x14ac:dyDescent="0.25">
      <c r="A15" s="179"/>
      <c r="B15" s="198" t="s">
        <v>156</v>
      </c>
      <c r="C15" s="218">
        <v>1</v>
      </c>
      <c r="D15" s="207">
        <v>43142</v>
      </c>
      <c r="E15" s="160" t="s">
        <v>157</v>
      </c>
      <c r="F15" s="213">
        <f ca="1">TODAY()+2</f>
        <v>43147</v>
      </c>
    </row>
    <row r="16" spans="1:12" ht="87" hidden="1" customHeight="1" outlineLevel="2" x14ac:dyDescent="0.25">
      <c r="A16" s="179"/>
      <c r="B16" s="198" t="s">
        <v>160</v>
      </c>
      <c r="C16" s="218">
        <v>0.1</v>
      </c>
      <c r="D16" s="207">
        <v>43144</v>
      </c>
      <c r="E16" s="160" t="s">
        <v>161</v>
      </c>
      <c r="F16" s="213">
        <f ca="1">TODAY()+5</f>
        <v>43150</v>
      </c>
      <c r="G16" s="93" t="s">
        <v>281</v>
      </c>
      <c r="I16" s="1" t="s">
        <v>280</v>
      </c>
    </row>
    <row r="17" spans="1:9" ht="101.25" hidden="1" customHeight="1" outlineLevel="2" x14ac:dyDescent="0.25">
      <c r="A17" s="261"/>
      <c r="B17" s="198" t="s">
        <v>169</v>
      </c>
      <c r="C17" s="218">
        <v>1</v>
      </c>
      <c r="D17" s="207">
        <v>43144</v>
      </c>
      <c r="E17" s="160" t="s">
        <v>170</v>
      </c>
      <c r="F17" s="213">
        <v>43149</v>
      </c>
      <c r="I17" s="1" t="s">
        <v>171</v>
      </c>
    </row>
    <row r="18" spans="1:9" s="259" customFormat="1" ht="131.1" hidden="1" customHeight="1" outlineLevel="2" x14ac:dyDescent="0.25">
      <c r="A18" s="252"/>
      <c r="B18" s="253" t="s">
        <v>162</v>
      </c>
      <c r="C18" s="254">
        <v>1</v>
      </c>
      <c r="D18" s="255">
        <v>43142</v>
      </c>
      <c r="E18" s="256" t="s">
        <v>163</v>
      </c>
      <c r="F18" s="257">
        <f ca="1">TODAY()+7</f>
        <v>43152</v>
      </c>
      <c r="G18" s="258"/>
      <c r="I18" s="259" t="s">
        <v>172</v>
      </c>
    </row>
    <row r="19" spans="1:9" s="259" customFormat="1" ht="51" hidden="1" customHeight="1" outlineLevel="2" x14ac:dyDescent="0.25">
      <c r="A19" s="252"/>
      <c r="B19" s="253" t="s">
        <v>164</v>
      </c>
      <c r="C19" s="254">
        <v>1</v>
      </c>
      <c r="D19" s="255">
        <v>43144</v>
      </c>
      <c r="E19" s="256" t="s">
        <v>165</v>
      </c>
      <c r="F19" s="257">
        <v>43150</v>
      </c>
      <c r="G19" s="258"/>
    </row>
    <row r="20" spans="1:9" s="259" customFormat="1" ht="66" hidden="1" customHeight="1" outlineLevel="2" x14ac:dyDescent="0.25">
      <c r="A20" s="252"/>
      <c r="B20" s="253" t="s">
        <v>166</v>
      </c>
      <c r="C20" s="254">
        <v>1</v>
      </c>
      <c r="D20" s="255">
        <v>43144</v>
      </c>
      <c r="E20" s="256" t="s">
        <v>168</v>
      </c>
      <c r="F20" s="257">
        <v>43151</v>
      </c>
      <c r="G20" s="258"/>
    </row>
    <row r="21" spans="1:9" outlineLevel="1" collapsed="1" x14ac:dyDescent="0.25"/>
    <row r="22" spans="1:9" outlineLevel="1" x14ac:dyDescent="0.25">
      <c r="A22" s="179"/>
      <c r="B22" s="198"/>
      <c r="C22" s="218">
        <f>AVERAGE(C23:C30)</f>
        <v>3.125E-2</v>
      </c>
      <c r="D22" s="207">
        <f ca="1">TODAY()</f>
        <v>43145</v>
      </c>
      <c r="E22" s="202" t="s">
        <v>173</v>
      </c>
      <c r="F22" s="213">
        <v>43166</v>
      </c>
    </row>
    <row r="23" spans="1:9" ht="30" hidden="1" customHeight="1" outlineLevel="2" x14ac:dyDescent="0.25">
      <c r="A23" s="179"/>
      <c r="B23" s="198" t="s">
        <v>259</v>
      </c>
      <c r="C23" s="218">
        <v>0.25</v>
      </c>
      <c r="D23" s="207">
        <f ca="1">TODAY()</f>
        <v>43145</v>
      </c>
      <c r="E23" s="160" t="s">
        <v>174</v>
      </c>
      <c r="F23" s="213">
        <v>43148</v>
      </c>
    </row>
    <row r="24" spans="1:9" ht="31.5" hidden="1" customHeight="1" outlineLevel="2" x14ac:dyDescent="0.25">
      <c r="A24" s="179"/>
      <c r="B24" s="198" t="s">
        <v>260</v>
      </c>
      <c r="C24" s="218">
        <v>0</v>
      </c>
      <c r="D24" s="213">
        <v>43142</v>
      </c>
      <c r="E24" s="160" t="s">
        <v>175</v>
      </c>
      <c r="F24" s="208">
        <v>43160</v>
      </c>
      <c r="G24" s="93" t="s">
        <v>183</v>
      </c>
    </row>
    <row r="25" spans="1:9" ht="26.25" hidden="1" customHeight="1" outlineLevel="2" x14ac:dyDescent="0.25">
      <c r="A25" s="179"/>
      <c r="B25" s="198" t="s">
        <v>265</v>
      </c>
      <c r="C25" s="218">
        <v>0</v>
      </c>
      <c r="D25" s="213">
        <v>43143</v>
      </c>
      <c r="E25" s="160" t="s">
        <v>181</v>
      </c>
      <c r="F25" s="213">
        <v>43161</v>
      </c>
    </row>
    <row r="26" spans="1:9" ht="26.25" hidden="1" customHeight="1" outlineLevel="2" x14ac:dyDescent="0.25">
      <c r="A26" s="179"/>
      <c r="B26" s="198" t="s">
        <v>261</v>
      </c>
      <c r="C26" s="218">
        <v>0</v>
      </c>
      <c r="D26" s="213">
        <v>43144</v>
      </c>
      <c r="E26" s="160" t="s">
        <v>176</v>
      </c>
      <c r="F26" s="213">
        <v>43162</v>
      </c>
    </row>
    <row r="27" spans="1:9" ht="24" hidden="1" customHeight="1" outlineLevel="2" x14ac:dyDescent="0.25">
      <c r="A27" s="179"/>
      <c r="B27" s="198" t="s">
        <v>261</v>
      </c>
      <c r="C27" s="218">
        <v>0</v>
      </c>
      <c r="D27" s="213">
        <v>43145</v>
      </c>
      <c r="E27" s="160" t="s">
        <v>177</v>
      </c>
      <c r="F27" s="213">
        <v>43163</v>
      </c>
    </row>
    <row r="28" spans="1:9" ht="22.5" hidden="1" customHeight="1" outlineLevel="2" x14ac:dyDescent="0.25">
      <c r="A28" s="179"/>
      <c r="B28" s="198" t="s">
        <v>264</v>
      </c>
      <c r="C28" s="218">
        <v>0</v>
      </c>
      <c r="D28" s="213">
        <v>43146</v>
      </c>
      <c r="E28" s="160" t="s">
        <v>178</v>
      </c>
      <c r="F28" s="213">
        <v>43164</v>
      </c>
    </row>
    <row r="29" spans="1:9" ht="30" hidden="1" outlineLevel="2" x14ac:dyDescent="0.25">
      <c r="A29" s="179"/>
      <c r="B29" s="198" t="s">
        <v>262</v>
      </c>
      <c r="C29" s="218">
        <v>0</v>
      </c>
      <c r="D29" s="213">
        <v>43147</v>
      </c>
      <c r="E29" s="160" t="s">
        <v>179</v>
      </c>
      <c r="F29" s="213">
        <v>43165</v>
      </c>
      <c r="G29" s="93" t="s">
        <v>182</v>
      </c>
    </row>
    <row r="30" spans="1:9" ht="35.25" hidden="1" customHeight="1" outlineLevel="2" x14ac:dyDescent="0.25">
      <c r="A30" s="179"/>
      <c r="B30" s="198" t="s">
        <v>263</v>
      </c>
      <c r="C30" s="218">
        <v>0</v>
      </c>
      <c r="D30" s="213">
        <v>43148</v>
      </c>
      <c r="E30" s="160" t="s">
        <v>180</v>
      </c>
      <c r="F30" s="213">
        <v>43166</v>
      </c>
    </row>
    <row r="31" spans="1:9" outlineLevel="1" collapsed="1" x14ac:dyDescent="0.25">
      <c r="A31" s="178"/>
    </row>
    <row r="32" spans="1:9" outlineLevel="1" x14ac:dyDescent="0.25">
      <c r="A32" s="178"/>
      <c r="C32" s="218">
        <v>0.2</v>
      </c>
      <c r="D32" s="207">
        <v>43163</v>
      </c>
      <c r="E32" s="202" t="s">
        <v>190</v>
      </c>
      <c r="F32" s="213">
        <v>43195</v>
      </c>
    </row>
    <row r="33" spans="3:9" ht="180" outlineLevel="2" x14ac:dyDescent="0.25">
      <c r="C33" s="218">
        <v>0.01</v>
      </c>
      <c r="D33" s="207">
        <v>43163</v>
      </c>
      <c r="E33" s="160" t="s">
        <v>300</v>
      </c>
      <c r="F33" s="213">
        <v>43177</v>
      </c>
      <c r="G33" s="93" t="s">
        <v>202</v>
      </c>
      <c r="I33" s="1" t="s">
        <v>186</v>
      </c>
    </row>
    <row r="34" spans="3:9" ht="45" outlineLevel="2" x14ac:dyDescent="0.25">
      <c r="C34" s="218">
        <v>0</v>
      </c>
      <c r="D34" s="207">
        <v>43173</v>
      </c>
      <c r="E34" s="160" t="s">
        <v>185</v>
      </c>
      <c r="F34" s="213">
        <f>F33+7</f>
        <v>43184</v>
      </c>
      <c r="I34" s="1" t="s">
        <v>187</v>
      </c>
    </row>
    <row r="35" spans="3:9" ht="48" customHeight="1" outlineLevel="2" x14ac:dyDescent="0.25">
      <c r="C35" s="218">
        <v>0</v>
      </c>
      <c r="D35" s="207">
        <v>43180</v>
      </c>
      <c r="E35" s="160" t="s">
        <v>191</v>
      </c>
      <c r="F35" s="213" t="s">
        <v>192</v>
      </c>
      <c r="G35" s="93" t="s">
        <v>193</v>
      </c>
    </row>
    <row r="36" spans="3:9" outlineLevel="1" x14ac:dyDescent="0.25"/>
    <row r="37" spans="3:9" outlineLevel="1" x14ac:dyDescent="0.25">
      <c r="C37" s="218">
        <v>0.2</v>
      </c>
      <c r="D37" s="207">
        <v>43195</v>
      </c>
      <c r="E37" s="202" t="s">
        <v>195</v>
      </c>
      <c r="F37" s="213">
        <v>43252</v>
      </c>
    </row>
    <row r="38" spans="3:9" ht="135" hidden="1" outlineLevel="2" x14ac:dyDescent="0.25">
      <c r="C38" s="218">
        <v>0</v>
      </c>
      <c r="D38" s="207">
        <v>43195</v>
      </c>
      <c r="E38" s="160" t="s">
        <v>194</v>
      </c>
      <c r="F38" s="213">
        <v>43217</v>
      </c>
      <c r="G38" s="93" t="s">
        <v>199</v>
      </c>
      <c r="H38" s="1" t="s">
        <v>320</v>
      </c>
      <c r="I38" s="1" t="s">
        <v>326</v>
      </c>
    </row>
    <row r="39" spans="3:9" ht="107.25" hidden="1" customHeight="1" outlineLevel="2" x14ac:dyDescent="0.25">
      <c r="C39" s="218">
        <v>0</v>
      </c>
      <c r="D39" s="207">
        <v>43217</v>
      </c>
      <c r="E39" s="160" t="s">
        <v>197</v>
      </c>
      <c r="F39" s="213">
        <v>43230</v>
      </c>
      <c r="G39" s="93" t="s">
        <v>198</v>
      </c>
      <c r="H39" s="1" t="s">
        <v>322</v>
      </c>
      <c r="I39" s="1" t="s">
        <v>203</v>
      </c>
    </row>
    <row r="40" spans="3:9" ht="105" hidden="1" outlineLevel="2" x14ac:dyDescent="0.25">
      <c r="C40" s="218">
        <v>0</v>
      </c>
      <c r="D40" s="207">
        <v>43230</v>
      </c>
      <c r="E40" s="160" t="s">
        <v>196</v>
      </c>
      <c r="F40" s="213">
        <v>43240</v>
      </c>
      <c r="G40" s="93" t="s">
        <v>200</v>
      </c>
      <c r="H40" s="1" t="s">
        <v>322</v>
      </c>
      <c r="I40" s="1" t="s">
        <v>201</v>
      </c>
    </row>
    <row r="41" spans="3:9" ht="63" hidden="1" customHeight="1" outlineLevel="2" x14ac:dyDescent="0.25">
      <c r="C41" s="218">
        <v>0</v>
      </c>
      <c r="D41" s="207">
        <v>43240</v>
      </c>
      <c r="E41" s="160" t="s">
        <v>239</v>
      </c>
      <c r="F41" s="213">
        <v>43243</v>
      </c>
      <c r="G41" s="93" t="s">
        <v>240</v>
      </c>
      <c r="H41" s="1" t="s">
        <v>322</v>
      </c>
    </row>
    <row r="42" spans="3:9" ht="102" hidden="1" customHeight="1" outlineLevel="2" x14ac:dyDescent="0.25">
      <c r="C42" s="218">
        <v>0</v>
      </c>
      <c r="D42" s="207">
        <v>43240</v>
      </c>
      <c r="E42" s="160" t="s">
        <v>205</v>
      </c>
      <c r="F42" s="213">
        <v>43250</v>
      </c>
      <c r="G42" s="93" t="s">
        <v>206</v>
      </c>
      <c r="H42" s="1" t="s">
        <v>322</v>
      </c>
      <c r="I42" s="1" t="s">
        <v>322</v>
      </c>
    </row>
    <row r="43" spans="3:9" ht="102" hidden="1" customHeight="1" outlineLevel="2" x14ac:dyDescent="0.25">
      <c r="D43" s="207">
        <v>43261</v>
      </c>
      <c r="E43" s="160" t="s">
        <v>318</v>
      </c>
      <c r="F43" s="213">
        <v>43271</v>
      </c>
      <c r="G43" s="93" t="s">
        <v>319</v>
      </c>
      <c r="H43" s="1" t="s">
        <v>321</v>
      </c>
      <c r="I43" s="1" t="s">
        <v>322</v>
      </c>
    </row>
    <row r="44" spans="3:9" ht="125.25" hidden="1" customHeight="1" outlineLevel="2" x14ac:dyDescent="0.25">
      <c r="C44" s="218">
        <v>0</v>
      </c>
      <c r="D44" s="207">
        <v>43250</v>
      </c>
      <c r="E44" s="160" t="s">
        <v>207</v>
      </c>
      <c r="F44" s="213">
        <v>43261</v>
      </c>
      <c r="G44" s="93" t="s">
        <v>311</v>
      </c>
      <c r="H44" s="1" t="s">
        <v>322</v>
      </c>
    </row>
    <row r="45" spans="3:9" ht="105.75" customHeight="1" outlineLevel="1" collapsed="1" x14ac:dyDescent="0.25"/>
    <row r="46" spans="3:9" outlineLevel="1" x14ac:dyDescent="0.25">
      <c r="C46" s="218">
        <v>0</v>
      </c>
      <c r="E46" s="202" t="s">
        <v>208</v>
      </c>
    </row>
    <row r="47" spans="3:9" ht="45.75" customHeight="1" outlineLevel="2" x14ac:dyDescent="0.25">
      <c r="C47" s="218">
        <v>0</v>
      </c>
      <c r="E47" s="160" t="s">
        <v>209</v>
      </c>
      <c r="G47" s="93" t="s">
        <v>210</v>
      </c>
    </row>
    <row r="48" spans="3:9" ht="45" outlineLevel="2" x14ac:dyDescent="0.25">
      <c r="C48" s="218">
        <v>0</v>
      </c>
      <c r="E48" s="160" t="s">
        <v>211</v>
      </c>
      <c r="G48" s="212" t="s">
        <v>212</v>
      </c>
    </row>
    <row r="49" spans="3:7" ht="58.5" customHeight="1" outlineLevel="2" x14ac:dyDescent="0.25">
      <c r="C49" s="218">
        <v>0</v>
      </c>
      <c r="E49" s="160" t="s">
        <v>213</v>
      </c>
      <c r="G49" s="93" t="s">
        <v>214</v>
      </c>
    </row>
    <row r="50" spans="3:7" ht="99.75" customHeight="1" outlineLevel="2" x14ac:dyDescent="0.25">
      <c r="C50" s="218">
        <v>0</v>
      </c>
      <c r="E50" s="160" t="s">
        <v>234</v>
      </c>
      <c r="G50" s="93" t="s">
        <v>235</v>
      </c>
    </row>
    <row r="51" spans="3:7" ht="195.75" customHeight="1" outlineLevel="2" x14ac:dyDescent="0.25">
      <c r="C51" s="218">
        <v>0</v>
      </c>
      <c r="E51" s="160" t="s">
        <v>215</v>
      </c>
      <c r="G51" s="93" t="s">
        <v>216</v>
      </c>
    </row>
    <row r="52" spans="3:7" outlineLevel="1" x14ac:dyDescent="0.25"/>
    <row r="53" spans="3:7" outlineLevel="1" x14ac:dyDescent="0.25">
      <c r="C53" s="218">
        <v>0</v>
      </c>
      <c r="E53" s="202" t="s">
        <v>217</v>
      </c>
    </row>
    <row r="54" spans="3:7" ht="30" hidden="1" outlineLevel="2" x14ac:dyDescent="0.25">
      <c r="C54" s="218">
        <v>0</v>
      </c>
      <c r="E54" s="160" t="s">
        <v>218</v>
      </c>
      <c r="G54" s="93" t="s">
        <v>219</v>
      </c>
    </row>
    <row r="55" spans="3:7" ht="96.75" hidden="1" customHeight="1" outlineLevel="2" x14ac:dyDescent="0.25">
      <c r="C55" s="218">
        <v>0</v>
      </c>
      <c r="E55" s="160" t="s">
        <v>220</v>
      </c>
      <c r="G55" s="93" t="s">
        <v>204</v>
      </c>
    </row>
    <row r="56" spans="3:7" ht="57" hidden="1" customHeight="1" outlineLevel="2" x14ac:dyDescent="0.25">
      <c r="C56" s="218">
        <v>0</v>
      </c>
      <c r="E56" s="160" t="s">
        <v>221</v>
      </c>
      <c r="G56" s="93" t="s">
        <v>222</v>
      </c>
    </row>
    <row r="57" spans="3:7" outlineLevel="1" collapsed="1" x14ac:dyDescent="0.25"/>
    <row r="58" spans="3:7" ht="20.25" customHeight="1" outlineLevel="1" x14ac:dyDescent="0.25">
      <c r="C58" s="218">
        <v>0</v>
      </c>
      <c r="E58" s="202" t="s">
        <v>224</v>
      </c>
    </row>
    <row r="59" spans="3:7" ht="36.75" hidden="1" customHeight="1" outlineLevel="2" x14ac:dyDescent="0.25">
      <c r="C59" s="218">
        <v>0</v>
      </c>
      <c r="E59" s="160" t="s">
        <v>236</v>
      </c>
      <c r="G59" s="93" t="s">
        <v>238</v>
      </c>
    </row>
    <row r="60" spans="3:7" ht="34.5" hidden="1" customHeight="1" outlineLevel="2" x14ac:dyDescent="0.25">
      <c r="C60" s="218">
        <v>0</v>
      </c>
      <c r="E60" s="160" t="s">
        <v>225</v>
      </c>
      <c r="G60" s="93" t="s">
        <v>237</v>
      </c>
    </row>
    <row r="61" spans="3:7" ht="75" hidden="1" outlineLevel="2" x14ac:dyDescent="0.25">
      <c r="C61" s="218">
        <v>0</v>
      </c>
      <c r="E61" s="160" t="s">
        <v>226</v>
      </c>
      <c r="G61" s="93" t="s">
        <v>227</v>
      </c>
    </row>
    <row r="62" spans="3:7" ht="30" hidden="1" outlineLevel="2" x14ac:dyDescent="0.25">
      <c r="C62" s="218">
        <v>0</v>
      </c>
      <c r="E62" s="160" t="s">
        <v>228</v>
      </c>
      <c r="G62" s="93" t="s">
        <v>231</v>
      </c>
    </row>
    <row r="63" spans="3:7" ht="45.75" hidden="1" customHeight="1" outlineLevel="2" x14ac:dyDescent="0.25">
      <c r="C63" s="218">
        <v>0</v>
      </c>
      <c r="E63" s="160" t="s">
        <v>229</v>
      </c>
      <c r="G63" s="93" t="s">
        <v>232</v>
      </c>
    </row>
    <row r="64" spans="3:7" ht="32.25" hidden="1" customHeight="1" outlineLevel="2" x14ac:dyDescent="0.25">
      <c r="C64" s="218">
        <v>0</v>
      </c>
      <c r="E64" s="160" t="s">
        <v>230</v>
      </c>
      <c r="G64" s="93" t="s">
        <v>233</v>
      </c>
    </row>
    <row r="65" spans="1:7" ht="18" customHeight="1" outlineLevel="1" collapsed="1" x14ac:dyDescent="0.25"/>
    <row r="66" spans="1:7" outlineLevel="1" x14ac:dyDescent="0.25">
      <c r="C66" s="218">
        <v>0</v>
      </c>
      <c r="E66" s="202" t="s">
        <v>241</v>
      </c>
    </row>
    <row r="74" spans="1:7" ht="45" hidden="1" outlineLevel="2" x14ac:dyDescent="0.25">
      <c r="E74" s="160" t="s">
        <v>242</v>
      </c>
      <c r="G74" s="93" t="s">
        <v>243</v>
      </c>
    </row>
    <row r="75" spans="1:7" ht="47.25" hidden="1" customHeight="1" outlineLevel="2" x14ac:dyDescent="0.25">
      <c r="E75" s="160" t="s">
        <v>244</v>
      </c>
      <c r="G75" s="93" t="s">
        <v>245</v>
      </c>
    </row>
    <row r="76" spans="1:7" ht="39" hidden="1" customHeight="1" outlineLevel="2" x14ac:dyDescent="0.25">
      <c r="E76" s="160" t="s">
        <v>246</v>
      </c>
      <c r="G76" s="93" t="s">
        <v>247</v>
      </c>
    </row>
    <row r="77" spans="1:7" ht="27" hidden="1" customHeight="1" outlineLevel="2" x14ac:dyDescent="0.25">
      <c r="E77" s="160" t="s">
        <v>248</v>
      </c>
      <c r="G77" s="93" t="s">
        <v>249</v>
      </c>
    </row>
    <row r="78" spans="1:7" ht="51" hidden="1" customHeight="1" outlineLevel="2" x14ac:dyDescent="0.25">
      <c r="E78" s="160" t="s">
        <v>250</v>
      </c>
    </row>
    <row r="79" spans="1:7" outlineLevel="1" collapsed="1" x14ac:dyDescent="0.25"/>
    <row r="80" spans="1:7" outlineLevel="1" x14ac:dyDescent="0.25">
      <c r="A80" s="179"/>
      <c r="B80" s="198"/>
      <c r="C80" s="218">
        <v>0.5</v>
      </c>
      <c r="D80" s="207" t="s">
        <v>189</v>
      </c>
      <c r="E80" s="202" t="s">
        <v>167</v>
      </c>
    </row>
    <row r="81" spans="5:8" ht="24" customHeight="1" outlineLevel="1" x14ac:dyDescent="0.25">
      <c r="E81" s="215" t="s">
        <v>251</v>
      </c>
    </row>
    <row r="82" spans="5:8" hidden="1" outlineLevel="2" x14ac:dyDescent="0.25">
      <c r="H82" s="214"/>
    </row>
    <row r="83" spans="5:8" ht="15.75" hidden="1" outlineLevel="2" x14ac:dyDescent="0.25">
      <c r="E83" s="215" t="s">
        <v>252</v>
      </c>
    </row>
    <row r="84" spans="5:8" hidden="1" outlineLevel="2" x14ac:dyDescent="0.25"/>
    <row r="85" spans="5:8" ht="15.75" hidden="1" outlineLevel="2" x14ac:dyDescent="0.25">
      <c r="E85" s="215" t="s">
        <v>253</v>
      </c>
    </row>
    <row r="86" spans="5:8" hidden="1" outlineLevel="2" x14ac:dyDescent="0.25"/>
    <row r="87" spans="5:8" ht="15.75" hidden="1" outlineLevel="2" x14ac:dyDescent="0.25">
      <c r="E87" s="215" t="s">
        <v>254</v>
      </c>
    </row>
    <row r="88" spans="5:8" ht="210" outlineLevel="1" collapsed="1" x14ac:dyDescent="0.25">
      <c r="E88" s="204" t="s">
        <v>255</v>
      </c>
      <c r="G88" s="213" t="s">
        <v>312</v>
      </c>
    </row>
    <row r="90" spans="5:8" ht="135.75" customHeight="1" x14ac:dyDescent="0.25">
      <c r="E90" s="160" t="s">
        <v>315</v>
      </c>
    </row>
  </sheetData>
  <sortState ref="A23:L30">
    <sortCondition ref="F23:F30" customList="January,February,March,April,May,June,July,August,September,October,November,December"/>
  </sortState>
  <conditionalFormatting sqref="B24:E26 G24:XFD26 H81:XFD81 B81:F81 B82:XFD87 B2:XFD23 B74:XFD80 D25:D30 B1:E1 G1:XFD1 B89:XFD1048576 B88:E88 G88:XFD88 B27:XFD66">
    <cfRule type="expression" dxfId="65" priority="5">
      <formula>NOT(ISODD(ROW())) * (INDIRECT("D" &amp; ROW()) &lt;= TODAY()) * (INDIRECT("F" &amp; ROW()) &gt;= TODAY()) * NOT(ISBLANK("D"&amp;ROW()))</formula>
    </cfRule>
    <cfRule type="expression" dxfId="64"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63"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62" priority="16">
      <formula xml:space="preserve"> (INDIRECT("D" &amp; ROW()) &lt;= TODAY()) * (INDIRECT("F" &amp; ROW()) &gt;= TODAY()) * NOT(ISBLANK("D"&amp;ROW()))</formula>
    </cfRule>
  </conditionalFormatting>
  <conditionalFormatting sqref="F26">
    <cfRule type="expression" dxfId="61" priority="13">
      <formula xml:space="preserve"> (INDIRECT("D" &amp; ROW()) &lt;= TODAY()) * (INDIRECT("F" &amp; ROW()) &gt;= TODAY()) * NOT(ISBLANK("D"&amp;ROW()))</formula>
    </cfRule>
  </conditionalFormatting>
  <conditionalFormatting sqref="B74:XFD87 B1:E1 G1:XFD1 B89:XFD1048576 B88:E88 G88:XFD88 B2:XFD66">
    <cfRule type="expression" dxfId="60" priority="3">
      <formula>NOT(ISODD(ROW())) * INDIRECT("C"&amp;ROW()) &gt;= 0.9</formula>
    </cfRule>
    <cfRule type="expression" dxfId="59" priority="4">
      <formula xml:space="preserve"> ISODD(ROW()) * INDIRECT("C"&amp;ROW()) &gt;= 0.9</formula>
    </cfRule>
    <cfRule type="expression" dxfId="58" priority="7">
      <formula xml:space="preserve"> ISODD(ROW()) * (INDIRECT("C"&amp;ROW()) &lt; 0.9) * INDIRECT("C"&amp;ROW()) &gt; 0</formula>
    </cfRule>
    <cfRule type="expression" dxfId="57"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56" priority="1">
      <formula>NOT(ISODD(ROW())) * (INDIRECT("D" &amp; ROW()) &lt;= TODAY()) * (INDIRECT("F" &amp; ROW()) &gt;= TODAY()) * NOT(ISBLANK("D"&amp;ROW()))</formula>
    </cfRule>
    <cfRule type="expression" dxfId="55"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U30"/>
  <sheetViews>
    <sheetView topLeftCell="C8" zoomScale="108" workbookViewId="0">
      <selection activeCell="G14" sqref="G14"/>
    </sheetView>
  </sheetViews>
  <sheetFormatPr defaultColWidth="8.85546875" defaultRowHeight="15" x14ac:dyDescent="0.25"/>
  <cols>
    <col min="1" max="1" width="12.42578125" style="123" customWidth="1"/>
    <col min="2" max="2" width="14.85546875" style="155" customWidth="1"/>
    <col min="3" max="129" width="20.7109375" style="160" customWidth="1"/>
    <col min="130" max="16384" width="8.85546875" style="160"/>
  </cols>
  <sheetData>
    <row r="1" spans="1:99" s="152" customFormat="1" x14ac:dyDescent="0.25">
      <c r="A1" s="123"/>
      <c r="C1" s="153">
        <f ca="1">TODAY()</f>
        <v>43145</v>
      </c>
      <c r="D1" s="153"/>
      <c r="E1" s="180">
        <f ca="1">NOW()</f>
        <v>43145.642241435184</v>
      </c>
      <c r="F1" s="179">
        <f ca="1">HOUR(E1)</f>
        <v>15</v>
      </c>
      <c r="H1" s="152" t="s">
        <v>40</v>
      </c>
      <c r="J1" s="152" t="s">
        <v>39</v>
      </c>
    </row>
    <row r="2" spans="1:99" s="152" customFormat="1" ht="29.25" customHeight="1" x14ac:dyDescent="0.25">
      <c r="A2" s="121"/>
      <c r="F2" s="154"/>
    </row>
    <row r="3" spans="1:99" s="155" customFormat="1" x14ac:dyDescent="0.25">
      <c r="A3" s="123"/>
      <c r="C3" s="155" t="s">
        <v>75</v>
      </c>
      <c r="D3" s="155" t="s">
        <v>76</v>
      </c>
      <c r="E3" s="155" t="s">
        <v>77</v>
      </c>
      <c r="F3" s="155" t="s">
        <v>78</v>
      </c>
      <c r="G3" s="155" t="s">
        <v>79</v>
      </c>
      <c r="H3" s="155" t="s">
        <v>80</v>
      </c>
      <c r="I3" s="155" t="s">
        <v>81</v>
      </c>
      <c r="J3" s="155" t="s">
        <v>75</v>
      </c>
      <c r="K3" s="155" t="s">
        <v>76</v>
      </c>
      <c r="L3" s="155" t="s">
        <v>77</v>
      </c>
      <c r="M3" s="155" t="s">
        <v>78</v>
      </c>
      <c r="N3" s="155" t="s">
        <v>79</v>
      </c>
      <c r="O3" s="155" t="s">
        <v>80</v>
      </c>
      <c r="P3" s="155" t="s">
        <v>81</v>
      </c>
      <c r="Q3" s="155" t="s">
        <v>75</v>
      </c>
      <c r="R3" s="155" t="s">
        <v>76</v>
      </c>
      <c r="S3" s="155" t="s">
        <v>77</v>
      </c>
      <c r="T3" s="155" t="s">
        <v>78</v>
      </c>
      <c r="U3" s="155" t="s">
        <v>79</v>
      </c>
      <c r="V3" s="155" t="s">
        <v>80</v>
      </c>
      <c r="W3" s="155" t="s">
        <v>81</v>
      </c>
      <c r="X3" s="155" t="s">
        <v>75</v>
      </c>
      <c r="Y3" s="155" t="s">
        <v>76</v>
      </c>
      <c r="Z3" s="155" t="s">
        <v>77</v>
      </c>
      <c r="AA3" s="155" t="s">
        <v>78</v>
      </c>
      <c r="AB3" s="155" t="s">
        <v>79</v>
      </c>
      <c r="AC3" s="155" t="s">
        <v>80</v>
      </c>
      <c r="AD3" s="155" t="s">
        <v>81</v>
      </c>
      <c r="AE3" s="155" t="s">
        <v>75</v>
      </c>
      <c r="AF3" s="155" t="s">
        <v>76</v>
      </c>
      <c r="AG3" s="155" t="s">
        <v>77</v>
      </c>
      <c r="AH3" s="155" t="s">
        <v>78</v>
      </c>
      <c r="AI3" s="155" t="s">
        <v>79</v>
      </c>
      <c r="AJ3" s="155" t="s">
        <v>80</v>
      </c>
      <c r="AK3" s="155" t="s">
        <v>81</v>
      </c>
      <c r="AL3" s="155" t="s">
        <v>75</v>
      </c>
      <c r="AM3" s="155" t="s">
        <v>76</v>
      </c>
      <c r="AN3" s="155" t="s">
        <v>77</v>
      </c>
      <c r="AO3" s="155" t="s">
        <v>78</v>
      </c>
      <c r="AP3" s="155" t="s">
        <v>79</v>
      </c>
      <c r="AQ3" s="155" t="s">
        <v>80</v>
      </c>
      <c r="AR3" s="155" t="s">
        <v>81</v>
      </c>
      <c r="AS3" s="155" t="s">
        <v>75</v>
      </c>
      <c r="AT3" s="155" t="s">
        <v>76</v>
      </c>
      <c r="AU3" s="155" t="s">
        <v>77</v>
      </c>
      <c r="AV3" s="155" t="s">
        <v>78</v>
      </c>
      <c r="AW3" s="155" t="s">
        <v>79</v>
      </c>
      <c r="AX3" s="155" t="s">
        <v>80</v>
      </c>
      <c r="AY3" s="155" t="s">
        <v>81</v>
      </c>
      <c r="AZ3" s="155" t="s">
        <v>75</v>
      </c>
      <c r="BA3" s="155" t="s">
        <v>76</v>
      </c>
      <c r="BB3" s="155" t="s">
        <v>77</v>
      </c>
      <c r="BC3" s="155" t="s">
        <v>78</v>
      </c>
      <c r="BD3" s="155" t="s">
        <v>79</v>
      </c>
      <c r="BE3" s="155" t="s">
        <v>80</v>
      </c>
      <c r="BF3" s="155" t="s">
        <v>81</v>
      </c>
      <c r="BG3" s="155" t="s">
        <v>75</v>
      </c>
      <c r="BH3" s="155" t="s">
        <v>76</v>
      </c>
      <c r="BI3" s="155" t="s">
        <v>77</v>
      </c>
      <c r="BJ3" s="155" t="s">
        <v>78</v>
      </c>
      <c r="BK3" s="155" t="s">
        <v>79</v>
      </c>
      <c r="BL3" s="155" t="s">
        <v>80</v>
      </c>
      <c r="BM3" s="155" t="s">
        <v>81</v>
      </c>
      <c r="BN3" s="155" t="s">
        <v>75</v>
      </c>
      <c r="BO3" s="155" t="s">
        <v>76</v>
      </c>
      <c r="BP3" s="155" t="s">
        <v>77</v>
      </c>
      <c r="BQ3" s="155" t="s">
        <v>78</v>
      </c>
      <c r="BR3" s="155" t="s">
        <v>79</v>
      </c>
      <c r="BS3" s="155" t="s">
        <v>80</v>
      </c>
      <c r="BT3" s="155" t="s">
        <v>81</v>
      </c>
      <c r="BU3" s="155" t="s">
        <v>75</v>
      </c>
      <c r="BV3" s="155" t="s">
        <v>76</v>
      </c>
      <c r="BW3" s="155" t="s">
        <v>77</v>
      </c>
      <c r="BX3" s="155" t="s">
        <v>78</v>
      </c>
      <c r="BY3" s="155" t="s">
        <v>79</v>
      </c>
      <c r="BZ3" s="155" t="s">
        <v>80</v>
      </c>
      <c r="CA3" s="155" t="s">
        <v>81</v>
      </c>
      <c r="CB3" s="155" t="s">
        <v>75</v>
      </c>
      <c r="CC3" s="155" t="s">
        <v>76</v>
      </c>
      <c r="CD3" s="155" t="s">
        <v>77</v>
      </c>
      <c r="CE3" s="155" t="s">
        <v>78</v>
      </c>
      <c r="CF3" s="155" t="s">
        <v>79</v>
      </c>
      <c r="CG3" s="155" t="s">
        <v>80</v>
      </c>
      <c r="CH3" s="155" t="s">
        <v>81</v>
      </c>
      <c r="CI3" s="155" t="s">
        <v>75</v>
      </c>
      <c r="CJ3" s="155" t="s">
        <v>76</v>
      </c>
      <c r="CK3" s="155" t="s">
        <v>77</v>
      </c>
      <c r="CL3" s="155" t="s">
        <v>78</v>
      </c>
      <c r="CM3" s="155" t="s">
        <v>79</v>
      </c>
      <c r="CN3" s="155" t="s">
        <v>80</v>
      </c>
      <c r="CO3" s="155" t="s">
        <v>81</v>
      </c>
      <c r="CP3" s="155" t="s">
        <v>75</v>
      </c>
      <c r="CQ3" s="155" t="s">
        <v>76</v>
      </c>
      <c r="CR3" s="155" t="s">
        <v>77</v>
      </c>
      <c r="CS3" s="155" t="s">
        <v>78</v>
      </c>
      <c r="CT3" s="155" t="s">
        <v>79</v>
      </c>
      <c r="CU3" s="155" t="s">
        <v>80</v>
      </c>
    </row>
    <row r="4" spans="1:99" s="157" customFormat="1" ht="32.25" customHeight="1" x14ac:dyDescent="0.25">
      <c r="A4" s="156"/>
      <c r="C4" s="158">
        <v>43137</v>
      </c>
      <c r="D4" s="158">
        <v>43138</v>
      </c>
      <c r="E4" s="158">
        <v>43139</v>
      </c>
      <c r="F4" s="158">
        <v>43140</v>
      </c>
      <c r="G4" s="158">
        <v>43141</v>
      </c>
      <c r="H4" s="158">
        <v>43142</v>
      </c>
      <c r="I4" s="158">
        <v>43143</v>
      </c>
      <c r="J4" s="158">
        <v>43144</v>
      </c>
      <c r="K4" s="158">
        <v>43145</v>
      </c>
      <c r="L4" s="158">
        <v>43146</v>
      </c>
      <c r="M4" s="158">
        <v>43147</v>
      </c>
      <c r="N4" s="158">
        <v>43148</v>
      </c>
      <c r="O4" s="158">
        <v>43149</v>
      </c>
      <c r="P4" s="158">
        <v>43150</v>
      </c>
      <c r="Q4" s="158">
        <v>43151</v>
      </c>
      <c r="R4" s="158">
        <v>43152</v>
      </c>
      <c r="S4" s="158">
        <v>43153</v>
      </c>
      <c r="T4" s="158">
        <v>43154</v>
      </c>
      <c r="U4" s="158">
        <v>43155</v>
      </c>
      <c r="V4" s="158">
        <v>43156</v>
      </c>
      <c r="W4" s="158">
        <v>43157</v>
      </c>
      <c r="X4" s="158">
        <v>43158</v>
      </c>
      <c r="Y4" s="158">
        <v>43159</v>
      </c>
      <c r="Z4" s="158">
        <v>43160</v>
      </c>
      <c r="AA4" s="158">
        <v>43161</v>
      </c>
      <c r="AB4" s="158">
        <v>43162</v>
      </c>
      <c r="AC4" s="158">
        <v>43163</v>
      </c>
      <c r="AD4" s="158">
        <v>43164</v>
      </c>
      <c r="AE4" s="158">
        <v>43165</v>
      </c>
      <c r="AF4" s="158">
        <v>43166</v>
      </c>
      <c r="AG4" s="158">
        <v>43167</v>
      </c>
      <c r="AH4" s="158">
        <v>43168</v>
      </c>
      <c r="AI4" s="158">
        <v>43169</v>
      </c>
      <c r="AJ4" s="158">
        <v>43170</v>
      </c>
      <c r="AK4" s="158">
        <v>43171</v>
      </c>
      <c r="AL4" s="158">
        <v>43172</v>
      </c>
      <c r="AM4" s="158">
        <v>43173</v>
      </c>
      <c r="AN4" s="158">
        <v>43174</v>
      </c>
      <c r="AO4" s="158">
        <v>43175</v>
      </c>
      <c r="AP4" s="158">
        <v>43176</v>
      </c>
      <c r="AQ4" s="158">
        <v>43177</v>
      </c>
      <c r="AR4" s="158">
        <v>43178</v>
      </c>
      <c r="AS4" s="158">
        <v>43179</v>
      </c>
      <c r="AT4" s="158">
        <v>43180</v>
      </c>
      <c r="AU4" s="158">
        <v>43181</v>
      </c>
      <c r="AV4" s="158">
        <v>43182</v>
      </c>
      <c r="AW4" s="158">
        <v>43183</v>
      </c>
      <c r="AX4" s="158">
        <v>43184</v>
      </c>
      <c r="AY4" s="158">
        <v>43185</v>
      </c>
      <c r="AZ4" s="158">
        <v>43186</v>
      </c>
      <c r="BA4" s="158">
        <v>43187</v>
      </c>
      <c r="BB4" s="158">
        <v>43188</v>
      </c>
      <c r="BC4" s="158">
        <v>43189</v>
      </c>
      <c r="BD4" s="158">
        <v>43190</v>
      </c>
      <c r="BE4" s="158">
        <v>43191</v>
      </c>
      <c r="BF4" s="158">
        <v>43192</v>
      </c>
      <c r="BG4" s="158">
        <v>43193</v>
      </c>
      <c r="BH4" s="158">
        <v>43194</v>
      </c>
      <c r="BI4" s="158">
        <v>43195</v>
      </c>
      <c r="BJ4" s="158">
        <v>43196</v>
      </c>
      <c r="BK4" s="158">
        <v>43197</v>
      </c>
      <c r="BL4" s="158">
        <v>43198</v>
      </c>
      <c r="BM4" s="158">
        <v>43199</v>
      </c>
      <c r="BN4" s="158">
        <v>43200</v>
      </c>
      <c r="BO4" s="158">
        <v>43201</v>
      </c>
      <c r="BP4" s="158">
        <v>43202</v>
      </c>
      <c r="BQ4" s="158">
        <v>43203</v>
      </c>
      <c r="BR4" s="158">
        <v>43204</v>
      </c>
      <c r="BS4" s="158">
        <v>43205</v>
      </c>
      <c r="BT4" s="158">
        <v>43206</v>
      </c>
      <c r="BU4" s="158">
        <v>43207</v>
      </c>
      <c r="BV4" s="158">
        <v>43208</v>
      </c>
      <c r="BW4" s="158">
        <v>43209</v>
      </c>
      <c r="BX4" s="158">
        <v>43210</v>
      </c>
      <c r="BY4" s="158">
        <v>43211</v>
      </c>
      <c r="BZ4" s="158">
        <v>43212</v>
      </c>
      <c r="CA4" s="158">
        <v>43213</v>
      </c>
      <c r="CB4" s="158">
        <v>43214</v>
      </c>
      <c r="CC4" s="158">
        <v>43215</v>
      </c>
      <c r="CD4" s="158">
        <v>43216</v>
      </c>
      <c r="CE4" s="158">
        <v>43217</v>
      </c>
      <c r="CF4" s="158">
        <v>43218</v>
      </c>
      <c r="CG4" s="158">
        <v>43219</v>
      </c>
      <c r="CH4" s="158">
        <v>43220</v>
      </c>
      <c r="CI4" s="158">
        <v>43221</v>
      </c>
      <c r="CJ4" s="158">
        <v>43222</v>
      </c>
      <c r="CK4" s="158">
        <v>43223</v>
      </c>
      <c r="CL4" s="158">
        <v>43224</v>
      </c>
      <c r="CM4" s="158">
        <v>43225</v>
      </c>
      <c r="CN4" s="158">
        <v>43226</v>
      </c>
      <c r="CO4" s="158">
        <v>43227</v>
      </c>
      <c r="CP4" s="158">
        <v>43228</v>
      </c>
      <c r="CQ4" s="158">
        <v>43229</v>
      </c>
      <c r="CR4" s="158">
        <v>43230</v>
      </c>
      <c r="CS4" s="158">
        <v>43231</v>
      </c>
      <c r="CT4" s="158">
        <v>43232</v>
      </c>
      <c r="CU4" s="158">
        <v>43233</v>
      </c>
    </row>
    <row r="5" spans="1:99" ht="24.95" customHeight="1" x14ac:dyDescent="0.25">
      <c r="A5" s="179">
        <f>HOUR(B5)</f>
        <v>0</v>
      </c>
      <c r="B5" s="159">
        <v>0</v>
      </c>
      <c r="H5" s="162" t="s">
        <v>257</v>
      </c>
      <c r="J5" s="158" t="s">
        <v>132</v>
      </c>
    </row>
    <row r="6" spans="1:99" ht="24.95" customHeight="1" x14ac:dyDescent="0.25">
      <c r="A6" s="179">
        <f>HOUR(B6)</f>
        <v>1</v>
      </c>
      <c r="B6" s="159">
        <v>4.1666666666666699E-2</v>
      </c>
      <c r="H6" s="162" t="s">
        <v>257</v>
      </c>
      <c r="J6" s="158" t="s">
        <v>132</v>
      </c>
    </row>
    <row r="7" spans="1:99" ht="24.95" customHeight="1" x14ac:dyDescent="0.25">
      <c r="A7" s="179">
        <f t="shared" ref="A7:A28" si="0">HOUR(B7)</f>
        <v>2</v>
      </c>
      <c r="B7" s="159">
        <v>8.3333333333333301E-2</v>
      </c>
      <c r="H7" s="220" t="s">
        <v>270</v>
      </c>
      <c r="I7" s="244"/>
      <c r="J7" s="158" t="s">
        <v>132</v>
      </c>
    </row>
    <row r="8" spans="1:99" s="155" customFormat="1" ht="25.5" customHeight="1" x14ac:dyDescent="0.25">
      <c r="A8" s="179">
        <f t="shared" si="0"/>
        <v>3</v>
      </c>
      <c r="B8" s="159">
        <v>0.125</v>
      </c>
      <c r="E8" s="265" t="s">
        <v>92</v>
      </c>
      <c r="F8" s="155" t="s">
        <v>120</v>
      </c>
      <c r="G8" s="158" t="s">
        <v>256</v>
      </c>
      <c r="I8" s="158" t="s">
        <v>279</v>
      </c>
      <c r="J8" s="158" t="s">
        <v>287</v>
      </c>
    </row>
    <row r="9" spans="1:99" ht="22.5" customHeight="1" x14ac:dyDescent="0.25">
      <c r="A9" s="179">
        <f t="shared" si="0"/>
        <v>4</v>
      </c>
      <c r="B9" s="159">
        <v>0.16666666666666699</v>
      </c>
      <c r="C9" s="247"/>
      <c r="E9" s="161" t="s">
        <v>97</v>
      </c>
      <c r="F9" s="162" t="s">
        <v>92</v>
      </c>
      <c r="G9" s="186" t="s">
        <v>256</v>
      </c>
      <c r="I9" s="219" t="s">
        <v>277</v>
      </c>
      <c r="J9" s="182" t="s">
        <v>11</v>
      </c>
    </row>
    <row r="10" spans="1:99" ht="23.25" customHeight="1" x14ac:dyDescent="0.25">
      <c r="A10" s="179">
        <f t="shared" si="0"/>
        <v>5</v>
      </c>
      <c r="B10" s="159">
        <v>0.20833333333333301</v>
      </c>
      <c r="E10" s="161" t="s">
        <v>97</v>
      </c>
      <c r="F10" s="162" t="s">
        <v>97</v>
      </c>
      <c r="G10" s="187" t="s">
        <v>256</v>
      </c>
      <c r="I10" s="245" t="s">
        <v>282</v>
      </c>
      <c r="J10" s="183" t="s">
        <v>288</v>
      </c>
    </row>
    <row r="11" spans="1:99" ht="20.25" customHeight="1" x14ac:dyDescent="0.25">
      <c r="A11" s="179">
        <f t="shared" si="0"/>
        <v>6</v>
      </c>
      <c r="B11" s="159">
        <v>0.25</v>
      </c>
      <c r="G11" s="186" t="s">
        <v>256</v>
      </c>
      <c r="I11" s="246"/>
    </row>
    <row r="12" spans="1:99" ht="24.95" customHeight="1" x14ac:dyDescent="0.25">
      <c r="A12" s="179">
        <f t="shared" si="0"/>
        <v>7</v>
      </c>
      <c r="B12" s="159">
        <v>0.29166666666666702</v>
      </c>
      <c r="F12" s="163" t="s">
        <v>92</v>
      </c>
      <c r="G12" s="184" t="s">
        <v>130</v>
      </c>
      <c r="H12" s="220" t="s">
        <v>258</v>
      </c>
      <c r="I12" s="246"/>
      <c r="J12" s="247" t="s">
        <v>288</v>
      </c>
    </row>
    <row r="13" spans="1:99" ht="24.95" customHeight="1" x14ac:dyDescent="0.25">
      <c r="A13" s="179">
        <f t="shared" si="0"/>
        <v>8</v>
      </c>
      <c r="B13" s="159">
        <v>0.33333333333333298</v>
      </c>
      <c r="F13" s="163" t="s">
        <v>99</v>
      </c>
      <c r="G13" s="186" t="s">
        <v>136</v>
      </c>
      <c r="H13" s="181" t="s">
        <v>284</v>
      </c>
      <c r="I13" s="246"/>
      <c r="J13" s="251" t="s">
        <v>288</v>
      </c>
      <c r="K13" s="219" t="s">
        <v>330</v>
      </c>
    </row>
    <row r="14" spans="1:99" ht="24.95" customHeight="1" x14ac:dyDescent="0.25">
      <c r="A14" s="179">
        <f t="shared" si="0"/>
        <v>9</v>
      </c>
      <c r="B14" s="159">
        <v>0.375</v>
      </c>
      <c r="F14" s="152" t="s">
        <v>123</v>
      </c>
      <c r="G14" s="187" t="s">
        <v>136</v>
      </c>
      <c r="H14" s="181" t="s">
        <v>131</v>
      </c>
      <c r="I14" s="246"/>
      <c r="K14" s="245" t="s">
        <v>330</v>
      </c>
    </row>
    <row r="15" spans="1:99" ht="24.95" customHeight="1" x14ac:dyDescent="0.25">
      <c r="A15" s="179">
        <f t="shared" si="0"/>
        <v>10</v>
      </c>
      <c r="B15" s="159">
        <v>0.41666666666666702</v>
      </c>
      <c r="F15" s="164" t="s">
        <v>92</v>
      </c>
      <c r="G15" s="185" t="s">
        <v>135</v>
      </c>
      <c r="H15" s="219" t="s">
        <v>129</v>
      </c>
      <c r="I15" s="246"/>
      <c r="K15" s="183" t="s">
        <v>331</v>
      </c>
    </row>
    <row r="16" spans="1:99" ht="24.75" customHeight="1" x14ac:dyDescent="0.25">
      <c r="A16" s="179">
        <f t="shared" si="0"/>
        <v>11</v>
      </c>
      <c r="B16" s="159">
        <v>0.45833333333333298</v>
      </c>
      <c r="G16" s="182" t="s">
        <v>129</v>
      </c>
      <c r="H16" s="219" t="s">
        <v>129</v>
      </c>
      <c r="I16" s="246"/>
      <c r="K16" s="183" t="s">
        <v>331</v>
      </c>
    </row>
    <row r="17" spans="1:11" ht="37.5" customHeight="1" x14ac:dyDescent="0.25">
      <c r="A17" s="179">
        <f t="shared" si="0"/>
        <v>12</v>
      </c>
      <c r="B17" s="159">
        <v>0.5</v>
      </c>
      <c r="G17" s="183" t="s">
        <v>130</v>
      </c>
      <c r="H17" s="183" t="s">
        <v>137</v>
      </c>
      <c r="I17" s="246"/>
      <c r="K17" s="183" t="s">
        <v>331</v>
      </c>
    </row>
    <row r="18" spans="1:11" ht="24.95" customHeight="1" x14ac:dyDescent="0.25">
      <c r="A18" s="179">
        <f t="shared" si="0"/>
        <v>13</v>
      </c>
      <c r="B18" s="159">
        <v>0.54166666666666696</v>
      </c>
      <c r="G18" s="188" t="s">
        <v>130</v>
      </c>
      <c r="H18" s="233" t="s">
        <v>259</v>
      </c>
      <c r="I18" s="246"/>
      <c r="K18" s="183" t="s">
        <v>331</v>
      </c>
    </row>
    <row r="19" spans="1:11" ht="24.95" customHeight="1" x14ac:dyDescent="0.25">
      <c r="A19" s="179">
        <f t="shared" si="0"/>
        <v>14</v>
      </c>
      <c r="B19" s="159">
        <v>0.58333333333333304</v>
      </c>
      <c r="F19" s="167" t="s">
        <v>92</v>
      </c>
      <c r="G19" s="189" t="s">
        <v>130</v>
      </c>
      <c r="H19" s="198" t="s">
        <v>259</v>
      </c>
      <c r="I19" s="246"/>
      <c r="K19" s="183" t="s">
        <v>331</v>
      </c>
    </row>
    <row r="20" spans="1:11" ht="24.95" customHeight="1" x14ac:dyDescent="0.25">
      <c r="A20" s="179">
        <f t="shared" si="0"/>
        <v>15</v>
      </c>
      <c r="B20" s="159">
        <v>0.625</v>
      </c>
      <c r="F20" s="165"/>
      <c r="G20" s="185" t="s">
        <v>130</v>
      </c>
      <c r="H20" s="233" t="s">
        <v>259</v>
      </c>
      <c r="I20" s="246"/>
      <c r="K20" s="184" t="s">
        <v>332</v>
      </c>
    </row>
    <row r="21" spans="1:11" ht="24.95" customHeight="1" x14ac:dyDescent="0.25">
      <c r="A21" s="179">
        <f t="shared" si="0"/>
        <v>16</v>
      </c>
      <c r="B21" s="159">
        <v>0.66666666666666696</v>
      </c>
      <c r="D21" s="168" t="s">
        <v>94</v>
      </c>
      <c r="F21" s="166" t="s">
        <v>97</v>
      </c>
      <c r="G21" s="169" t="s">
        <v>129</v>
      </c>
      <c r="H21" s="234" t="s">
        <v>259</v>
      </c>
      <c r="I21" s="184" t="s">
        <v>283</v>
      </c>
      <c r="J21" s="245" t="s">
        <v>306</v>
      </c>
      <c r="K21" s="188" t="s">
        <v>333</v>
      </c>
    </row>
    <row r="22" spans="1:11" ht="24.95" customHeight="1" x14ac:dyDescent="0.25">
      <c r="A22" s="179">
        <f t="shared" si="0"/>
        <v>17</v>
      </c>
      <c r="B22" s="159">
        <v>0.70833333333333304</v>
      </c>
      <c r="D22" s="152" t="s">
        <v>99</v>
      </c>
      <c r="E22" s="162" t="s">
        <v>115</v>
      </c>
      <c r="F22" s="170" t="s">
        <v>97</v>
      </c>
      <c r="G22" s="188" t="s">
        <v>130</v>
      </c>
      <c r="H22" s="233" t="s">
        <v>260</v>
      </c>
      <c r="I22" s="186" t="s">
        <v>283</v>
      </c>
      <c r="J22" s="234" t="s">
        <v>259</v>
      </c>
      <c r="K22" s="256" t="s">
        <v>334</v>
      </c>
    </row>
    <row r="23" spans="1:11" ht="24.95" customHeight="1" x14ac:dyDescent="0.25">
      <c r="A23" s="179">
        <f t="shared" si="0"/>
        <v>18</v>
      </c>
      <c r="B23" s="159">
        <v>0.75</v>
      </c>
      <c r="D23" s="185" t="s">
        <v>134</v>
      </c>
      <c r="E23" s="171" t="s">
        <v>98</v>
      </c>
      <c r="F23" s="166" t="s">
        <v>97</v>
      </c>
      <c r="G23" s="188" t="s">
        <v>130</v>
      </c>
      <c r="H23" s="234" t="s">
        <v>265</v>
      </c>
      <c r="I23" s="188" t="s">
        <v>283</v>
      </c>
      <c r="J23" s="245" t="s">
        <v>129</v>
      </c>
      <c r="K23" s="263" t="s">
        <v>335</v>
      </c>
    </row>
    <row r="24" spans="1:11" ht="24.95" customHeight="1" x14ac:dyDescent="0.25">
      <c r="A24" s="179">
        <f t="shared" si="0"/>
        <v>19</v>
      </c>
      <c r="B24" s="159">
        <v>0.79166666666666696</v>
      </c>
      <c r="D24" s="170" t="s">
        <v>100</v>
      </c>
      <c r="E24" s="172" t="s">
        <v>98</v>
      </c>
      <c r="F24" s="173" t="s">
        <v>97</v>
      </c>
      <c r="G24" s="185" t="s">
        <v>130</v>
      </c>
      <c r="I24" s="189" t="s">
        <v>283</v>
      </c>
      <c r="J24" s="219" t="s">
        <v>307</v>
      </c>
      <c r="K24" s="266" t="s">
        <v>336</v>
      </c>
    </row>
    <row r="25" spans="1:11" ht="24.95" customHeight="1" x14ac:dyDescent="0.25">
      <c r="A25" s="179">
        <f t="shared" si="0"/>
        <v>20</v>
      </c>
      <c r="B25" s="159">
        <v>0.83333333333333304</v>
      </c>
      <c r="D25" s="174" t="s">
        <v>92</v>
      </c>
      <c r="E25" s="175" t="s">
        <v>116</v>
      </c>
      <c r="F25" s="181" t="s">
        <v>133</v>
      </c>
      <c r="G25" s="185" t="s">
        <v>130</v>
      </c>
      <c r="I25" s="250" t="s">
        <v>283</v>
      </c>
      <c r="J25" s="245" t="s">
        <v>327</v>
      </c>
      <c r="K25" s="264" t="s">
        <v>328</v>
      </c>
    </row>
    <row r="26" spans="1:11" s="155" customFormat="1" ht="24.95" customHeight="1" x14ac:dyDescent="0.25">
      <c r="A26" s="179">
        <f t="shared" si="0"/>
        <v>21</v>
      </c>
      <c r="B26" s="159">
        <v>0.875</v>
      </c>
      <c r="D26" s="155" t="s">
        <v>97</v>
      </c>
      <c r="E26" s="155" t="s">
        <v>117</v>
      </c>
      <c r="F26" s="155" t="s">
        <v>132</v>
      </c>
      <c r="G26" s="177" t="s">
        <v>132</v>
      </c>
      <c r="H26" s="155" t="s">
        <v>132</v>
      </c>
      <c r="I26" s="158" t="s">
        <v>129</v>
      </c>
      <c r="J26" s="158" t="s">
        <v>328</v>
      </c>
      <c r="K26" s="155" t="s">
        <v>132</v>
      </c>
    </row>
    <row r="27" spans="1:11" ht="24.95" customHeight="1" x14ac:dyDescent="0.25">
      <c r="A27" s="179">
        <f t="shared" si="0"/>
        <v>22</v>
      </c>
      <c r="B27" s="159">
        <v>0.91666666666666696</v>
      </c>
      <c r="I27" s="160" t="s">
        <v>277</v>
      </c>
      <c r="J27" s="245" t="s">
        <v>277</v>
      </c>
    </row>
    <row r="28" spans="1:11" ht="24.95" customHeight="1" x14ac:dyDescent="0.25">
      <c r="A28" s="179">
        <f t="shared" si="0"/>
        <v>23</v>
      </c>
      <c r="B28" s="159">
        <v>0.95833333333333304</v>
      </c>
      <c r="I28" s="160" t="s">
        <v>132</v>
      </c>
      <c r="J28" s="219" t="s">
        <v>132</v>
      </c>
    </row>
    <row r="29" spans="1:11" s="176" customFormat="1" x14ac:dyDescent="0.25">
      <c r="A29" s="178"/>
    </row>
    <row r="30" spans="1:11" s="176" customFormat="1" x14ac:dyDescent="0.25">
      <c r="A30" s="178"/>
    </row>
  </sheetData>
  <conditionalFormatting sqref="C5:DW8 C9:F9 H9:DW9 C10:DW15 C18:G23 I21:DW21 C24:DW28 I23:DW23 I22 K22:DW22 I18:J20 C16:J17 K16:DW20">
    <cfRule type="expression" dxfId="26" priority="18">
      <formula xml:space="preserve"> INDIRECT(CHAR(COLUMN()+96) &amp; 4) = TODAY() * ISBLANK(INDIRECT(CHAR(COLUMN()+96) &amp; ROW()))</formula>
    </cfRule>
  </conditionalFormatting>
  <conditionalFormatting sqref="A4:XFD4">
    <cfRule type="timePeriod" dxfId="25" priority="15" timePeriod="today">
      <formula>FLOOR(A4,1)=TODAY()</formula>
    </cfRule>
    <cfRule type="timePeriod" dxfId="24" priority="16" timePeriod="tomorrow">
      <formula>FLOOR(A4,1)=TODAY()+1</formula>
    </cfRule>
    <cfRule type="timePeriod" dxfId="23" priority="17" timePeriod="yesterday">
      <formula>FLOOR(A4,1)=TODAY()-1</formula>
    </cfRule>
  </conditionalFormatting>
  <conditionalFormatting sqref="G9">
    <cfRule type="expression" dxfId="22" priority="13">
      <formula xml:space="preserve"> INDIRECT(CHAR(COLUMN()+96) &amp; 4) = TODAY() * ISBLANK(INDIRECT(CHAR(COLUMN()+96) &amp; ROW()))</formula>
    </cfRule>
  </conditionalFormatting>
  <conditionalFormatting sqref="A1:XFD15 A18:G23 I21:XFD21 A24:XFD1048576 I23:XFD23 I22 K22:XFD22 I18:J20 A16:J17 K16:XFD20">
    <cfRule type="expression" dxfId="21" priority="12">
      <formula>INDIRECT("F"&amp;1) = INDIRECT("A"&amp;ROW())</formula>
    </cfRule>
  </conditionalFormatting>
  <conditionalFormatting sqref="F5">
    <cfRule type="expression" priority="11">
      <formula xml:space="preserve"> ISBLANK(INDIRECT(CHAR(COLUMN()+96) &amp; ROW()))</formula>
    </cfRule>
  </conditionalFormatting>
  <conditionalFormatting sqref="A29:XFD30">
    <cfRule type="expression" dxfId="20" priority="10">
      <formula xml:space="preserve"> INDIRECT(CHAR(COLUMN()+96) &amp; 4) = TODAY() * ISBLANK(INDIRECT(CHAR(COLUMN()+96) &amp; ROW()))</formula>
    </cfRule>
  </conditionalFormatting>
  <conditionalFormatting sqref="A1:XFD2">
    <cfRule type="expression" dxfId="19" priority="9">
      <formula xml:space="preserve"> INDIRECT(CHAR(COLUMN()+96) &amp; 4) = TODAY() * ISBLANK(INDIRECT(CHAR(COLUMN()+96) &amp; ROW()))</formula>
    </cfRule>
  </conditionalFormatting>
  <conditionalFormatting sqref="H18:H21">
    <cfRule type="expression" dxfId="18" priority="8">
      <formula xml:space="preserve"> (INDIRECT("D" &amp; ROW()) &lt;= TODAY()) * (INDIRECT("F" &amp; ROW()) &gt;= TODAY()) * NOT(ISBLANK("D"&amp;ROW()))</formula>
    </cfRule>
  </conditionalFormatting>
  <conditionalFormatting sqref="H22">
    <cfRule type="expression" dxfId="17" priority="7">
      <formula xml:space="preserve"> (INDIRECT("D" &amp; ROW()) &lt;= TODAY()) * (INDIRECT("F" &amp; ROW()) &gt;= TODAY()) * NOT(ISBLANK("D"&amp;ROW()))</formula>
    </cfRule>
  </conditionalFormatting>
  <conditionalFormatting sqref="H23">
    <cfRule type="expression" dxfId="16" priority="6">
      <formula xml:space="preserve"> (INDIRECT("D" &amp; ROW()) &lt;= TODAY()) * (INDIRECT("F" &amp; ROW()) &gt;= TODAY()) * NOT(ISBLANK("D"&amp;ROW()))</formula>
    </cfRule>
  </conditionalFormatting>
  <conditionalFormatting sqref="J22">
    <cfRule type="expression" dxfId="15" priority="4">
      <formula xml:space="preserve"> (INDIRECT("D" &amp; ROW()) &lt;= TODAY()) * (INDIRECT("F" &amp; ROW()) &gt;= TODAY()) * NOT(ISBLANK("D"&amp;ROW()))</formula>
    </cfRule>
  </conditionalFormatting>
  <conditionalFormatting sqref="H20">
    <cfRule type="expression" dxfId="14" priority="3">
      <formula>INDIRECT("F"&amp;1) = INDIRECT("A"&amp;ROW())</formula>
    </cfRule>
  </conditionalFormatting>
  <conditionalFormatting sqref="H18">
    <cfRule type="expression" dxfId="1" priority="2">
      <formula>INDIRECT("F"&amp;1) = INDIRECT("A"&amp;ROW())</formula>
    </cfRule>
  </conditionalFormatting>
  <conditionalFormatting sqref="H18">
    <cfRule type="expression" dxfId="0" priority="1">
      <formula>INDIRECT("F"&amp;1) = INDIRECT("A"&amp;ROW())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139"/>
  <sheetViews>
    <sheetView topLeftCell="A14" workbookViewId="0">
      <selection activeCell="I24" sqref="I24"/>
    </sheetView>
  </sheetViews>
  <sheetFormatPr defaultColWidth="9.140625" defaultRowHeight="15" x14ac:dyDescent="0.25"/>
  <cols>
    <col min="1" max="1" width="9.140625" style="74"/>
    <col min="2" max="3" width="9.140625" style="1"/>
    <col min="4" max="4" width="29.28515625" style="85" customWidth="1"/>
    <col min="5" max="5" width="33.28515625" style="93" customWidth="1"/>
    <col min="6" max="6" width="40.42578125" style="93" customWidth="1"/>
    <col min="7" max="7" width="33.140625" style="93" customWidth="1"/>
    <col min="8" max="8" width="28.85546875" style="93" customWidth="1"/>
    <col min="9" max="9" width="18.85546875" style="98" customWidth="1"/>
    <col min="10" max="12" width="9.140625" style="1"/>
    <col min="13" max="13" width="29.28515625" style="1" customWidth="1"/>
    <col min="14" max="16384" width="9.140625" style="1"/>
  </cols>
  <sheetData>
    <row r="1" spans="1:13" s="74" customFormat="1" x14ac:dyDescent="0.25">
      <c r="D1" s="80"/>
      <c r="E1" s="87"/>
      <c r="F1" s="87"/>
      <c r="G1" s="87"/>
      <c r="H1" s="87"/>
      <c r="I1" s="94"/>
    </row>
    <row r="2" spans="1:13" s="74" customFormat="1" x14ac:dyDescent="0.25">
      <c r="A2" s="53"/>
      <c r="B2" s="53"/>
      <c r="D2" s="80"/>
      <c r="E2" s="87"/>
      <c r="F2" s="87"/>
      <c r="G2" s="87"/>
      <c r="H2" s="87"/>
      <c r="I2" s="94"/>
    </row>
    <row r="3" spans="1:13" s="5" customFormat="1" ht="16.5" customHeight="1" x14ac:dyDescent="0.25">
      <c r="A3" s="10"/>
      <c r="B3" s="56"/>
      <c r="C3" s="31"/>
      <c r="D3" s="81"/>
      <c r="E3" s="88" t="s">
        <v>6</v>
      </c>
      <c r="F3" s="88"/>
      <c r="G3" s="88"/>
      <c r="H3" s="88"/>
      <c r="I3" s="95"/>
    </row>
    <row r="4" spans="1:13" s="6" customFormat="1" ht="46.5" customHeight="1" x14ac:dyDescent="0.25">
      <c r="A4" s="10"/>
      <c r="B4" s="57"/>
      <c r="C4" s="33"/>
      <c r="D4" s="82"/>
      <c r="E4" s="89" t="s">
        <v>7</v>
      </c>
      <c r="F4" s="90" t="s">
        <v>11</v>
      </c>
      <c r="G4" s="89"/>
      <c r="H4" s="89"/>
      <c r="I4" s="96"/>
      <c r="K4" s="33"/>
    </row>
    <row r="5" spans="1:13" s="51" customFormat="1" x14ac:dyDescent="0.25">
      <c r="A5" s="10"/>
      <c r="B5" s="58"/>
      <c r="C5" s="47"/>
      <c r="D5" s="83"/>
      <c r="E5" s="89"/>
      <c r="F5" s="89"/>
      <c r="G5" s="89"/>
      <c r="H5" s="89"/>
      <c r="I5" s="96"/>
      <c r="J5" s="6"/>
      <c r="K5" s="6"/>
      <c r="L5" s="6"/>
      <c r="M5" s="6"/>
    </row>
    <row r="6" spans="1:13" x14ac:dyDescent="0.25">
      <c r="B6" s="75"/>
      <c r="C6" s="75"/>
      <c r="D6" s="86" t="s">
        <v>26</v>
      </c>
      <c r="E6" s="91" t="e">
        <f>SUM(#REF!)</f>
        <v>#REF!</v>
      </c>
      <c r="F6" s="92" t="s">
        <v>25</v>
      </c>
      <c r="G6" s="91">
        <f>SUM(I9:I536)</f>
        <v>213</v>
      </c>
      <c r="H6" s="91"/>
      <c r="I6" s="97"/>
      <c r="J6" s="44"/>
      <c r="K6" s="44"/>
      <c r="L6" s="44"/>
      <c r="M6" s="76"/>
    </row>
    <row r="7" spans="1:13" x14ac:dyDescent="0.25">
      <c r="B7" s="75"/>
      <c r="C7" s="75"/>
      <c r="D7" s="84"/>
      <c r="E7" s="91"/>
      <c r="F7" s="91"/>
      <c r="G7" s="91"/>
      <c r="H7" s="91"/>
      <c r="I7" s="97"/>
      <c r="J7" s="44"/>
      <c r="K7" s="44"/>
      <c r="L7" s="44"/>
      <c r="M7" s="76"/>
    </row>
    <row r="8" spans="1:13" ht="27.75" customHeight="1" x14ac:dyDescent="0.25">
      <c r="B8" s="75"/>
      <c r="C8" s="75"/>
      <c r="D8" s="221" t="s">
        <v>23</v>
      </c>
      <c r="E8" s="222" t="s">
        <v>15</v>
      </c>
      <c r="F8" s="222" t="s">
        <v>18</v>
      </c>
      <c r="G8" s="222" t="s">
        <v>11</v>
      </c>
      <c r="H8" s="222" t="s">
        <v>24</v>
      </c>
      <c r="I8" s="223" t="s">
        <v>16</v>
      </c>
      <c r="J8" s="100"/>
      <c r="K8" s="100"/>
      <c r="L8" s="100"/>
      <c r="M8" s="101"/>
    </row>
    <row r="9" spans="1:13" ht="208.5" customHeight="1" x14ac:dyDescent="0.25">
      <c r="B9" s="75"/>
      <c r="C9" s="75"/>
      <c r="D9" s="224">
        <v>43128</v>
      </c>
      <c r="E9" s="225" t="s">
        <v>27</v>
      </c>
      <c r="F9" s="226" t="s">
        <v>28</v>
      </c>
      <c r="G9" s="226" t="s">
        <v>29</v>
      </c>
      <c r="H9" s="226" t="s">
        <v>30</v>
      </c>
      <c r="I9" s="227">
        <v>12.8</v>
      </c>
      <c r="J9" s="75"/>
      <c r="K9" s="75"/>
      <c r="L9" s="75"/>
      <c r="M9" s="79"/>
    </row>
    <row r="10" spans="1:13" ht="206.25" customHeight="1" x14ac:dyDescent="0.25">
      <c r="B10" s="75"/>
      <c r="C10" s="75"/>
      <c r="D10" s="224">
        <v>43129</v>
      </c>
      <c r="E10" s="228" t="s">
        <v>31</v>
      </c>
      <c r="F10" s="226" t="s">
        <v>48</v>
      </c>
      <c r="G10" s="226" t="s">
        <v>37</v>
      </c>
      <c r="H10" s="226" t="s">
        <v>38</v>
      </c>
      <c r="I10" s="227">
        <v>7.6</v>
      </c>
      <c r="J10" s="75"/>
      <c r="K10" s="75"/>
      <c r="L10" s="75"/>
      <c r="M10" s="76"/>
    </row>
    <row r="11" spans="1:13" ht="156" customHeight="1" x14ac:dyDescent="0.25">
      <c r="B11" s="75"/>
      <c r="C11" s="75"/>
      <c r="D11" s="224">
        <v>43130</v>
      </c>
      <c r="E11" s="228" t="s">
        <v>51</v>
      </c>
      <c r="F11" s="226" t="s">
        <v>55</v>
      </c>
      <c r="G11" s="226"/>
      <c r="H11" s="226"/>
      <c r="I11" s="227">
        <v>8</v>
      </c>
      <c r="J11" s="75"/>
      <c r="K11" s="75"/>
      <c r="L11" s="75"/>
      <c r="M11" s="76"/>
    </row>
    <row r="12" spans="1:13" ht="84" x14ac:dyDescent="0.25">
      <c r="B12" s="75"/>
      <c r="C12" s="75"/>
      <c r="D12" s="224">
        <v>43131</v>
      </c>
      <c r="E12" s="228"/>
      <c r="F12" s="226" t="s">
        <v>52</v>
      </c>
      <c r="G12" s="226" t="s">
        <v>53</v>
      </c>
      <c r="H12" s="226" t="s">
        <v>54</v>
      </c>
      <c r="I12" s="227">
        <v>14.5</v>
      </c>
      <c r="J12" s="75"/>
      <c r="K12" s="75"/>
      <c r="L12" s="75"/>
      <c r="M12" s="76"/>
    </row>
    <row r="13" spans="1:13" ht="323.25" customHeight="1" x14ac:dyDescent="0.25">
      <c r="B13" s="75"/>
      <c r="C13" s="75"/>
      <c r="D13" s="224">
        <v>43132</v>
      </c>
      <c r="E13" s="228" t="s">
        <v>56</v>
      </c>
      <c r="F13" s="226" t="s">
        <v>58</v>
      </c>
      <c r="G13" s="226" t="s">
        <v>57</v>
      </c>
      <c r="H13" s="226"/>
      <c r="I13" s="227">
        <v>15</v>
      </c>
      <c r="J13" s="75"/>
      <c r="K13" s="75"/>
      <c r="L13" s="75"/>
      <c r="M13" s="76"/>
    </row>
    <row r="14" spans="1:13" ht="36" x14ac:dyDescent="0.25">
      <c r="B14" s="75"/>
      <c r="C14" s="75"/>
      <c r="D14" s="224">
        <v>43133</v>
      </c>
      <c r="E14" s="228" t="s">
        <v>59</v>
      </c>
      <c r="F14" s="226" t="s">
        <v>60</v>
      </c>
      <c r="G14" s="226"/>
      <c r="H14" s="226"/>
      <c r="I14" s="227">
        <v>14.6</v>
      </c>
      <c r="J14" s="75"/>
      <c r="K14" s="75"/>
      <c r="L14" s="75"/>
      <c r="M14" s="76"/>
    </row>
    <row r="15" spans="1:13" ht="96" x14ac:dyDescent="0.25">
      <c r="B15" s="75"/>
      <c r="C15" s="75"/>
      <c r="D15" s="224">
        <v>43134</v>
      </c>
      <c r="E15" s="229" t="s">
        <v>63</v>
      </c>
      <c r="F15" s="226" t="s">
        <v>61</v>
      </c>
      <c r="G15" s="226" t="s">
        <v>66</v>
      </c>
      <c r="H15" s="226" t="s">
        <v>62</v>
      </c>
      <c r="I15" s="227">
        <v>11</v>
      </c>
      <c r="J15" s="75"/>
      <c r="K15" s="75"/>
      <c r="L15" s="75"/>
      <c r="M15" s="76"/>
    </row>
    <row r="16" spans="1:13" ht="120" x14ac:dyDescent="0.25">
      <c r="B16" s="75"/>
      <c r="C16" s="75"/>
      <c r="D16" s="224">
        <v>43135</v>
      </c>
      <c r="E16" s="228" t="s">
        <v>64</v>
      </c>
      <c r="F16" s="226" t="s">
        <v>67</v>
      </c>
      <c r="G16" s="226" t="s">
        <v>68</v>
      </c>
      <c r="H16" s="226"/>
      <c r="I16" s="227">
        <v>18.25</v>
      </c>
      <c r="J16" s="75"/>
      <c r="K16" s="75"/>
      <c r="L16" s="75"/>
      <c r="M16" s="76"/>
    </row>
    <row r="17" spans="2:13" ht="72" x14ac:dyDescent="0.25">
      <c r="B17" s="75"/>
      <c r="C17" s="75"/>
      <c r="D17" s="224">
        <v>43136</v>
      </c>
      <c r="E17" s="228" t="s">
        <v>70</v>
      </c>
      <c r="F17" s="226" t="s">
        <v>69</v>
      </c>
      <c r="G17" s="226" t="s">
        <v>72</v>
      </c>
      <c r="H17" s="226"/>
      <c r="I17" s="227">
        <v>18.25</v>
      </c>
      <c r="J17" s="75"/>
      <c r="K17" s="75"/>
      <c r="L17" s="75"/>
      <c r="M17" s="76"/>
    </row>
    <row r="18" spans="2:13" ht="84" x14ac:dyDescent="0.25">
      <c r="B18" s="75"/>
      <c r="C18" s="75"/>
      <c r="D18" s="224">
        <v>43137</v>
      </c>
      <c r="E18" s="228" t="s">
        <v>73</v>
      </c>
      <c r="F18" s="226" t="s">
        <v>90</v>
      </c>
      <c r="G18" s="226" t="s">
        <v>91</v>
      </c>
      <c r="H18" s="226"/>
      <c r="I18" s="227">
        <v>16</v>
      </c>
      <c r="J18" s="75"/>
      <c r="K18" s="75"/>
      <c r="L18" s="75"/>
      <c r="M18" s="76"/>
    </row>
    <row r="19" spans="2:13" ht="84" x14ac:dyDescent="0.25">
      <c r="B19" s="75"/>
      <c r="C19" s="75"/>
      <c r="D19" s="224">
        <v>43138</v>
      </c>
      <c r="E19" s="228" t="s">
        <v>93</v>
      </c>
      <c r="F19" s="226" t="s">
        <v>101</v>
      </c>
      <c r="G19" s="226"/>
      <c r="H19" s="226"/>
      <c r="I19" s="227">
        <v>15</v>
      </c>
      <c r="J19" s="75"/>
      <c r="K19" s="75"/>
      <c r="L19" s="75"/>
      <c r="M19" s="76"/>
    </row>
    <row r="20" spans="2:13" ht="93.75" customHeight="1" x14ac:dyDescent="0.25">
      <c r="B20" s="75"/>
      <c r="C20" s="75"/>
      <c r="D20" s="224">
        <v>43139</v>
      </c>
      <c r="E20" s="228" t="s">
        <v>118</v>
      </c>
      <c r="F20" s="226" t="s">
        <v>119</v>
      </c>
      <c r="G20" s="226"/>
      <c r="H20" s="226"/>
      <c r="I20" s="227">
        <v>16</v>
      </c>
      <c r="J20" s="75"/>
      <c r="K20" s="75"/>
      <c r="L20" s="75"/>
      <c r="M20" s="76"/>
    </row>
    <row r="21" spans="2:13" ht="24" x14ac:dyDescent="0.25">
      <c r="B21" s="75"/>
      <c r="C21" s="75"/>
      <c r="D21" s="224">
        <v>43140</v>
      </c>
      <c r="E21" s="228"/>
      <c r="F21" s="226" t="s">
        <v>267</v>
      </c>
      <c r="G21" s="226"/>
      <c r="H21" s="226"/>
      <c r="I21" s="227">
        <v>16</v>
      </c>
      <c r="J21" s="75"/>
      <c r="K21" s="75"/>
      <c r="L21" s="75"/>
      <c r="M21" s="76"/>
    </row>
    <row r="22" spans="2:13" ht="69" customHeight="1" x14ac:dyDescent="0.25">
      <c r="B22" s="75"/>
      <c r="C22" s="75"/>
      <c r="D22" s="224">
        <v>43141</v>
      </c>
      <c r="E22" s="228"/>
      <c r="F22" s="226" t="s">
        <v>266</v>
      </c>
      <c r="G22" s="226"/>
      <c r="H22" s="226"/>
      <c r="I22" s="227">
        <v>19</v>
      </c>
      <c r="J22" s="75"/>
      <c r="K22" s="75"/>
      <c r="L22" s="75"/>
      <c r="M22" s="76"/>
    </row>
    <row r="23" spans="2:13" ht="101.25" customHeight="1" x14ac:dyDescent="0.25">
      <c r="B23" s="75"/>
      <c r="C23" s="75"/>
      <c r="D23" s="224">
        <v>43142</v>
      </c>
      <c r="E23" s="228"/>
      <c r="F23" s="226" t="s">
        <v>273</v>
      </c>
      <c r="G23" s="226"/>
      <c r="H23" s="226"/>
      <c r="I23" s="227">
        <v>11</v>
      </c>
      <c r="J23" s="75"/>
      <c r="K23" s="75"/>
      <c r="L23" s="75"/>
      <c r="M23" s="76"/>
    </row>
    <row r="24" spans="2:13" x14ac:dyDescent="0.25">
      <c r="B24" s="75"/>
      <c r="C24" s="75"/>
      <c r="D24" s="224">
        <v>43143</v>
      </c>
      <c r="E24" s="228"/>
      <c r="F24" s="226"/>
      <c r="G24" s="226"/>
      <c r="H24" s="226"/>
      <c r="I24" s="227"/>
      <c r="J24" s="75"/>
      <c r="K24" s="75"/>
      <c r="L24" s="75"/>
      <c r="M24" s="76"/>
    </row>
    <row r="25" spans="2:13" x14ac:dyDescent="0.25">
      <c r="B25" s="75"/>
      <c r="C25" s="75"/>
      <c r="D25" s="224">
        <v>43144</v>
      </c>
      <c r="E25" s="228"/>
      <c r="F25" s="226"/>
      <c r="G25" s="226"/>
      <c r="H25" s="226"/>
      <c r="I25" s="227"/>
      <c r="J25" s="75"/>
      <c r="K25" s="75"/>
      <c r="L25" s="75"/>
      <c r="M25" s="76"/>
    </row>
    <row r="26" spans="2:13" x14ac:dyDescent="0.25">
      <c r="B26" s="75"/>
      <c r="C26" s="75"/>
      <c r="D26" s="224">
        <v>43145</v>
      </c>
      <c r="E26" s="228"/>
      <c r="F26" s="226"/>
      <c r="G26" s="226"/>
      <c r="H26" s="226"/>
      <c r="I26" s="227"/>
      <c r="J26" s="75"/>
      <c r="K26" s="75"/>
      <c r="L26" s="75"/>
      <c r="M26" s="76"/>
    </row>
    <row r="27" spans="2:13" x14ac:dyDescent="0.25">
      <c r="B27" s="75"/>
      <c r="C27" s="75"/>
      <c r="D27" s="224">
        <v>43146</v>
      </c>
      <c r="E27" s="228"/>
      <c r="F27" s="226"/>
      <c r="G27" s="226"/>
      <c r="H27" s="226"/>
      <c r="I27" s="227"/>
      <c r="J27" s="75"/>
      <c r="K27" s="75"/>
      <c r="L27" s="75"/>
      <c r="M27" s="76"/>
    </row>
    <row r="28" spans="2:13" x14ac:dyDescent="0.25">
      <c r="B28" s="75"/>
      <c r="C28" s="75"/>
      <c r="D28" s="224">
        <v>43147</v>
      </c>
      <c r="E28" s="228"/>
      <c r="F28" s="226"/>
      <c r="G28" s="226"/>
      <c r="H28" s="226"/>
      <c r="I28" s="227"/>
      <c r="J28" s="75"/>
      <c r="K28" s="75"/>
      <c r="L28" s="75"/>
      <c r="M28" s="76"/>
    </row>
    <row r="29" spans="2:13" x14ac:dyDescent="0.25">
      <c r="B29" s="75"/>
      <c r="C29" s="75"/>
      <c r="D29" s="224">
        <v>43148</v>
      </c>
      <c r="E29" s="228"/>
      <c r="F29" s="226"/>
      <c r="G29" s="226"/>
      <c r="H29" s="226"/>
      <c r="I29" s="227"/>
      <c r="J29" s="75"/>
      <c r="K29" s="75"/>
      <c r="L29" s="75"/>
      <c r="M29" s="76"/>
    </row>
    <row r="30" spans="2:13" x14ac:dyDescent="0.25">
      <c r="B30" s="75"/>
      <c r="C30" s="75"/>
      <c r="D30" s="224">
        <v>43149</v>
      </c>
      <c r="E30" s="228"/>
      <c r="F30" s="226"/>
      <c r="G30" s="226"/>
      <c r="H30" s="226"/>
      <c r="I30" s="227"/>
      <c r="J30" s="75"/>
      <c r="K30" s="75"/>
      <c r="L30" s="75"/>
      <c r="M30" s="76"/>
    </row>
    <row r="31" spans="2:13" x14ac:dyDescent="0.25">
      <c r="B31" s="75"/>
      <c r="C31" s="75"/>
      <c r="D31" s="224">
        <v>43150</v>
      </c>
      <c r="E31" s="228"/>
      <c r="F31" s="226"/>
      <c r="G31" s="226"/>
      <c r="H31" s="226"/>
      <c r="I31" s="227"/>
      <c r="J31" s="75"/>
      <c r="K31" s="75"/>
      <c r="L31" s="75"/>
      <c r="M31" s="76"/>
    </row>
    <row r="32" spans="2:13" x14ac:dyDescent="0.25">
      <c r="B32" s="75"/>
      <c r="C32" s="75"/>
      <c r="D32" s="224">
        <v>43151</v>
      </c>
      <c r="E32" s="228"/>
      <c r="F32" s="226"/>
      <c r="G32" s="226"/>
      <c r="H32" s="226"/>
      <c r="I32" s="227"/>
      <c r="J32" s="75"/>
      <c r="K32" s="75"/>
      <c r="L32" s="75"/>
      <c r="M32" s="76"/>
    </row>
    <row r="33" spans="2:13" x14ac:dyDescent="0.25">
      <c r="B33" s="75"/>
      <c r="C33" s="75"/>
      <c r="D33" s="224">
        <v>43152</v>
      </c>
      <c r="E33" s="228"/>
      <c r="F33" s="226"/>
      <c r="G33" s="226"/>
      <c r="H33" s="226"/>
      <c r="I33" s="227"/>
      <c r="J33" s="75"/>
      <c r="K33" s="75"/>
      <c r="L33" s="75"/>
      <c r="M33" s="76"/>
    </row>
    <row r="34" spans="2:13" x14ac:dyDescent="0.25">
      <c r="B34" s="75"/>
      <c r="C34" s="75"/>
      <c r="D34" s="224">
        <v>43153</v>
      </c>
      <c r="E34" s="228"/>
      <c r="F34" s="226"/>
      <c r="G34" s="226"/>
      <c r="H34" s="226"/>
      <c r="I34" s="227"/>
      <c r="J34" s="75"/>
      <c r="K34" s="75"/>
      <c r="L34" s="75"/>
      <c r="M34" s="76"/>
    </row>
    <row r="35" spans="2:13" x14ac:dyDescent="0.25">
      <c r="B35" s="75"/>
      <c r="C35" s="75"/>
      <c r="D35" s="224">
        <v>43154</v>
      </c>
      <c r="E35" s="228"/>
      <c r="F35" s="226"/>
      <c r="G35" s="226"/>
      <c r="H35" s="226"/>
      <c r="I35" s="227"/>
      <c r="J35" s="75"/>
      <c r="K35" s="75"/>
      <c r="L35" s="75"/>
      <c r="M35" s="76"/>
    </row>
    <row r="36" spans="2:13" x14ac:dyDescent="0.25">
      <c r="B36" s="75"/>
      <c r="C36" s="75"/>
      <c r="D36" s="224">
        <v>43155</v>
      </c>
      <c r="E36" s="228"/>
      <c r="F36" s="226"/>
      <c r="G36" s="226"/>
      <c r="H36" s="226"/>
      <c r="I36" s="227"/>
      <c r="J36" s="75"/>
      <c r="K36" s="75"/>
      <c r="L36" s="75"/>
      <c r="M36" s="76"/>
    </row>
    <row r="37" spans="2:13" x14ac:dyDescent="0.25">
      <c r="B37" s="75"/>
      <c r="C37" s="75"/>
      <c r="D37" s="224">
        <v>43156</v>
      </c>
      <c r="E37" s="228"/>
      <c r="F37" s="226"/>
      <c r="G37" s="226"/>
      <c r="H37" s="226"/>
      <c r="I37" s="227"/>
      <c r="J37" s="75"/>
      <c r="K37" s="75"/>
      <c r="L37" s="75"/>
      <c r="M37" s="76"/>
    </row>
    <row r="38" spans="2:13" x14ac:dyDescent="0.25">
      <c r="B38" s="75"/>
      <c r="C38" s="75"/>
      <c r="D38" s="224">
        <v>43157</v>
      </c>
      <c r="E38" s="228"/>
      <c r="F38" s="226"/>
      <c r="G38" s="226"/>
      <c r="H38" s="226"/>
      <c r="I38" s="227"/>
      <c r="J38" s="75"/>
      <c r="K38" s="75"/>
      <c r="L38" s="75"/>
      <c r="M38" s="76"/>
    </row>
    <row r="39" spans="2:13" x14ac:dyDescent="0.25">
      <c r="B39" s="75"/>
      <c r="C39" s="75"/>
      <c r="D39" s="224">
        <v>43158</v>
      </c>
      <c r="E39" s="228"/>
      <c r="F39" s="226"/>
      <c r="G39" s="226"/>
      <c r="H39" s="226"/>
      <c r="I39" s="227"/>
      <c r="J39" s="75"/>
      <c r="K39" s="75"/>
      <c r="L39" s="75"/>
      <c r="M39" s="76"/>
    </row>
    <row r="40" spans="2:13" x14ac:dyDescent="0.25">
      <c r="B40" s="75"/>
      <c r="C40" s="75"/>
      <c r="D40" s="224">
        <v>43159</v>
      </c>
      <c r="E40" s="228"/>
      <c r="F40" s="226"/>
      <c r="G40" s="226"/>
      <c r="H40" s="226"/>
      <c r="I40" s="227"/>
      <c r="J40" s="75"/>
      <c r="K40" s="75"/>
      <c r="L40" s="75"/>
      <c r="M40" s="76"/>
    </row>
    <row r="41" spans="2:13" x14ac:dyDescent="0.25">
      <c r="B41" s="75"/>
      <c r="C41" s="75"/>
      <c r="D41" s="224">
        <v>43160</v>
      </c>
      <c r="E41" s="228"/>
      <c r="F41" s="226"/>
      <c r="G41" s="226"/>
      <c r="H41" s="226"/>
      <c r="I41" s="227"/>
      <c r="J41" s="75"/>
      <c r="K41" s="75"/>
      <c r="L41" s="75"/>
      <c r="M41" s="76"/>
    </row>
    <row r="42" spans="2:13" x14ac:dyDescent="0.25">
      <c r="B42" s="75"/>
      <c r="C42" s="75"/>
      <c r="D42" s="224">
        <v>43161</v>
      </c>
      <c r="E42" s="228"/>
      <c r="F42" s="226"/>
      <c r="G42" s="226"/>
      <c r="H42" s="226"/>
      <c r="I42" s="227"/>
      <c r="J42" s="75"/>
      <c r="K42" s="75"/>
      <c r="L42" s="75"/>
      <c r="M42" s="76"/>
    </row>
    <row r="43" spans="2:13" x14ac:dyDescent="0.25">
      <c r="B43" s="75"/>
      <c r="C43" s="75"/>
      <c r="D43" s="224">
        <v>43162</v>
      </c>
      <c r="E43" s="228"/>
      <c r="F43" s="226"/>
      <c r="G43" s="226"/>
      <c r="H43" s="226"/>
      <c r="I43" s="227"/>
      <c r="J43" s="75"/>
      <c r="K43" s="75"/>
      <c r="L43" s="75"/>
      <c r="M43" s="76"/>
    </row>
    <row r="44" spans="2:13" x14ac:dyDescent="0.25">
      <c r="B44" s="75"/>
      <c r="C44" s="75"/>
      <c r="D44" s="224">
        <v>43163</v>
      </c>
      <c r="E44" s="228"/>
      <c r="F44" s="226"/>
      <c r="G44" s="226"/>
      <c r="H44" s="226"/>
      <c r="I44" s="227"/>
      <c r="J44" s="75"/>
      <c r="K44" s="75"/>
      <c r="L44" s="75"/>
      <c r="M44" s="76"/>
    </row>
    <row r="45" spans="2:13" x14ac:dyDescent="0.25">
      <c r="B45" s="75"/>
      <c r="C45" s="75"/>
      <c r="D45" s="224">
        <v>43164</v>
      </c>
      <c r="E45" s="228"/>
      <c r="F45" s="226"/>
      <c r="G45" s="226"/>
      <c r="H45" s="226"/>
      <c r="I45" s="227"/>
      <c r="J45" s="75"/>
      <c r="K45" s="75"/>
      <c r="L45" s="75"/>
      <c r="M45" s="76"/>
    </row>
    <row r="46" spans="2:13" x14ac:dyDescent="0.25">
      <c r="B46" s="75"/>
      <c r="C46" s="75"/>
      <c r="D46" s="224">
        <v>43165</v>
      </c>
      <c r="E46" s="228"/>
      <c r="F46" s="226"/>
      <c r="G46" s="226"/>
      <c r="H46" s="226"/>
      <c r="I46" s="227"/>
      <c r="J46" s="75"/>
      <c r="K46" s="75"/>
      <c r="L46" s="75"/>
      <c r="M46" s="76"/>
    </row>
    <row r="47" spans="2:13" x14ac:dyDescent="0.25">
      <c r="B47" s="75"/>
      <c r="C47" s="75"/>
      <c r="D47" s="224">
        <v>43166</v>
      </c>
      <c r="E47" s="228"/>
      <c r="F47" s="226"/>
      <c r="G47" s="226"/>
      <c r="H47" s="226"/>
      <c r="I47" s="227"/>
      <c r="J47" s="75"/>
      <c r="K47" s="75"/>
      <c r="L47" s="75"/>
      <c r="M47" s="76"/>
    </row>
    <row r="48" spans="2:13" x14ac:dyDescent="0.25">
      <c r="B48" s="75"/>
      <c r="C48" s="75"/>
      <c r="D48" s="224">
        <v>43167</v>
      </c>
      <c r="E48" s="228"/>
      <c r="F48" s="226"/>
      <c r="G48" s="226"/>
      <c r="H48" s="226"/>
      <c r="I48" s="227"/>
      <c r="J48" s="75"/>
      <c r="K48" s="75"/>
      <c r="L48" s="75"/>
      <c r="M48" s="76"/>
    </row>
    <row r="49" spans="2:13" x14ac:dyDescent="0.25">
      <c r="B49" s="75"/>
      <c r="C49" s="75"/>
      <c r="D49" s="224">
        <v>43168</v>
      </c>
      <c r="E49" s="228"/>
      <c r="F49" s="226"/>
      <c r="G49" s="226"/>
      <c r="H49" s="226"/>
      <c r="I49" s="227"/>
      <c r="J49" s="75"/>
      <c r="K49" s="75"/>
      <c r="L49" s="75"/>
      <c r="M49" s="76"/>
    </row>
    <row r="50" spans="2:13" x14ac:dyDescent="0.25">
      <c r="B50" s="75"/>
      <c r="C50" s="75"/>
      <c r="D50" s="224">
        <v>43169</v>
      </c>
      <c r="E50" s="228"/>
      <c r="F50" s="226"/>
      <c r="G50" s="226"/>
      <c r="H50" s="226"/>
      <c r="I50" s="227"/>
      <c r="J50" s="75"/>
      <c r="K50" s="75"/>
      <c r="L50" s="75"/>
      <c r="M50" s="76"/>
    </row>
    <row r="51" spans="2:13" x14ac:dyDescent="0.25">
      <c r="B51" s="75"/>
      <c r="C51" s="75"/>
      <c r="D51" s="224">
        <v>43170</v>
      </c>
      <c r="E51" s="228"/>
      <c r="F51" s="226"/>
      <c r="G51" s="226"/>
      <c r="H51" s="226"/>
      <c r="I51" s="227"/>
      <c r="J51" s="75"/>
      <c r="K51" s="75"/>
      <c r="L51" s="75"/>
      <c r="M51" s="76"/>
    </row>
    <row r="52" spans="2:13" x14ac:dyDescent="0.25">
      <c r="B52" s="75"/>
      <c r="C52" s="75"/>
      <c r="D52" s="224">
        <v>43171</v>
      </c>
      <c r="E52" s="228"/>
      <c r="F52" s="226"/>
      <c r="G52" s="226"/>
      <c r="H52" s="226"/>
      <c r="I52" s="227"/>
      <c r="J52" s="75"/>
      <c r="K52" s="75"/>
      <c r="L52" s="75"/>
      <c r="M52" s="76"/>
    </row>
    <row r="53" spans="2:13" x14ac:dyDescent="0.25">
      <c r="B53" s="75"/>
      <c r="C53" s="75"/>
      <c r="D53" s="224">
        <v>43172</v>
      </c>
      <c r="E53" s="228"/>
      <c r="F53" s="226"/>
      <c r="G53" s="226"/>
      <c r="H53" s="226"/>
      <c r="I53" s="227"/>
      <c r="J53" s="75"/>
      <c r="K53" s="75"/>
      <c r="L53" s="75"/>
      <c r="M53" s="76"/>
    </row>
    <row r="54" spans="2:13" x14ac:dyDescent="0.25">
      <c r="B54" s="75"/>
      <c r="C54" s="75"/>
      <c r="D54" s="224">
        <v>43173</v>
      </c>
      <c r="E54" s="228"/>
      <c r="F54" s="226"/>
      <c r="G54" s="226"/>
      <c r="H54" s="226"/>
      <c r="I54" s="227"/>
      <c r="J54" s="75"/>
      <c r="K54" s="75"/>
      <c r="L54" s="75"/>
      <c r="M54" s="76"/>
    </row>
    <row r="55" spans="2:13" x14ac:dyDescent="0.25">
      <c r="B55" s="75"/>
      <c r="C55" s="75"/>
      <c r="D55" s="224">
        <v>43174</v>
      </c>
      <c r="E55" s="228"/>
      <c r="F55" s="226"/>
      <c r="G55" s="226"/>
      <c r="H55" s="226"/>
      <c r="I55" s="227"/>
      <c r="J55" s="75"/>
      <c r="K55" s="75"/>
      <c r="L55" s="75"/>
      <c r="M55" s="76"/>
    </row>
    <row r="56" spans="2:13" x14ac:dyDescent="0.25">
      <c r="B56" s="75"/>
      <c r="C56" s="75"/>
      <c r="D56" s="224">
        <v>43175</v>
      </c>
      <c r="E56" s="228"/>
      <c r="F56" s="226"/>
      <c r="G56" s="226"/>
      <c r="H56" s="226"/>
      <c r="I56" s="227"/>
      <c r="J56" s="75"/>
      <c r="K56" s="75"/>
      <c r="L56" s="75"/>
      <c r="M56" s="76"/>
    </row>
    <row r="57" spans="2:13" x14ac:dyDescent="0.25">
      <c r="B57" s="75"/>
      <c r="C57" s="75"/>
      <c r="D57" s="224">
        <v>43176</v>
      </c>
      <c r="E57" s="228"/>
      <c r="F57" s="226"/>
      <c r="G57" s="226"/>
      <c r="H57" s="226"/>
      <c r="I57" s="227"/>
      <c r="J57" s="75"/>
      <c r="K57" s="75"/>
      <c r="L57" s="75"/>
      <c r="M57" s="76"/>
    </row>
    <row r="58" spans="2:13" x14ac:dyDescent="0.25">
      <c r="B58" s="75"/>
      <c r="C58" s="75"/>
      <c r="D58" s="224">
        <v>43177</v>
      </c>
      <c r="E58" s="228"/>
      <c r="F58" s="226"/>
      <c r="G58" s="226"/>
      <c r="H58" s="226"/>
      <c r="I58" s="227"/>
      <c r="J58" s="75"/>
      <c r="K58" s="75"/>
      <c r="L58" s="75"/>
      <c r="M58" s="76"/>
    </row>
    <row r="59" spans="2:13" x14ac:dyDescent="0.25">
      <c r="B59" s="75"/>
      <c r="C59" s="75"/>
      <c r="D59" s="224">
        <v>43178</v>
      </c>
      <c r="E59" s="228"/>
      <c r="F59" s="226"/>
      <c r="G59" s="226"/>
      <c r="H59" s="226"/>
      <c r="I59" s="227"/>
      <c r="J59" s="75"/>
      <c r="K59" s="75"/>
      <c r="L59" s="75"/>
      <c r="M59" s="76"/>
    </row>
    <row r="60" spans="2:13" x14ac:dyDescent="0.25">
      <c r="B60" s="75"/>
      <c r="C60" s="75"/>
      <c r="D60" s="224">
        <v>43179</v>
      </c>
      <c r="E60" s="228"/>
      <c r="F60" s="226"/>
      <c r="G60" s="226"/>
      <c r="H60" s="226"/>
      <c r="I60" s="227"/>
      <c r="J60" s="75"/>
      <c r="K60" s="75"/>
      <c r="L60" s="75"/>
      <c r="M60" s="76"/>
    </row>
    <row r="61" spans="2:13" x14ac:dyDescent="0.25">
      <c r="B61" s="75"/>
      <c r="C61" s="75"/>
      <c r="D61" s="224">
        <v>43180</v>
      </c>
      <c r="E61" s="228"/>
      <c r="F61" s="226"/>
      <c r="G61" s="226"/>
      <c r="H61" s="226"/>
      <c r="I61" s="227"/>
      <c r="J61" s="75"/>
      <c r="K61" s="75"/>
      <c r="L61" s="75"/>
      <c r="M61" s="76"/>
    </row>
    <row r="62" spans="2:13" x14ac:dyDescent="0.25">
      <c r="B62" s="75"/>
      <c r="C62" s="75"/>
      <c r="D62" s="224">
        <v>43181</v>
      </c>
      <c r="E62" s="228"/>
      <c r="F62" s="226"/>
      <c r="G62" s="226"/>
      <c r="H62" s="226"/>
      <c r="I62" s="227"/>
      <c r="J62" s="75"/>
      <c r="K62" s="75"/>
      <c r="L62" s="75"/>
      <c r="M62" s="76"/>
    </row>
    <row r="63" spans="2:13" x14ac:dyDescent="0.25">
      <c r="B63" s="75"/>
      <c r="C63" s="75"/>
      <c r="D63" s="224">
        <v>43182</v>
      </c>
      <c r="E63" s="228"/>
      <c r="F63" s="226"/>
      <c r="G63" s="226"/>
      <c r="H63" s="226"/>
      <c r="I63" s="227"/>
      <c r="J63" s="75"/>
      <c r="K63" s="75"/>
      <c r="L63" s="75"/>
      <c r="M63" s="76"/>
    </row>
    <row r="64" spans="2:13" x14ac:dyDescent="0.25">
      <c r="B64" s="75"/>
      <c r="C64" s="75"/>
      <c r="D64" s="224">
        <v>43183</v>
      </c>
      <c r="E64" s="228"/>
      <c r="F64" s="226"/>
      <c r="G64" s="226"/>
      <c r="H64" s="226"/>
      <c r="I64" s="227"/>
      <c r="J64" s="75"/>
      <c r="K64" s="75"/>
      <c r="L64" s="75"/>
      <c r="M64" s="76"/>
    </row>
    <row r="65" spans="2:13" x14ac:dyDescent="0.25">
      <c r="B65" s="75"/>
      <c r="C65" s="75"/>
      <c r="D65" s="224">
        <v>43184</v>
      </c>
      <c r="E65" s="228"/>
      <c r="F65" s="226"/>
      <c r="G65" s="226"/>
      <c r="H65" s="226"/>
      <c r="I65" s="227"/>
      <c r="J65" s="75"/>
      <c r="K65" s="75"/>
      <c r="L65" s="75"/>
      <c r="M65" s="76"/>
    </row>
    <row r="66" spans="2:13" x14ac:dyDescent="0.25">
      <c r="B66" s="75"/>
      <c r="C66" s="75"/>
      <c r="D66" s="224">
        <v>43185</v>
      </c>
      <c r="E66" s="228"/>
      <c r="F66" s="226"/>
      <c r="G66" s="226"/>
      <c r="H66" s="226"/>
      <c r="I66" s="227"/>
      <c r="J66" s="75"/>
      <c r="K66" s="75"/>
      <c r="L66" s="75"/>
      <c r="M66" s="76"/>
    </row>
    <row r="67" spans="2:13" x14ac:dyDescent="0.25">
      <c r="B67" s="75"/>
      <c r="C67" s="75"/>
      <c r="D67" s="224">
        <v>43186</v>
      </c>
      <c r="E67" s="228"/>
      <c r="F67" s="226"/>
      <c r="G67" s="226"/>
      <c r="H67" s="226"/>
      <c r="I67" s="227"/>
      <c r="J67" s="75"/>
      <c r="K67" s="75"/>
      <c r="L67" s="75"/>
      <c r="M67" s="76"/>
    </row>
    <row r="68" spans="2:13" x14ac:dyDescent="0.25">
      <c r="B68" s="75"/>
      <c r="C68" s="75"/>
      <c r="D68" s="224">
        <v>43187</v>
      </c>
      <c r="E68" s="228"/>
      <c r="F68" s="226"/>
      <c r="G68" s="226"/>
      <c r="H68" s="226"/>
      <c r="I68" s="227"/>
      <c r="J68" s="75"/>
      <c r="K68" s="75"/>
      <c r="L68" s="75"/>
      <c r="M68" s="76"/>
    </row>
    <row r="69" spans="2:13" x14ac:dyDescent="0.25">
      <c r="B69" s="75"/>
      <c r="C69" s="75"/>
      <c r="D69" s="224">
        <v>43188</v>
      </c>
      <c r="E69" s="228"/>
      <c r="F69" s="226"/>
      <c r="G69" s="226"/>
      <c r="H69" s="226"/>
      <c r="I69" s="227"/>
      <c r="J69" s="75"/>
      <c r="K69" s="75"/>
      <c r="L69" s="75"/>
      <c r="M69" s="76"/>
    </row>
    <row r="70" spans="2:13" x14ac:dyDescent="0.25">
      <c r="B70" s="75"/>
      <c r="C70" s="75"/>
      <c r="D70" s="224">
        <v>43189</v>
      </c>
      <c r="E70" s="228"/>
      <c r="F70" s="226"/>
      <c r="G70" s="226"/>
      <c r="H70" s="226"/>
      <c r="I70" s="227"/>
      <c r="J70" s="75"/>
      <c r="K70" s="75"/>
      <c r="L70" s="75"/>
      <c r="M70" s="76"/>
    </row>
    <row r="71" spans="2:13" x14ac:dyDescent="0.25">
      <c r="B71" s="75"/>
      <c r="C71" s="75"/>
      <c r="D71" s="224">
        <v>43190</v>
      </c>
      <c r="E71" s="228"/>
      <c r="F71" s="226"/>
      <c r="G71" s="226"/>
      <c r="H71" s="226"/>
      <c r="I71" s="227"/>
      <c r="J71" s="75"/>
      <c r="K71" s="75"/>
      <c r="L71" s="75"/>
      <c r="M71" s="76"/>
    </row>
    <row r="72" spans="2:13" x14ac:dyDescent="0.25">
      <c r="B72" s="75"/>
      <c r="C72" s="75"/>
      <c r="D72" s="224">
        <v>43191</v>
      </c>
      <c r="E72" s="228"/>
      <c r="F72" s="226"/>
      <c r="G72" s="226"/>
      <c r="H72" s="226"/>
      <c r="I72" s="227"/>
      <c r="J72" s="75"/>
      <c r="K72" s="75"/>
      <c r="L72" s="75"/>
      <c r="M72" s="76"/>
    </row>
    <row r="73" spans="2:13" x14ac:dyDescent="0.25">
      <c r="B73" s="75"/>
      <c r="C73" s="75"/>
      <c r="D73" s="224">
        <v>43192</v>
      </c>
      <c r="E73" s="228"/>
      <c r="F73" s="226"/>
      <c r="G73" s="226"/>
      <c r="H73" s="226"/>
      <c r="I73" s="227"/>
      <c r="J73" s="75"/>
      <c r="K73" s="75"/>
      <c r="L73" s="75"/>
      <c r="M73" s="76"/>
    </row>
    <row r="74" spans="2:13" x14ac:dyDescent="0.25">
      <c r="B74" s="75"/>
      <c r="C74" s="75"/>
      <c r="D74" s="224">
        <v>43193</v>
      </c>
      <c r="E74" s="228"/>
      <c r="F74" s="226"/>
      <c r="G74" s="226"/>
      <c r="H74" s="226"/>
      <c r="I74" s="227"/>
      <c r="J74" s="75"/>
      <c r="K74" s="75"/>
      <c r="L74" s="75"/>
      <c r="M74" s="76"/>
    </row>
    <row r="75" spans="2:13" x14ac:dyDescent="0.25">
      <c r="B75" s="75"/>
      <c r="C75" s="75"/>
      <c r="D75" s="224">
        <v>43194</v>
      </c>
      <c r="E75" s="228"/>
      <c r="F75" s="226"/>
      <c r="G75" s="226"/>
      <c r="H75" s="226"/>
      <c r="I75" s="227"/>
      <c r="J75" s="75"/>
      <c r="K75" s="75"/>
      <c r="L75" s="75"/>
      <c r="M75" s="76"/>
    </row>
    <row r="76" spans="2:13" x14ac:dyDescent="0.25">
      <c r="B76" s="75"/>
      <c r="C76" s="75"/>
      <c r="D76" s="224">
        <v>43195</v>
      </c>
      <c r="E76" s="228"/>
      <c r="F76" s="226"/>
      <c r="G76" s="226"/>
      <c r="H76" s="226"/>
      <c r="I76" s="227"/>
      <c r="J76" s="75"/>
      <c r="K76" s="75"/>
      <c r="L76" s="75"/>
      <c r="M76" s="76"/>
    </row>
    <row r="77" spans="2:13" x14ac:dyDescent="0.25">
      <c r="B77" s="75"/>
      <c r="C77" s="75"/>
      <c r="D77" s="224">
        <v>43196</v>
      </c>
      <c r="E77" s="228"/>
      <c r="F77" s="226"/>
      <c r="G77" s="226"/>
      <c r="H77" s="226"/>
      <c r="I77" s="227"/>
      <c r="J77" s="75"/>
      <c r="K77" s="75"/>
      <c r="L77" s="75"/>
      <c r="M77" s="76"/>
    </row>
    <row r="78" spans="2:13" x14ac:dyDescent="0.25">
      <c r="B78" s="75"/>
      <c r="C78" s="75"/>
      <c r="D78" s="224">
        <v>43197</v>
      </c>
      <c r="E78" s="228"/>
      <c r="F78" s="226"/>
      <c r="G78" s="226"/>
      <c r="H78" s="226"/>
      <c r="I78" s="227"/>
      <c r="J78" s="75"/>
      <c r="K78" s="75"/>
      <c r="L78" s="75"/>
      <c r="M78" s="76"/>
    </row>
    <row r="79" spans="2:13" x14ac:dyDescent="0.25">
      <c r="B79" s="75"/>
      <c r="C79" s="75"/>
      <c r="D79" s="224">
        <v>43198</v>
      </c>
      <c r="E79" s="228"/>
      <c r="F79" s="226"/>
      <c r="G79" s="226"/>
      <c r="H79" s="226"/>
      <c r="I79" s="227"/>
      <c r="J79" s="75"/>
      <c r="K79" s="75"/>
      <c r="L79" s="75"/>
      <c r="M79" s="76"/>
    </row>
    <row r="80" spans="2:13" x14ac:dyDescent="0.25">
      <c r="B80" s="75"/>
      <c r="C80" s="75"/>
      <c r="D80" s="224">
        <v>43199</v>
      </c>
      <c r="E80" s="228"/>
      <c r="F80" s="226"/>
      <c r="G80" s="226"/>
      <c r="H80" s="226"/>
      <c r="I80" s="227"/>
      <c r="J80" s="75"/>
      <c r="K80" s="75"/>
      <c r="L80" s="75"/>
      <c r="M80" s="76"/>
    </row>
    <row r="81" spans="2:13" x14ac:dyDescent="0.25">
      <c r="B81" s="75"/>
      <c r="C81" s="75"/>
      <c r="D81" s="224">
        <v>43200</v>
      </c>
      <c r="E81" s="228"/>
      <c r="F81" s="226"/>
      <c r="G81" s="226"/>
      <c r="H81" s="226"/>
      <c r="I81" s="227"/>
      <c r="J81" s="75"/>
      <c r="K81" s="75"/>
      <c r="L81" s="75"/>
      <c r="M81" s="76"/>
    </row>
    <row r="82" spans="2:13" x14ac:dyDescent="0.25">
      <c r="B82" s="75"/>
      <c r="C82" s="75"/>
      <c r="D82" s="224">
        <v>43201</v>
      </c>
      <c r="E82" s="228"/>
      <c r="F82" s="226"/>
      <c r="G82" s="226"/>
      <c r="H82" s="226"/>
      <c r="I82" s="227"/>
      <c r="J82" s="75"/>
      <c r="K82" s="75"/>
      <c r="L82" s="75"/>
      <c r="M82" s="76"/>
    </row>
    <row r="83" spans="2:13" x14ac:dyDescent="0.25">
      <c r="B83" s="75"/>
      <c r="C83" s="75"/>
      <c r="D83" s="224">
        <v>43202</v>
      </c>
      <c r="E83" s="228"/>
      <c r="F83" s="226"/>
      <c r="G83" s="226"/>
      <c r="H83" s="226"/>
      <c r="I83" s="227"/>
      <c r="J83" s="75"/>
      <c r="K83" s="75"/>
      <c r="L83" s="75"/>
      <c r="M83" s="76"/>
    </row>
    <row r="84" spans="2:13" x14ac:dyDescent="0.25">
      <c r="B84" s="75"/>
      <c r="C84" s="75"/>
      <c r="D84" s="224">
        <v>43203</v>
      </c>
      <c r="E84" s="228"/>
      <c r="F84" s="226"/>
      <c r="G84" s="226"/>
      <c r="H84" s="226"/>
      <c r="I84" s="227"/>
      <c r="J84" s="75"/>
      <c r="K84" s="75"/>
      <c r="L84" s="75"/>
      <c r="M84" s="76"/>
    </row>
    <row r="85" spans="2:13" x14ac:dyDescent="0.25">
      <c r="B85" s="75"/>
      <c r="C85" s="75"/>
      <c r="D85" s="224">
        <v>43204</v>
      </c>
      <c r="E85" s="228"/>
      <c r="F85" s="226"/>
      <c r="G85" s="226"/>
      <c r="H85" s="226"/>
      <c r="I85" s="227"/>
      <c r="J85" s="75"/>
      <c r="K85" s="75"/>
      <c r="L85" s="75"/>
      <c r="M85" s="76"/>
    </row>
    <row r="86" spans="2:13" x14ac:dyDescent="0.25">
      <c r="B86" s="75"/>
      <c r="C86" s="75"/>
      <c r="D86" s="224">
        <v>43205</v>
      </c>
      <c r="E86" s="228"/>
      <c r="F86" s="226"/>
      <c r="G86" s="226"/>
      <c r="H86" s="226"/>
      <c r="I86" s="227"/>
      <c r="J86" s="75"/>
      <c r="K86" s="75"/>
      <c r="L86" s="75"/>
      <c r="M86" s="76"/>
    </row>
    <row r="87" spans="2:13" x14ac:dyDescent="0.25">
      <c r="B87" s="75"/>
      <c r="C87" s="75"/>
      <c r="D87" s="224">
        <v>43206</v>
      </c>
      <c r="E87" s="228"/>
      <c r="F87" s="226"/>
      <c r="G87" s="226"/>
      <c r="H87" s="226"/>
      <c r="I87" s="227"/>
      <c r="J87" s="75"/>
      <c r="K87" s="75"/>
      <c r="L87" s="75"/>
      <c r="M87" s="76"/>
    </row>
    <row r="88" spans="2:13" x14ac:dyDescent="0.25">
      <c r="B88" s="75"/>
      <c r="C88" s="75"/>
      <c r="D88" s="224">
        <v>43207</v>
      </c>
      <c r="E88" s="228"/>
      <c r="F88" s="226"/>
      <c r="G88" s="226"/>
      <c r="H88" s="226"/>
      <c r="I88" s="227"/>
      <c r="J88" s="75"/>
      <c r="K88" s="75"/>
      <c r="L88" s="75"/>
      <c r="M88" s="76"/>
    </row>
    <row r="89" spans="2:13" x14ac:dyDescent="0.25">
      <c r="B89" s="75"/>
      <c r="C89" s="75"/>
      <c r="D89" s="224">
        <v>43208</v>
      </c>
      <c r="E89" s="228"/>
      <c r="F89" s="226"/>
      <c r="G89" s="226"/>
      <c r="H89" s="226"/>
      <c r="I89" s="227"/>
      <c r="J89" s="75"/>
      <c r="K89" s="75"/>
      <c r="L89" s="75"/>
      <c r="M89" s="76"/>
    </row>
    <row r="90" spans="2:13" x14ac:dyDescent="0.25">
      <c r="B90" s="75"/>
      <c r="C90" s="75"/>
      <c r="D90" s="224">
        <v>43209</v>
      </c>
      <c r="E90" s="228"/>
      <c r="F90" s="226"/>
      <c r="G90" s="226"/>
      <c r="H90" s="226"/>
      <c r="I90" s="227"/>
      <c r="J90" s="75"/>
      <c r="K90" s="75"/>
      <c r="L90" s="75"/>
      <c r="M90" s="76"/>
    </row>
    <row r="91" spans="2:13" x14ac:dyDescent="0.25">
      <c r="B91" s="75"/>
      <c r="C91" s="75"/>
      <c r="D91" s="224">
        <v>43210</v>
      </c>
      <c r="E91" s="228"/>
      <c r="F91" s="226"/>
      <c r="G91" s="226"/>
      <c r="H91" s="226"/>
      <c r="I91" s="227"/>
      <c r="J91" s="75"/>
      <c r="K91" s="75"/>
      <c r="L91" s="75"/>
      <c r="M91" s="76"/>
    </row>
    <row r="92" spans="2:13" x14ac:dyDescent="0.25">
      <c r="B92" s="75"/>
      <c r="C92" s="75"/>
      <c r="D92" s="224">
        <v>43211</v>
      </c>
      <c r="E92" s="228"/>
      <c r="F92" s="226"/>
      <c r="G92" s="226"/>
      <c r="H92" s="226"/>
      <c r="I92" s="227"/>
      <c r="J92" s="75"/>
      <c r="K92" s="75"/>
      <c r="L92" s="75"/>
      <c r="M92" s="76"/>
    </row>
    <row r="93" spans="2:13" x14ac:dyDescent="0.25">
      <c r="B93" s="75"/>
      <c r="C93" s="75"/>
      <c r="D93" s="224">
        <v>43212</v>
      </c>
      <c r="E93" s="228"/>
      <c r="F93" s="226"/>
      <c r="G93" s="226"/>
      <c r="H93" s="226"/>
      <c r="I93" s="227"/>
      <c r="J93" s="75"/>
      <c r="K93" s="75"/>
      <c r="L93" s="75"/>
      <c r="M93" s="76"/>
    </row>
    <row r="94" spans="2:13" x14ac:dyDescent="0.25">
      <c r="B94" s="75"/>
      <c r="C94" s="75"/>
      <c r="D94" s="224">
        <v>43213</v>
      </c>
      <c r="E94" s="228"/>
      <c r="F94" s="226"/>
      <c r="G94" s="226"/>
      <c r="H94" s="226"/>
      <c r="I94" s="227"/>
      <c r="J94" s="75"/>
      <c r="K94" s="75"/>
      <c r="L94" s="75"/>
      <c r="M94" s="76"/>
    </row>
    <row r="95" spans="2:13" x14ac:dyDescent="0.25">
      <c r="B95" s="75"/>
      <c r="C95" s="75"/>
      <c r="D95" s="224">
        <v>43214</v>
      </c>
      <c r="E95" s="228"/>
      <c r="F95" s="226"/>
      <c r="G95" s="226"/>
      <c r="H95" s="226"/>
      <c r="I95" s="227"/>
      <c r="J95" s="75"/>
      <c r="K95" s="75"/>
      <c r="L95" s="75"/>
      <c r="M95" s="76"/>
    </row>
    <row r="96" spans="2:13" x14ac:dyDescent="0.25">
      <c r="B96" s="75"/>
      <c r="C96" s="75"/>
      <c r="D96" s="224">
        <v>43215</v>
      </c>
      <c r="E96" s="228"/>
      <c r="F96" s="226"/>
      <c r="G96" s="226"/>
      <c r="H96" s="226"/>
      <c r="I96" s="227"/>
      <c r="J96" s="75"/>
      <c r="K96" s="75"/>
      <c r="L96" s="75"/>
      <c r="M96" s="76"/>
    </row>
    <row r="97" spans="2:13" x14ac:dyDescent="0.25">
      <c r="B97" s="75"/>
      <c r="C97" s="75"/>
      <c r="D97" s="224">
        <v>43216</v>
      </c>
      <c r="E97" s="228"/>
      <c r="F97" s="226"/>
      <c r="G97" s="226"/>
      <c r="H97" s="226"/>
      <c r="I97" s="227"/>
      <c r="J97" s="75"/>
      <c r="K97" s="75"/>
      <c r="L97" s="75"/>
      <c r="M97" s="76"/>
    </row>
    <row r="98" spans="2:13" x14ac:dyDescent="0.25">
      <c r="B98" s="75"/>
      <c r="C98" s="75"/>
      <c r="D98" s="224">
        <v>43217</v>
      </c>
      <c r="E98" s="228"/>
      <c r="F98" s="226"/>
      <c r="G98" s="226"/>
      <c r="H98" s="226"/>
      <c r="I98" s="227"/>
      <c r="J98" s="75"/>
      <c r="K98" s="75"/>
      <c r="L98" s="75"/>
      <c r="M98" s="76"/>
    </row>
    <row r="99" spans="2:13" x14ac:dyDescent="0.25">
      <c r="B99" s="75"/>
      <c r="C99" s="75"/>
      <c r="D99" s="224">
        <v>43218</v>
      </c>
      <c r="E99" s="228"/>
      <c r="F99" s="226"/>
      <c r="G99" s="226"/>
      <c r="H99" s="226"/>
      <c r="I99" s="227"/>
      <c r="J99" s="75"/>
      <c r="K99" s="75"/>
      <c r="L99" s="75"/>
      <c r="M99" s="76"/>
    </row>
    <row r="100" spans="2:13" x14ac:dyDescent="0.25">
      <c r="B100" s="75"/>
      <c r="C100" s="75"/>
      <c r="D100" s="224">
        <v>43219</v>
      </c>
      <c r="E100" s="228"/>
      <c r="F100" s="226"/>
      <c r="G100" s="226"/>
      <c r="H100" s="226"/>
      <c r="I100" s="227"/>
      <c r="J100" s="75"/>
      <c r="K100" s="75"/>
      <c r="L100" s="75"/>
      <c r="M100" s="76"/>
    </row>
    <row r="101" spans="2:13" x14ac:dyDescent="0.25">
      <c r="B101" s="75"/>
      <c r="C101" s="75"/>
      <c r="D101" s="224">
        <v>43220</v>
      </c>
      <c r="E101" s="228"/>
      <c r="F101" s="226"/>
      <c r="G101" s="226"/>
      <c r="H101" s="226"/>
      <c r="I101" s="227"/>
      <c r="J101" s="75"/>
      <c r="K101" s="75"/>
      <c r="L101" s="75"/>
      <c r="M101" s="76"/>
    </row>
    <row r="102" spans="2:13" x14ac:dyDescent="0.25">
      <c r="B102" s="75"/>
      <c r="C102" s="75"/>
      <c r="D102" s="224">
        <v>43221</v>
      </c>
      <c r="E102" s="228"/>
      <c r="F102" s="226"/>
      <c r="G102" s="226"/>
      <c r="H102" s="226"/>
      <c r="I102" s="227"/>
      <c r="J102" s="75"/>
      <c r="K102" s="75"/>
      <c r="L102" s="75"/>
      <c r="M102" s="76"/>
    </row>
    <row r="103" spans="2:13" x14ac:dyDescent="0.25">
      <c r="B103" s="75"/>
      <c r="C103" s="75"/>
      <c r="D103" s="224">
        <v>43222</v>
      </c>
      <c r="E103" s="228"/>
      <c r="F103" s="226"/>
      <c r="G103" s="226"/>
      <c r="H103" s="226"/>
      <c r="I103" s="227"/>
      <c r="J103" s="75"/>
      <c r="K103" s="75"/>
      <c r="L103" s="75"/>
      <c r="M103" s="76"/>
    </row>
    <row r="104" spans="2:13" x14ac:dyDescent="0.25">
      <c r="B104" s="75"/>
      <c r="C104" s="75"/>
      <c r="D104" s="224">
        <v>43223</v>
      </c>
      <c r="E104" s="228"/>
      <c r="F104" s="226"/>
      <c r="G104" s="226"/>
      <c r="H104" s="226"/>
      <c r="I104" s="227"/>
      <c r="J104" s="75"/>
      <c r="K104" s="75"/>
      <c r="L104" s="75"/>
      <c r="M104" s="76"/>
    </row>
    <row r="105" spans="2:13" x14ac:dyDescent="0.25">
      <c r="B105" s="75"/>
      <c r="C105" s="75"/>
      <c r="D105" s="224">
        <v>43224</v>
      </c>
      <c r="E105" s="228"/>
      <c r="F105" s="226"/>
      <c r="G105" s="226"/>
      <c r="H105" s="226"/>
      <c r="I105" s="227"/>
      <c r="J105" s="75"/>
      <c r="K105" s="75"/>
      <c r="L105" s="75"/>
      <c r="M105" s="76"/>
    </row>
    <row r="106" spans="2:13" x14ac:dyDescent="0.25">
      <c r="B106" s="75"/>
      <c r="C106" s="75"/>
      <c r="D106" s="224">
        <v>43225</v>
      </c>
      <c r="E106" s="228"/>
      <c r="F106" s="226"/>
      <c r="G106" s="226"/>
      <c r="H106" s="226"/>
      <c r="I106" s="227"/>
      <c r="J106" s="75"/>
      <c r="K106" s="75"/>
      <c r="L106" s="75"/>
      <c r="M106" s="76"/>
    </row>
    <row r="107" spans="2:13" x14ac:dyDescent="0.25">
      <c r="B107" s="75"/>
      <c r="C107" s="75"/>
      <c r="D107" s="224">
        <v>43226</v>
      </c>
      <c r="E107" s="228"/>
      <c r="F107" s="226"/>
      <c r="G107" s="226"/>
      <c r="H107" s="226"/>
      <c r="I107" s="227"/>
      <c r="J107" s="75"/>
      <c r="K107" s="75"/>
      <c r="L107" s="75"/>
      <c r="M107" s="76"/>
    </row>
    <row r="108" spans="2:13" x14ac:dyDescent="0.25">
      <c r="B108" s="75"/>
      <c r="C108" s="75"/>
      <c r="D108" s="224">
        <v>43227</v>
      </c>
      <c r="E108" s="228"/>
      <c r="F108" s="226"/>
      <c r="G108" s="226"/>
      <c r="H108" s="226"/>
      <c r="I108" s="227"/>
      <c r="J108" s="75"/>
      <c r="K108" s="75"/>
      <c r="L108" s="75"/>
      <c r="M108" s="76"/>
    </row>
    <row r="109" spans="2:13" x14ac:dyDescent="0.25">
      <c r="B109" s="75"/>
      <c r="C109" s="75"/>
      <c r="D109" s="224">
        <v>43228</v>
      </c>
      <c r="E109" s="228"/>
      <c r="F109" s="226"/>
      <c r="G109" s="226"/>
      <c r="H109" s="226"/>
      <c r="I109" s="227"/>
      <c r="J109" s="75"/>
      <c r="K109" s="75"/>
      <c r="L109" s="75"/>
      <c r="M109" s="76"/>
    </row>
    <row r="110" spans="2:13" x14ac:dyDescent="0.25">
      <c r="B110" s="75"/>
      <c r="C110" s="75"/>
      <c r="D110" s="224">
        <v>43229</v>
      </c>
      <c r="E110" s="228"/>
      <c r="F110" s="226"/>
      <c r="G110" s="226"/>
      <c r="H110" s="226"/>
      <c r="I110" s="227"/>
      <c r="J110" s="75"/>
      <c r="K110" s="75"/>
      <c r="L110" s="75"/>
      <c r="M110" s="76"/>
    </row>
    <row r="111" spans="2:13" x14ac:dyDescent="0.25">
      <c r="B111" s="75"/>
      <c r="C111" s="75"/>
      <c r="D111" s="224">
        <v>43230</v>
      </c>
      <c r="E111" s="228"/>
      <c r="F111" s="226"/>
      <c r="G111" s="226"/>
      <c r="H111" s="226"/>
      <c r="I111" s="227"/>
      <c r="J111" s="75"/>
      <c r="K111" s="75"/>
      <c r="L111" s="75"/>
      <c r="M111" s="76"/>
    </row>
    <row r="112" spans="2:13" x14ac:dyDescent="0.25">
      <c r="B112" s="75"/>
      <c r="C112" s="75"/>
      <c r="D112" s="224">
        <v>43231</v>
      </c>
      <c r="E112" s="228"/>
      <c r="F112" s="226"/>
      <c r="G112" s="226"/>
      <c r="H112" s="226"/>
      <c r="I112" s="227"/>
      <c r="J112" s="75"/>
      <c r="K112" s="75"/>
      <c r="L112" s="75"/>
      <c r="M112" s="76"/>
    </row>
    <row r="113" spans="2:13" x14ac:dyDescent="0.25">
      <c r="B113" s="75"/>
      <c r="C113" s="75"/>
      <c r="D113" s="224">
        <v>43232</v>
      </c>
      <c r="E113" s="228"/>
      <c r="F113" s="226"/>
      <c r="G113" s="226"/>
      <c r="H113" s="226"/>
      <c r="I113" s="227"/>
      <c r="J113" s="75"/>
      <c r="K113" s="75"/>
      <c r="L113" s="75"/>
      <c r="M113" s="76"/>
    </row>
    <row r="114" spans="2:13" x14ac:dyDescent="0.25">
      <c r="B114" s="75"/>
      <c r="C114" s="75"/>
      <c r="D114" s="224">
        <v>43233</v>
      </c>
      <c r="E114" s="228"/>
      <c r="F114" s="226"/>
      <c r="G114" s="226"/>
      <c r="H114" s="226"/>
      <c r="I114" s="227"/>
      <c r="J114" s="75"/>
      <c r="K114" s="75"/>
      <c r="L114" s="75"/>
      <c r="M114" s="76"/>
    </row>
    <row r="115" spans="2:13" x14ac:dyDescent="0.25">
      <c r="B115" s="75"/>
      <c r="C115" s="75"/>
      <c r="D115" s="224">
        <v>43234</v>
      </c>
      <c r="E115" s="228"/>
      <c r="F115" s="226"/>
      <c r="G115" s="226"/>
      <c r="H115" s="226"/>
      <c r="I115" s="227"/>
      <c r="J115" s="75"/>
      <c r="K115" s="75"/>
      <c r="L115" s="75"/>
      <c r="M115" s="76"/>
    </row>
    <row r="116" spans="2:13" x14ac:dyDescent="0.25">
      <c r="B116" s="75"/>
      <c r="C116" s="75"/>
      <c r="D116" s="224">
        <v>43235</v>
      </c>
      <c r="E116" s="228"/>
      <c r="F116" s="226"/>
      <c r="G116" s="226"/>
      <c r="H116" s="226"/>
      <c r="I116" s="227"/>
      <c r="J116" s="75"/>
      <c r="K116" s="75"/>
      <c r="L116" s="75"/>
      <c r="M116" s="76"/>
    </row>
    <row r="117" spans="2:13" x14ac:dyDescent="0.25">
      <c r="B117" s="75"/>
      <c r="C117" s="75"/>
      <c r="D117" s="224">
        <v>43236</v>
      </c>
      <c r="E117" s="228"/>
      <c r="F117" s="226"/>
      <c r="G117" s="226"/>
      <c r="H117" s="226"/>
      <c r="I117" s="227"/>
      <c r="J117" s="75"/>
      <c r="K117" s="75"/>
      <c r="L117" s="75"/>
      <c r="M117" s="76"/>
    </row>
    <row r="118" spans="2:13" x14ac:dyDescent="0.25">
      <c r="B118" s="75"/>
      <c r="C118" s="75"/>
      <c r="D118" s="224">
        <v>43237</v>
      </c>
      <c r="E118" s="228"/>
      <c r="F118" s="226"/>
      <c r="G118" s="226"/>
      <c r="H118" s="226"/>
      <c r="I118" s="227"/>
      <c r="J118" s="75"/>
      <c r="K118" s="75"/>
      <c r="L118" s="75"/>
      <c r="M118" s="76"/>
    </row>
    <row r="119" spans="2:13" x14ac:dyDescent="0.25">
      <c r="B119" s="75"/>
      <c r="C119" s="75"/>
      <c r="D119" s="224">
        <v>43238</v>
      </c>
      <c r="E119" s="228"/>
      <c r="F119" s="226"/>
      <c r="G119" s="226"/>
      <c r="H119" s="226"/>
      <c r="I119" s="227"/>
      <c r="J119" s="75"/>
      <c r="K119" s="75"/>
      <c r="L119" s="75"/>
      <c r="M119" s="76"/>
    </row>
    <row r="120" spans="2:13" x14ac:dyDescent="0.25">
      <c r="B120" s="75"/>
      <c r="C120" s="75"/>
      <c r="D120" s="224">
        <v>43239</v>
      </c>
      <c r="E120" s="228"/>
      <c r="F120" s="226"/>
      <c r="G120" s="226"/>
      <c r="H120" s="226"/>
      <c r="I120" s="227"/>
      <c r="J120" s="75"/>
      <c r="K120" s="75"/>
      <c r="L120" s="75"/>
      <c r="M120" s="76"/>
    </row>
    <row r="121" spans="2:13" x14ac:dyDescent="0.25">
      <c r="B121" s="75"/>
      <c r="C121" s="75"/>
      <c r="D121" s="224">
        <v>43240</v>
      </c>
      <c r="E121" s="228"/>
      <c r="F121" s="226"/>
      <c r="G121" s="226"/>
      <c r="H121" s="226"/>
      <c r="I121" s="227"/>
      <c r="J121" s="75"/>
      <c r="K121" s="75"/>
      <c r="L121" s="75"/>
      <c r="M121" s="76"/>
    </row>
    <row r="122" spans="2:13" x14ac:dyDescent="0.25">
      <c r="B122" s="75"/>
      <c r="C122" s="75"/>
      <c r="D122" s="224">
        <v>43241</v>
      </c>
      <c r="E122" s="228"/>
      <c r="F122" s="226"/>
      <c r="G122" s="226"/>
      <c r="H122" s="226"/>
      <c r="I122" s="227"/>
      <c r="J122" s="75"/>
      <c r="K122" s="75"/>
      <c r="L122" s="75"/>
      <c r="M122" s="76"/>
    </row>
    <row r="123" spans="2:13" x14ac:dyDescent="0.25">
      <c r="B123" s="75"/>
      <c r="C123" s="75"/>
      <c r="D123" s="224">
        <v>43242</v>
      </c>
      <c r="E123" s="228"/>
      <c r="F123" s="226"/>
      <c r="G123" s="226"/>
      <c r="H123" s="226"/>
      <c r="I123" s="227"/>
      <c r="J123" s="75"/>
      <c r="K123" s="75"/>
      <c r="L123" s="75"/>
      <c r="M123" s="76"/>
    </row>
    <row r="124" spans="2:13" x14ac:dyDescent="0.25">
      <c r="B124" s="75"/>
      <c r="C124" s="75"/>
      <c r="D124" s="224">
        <v>43243</v>
      </c>
      <c r="E124" s="228"/>
      <c r="F124" s="226"/>
      <c r="G124" s="226"/>
      <c r="H124" s="226"/>
      <c r="I124" s="227"/>
      <c r="J124" s="75"/>
      <c r="K124" s="75"/>
      <c r="L124" s="75"/>
      <c r="M124" s="76"/>
    </row>
    <row r="125" spans="2:13" x14ac:dyDescent="0.25">
      <c r="B125" s="75"/>
      <c r="C125" s="75"/>
      <c r="D125" s="224">
        <v>43244</v>
      </c>
      <c r="E125" s="228"/>
      <c r="F125" s="226"/>
      <c r="G125" s="226"/>
      <c r="H125" s="226"/>
      <c r="I125" s="227"/>
      <c r="J125" s="75"/>
      <c r="K125" s="75"/>
      <c r="L125" s="75"/>
      <c r="M125" s="76"/>
    </row>
    <row r="126" spans="2:13" x14ac:dyDescent="0.25">
      <c r="B126" s="75"/>
      <c r="C126" s="75"/>
      <c r="D126" s="224">
        <v>43245</v>
      </c>
      <c r="E126" s="228"/>
      <c r="F126" s="226"/>
      <c r="G126" s="226"/>
      <c r="H126" s="226"/>
      <c r="I126" s="227"/>
      <c r="J126" s="75"/>
      <c r="K126" s="75"/>
      <c r="L126" s="75"/>
      <c r="M126" s="76"/>
    </row>
    <row r="127" spans="2:13" x14ac:dyDescent="0.25">
      <c r="B127" s="75"/>
      <c r="C127" s="75"/>
      <c r="D127" s="224">
        <v>43246</v>
      </c>
      <c r="E127" s="228"/>
      <c r="F127" s="226"/>
      <c r="G127" s="226"/>
      <c r="H127" s="226"/>
      <c r="I127" s="227"/>
      <c r="J127" s="75"/>
      <c r="K127" s="75"/>
      <c r="L127" s="75"/>
      <c r="M127" s="76"/>
    </row>
    <row r="128" spans="2:13" x14ac:dyDescent="0.25">
      <c r="B128" s="75"/>
      <c r="C128" s="75"/>
      <c r="D128" s="224">
        <v>43247</v>
      </c>
      <c r="E128" s="228"/>
      <c r="F128" s="226"/>
      <c r="G128" s="226"/>
      <c r="H128" s="226"/>
      <c r="I128" s="227"/>
      <c r="J128" s="75"/>
      <c r="K128" s="75"/>
      <c r="L128" s="75"/>
      <c r="M128" s="76"/>
    </row>
    <row r="129" spans="2:13" x14ac:dyDescent="0.25">
      <c r="B129" s="75"/>
      <c r="C129" s="75"/>
      <c r="D129" s="224">
        <v>43248</v>
      </c>
      <c r="E129" s="228"/>
      <c r="F129" s="226"/>
      <c r="G129" s="226"/>
      <c r="H129" s="226"/>
      <c r="I129" s="227"/>
      <c r="J129" s="75"/>
      <c r="K129" s="75"/>
      <c r="L129" s="75"/>
      <c r="M129" s="76"/>
    </row>
    <row r="130" spans="2:13" x14ac:dyDescent="0.25">
      <c r="B130" s="75"/>
      <c r="C130" s="75"/>
      <c r="D130" s="224">
        <v>43249</v>
      </c>
      <c r="E130" s="228"/>
      <c r="F130" s="226"/>
      <c r="G130" s="226"/>
      <c r="H130" s="226"/>
      <c r="I130" s="227"/>
      <c r="J130" s="75"/>
      <c r="K130" s="75"/>
      <c r="L130" s="75"/>
      <c r="M130" s="76"/>
    </row>
    <row r="131" spans="2:13" x14ac:dyDescent="0.25">
      <c r="B131" s="75"/>
      <c r="C131" s="75"/>
      <c r="D131" s="224">
        <v>43250</v>
      </c>
      <c r="E131" s="228"/>
      <c r="F131" s="226"/>
      <c r="G131" s="226"/>
      <c r="H131" s="226"/>
      <c r="I131" s="227"/>
      <c r="J131" s="75"/>
      <c r="K131" s="75"/>
      <c r="L131" s="75"/>
      <c r="M131" s="76"/>
    </row>
    <row r="132" spans="2:13" x14ac:dyDescent="0.25">
      <c r="B132" s="75"/>
      <c r="C132" s="75"/>
      <c r="D132" s="224">
        <v>43251</v>
      </c>
      <c r="E132" s="228"/>
      <c r="F132" s="226"/>
      <c r="G132" s="226"/>
      <c r="H132" s="226"/>
      <c r="I132" s="227"/>
      <c r="J132" s="75"/>
      <c r="K132" s="75"/>
      <c r="L132" s="75"/>
      <c r="M132" s="76"/>
    </row>
    <row r="133" spans="2:13" x14ac:dyDescent="0.25">
      <c r="B133" s="75"/>
      <c r="C133" s="75"/>
      <c r="D133" s="224">
        <v>43252</v>
      </c>
      <c r="E133" s="228"/>
      <c r="F133" s="226"/>
      <c r="G133" s="226"/>
      <c r="H133" s="226"/>
      <c r="I133" s="227"/>
      <c r="J133" s="75"/>
      <c r="K133" s="75"/>
      <c r="L133" s="75"/>
      <c r="M133" s="76"/>
    </row>
    <row r="134" spans="2:13" x14ac:dyDescent="0.25">
      <c r="B134" s="75"/>
      <c r="C134" s="75"/>
      <c r="D134" s="224">
        <v>43253</v>
      </c>
      <c r="E134" s="228"/>
      <c r="F134" s="226"/>
      <c r="G134" s="226"/>
      <c r="H134" s="226"/>
      <c r="I134" s="227"/>
      <c r="J134" s="75"/>
      <c r="K134" s="75"/>
      <c r="L134" s="75"/>
      <c r="M134" s="76"/>
    </row>
    <row r="135" spans="2:13" x14ac:dyDescent="0.25">
      <c r="B135" s="75"/>
      <c r="C135" s="75"/>
      <c r="D135" s="224">
        <v>43254</v>
      </c>
      <c r="E135" s="228"/>
      <c r="F135" s="226"/>
      <c r="G135" s="226"/>
      <c r="H135" s="226"/>
      <c r="I135" s="227"/>
      <c r="J135" s="75"/>
      <c r="K135" s="75"/>
      <c r="L135" s="75"/>
      <c r="M135" s="76"/>
    </row>
    <row r="136" spans="2:13" x14ac:dyDescent="0.25">
      <c r="B136" s="75"/>
      <c r="C136" s="75"/>
      <c r="D136" s="224">
        <v>43255</v>
      </c>
      <c r="E136" s="228"/>
      <c r="F136" s="226"/>
      <c r="G136" s="226"/>
      <c r="H136" s="226"/>
      <c r="I136" s="227"/>
      <c r="J136" s="75"/>
      <c r="K136" s="75"/>
      <c r="L136" s="75"/>
      <c r="M136" s="76"/>
    </row>
    <row r="137" spans="2:13" x14ac:dyDescent="0.25">
      <c r="B137" s="75"/>
      <c r="C137" s="75"/>
      <c r="D137" s="224">
        <v>43256</v>
      </c>
      <c r="E137" s="228"/>
      <c r="F137" s="226"/>
      <c r="G137" s="226"/>
      <c r="H137" s="226"/>
      <c r="I137" s="227"/>
      <c r="J137" s="75"/>
      <c r="K137" s="75"/>
      <c r="L137" s="75"/>
      <c r="M137" s="76"/>
    </row>
    <row r="138" spans="2:13" x14ac:dyDescent="0.25">
      <c r="B138" s="75"/>
      <c r="C138" s="75"/>
      <c r="D138" s="224">
        <v>43257</v>
      </c>
      <c r="E138" s="228"/>
      <c r="F138" s="226"/>
      <c r="G138" s="226"/>
      <c r="H138" s="226"/>
      <c r="I138" s="227"/>
      <c r="J138" s="75"/>
      <c r="K138" s="75"/>
      <c r="L138" s="75"/>
      <c r="M138" s="76"/>
    </row>
    <row r="139" spans="2:13" x14ac:dyDescent="0.25">
      <c r="B139" s="75"/>
      <c r="C139" s="75"/>
      <c r="D139" s="224">
        <v>43258</v>
      </c>
      <c r="E139" s="230"/>
      <c r="F139" s="231"/>
      <c r="G139" s="231"/>
      <c r="H139" s="231"/>
      <c r="I139" s="232"/>
      <c r="J139" s="77"/>
      <c r="K139" s="77"/>
      <c r="L139" s="77"/>
      <c r="M139" s="78"/>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54" priority="6">
      <formula>INDIRECT("D"&amp;ROW())=TODAY()</formula>
    </cfRule>
  </conditionalFormatting>
  <conditionalFormatting sqref="D9:D139">
    <cfRule type="timePeriod" dxfId="53"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3" workbookViewId="0">
      <selection activeCell="D43" sqref="D43"/>
    </sheetView>
  </sheetViews>
  <sheetFormatPr defaultColWidth="8.85546875" defaultRowHeight="15" x14ac:dyDescent="0.25"/>
  <cols>
    <col min="1" max="1" width="8.85546875" style="46"/>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6" customFormat="1" x14ac:dyDescent="0.25"/>
    <row r="2" spans="1:20" s="46" customFormat="1" x14ac:dyDescent="0.25">
      <c r="A2" s="52"/>
    </row>
    <row r="3" spans="1:20" s="5" customFormat="1" ht="15.75" customHeight="1" x14ac:dyDescent="0.25">
      <c r="A3" s="10"/>
      <c r="B3" s="31"/>
      <c r="D3" s="32" t="s">
        <v>6</v>
      </c>
      <c r="E3" s="32"/>
      <c r="F3" s="23"/>
      <c r="G3" s="23"/>
      <c r="H3" s="23"/>
      <c r="I3" s="13"/>
      <c r="J3" s="31" t="s">
        <v>5</v>
      </c>
    </row>
    <row r="4" spans="1:20" s="6" customFormat="1" ht="46.5" customHeight="1" x14ac:dyDescent="0.25">
      <c r="A4" s="10"/>
      <c r="B4" s="33"/>
      <c r="D4" s="42" t="s">
        <v>7</v>
      </c>
      <c r="E4" s="67" t="s">
        <v>19</v>
      </c>
      <c r="F4" s="24"/>
      <c r="G4" s="24"/>
      <c r="H4" s="24"/>
      <c r="I4" s="14"/>
      <c r="J4" s="41">
        <f ca="1">TODAY()</f>
        <v>43145</v>
      </c>
      <c r="L4" s="33"/>
    </row>
    <row r="5" spans="1:20" s="51" customFormat="1" x14ac:dyDescent="0.25">
      <c r="A5" s="10"/>
      <c r="B5" s="47"/>
      <c r="C5" s="47"/>
      <c r="D5" s="48"/>
      <c r="E5" s="48"/>
      <c r="F5" s="49"/>
      <c r="G5" s="49"/>
      <c r="H5" s="49"/>
      <c r="I5" s="50"/>
    </row>
    <row r="6" spans="1:20" s="55" customFormat="1" ht="22.5" customHeight="1" x14ac:dyDescent="0.25">
      <c r="A6" s="46"/>
      <c r="B6" s="71"/>
      <c r="C6" s="71"/>
      <c r="D6" s="71"/>
      <c r="E6" s="71"/>
      <c r="F6" s="71"/>
      <c r="G6" s="71"/>
      <c r="H6" s="71"/>
      <c r="I6" s="71"/>
      <c r="J6" s="71"/>
      <c r="K6" s="71"/>
      <c r="L6" s="64"/>
      <c r="M6" s="64"/>
    </row>
    <row r="7" spans="1:20" ht="22.5" customHeight="1" x14ac:dyDescent="0.25">
      <c r="B7" s="64"/>
      <c r="C7" s="59"/>
      <c r="D7" s="59"/>
      <c r="E7" s="62" t="s">
        <v>12</v>
      </c>
      <c r="F7" s="59"/>
      <c r="G7" s="59"/>
      <c r="H7" s="59"/>
      <c r="I7" s="71"/>
      <c r="J7" s="71"/>
      <c r="K7" s="71"/>
      <c r="L7" s="64"/>
      <c r="M7" s="64"/>
    </row>
    <row r="8" spans="1:20" x14ac:dyDescent="0.25">
      <c r="B8" s="64"/>
      <c r="C8" s="59"/>
      <c r="D8" s="59"/>
      <c r="E8" s="59"/>
      <c r="F8" s="59"/>
      <c r="G8" s="59"/>
      <c r="H8" s="59"/>
      <c r="I8" s="71"/>
      <c r="J8" s="71"/>
      <c r="K8" s="71"/>
      <c r="L8" s="64"/>
      <c r="M8" s="65"/>
      <c r="N8" s="54"/>
      <c r="O8" s="54"/>
      <c r="P8" s="54"/>
      <c r="Q8" s="54"/>
      <c r="R8" s="54"/>
      <c r="S8" s="54"/>
      <c r="T8" s="54"/>
    </row>
    <row r="9" spans="1:20" x14ac:dyDescent="0.25">
      <c r="B9" s="64"/>
      <c r="C9" s="59"/>
      <c r="D9" s="111"/>
      <c r="E9" s="110" t="s">
        <v>17</v>
      </c>
      <c r="F9" s="110" t="s">
        <v>18</v>
      </c>
      <c r="G9" s="110" t="s">
        <v>17</v>
      </c>
      <c r="H9" s="59"/>
      <c r="I9" s="71"/>
      <c r="J9" s="71"/>
      <c r="K9" s="71"/>
      <c r="L9" s="64"/>
      <c r="M9" s="64"/>
    </row>
    <row r="10" spans="1:20" x14ac:dyDescent="0.25">
      <c r="B10" s="64"/>
      <c r="C10" s="59"/>
      <c r="D10" s="112"/>
      <c r="E10" s="113">
        <f ca="1">TODAY()</f>
        <v>43145</v>
      </c>
      <c r="F10" s="114" t="s">
        <v>13</v>
      </c>
      <c r="G10" s="115" t="s">
        <v>14</v>
      </c>
      <c r="H10" s="59"/>
      <c r="I10" s="71"/>
      <c r="J10" s="71"/>
      <c r="K10" s="71"/>
      <c r="L10" s="64"/>
      <c r="M10" s="64"/>
    </row>
    <row r="11" spans="1:20" x14ac:dyDescent="0.25">
      <c r="B11" s="64"/>
      <c r="C11" s="59"/>
      <c r="D11" s="116">
        <v>0</v>
      </c>
      <c r="E11" s="44">
        <v>0</v>
      </c>
      <c r="F11" s="44"/>
      <c r="G11" s="76"/>
      <c r="H11" s="59"/>
      <c r="I11" s="71"/>
      <c r="J11" s="71"/>
      <c r="K11" s="71"/>
      <c r="L11" s="64"/>
      <c r="M11" s="64"/>
    </row>
    <row r="12" spans="1:20" x14ac:dyDescent="0.25">
      <c r="B12" s="64"/>
      <c r="C12" s="59"/>
      <c r="D12" s="116">
        <v>4.1666666666666699E-2</v>
      </c>
      <c r="E12" s="44">
        <v>0</v>
      </c>
      <c r="F12" s="44"/>
      <c r="G12" s="76"/>
      <c r="H12" s="59"/>
      <c r="I12" s="71"/>
      <c r="J12" s="71"/>
      <c r="K12" s="71"/>
      <c r="L12" s="64"/>
      <c r="M12" s="64"/>
    </row>
    <row r="13" spans="1:20" x14ac:dyDescent="0.25">
      <c r="B13" s="64"/>
      <c r="C13" s="59"/>
      <c r="D13" s="116">
        <v>8.3333333333333301E-2</v>
      </c>
      <c r="E13" s="44">
        <v>0</v>
      </c>
      <c r="F13" s="44"/>
      <c r="G13" s="76"/>
      <c r="H13" s="59"/>
      <c r="I13" s="71"/>
      <c r="J13" s="71"/>
      <c r="K13" s="71"/>
      <c r="L13" s="64"/>
      <c r="M13" s="64"/>
    </row>
    <row r="14" spans="1:20" x14ac:dyDescent="0.25">
      <c r="B14" s="64"/>
      <c r="C14" s="59"/>
      <c r="D14" s="116">
        <v>0.125</v>
      </c>
      <c r="E14" s="44">
        <v>0</v>
      </c>
      <c r="F14" s="44" t="s">
        <v>92</v>
      </c>
      <c r="G14" s="76"/>
      <c r="H14" s="59"/>
      <c r="I14" s="71"/>
      <c r="J14" s="71"/>
      <c r="K14" s="71"/>
      <c r="L14" s="64"/>
      <c r="M14" s="64"/>
    </row>
    <row r="15" spans="1:20" x14ac:dyDescent="0.25">
      <c r="B15" s="64"/>
      <c r="C15" s="59"/>
      <c r="D15" s="116">
        <v>0.16666666666666699</v>
      </c>
      <c r="E15" s="44">
        <v>0</v>
      </c>
      <c r="F15" s="44" t="s">
        <v>97</v>
      </c>
      <c r="G15" s="76"/>
      <c r="H15" s="59"/>
      <c r="I15" s="71"/>
      <c r="J15" s="71"/>
      <c r="K15" s="71"/>
      <c r="L15" s="64"/>
      <c r="M15" s="64"/>
    </row>
    <row r="16" spans="1:20" x14ac:dyDescent="0.25">
      <c r="B16" s="64"/>
      <c r="C16" s="59"/>
      <c r="D16" s="116">
        <v>0.20833333333333301</v>
      </c>
      <c r="E16" s="44">
        <v>1</v>
      </c>
      <c r="F16" s="44" t="s">
        <v>97</v>
      </c>
      <c r="G16" s="76"/>
      <c r="H16" s="59"/>
      <c r="I16" s="71"/>
      <c r="J16" s="71"/>
      <c r="K16" s="71"/>
      <c r="L16" s="64"/>
      <c r="M16" s="64"/>
    </row>
    <row r="17" spans="2:13" x14ac:dyDescent="0.25">
      <c r="B17" s="64"/>
      <c r="C17" s="59"/>
      <c r="D17" s="116">
        <v>0.25</v>
      </c>
      <c r="E17" s="44">
        <v>0</v>
      </c>
      <c r="F17" s="44"/>
      <c r="G17" s="76"/>
      <c r="H17" s="59"/>
      <c r="I17" s="71"/>
      <c r="J17" s="71"/>
      <c r="K17" s="71"/>
      <c r="L17" s="64"/>
      <c r="M17" s="64"/>
    </row>
    <row r="18" spans="2:13" x14ac:dyDescent="0.25">
      <c r="B18" s="64"/>
      <c r="C18" s="59"/>
      <c r="D18" s="116">
        <v>0.29166666666666702</v>
      </c>
      <c r="E18" s="44">
        <v>0</v>
      </c>
      <c r="F18" s="44"/>
      <c r="G18" s="76"/>
      <c r="H18" s="59"/>
      <c r="I18" s="71"/>
      <c r="J18" s="71"/>
      <c r="K18" s="71"/>
      <c r="L18" s="64"/>
      <c r="M18" s="64"/>
    </row>
    <row r="19" spans="2:13" x14ac:dyDescent="0.25">
      <c r="B19" s="64"/>
      <c r="C19" s="59"/>
      <c r="D19" s="116">
        <v>0.33333333333333298</v>
      </c>
      <c r="E19" s="44">
        <v>1</v>
      </c>
      <c r="F19" s="124"/>
      <c r="G19" s="76"/>
      <c r="H19" s="59"/>
      <c r="I19" s="71"/>
      <c r="J19" s="71"/>
      <c r="K19" s="71"/>
      <c r="L19" s="64"/>
      <c r="M19" s="64"/>
    </row>
    <row r="20" spans="2:13" x14ac:dyDescent="0.25">
      <c r="B20" s="64"/>
      <c r="C20" s="59"/>
      <c r="D20" s="116">
        <v>0.375</v>
      </c>
      <c r="E20" s="44">
        <v>1</v>
      </c>
      <c r="F20" s="44"/>
      <c r="G20" s="76"/>
      <c r="H20" s="59"/>
      <c r="I20" s="71"/>
      <c r="J20" s="71"/>
      <c r="K20" s="71"/>
      <c r="L20" s="64"/>
      <c r="M20" s="64"/>
    </row>
    <row r="21" spans="2:13" x14ac:dyDescent="0.25">
      <c r="B21" s="64"/>
      <c r="C21" s="59"/>
      <c r="D21" s="116">
        <v>0.41666666666666702</v>
      </c>
      <c r="E21" s="44">
        <v>1</v>
      </c>
      <c r="F21" s="44"/>
      <c r="G21" s="76"/>
      <c r="H21" s="59"/>
      <c r="I21" s="71"/>
      <c r="J21" s="71"/>
      <c r="K21" s="71"/>
      <c r="L21" s="64"/>
      <c r="M21" s="64"/>
    </row>
    <row r="22" spans="2:13" x14ac:dyDescent="0.25">
      <c r="B22" s="64"/>
      <c r="C22" s="59"/>
      <c r="D22" s="116">
        <v>0.45833333333333298</v>
      </c>
      <c r="E22" s="44">
        <v>1</v>
      </c>
      <c r="F22" s="44"/>
      <c r="G22" s="76"/>
      <c r="H22" s="59"/>
      <c r="I22" s="71"/>
      <c r="J22" s="71"/>
      <c r="K22" s="71"/>
      <c r="L22" s="64"/>
      <c r="M22" s="64"/>
    </row>
    <row r="23" spans="2:13" x14ac:dyDescent="0.25">
      <c r="B23" s="64"/>
      <c r="C23" s="59"/>
      <c r="D23" s="116">
        <v>0.5</v>
      </c>
      <c r="E23" s="44">
        <v>1</v>
      </c>
      <c r="F23" s="44"/>
      <c r="G23" s="76"/>
      <c r="H23" s="59"/>
      <c r="I23" s="71"/>
      <c r="J23" s="71"/>
      <c r="K23" s="71"/>
      <c r="L23" s="64"/>
      <c r="M23" s="64"/>
    </row>
    <row r="24" spans="2:13" x14ac:dyDescent="0.25">
      <c r="B24" s="64"/>
      <c r="C24" s="59"/>
      <c r="D24" s="116">
        <v>0.54166666666666696</v>
      </c>
      <c r="E24" s="44">
        <v>1</v>
      </c>
      <c r="F24" s="44"/>
      <c r="G24" s="76"/>
      <c r="H24" s="59"/>
      <c r="I24" s="71"/>
      <c r="J24" s="71"/>
      <c r="K24" s="71"/>
      <c r="L24" s="64"/>
      <c r="M24" s="64"/>
    </row>
    <row r="25" spans="2:13" x14ac:dyDescent="0.25">
      <c r="B25" s="64"/>
      <c r="C25" s="59"/>
      <c r="D25" s="116">
        <v>0.58333333333333304</v>
      </c>
      <c r="E25" s="44">
        <v>1</v>
      </c>
      <c r="F25" s="125"/>
      <c r="G25" s="76"/>
      <c r="H25" s="59"/>
      <c r="I25" s="71"/>
      <c r="J25" s="71"/>
      <c r="K25" s="71"/>
      <c r="L25" s="64"/>
      <c r="M25" s="64"/>
    </row>
    <row r="26" spans="2:13" x14ac:dyDescent="0.25">
      <c r="B26" s="64"/>
      <c r="C26" s="59"/>
      <c r="D26" s="116">
        <v>0.625</v>
      </c>
      <c r="E26" s="44">
        <v>1</v>
      </c>
      <c r="F26" s="44"/>
      <c r="G26" s="76"/>
      <c r="H26" s="59"/>
      <c r="I26" s="71"/>
      <c r="J26" s="71"/>
      <c r="K26" s="71"/>
      <c r="L26" s="64"/>
      <c r="M26" s="64"/>
    </row>
    <row r="27" spans="2:13" x14ac:dyDescent="0.25">
      <c r="B27" s="64"/>
      <c r="C27" s="59"/>
      <c r="D27" s="116">
        <v>0.66666666666666663</v>
      </c>
      <c r="E27" s="44">
        <v>1</v>
      </c>
      <c r="F27" s="44" t="s">
        <v>94</v>
      </c>
      <c r="G27" s="76"/>
      <c r="H27" s="59"/>
      <c r="I27" s="71"/>
      <c r="J27" s="71"/>
      <c r="K27" s="71"/>
      <c r="L27" s="64"/>
      <c r="M27" s="64"/>
    </row>
    <row r="28" spans="2:13" x14ac:dyDescent="0.25">
      <c r="B28" s="64"/>
      <c r="C28" s="59"/>
      <c r="D28" s="116">
        <v>0.70833333333333304</v>
      </c>
      <c r="E28" s="44">
        <v>1</v>
      </c>
      <c r="F28" s="44" t="s">
        <v>95</v>
      </c>
      <c r="G28" s="76"/>
      <c r="H28" s="59"/>
      <c r="I28" s="71"/>
      <c r="J28" s="71"/>
      <c r="K28" s="71"/>
      <c r="L28" s="64"/>
      <c r="M28" s="64"/>
    </row>
    <row r="29" spans="2:13" x14ac:dyDescent="0.25">
      <c r="B29" s="64"/>
      <c r="C29" s="59"/>
      <c r="D29" s="116">
        <v>0.75</v>
      </c>
      <c r="E29" s="44">
        <v>1</v>
      </c>
      <c r="F29" s="44" t="s">
        <v>97</v>
      </c>
      <c r="G29" s="76"/>
      <c r="H29" s="59"/>
      <c r="I29" s="71"/>
      <c r="J29" s="71"/>
      <c r="K29" s="71"/>
      <c r="L29" s="64"/>
      <c r="M29" s="64"/>
    </row>
    <row r="30" spans="2:13" x14ac:dyDescent="0.25">
      <c r="B30" s="64"/>
      <c r="C30" s="59"/>
      <c r="D30" s="116">
        <v>0.79166666666666696</v>
      </c>
      <c r="E30" s="44">
        <v>1</v>
      </c>
      <c r="F30" s="44" t="s">
        <v>96</v>
      </c>
      <c r="G30" s="76"/>
      <c r="H30" s="59"/>
      <c r="I30" s="71"/>
      <c r="J30" s="71"/>
      <c r="K30" s="71"/>
      <c r="L30" s="64"/>
      <c r="M30" s="64"/>
    </row>
    <row r="31" spans="2:13" x14ac:dyDescent="0.25">
      <c r="B31" s="64"/>
      <c r="C31" s="59"/>
      <c r="D31" s="116">
        <v>0.83333333333333304</v>
      </c>
      <c r="E31" s="44">
        <v>1</v>
      </c>
      <c r="F31" s="44" t="s">
        <v>92</v>
      </c>
      <c r="G31" s="76"/>
      <c r="H31" s="59"/>
      <c r="I31" s="71"/>
      <c r="J31" s="71"/>
      <c r="K31" s="71"/>
      <c r="L31" s="64"/>
      <c r="M31" s="64"/>
    </row>
    <row r="32" spans="2:13" x14ac:dyDescent="0.25">
      <c r="B32" s="64"/>
      <c r="C32" s="59"/>
      <c r="D32" s="116">
        <v>0.875</v>
      </c>
      <c r="E32" s="44">
        <v>1</v>
      </c>
      <c r="F32" s="44" t="s">
        <v>97</v>
      </c>
      <c r="G32" s="76"/>
      <c r="H32" s="59"/>
      <c r="I32" s="71"/>
      <c r="J32" s="71"/>
      <c r="K32" s="71"/>
      <c r="L32" s="64"/>
      <c r="M32" s="64"/>
    </row>
    <row r="33" spans="2:13" x14ac:dyDescent="0.25">
      <c r="B33" s="64"/>
      <c r="C33" s="59"/>
      <c r="D33" s="116">
        <v>0.91666666666666696</v>
      </c>
      <c r="E33" s="44"/>
      <c r="F33" s="44"/>
      <c r="G33" s="76"/>
      <c r="H33" s="59"/>
      <c r="I33" s="71"/>
      <c r="J33" s="71"/>
      <c r="K33" s="71"/>
      <c r="L33" s="64"/>
      <c r="M33" s="64"/>
    </row>
    <row r="34" spans="2:13" x14ac:dyDescent="0.25">
      <c r="B34" s="64"/>
      <c r="C34" s="59"/>
      <c r="D34" s="117">
        <v>0.95833333333333304</v>
      </c>
      <c r="E34" s="77"/>
      <c r="F34" s="77"/>
      <c r="G34" s="78"/>
      <c r="H34" s="59"/>
      <c r="I34" s="71"/>
      <c r="J34" s="71"/>
      <c r="K34" s="71"/>
      <c r="L34" s="64"/>
      <c r="M34" s="64"/>
    </row>
    <row r="35" spans="2:13" x14ac:dyDescent="0.25">
      <c r="B35" s="64"/>
      <c r="C35" s="59"/>
      <c r="D35" s="63"/>
      <c r="E35" s="60"/>
      <c r="F35" s="61"/>
      <c r="G35" s="60"/>
      <c r="H35" s="59"/>
      <c r="I35" s="71"/>
      <c r="J35" s="71"/>
      <c r="K35" s="71"/>
      <c r="L35" s="64"/>
      <c r="M35" s="64"/>
    </row>
    <row r="36" spans="2:13" x14ac:dyDescent="0.25">
      <c r="B36" s="64"/>
      <c r="C36" s="59"/>
      <c r="D36" s="73" t="s">
        <v>22</v>
      </c>
      <c r="E36" s="69">
        <f>SUM(E11:E34)</f>
        <v>15</v>
      </c>
      <c r="F36" s="72" t="s">
        <v>21</v>
      </c>
      <c r="G36" s="70" t="e">
        <f>AVERAGE(G11:G35)</f>
        <v>#DIV/0!</v>
      </c>
      <c r="H36" s="59"/>
      <c r="I36" s="71"/>
      <c r="J36" s="71"/>
      <c r="K36" s="71"/>
      <c r="L36" s="64"/>
      <c r="M36" s="64"/>
    </row>
    <row r="37" spans="2:13" x14ac:dyDescent="0.25">
      <c r="B37" s="64"/>
      <c r="C37" s="59"/>
      <c r="D37" s="60"/>
      <c r="E37" s="60"/>
      <c r="F37" s="59"/>
      <c r="G37" s="60"/>
      <c r="H37" s="59"/>
      <c r="I37" s="71"/>
      <c r="J37" s="71"/>
      <c r="K37" s="71"/>
      <c r="L37" s="64"/>
      <c r="M37" s="64"/>
    </row>
    <row r="38" spans="2:13" x14ac:dyDescent="0.25">
      <c r="B38" s="71"/>
      <c r="C38" s="99"/>
      <c r="D38" s="99"/>
      <c r="E38" s="99"/>
      <c r="F38" s="99"/>
      <c r="G38" s="99"/>
      <c r="H38" s="99"/>
      <c r="I38" s="99"/>
      <c r="J38" s="71"/>
      <c r="K38" s="71"/>
      <c r="L38" s="64"/>
      <c r="M38" s="64"/>
    </row>
    <row r="39" spans="2:13" x14ac:dyDescent="0.25">
      <c r="B39" s="71"/>
      <c r="C39" s="71"/>
      <c r="D39" s="71"/>
      <c r="E39" s="71"/>
      <c r="F39" s="71"/>
      <c r="G39" s="71"/>
      <c r="H39" s="71"/>
      <c r="I39" s="71"/>
      <c r="J39" s="71"/>
      <c r="K39" s="71"/>
      <c r="L39" s="64"/>
      <c r="M39" s="64"/>
    </row>
    <row r="40" spans="2:13" x14ac:dyDescent="0.25">
      <c r="B40" s="71"/>
      <c r="C40" s="71"/>
      <c r="D40" s="71"/>
      <c r="E40" s="71"/>
      <c r="F40" s="71"/>
      <c r="G40" s="71"/>
      <c r="H40" s="71"/>
      <c r="I40" s="71"/>
      <c r="J40" s="71"/>
      <c r="K40" s="71"/>
      <c r="L40" s="64"/>
      <c r="M40" s="64"/>
    </row>
    <row r="41" spans="2:13" x14ac:dyDescent="0.25">
      <c r="B41" s="64"/>
      <c r="C41" s="64"/>
      <c r="D41" s="64"/>
      <c r="E41" s="64"/>
      <c r="F41" s="64"/>
      <c r="G41" s="64"/>
      <c r="H41" s="64"/>
      <c r="I41" s="64"/>
      <c r="J41" s="64"/>
      <c r="K41" s="64"/>
      <c r="L41" s="64"/>
      <c r="M41" s="64"/>
    </row>
    <row r="42" spans="2:13" x14ac:dyDescent="0.25">
      <c r="B42" s="64"/>
      <c r="C42" s="64"/>
      <c r="D42" s="64"/>
      <c r="E42" s="64"/>
      <c r="F42" s="64"/>
      <c r="G42" s="64"/>
      <c r="H42" s="64"/>
      <c r="I42" s="64"/>
      <c r="J42" s="64"/>
      <c r="K42" s="64"/>
      <c r="L42" s="64"/>
      <c r="M42" s="64"/>
    </row>
    <row r="43" spans="2:13" x14ac:dyDescent="0.25">
      <c r="B43" s="64"/>
      <c r="C43" s="64"/>
      <c r="D43" s="64"/>
      <c r="E43" s="64"/>
      <c r="F43" s="64"/>
      <c r="G43" s="64"/>
      <c r="H43" s="64"/>
      <c r="I43" s="64"/>
      <c r="J43" s="64"/>
      <c r="K43" s="64"/>
      <c r="L43" s="64"/>
      <c r="M43" s="64"/>
    </row>
    <row r="44" spans="2:13" x14ac:dyDescent="0.25">
      <c r="B44" s="64"/>
      <c r="C44" s="64"/>
      <c r="D44" s="64"/>
      <c r="E44" s="64"/>
      <c r="F44" s="64"/>
      <c r="G44" s="64"/>
      <c r="H44" s="64"/>
      <c r="I44" s="64"/>
      <c r="J44" s="64"/>
      <c r="K44" s="64"/>
      <c r="L44" s="64"/>
      <c r="M44" s="64"/>
    </row>
    <row r="45" spans="2:13" x14ac:dyDescent="0.25">
      <c r="B45" s="64"/>
      <c r="C45" s="64"/>
      <c r="D45" s="64"/>
      <c r="E45" s="64"/>
      <c r="F45" s="64"/>
      <c r="G45" s="64"/>
      <c r="H45" s="64"/>
      <c r="I45" s="64"/>
      <c r="J45" s="64"/>
      <c r="K45" s="64"/>
      <c r="L45" s="64"/>
      <c r="M45" s="64"/>
    </row>
    <row r="46" spans="2:13" x14ac:dyDescent="0.25">
      <c r="B46" s="64"/>
      <c r="C46" s="64"/>
      <c r="D46" s="64"/>
      <c r="E46" s="64"/>
      <c r="F46" s="64"/>
      <c r="G46" s="64"/>
      <c r="H46" s="64"/>
      <c r="I46" s="64"/>
      <c r="J46" s="64"/>
      <c r="K46" s="64"/>
      <c r="L46" s="64"/>
      <c r="M46" s="64"/>
    </row>
    <row r="47" spans="2:13" x14ac:dyDescent="0.25">
      <c r="B47" s="64"/>
      <c r="C47" s="64"/>
      <c r="D47" s="64"/>
      <c r="E47" s="64"/>
      <c r="F47" s="64"/>
      <c r="G47" s="64"/>
      <c r="H47" s="64"/>
      <c r="I47" s="64"/>
      <c r="J47" s="64"/>
      <c r="K47" s="64"/>
      <c r="L47" s="64"/>
      <c r="M47" s="64"/>
    </row>
    <row r="48" spans="2:13" x14ac:dyDescent="0.25">
      <c r="B48" s="64"/>
      <c r="C48" s="64"/>
      <c r="D48" s="64"/>
      <c r="E48" s="64"/>
      <c r="F48" s="64"/>
      <c r="G48" s="64"/>
      <c r="H48" s="64"/>
      <c r="I48" s="64"/>
      <c r="J48" s="64"/>
      <c r="K48" s="64"/>
      <c r="L48" s="64"/>
      <c r="M48" s="64"/>
    </row>
    <row r="49" spans="2:13" x14ac:dyDescent="0.25">
      <c r="B49" s="64"/>
      <c r="C49" s="64"/>
      <c r="D49" s="64"/>
      <c r="E49" s="64"/>
      <c r="F49" s="64"/>
      <c r="G49" s="64"/>
      <c r="H49" s="64"/>
      <c r="I49" s="64"/>
      <c r="J49" s="64"/>
      <c r="K49" s="64"/>
      <c r="L49" s="64"/>
      <c r="M49" s="64"/>
    </row>
    <row r="50" spans="2:13" x14ac:dyDescent="0.25">
      <c r="B50" s="64"/>
      <c r="C50" s="64"/>
      <c r="D50" s="64"/>
      <c r="E50" s="64"/>
      <c r="F50" s="64"/>
      <c r="G50" s="64"/>
      <c r="H50" s="64"/>
      <c r="I50" s="64"/>
      <c r="J50" s="64"/>
      <c r="K50" s="64"/>
      <c r="L50" s="64"/>
      <c r="M50" s="64"/>
    </row>
    <row r="51" spans="2:13" x14ac:dyDescent="0.25">
      <c r="B51" s="64"/>
      <c r="C51" s="64"/>
      <c r="D51" s="64"/>
      <c r="E51" s="64"/>
      <c r="F51" s="64"/>
      <c r="G51" s="64"/>
      <c r="H51" s="64"/>
      <c r="I51" s="64"/>
      <c r="J51" s="64"/>
      <c r="K51" s="64"/>
      <c r="L51" s="64"/>
      <c r="M51" s="64"/>
    </row>
    <row r="52" spans="2:13" x14ac:dyDescent="0.25">
      <c r="B52" s="64"/>
      <c r="C52" s="64"/>
      <c r="D52" s="64"/>
      <c r="E52" s="64"/>
      <c r="F52" s="64"/>
      <c r="G52" s="64"/>
      <c r="H52" s="64"/>
      <c r="I52" s="64"/>
      <c r="J52" s="64"/>
      <c r="K52" s="64"/>
      <c r="L52" s="64"/>
      <c r="M52" s="64"/>
    </row>
    <row r="53" spans="2:13" x14ac:dyDescent="0.25">
      <c r="B53" s="64"/>
      <c r="C53" s="64"/>
      <c r="D53" s="64"/>
      <c r="E53" s="64"/>
      <c r="F53" s="64"/>
      <c r="G53" s="64"/>
      <c r="H53" s="64"/>
      <c r="I53" s="64"/>
      <c r="J53" s="64"/>
      <c r="K53" s="64"/>
      <c r="L53" s="64"/>
      <c r="M53" s="64"/>
    </row>
    <row r="54" spans="2:13" x14ac:dyDescent="0.25">
      <c r="B54" s="64"/>
      <c r="C54" s="64"/>
      <c r="D54" s="64"/>
      <c r="E54" s="64"/>
      <c r="F54" s="64"/>
      <c r="G54" s="64"/>
      <c r="H54" s="64"/>
      <c r="I54" s="64"/>
      <c r="J54" s="64"/>
      <c r="K54" s="64"/>
      <c r="L54" s="64"/>
      <c r="M54" s="64"/>
    </row>
    <row r="55" spans="2:13" x14ac:dyDescent="0.25">
      <c r="B55" s="64"/>
      <c r="C55" s="64"/>
      <c r="D55" s="64"/>
      <c r="E55" s="64"/>
      <c r="F55" s="64"/>
      <c r="G55" s="64"/>
      <c r="H55" s="64"/>
      <c r="I55" s="64"/>
      <c r="J55" s="64"/>
      <c r="K55" s="64"/>
      <c r="L55" s="64"/>
      <c r="M55" s="64"/>
    </row>
    <row r="56" spans="2:13" x14ac:dyDescent="0.25">
      <c r="B56" s="64"/>
      <c r="C56" s="64"/>
      <c r="D56" s="64"/>
      <c r="E56" s="64"/>
      <c r="F56" s="64"/>
      <c r="G56" s="64"/>
      <c r="H56" s="64"/>
      <c r="I56" s="64"/>
      <c r="J56" s="64"/>
      <c r="K56" s="64"/>
      <c r="L56" s="64"/>
      <c r="M56" s="64"/>
    </row>
    <row r="57" spans="2:13" x14ac:dyDescent="0.25">
      <c r="B57" s="64"/>
      <c r="C57" s="64"/>
      <c r="D57" s="64"/>
      <c r="E57" s="64"/>
      <c r="F57" s="64"/>
      <c r="G57" s="64"/>
      <c r="H57" s="64"/>
      <c r="I57" s="64"/>
      <c r="J57" s="64"/>
      <c r="K57" s="64"/>
      <c r="L57" s="64"/>
      <c r="M57" s="64"/>
    </row>
    <row r="58" spans="2:13" x14ac:dyDescent="0.25">
      <c r="B58" s="64"/>
      <c r="C58" s="64"/>
      <c r="D58" s="64"/>
      <c r="E58" s="64"/>
      <c r="F58" s="64"/>
      <c r="G58" s="64"/>
      <c r="H58" s="64"/>
      <c r="I58" s="64"/>
      <c r="J58" s="64"/>
      <c r="K58" s="64"/>
      <c r="L58" s="64"/>
      <c r="M58" s="64"/>
    </row>
    <row r="59" spans="2:13" x14ac:dyDescent="0.25">
      <c r="B59" s="64"/>
      <c r="C59" s="64"/>
      <c r="D59" s="64"/>
      <c r="E59" s="64"/>
      <c r="F59" s="64"/>
      <c r="G59" s="64"/>
      <c r="H59" s="64"/>
      <c r="I59" s="64"/>
      <c r="J59" s="64"/>
      <c r="K59" s="64"/>
      <c r="L59" s="64"/>
      <c r="M59" s="64"/>
    </row>
    <row r="60" spans="2:13" x14ac:dyDescent="0.25">
      <c r="B60" s="64"/>
      <c r="C60" s="64"/>
      <c r="D60" s="64"/>
      <c r="E60" s="64"/>
      <c r="F60" s="64"/>
      <c r="G60" s="64"/>
      <c r="H60" s="64"/>
      <c r="I60" s="64"/>
      <c r="J60" s="64"/>
      <c r="K60" s="64"/>
      <c r="L60" s="64"/>
      <c r="M60" s="64"/>
    </row>
    <row r="61" spans="2:13" x14ac:dyDescent="0.25">
      <c r="B61" s="64"/>
      <c r="C61" s="64"/>
      <c r="D61" s="64"/>
      <c r="E61" s="64"/>
      <c r="F61" s="64"/>
      <c r="G61" s="64"/>
      <c r="H61" s="64"/>
      <c r="I61" s="64"/>
      <c r="J61" s="64"/>
      <c r="K61" s="64"/>
      <c r="L61" s="64"/>
      <c r="M61" s="64"/>
    </row>
    <row r="62" spans="2:13" x14ac:dyDescent="0.25">
      <c r="B62" s="64"/>
      <c r="C62" s="64"/>
      <c r="D62" s="64"/>
      <c r="E62" s="64"/>
      <c r="F62" s="64"/>
      <c r="G62" s="64"/>
      <c r="H62" s="64"/>
      <c r="I62" s="64"/>
      <c r="J62" s="64"/>
      <c r="K62" s="64"/>
      <c r="L62" s="64"/>
      <c r="M62" s="64"/>
    </row>
    <row r="63" spans="2:13" x14ac:dyDescent="0.25">
      <c r="B63" s="64"/>
      <c r="C63" s="64"/>
      <c r="D63" s="64"/>
      <c r="E63" s="64"/>
      <c r="F63" s="64"/>
      <c r="G63" s="64"/>
      <c r="H63" s="64"/>
      <c r="I63" s="64"/>
      <c r="J63" s="64"/>
      <c r="K63" s="64"/>
      <c r="L63" s="64"/>
      <c r="M63" s="64"/>
    </row>
    <row r="64" spans="2:13" x14ac:dyDescent="0.25">
      <c r="B64" s="64"/>
      <c r="C64" s="64"/>
      <c r="D64" s="64"/>
      <c r="E64" s="64"/>
      <c r="F64" s="64"/>
      <c r="G64" s="64"/>
      <c r="H64" s="64"/>
      <c r="I64" s="64"/>
      <c r="J64" s="64"/>
      <c r="K64" s="64"/>
      <c r="L64" s="64"/>
      <c r="M64" s="64"/>
    </row>
    <row r="65" spans="2:13" x14ac:dyDescent="0.25">
      <c r="B65" s="64"/>
      <c r="C65" s="64"/>
      <c r="D65" s="64"/>
      <c r="E65" s="64"/>
      <c r="F65" s="64"/>
      <c r="G65" s="64"/>
      <c r="H65" s="64"/>
      <c r="I65" s="64"/>
      <c r="J65" s="64"/>
      <c r="K65" s="64"/>
      <c r="L65" s="64"/>
      <c r="M65" s="64"/>
    </row>
    <row r="66" spans="2:13" x14ac:dyDescent="0.25">
      <c r="B66" s="64"/>
      <c r="C66" s="64"/>
      <c r="D66" s="64"/>
      <c r="E66" s="64"/>
      <c r="F66" s="64"/>
      <c r="G66" s="64"/>
      <c r="H66" s="64"/>
      <c r="I66" s="64"/>
      <c r="J66" s="64"/>
      <c r="K66" s="64"/>
      <c r="L66" s="64"/>
      <c r="M66" s="64"/>
    </row>
    <row r="67" spans="2:13" x14ac:dyDescent="0.25">
      <c r="B67" s="64"/>
      <c r="C67" s="64"/>
      <c r="D67" s="64"/>
      <c r="E67" s="64"/>
      <c r="F67" s="64"/>
      <c r="G67" s="64"/>
      <c r="H67" s="64"/>
      <c r="I67" s="64"/>
      <c r="J67" s="64"/>
      <c r="K67" s="64"/>
      <c r="L67" s="64"/>
      <c r="M67" s="64"/>
    </row>
    <row r="68" spans="2:13" x14ac:dyDescent="0.25">
      <c r="B68" s="64"/>
      <c r="C68" s="64"/>
      <c r="D68" s="64"/>
      <c r="E68" s="64"/>
      <c r="F68" s="64"/>
      <c r="G68" s="64"/>
      <c r="H68" s="64"/>
      <c r="I68" s="64"/>
      <c r="J68" s="64"/>
      <c r="K68" s="64"/>
      <c r="L68" s="64"/>
      <c r="M68" s="64"/>
    </row>
    <row r="69" spans="2:13" x14ac:dyDescent="0.25">
      <c r="B69" s="64"/>
      <c r="C69" s="64"/>
      <c r="D69" s="64"/>
      <c r="E69" s="64"/>
      <c r="F69" s="64"/>
      <c r="G69" s="64"/>
      <c r="H69" s="64"/>
      <c r="I69" s="64"/>
      <c r="J69" s="64"/>
      <c r="K69" s="64"/>
      <c r="L69" s="64"/>
      <c r="M69" s="64"/>
    </row>
    <row r="70" spans="2:13" x14ac:dyDescent="0.25">
      <c r="B70" s="64"/>
      <c r="C70" s="64"/>
      <c r="D70" s="64"/>
      <c r="E70" s="64"/>
      <c r="F70" s="64"/>
      <c r="G70" s="64"/>
      <c r="H70" s="64"/>
      <c r="I70" s="64"/>
      <c r="J70" s="64"/>
      <c r="K70" s="64"/>
      <c r="L70" s="64"/>
      <c r="M70" s="64"/>
    </row>
    <row r="71" spans="2:13" x14ac:dyDescent="0.25">
      <c r="B71" s="64"/>
      <c r="C71" s="64"/>
      <c r="D71" s="64"/>
      <c r="E71" s="64"/>
      <c r="F71" s="64"/>
      <c r="G71" s="64"/>
      <c r="H71" s="64"/>
      <c r="I71" s="64"/>
      <c r="J71" s="64"/>
      <c r="K71" s="64"/>
      <c r="L71" s="64"/>
      <c r="M71" s="64"/>
    </row>
    <row r="72" spans="2:13" x14ac:dyDescent="0.25">
      <c r="B72" s="64"/>
      <c r="C72" s="64"/>
      <c r="D72" s="64"/>
      <c r="E72" s="64"/>
      <c r="F72" s="64"/>
      <c r="G72" s="64"/>
      <c r="H72" s="64"/>
      <c r="I72" s="64"/>
      <c r="J72" s="64"/>
      <c r="K72" s="64"/>
      <c r="L72" s="64"/>
      <c r="M72" s="64"/>
    </row>
    <row r="73" spans="2:13" x14ac:dyDescent="0.25">
      <c r="B73" s="64"/>
      <c r="C73" s="64"/>
      <c r="D73" s="64"/>
      <c r="E73" s="64"/>
      <c r="F73" s="64"/>
      <c r="G73" s="64"/>
      <c r="H73" s="64"/>
      <c r="I73" s="64"/>
      <c r="J73" s="64"/>
      <c r="K73" s="64"/>
      <c r="L73" s="64"/>
      <c r="M73" s="64"/>
    </row>
    <row r="74" spans="2:13" x14ac:dyDescent="0.25">
      <c r="B74" s="64"/>
      <c r="C74" s="64"/>
      <c r="D74" s="64"/>
      <c r="E74" s="64"/>
      <c r="F74" s="64"/>
      <c r="G74" s="64"/>
      <c r="H74" s="64"/>
      <c r="I74" s="64"/>
      <c r="J74" s="64"/>
      <c r="K74" s="64"/>
      <c r="L74" s="64"/>
      <c r="M74" s="64"/>
    </row>
    <row r="75" spans="2:13" x14ac:dyDescent="0.25">
      <c r="B75" s="64"/>
      <c r="C75" s="64"/>
      <c r="D75" s="64"/>
      <c r="E75" s="64"/>
      <c r="F75" s="64"/>
      <c r="G75" s="64"/>
      <c r="H75" s="64"/>
      <c r="I75" s="64"/>
      <c r="J75" s="64"/>
      <c r="K75" s="64"/>
      <c r="L75" s="64"/>
      <c r="M75" s="64"/>
    </row>
    <row r="76" spans="2:13" x14ac:dyDescent="0.25">
      <c r="B76" s="64"/>
      <c r="C76" s="64"/>
      <c r="D76" s="64"/>
      <c r="E76" s="64"/>
      <c r="F76" s="64"/>
      <c r="G76" s="64"/>
      <c r="H76" s="64"/>
      <c r="I76" s="64"/>
      <c r="J76" s="64"/>
      <c r="K76" s="64"/>
      <c r="L76" s="64"/>
      <c r="M76" s="64"/>
    </row>
    <row r="77" spans="2:13" x14ac:dyDescent="0.25">
      <c r="B77" s="64"/>
      <c r="C77" s="64"/>
      <c r="D77" s="64"/>
      <c r="E77" s="64"/>
      <c r="F77" s="64"/>
      <c r="G77" s="64"/>
      <c r="H77" s="64"/>
      <c r="I77" s="64"/>
      <c r="J77" s="64"/>
      <c r="K77" s="64"/>
      <c r="L77" s="64"/>
      <c r="M77" s="64"/>
    </row>
    <row r="78" spans="2:13" x14ac:dyDescent="0.25">
      <c r="B78" s="64"/>
      <c r="C78" s="64"/>
      <c r="D78" s="64"/>
      <c r="E78" s="64"/>
      <c r="F78" s="64"/>
      <c r="G78" s="64"/>
      <c r="H78" s="64"/>
      <c r="I78" s="64"/>
      <c r="J78" s="64"/>
      <c r="K78" s="64"/>
      <c r="L78" s="64"/>
      <c r="M78" s="64"/>
    </row>
    <row r="79" spans="2:13" x14ac:dyDescent="0.25">
      <c r="B79" s="64"/>
      <c r="C79" s="64"/>
      <c r="D79" s="64"/>
      <c r="E79" s="64"/>
      <c r="F79" s="64"/>
      <c r="G79" s="64"/>
      <c r="H79" s="64"/>
      <c r="I79" s="64"/>
      <c r="J79" s="64"/>
      <c r="K79" s="64"/>
      <c r="L79" s="64"/>
      <c r="M79" s="64"/>
    </row>
    <row r="80" spans="2:13" x14ac:dyDescent="0.25">
      <c r="B80" s="64"/>
      <c r="C80" s="64"/>
      <c r="D80" s="64"/>
      <c r="E80" s="64"/>
      <c r="F80" s="64"/>
      <c r="G80" s="64"/>
      <c r="H80" s="64"/>
      <c r="I80" s="64"/>
      <c r="J80" s="64"/>
      <c r="K80" s="64"/>
      <c r="L80" s="64"/>
      <c r="M80" s="64"/>
    </row>
    <row r="81" spans="2:13" x14ac:dyDescent="0.25">
      <c r="B81" s="64"/>
      <c r="C81" s="64"/>
      <c r="D81" s="64"/>
      <c r="E81" s="64"/>
      <c r="F81" s="64"/>
      <c r="G81" s="64"/>
      <c r="H81" s="64"/>
      <c r="I81" s="64"/>
      <c r="J81" s="64"/>
      <c r="K81" s="64"/>
      <c r="L81" s="64"/>
      <c r="M81" s="64"/>
    </row>
    <row r="82" spans="2:13" x14ac:dyDescent="0.25">
      <c r="B82" s="64"/>
      <c r="C82" s="64"/>
      <c r="D82" s="64"/>
      <c r="E82" s="64"/>
      <c r="F82" s="64"/>
      <c r="G82" s="64"/>
      <c r="H82" s="64"/>
      <c r="I82" s="64"/>
      <c r="J82" s="64"/>
      <c r="K82" s="64"/>
      <c r="L82" s="64"/>
      <c r="M82" s="64"/>
    </row>
    <row r="83" spans="2:13" x14ac:dyDescent="0.25">
      <c r="B83" s="64"/>
      <c r="C83" s="64"/>
      <c r="D83" s="64"/>
      <c r="E83" s="64"/>
      <c r="F83" s="64"/>
      <c r="G83" s="64"/>
      <c r="H83" s="64"/>
      <c r="I83" s="64"/>
      <c r="J83" s="64"/>
      <c r="K83" s="64"/>
      <c r="L83" s="64"/>
      <c r="M83" s="64"/>
    </row>
    <row r="84" spans="2:13" x14ac:dyDescent="0.25">
      <c r="B84" s="64"/>
      <c r="C84" s="64"/>
      <c r="D84" s="64"/>
      <c r="E84" s="64"/>
      <c r="F84" s="64"/>
      <c r="G84" s="64"/>
      <c r="H84" s="64"/>
      <c r="I84" s="64"/>
      <c r="J84" s="64"/>
      <c r="K84" s="64"/>
      <c r="L84" s="64"/>
      <c r="M84" s="64"/>
    </row>
    <row r="85" spans="2:13" x14ac:dyDescent="0.25">
      <c r="B85" s="64"/>
      <c r="C85" s="64"/>
      <c r="D85" s="64"/>
      <c r="E85" s="64"/>
      <c r="F85" s="64"/>
      <c r="G85" s="64"/>
      <c r="H85" s="64"/>
      <c r="I85" s="64"/>
      <c r="J85" s="64"/>
      <c r="K85" s="64"/>
      <c r="L85" s="64"/>
      <c r="M85" s="64"/>
    </row>
    <row r="86" spans="2:13" x14ac:dyDescent="0.25">
      <c r="B86" s="64"/>
      <c r="C86" s="64"/>
      <c r="D86" s="64"/>
      <c r="E86" s="64"/>
      <c r="F86" s="64"/>
      <c r="G86" s="64"/>
      <c r="H86" s="64"/>
      <c r="I86" s="64"/>
      <c r="J86" s="64"/>
      <c r="K86" s="64"/>
      <c r="L86" s="64"/>
      <c r="M86" s="64"/>
    </row>
    <row r="87" spans="2:13" x14ac:dyDescent="0.25">
      <c r="B87" s="64"/>
      <c r="C87" s="64"/>
      <c r="D87" s="64"/>
      <c r="E87" s="64"/>
      <c r="F87" s="64"/>
      <c r="G87" s="64"/>
      <c r="H87" s="64"/>
      <c r="I87" s="64"/>
      <c r="J87" s="64"/>
      <c r="K87" s="64"/>
      <c r="L87" s="64"/>
      <c r="M87" s="64"/>
    </row>
    <row r="88" spans="2:13" x14ac:dyDescent="0.25">
      <c r="B88" s="64"/>
      <c r="C88" s="64"/>
      <c r="D88" s="64"/>
      <c r="E88" s="64"/>
      <c r="F88" s="64"/>
      <c r="G88" s="64"/>
      <c r="H88" s="64"/>
      <c r="I88" s="64"/>
      <c r="J88" s="64"/>
      <c r="K88" s="64"/>
      <c r="L88" s="64"/>
      <c r="M88" s="64"/>
    </row>
    <row r="89" spans="2:13" x14ac:dyDescent="0.25">
      <c r="B89" s="64"/>
      <c r="C89" s="64"/>
      <c r="D89" s="64"/>
      <c r="E89" s="64"/>
      <c r="F89" s="64"/>
      <c r="G89" s="64"/>
      <c r="H89" s="64"/>
      <c r="I89" s="64"/>
      <c r="J89" s="64"/>
      <c r="K89" s="64"/>
      <c r="L89" s="64"/>
      <c r="M89" s="64"/>
    </row>
    <row r="90" spans="2:13" x14ac:dyDescent="0.25">
      <c r="B90" s="64"/>
      <c r="C90" s="64"/>
      <c r="D90" s="64"/>
      <c r="E90" s="64"/>
      <c r="F90" s="64"/>
      <c r="G90" s="64"/>
      <c r="H90" s="64"/>
      <c r="I90" s="64"/>
      <c r="J90" s="64"/>
      <c r="K90" s="64"/>
      <c r="L90" s="64"/>
      <c r="M90" s="64"/>
    </row>
    <row r="91" spans="2:13" x14ac:dyDescent="0.25">
      <c r="B91" s="64"/>
      <c r="C91" s="64"/>
      <c r="D91" s="64"/>
      <c r="E91" s="64"/>
      <c r="F91" s="64"/>
      <c r="G91" s="64"/>
      <c r="H91" s="64"/>
      <c r="I91" s="64"/>
      <c r="J91" s="64"/>
      <c r="K91" s="64"/>
      <c r="L91" s="64"/>
      <c r="M91" s="64"/>
    </row>
    <row r="92" spans="2:13" x14ac:dyDescent="0.25">
      <c r="B92" s="64"/>
      <c r="C92" s="64"/>
      <c r="D92" s="64"/>
      <c r="E92" s="64"/>
      <c r="F92" s="64"/>
      <c r="G92" s="64"/>
      <c r="H92" s="64"/>
      <c r="I92" s="64"/>
      <c r="J92" s="64"/>
      <c r="K92" s="64"/>
      <c r="L92" s="64"/>
      <c r="M92" s="64"/>
    </row>
    <row r="93" spans="2:13" x14ac:dyDescent="0.25">
      <c r="B93" s="64"/>
      <c r="C93" s="64"/>
      <c r="D93" s="64"/>
      <c r="E93" s="64"/>
      <c r="F93" s="64"/>
      <c r="G93" s="64"/>
      <c r="H93" s="64"/>
      <c r="I93" s="64"/>
      <c r="J93" s="64"/>
      <c r="K93" s="64"/>
      <c r="L93" s="64"/>
      <c r="M93" s="64"/>
    </row>
    <row r="94" spans="2:13" x14ac:dyDescent="0.25">
      <c r="B94" s="64"/>
      <c r="C94" s="64"/>
      <c r="D94" s="64"/>
      <c r="E94" s="64"/>
      <c r="F94" s="64"/>
      <c r="G94" s="64"/>
      <c r="H94" s="64"/>
      <c r="I94" s="64"/>
      <c r="J94" s="64"/>
      <c r="K94" s="64"/>
      <c r="L94" s="64"/>
      <c r="M94" s="64"/>
    </row>
    <row r="95" spans="2:13" x14ac:dyDescent="0.25">
      <c r="B95" s="64"/>
      <c r="C95" s="64"/>
      <c r="D95" s="64"/>
      <c r="E95" s="64"/>
      <c r="F95" s="64"/>
      <c r="G95" s="64"/>
      <c r="H95" s="64"/>
      <c r="I95" s="64"/>
      <c r="J95" s="64"/>
      <c r="K95" s="64"/>
      <c r="L95" s="64"/>
      <c r="M95" s="64"/>
    </row>
    <row r="96" spans="2:13" x14ac:dyDescent="0.25">
      <c r="B96" s="64"/>
      <c r="C96" s="64"/>
      <c r="D96" s="64"/>
      <c r="E96" s="64"/>
      <c r="F96" s="64"/>
      <c r="G96" s="64"/>
      <c r="H96" s="64"/>
      <c r="I96" s="64"/>
      <c r="J96" s="64"/>
      <c r="K96" s="64"/>
      <c r="L96" s="64"/>
      <c r="M96" s="64"/>
    </row>
    <row r="97" spans="8:13" x14ac:dyDescent="0.25">
      <c r="H97" s="66"/>
      <c r="I97" s="66"/>
      <c r="J97" s="66"/>
      <c r="K97" s="66"/>
      <c r="L97" s="66"/>
      <c r="M97" s="66"/>
    </row>
    <row r="98" spans="8:13" x14ac:dyDescent="0.25">
      <c r="H98" s="66"/>
      <c r="I98" s="66"/>
      <c r="J98" s="66"/>
      <c r="K98" s="66"/>
      <c r="L98" s="66"/>
      <c r="M98" s="66"/>
    </row>
    <row r="99" spans="8:13" x14ac:dyDescent="0.25">
      <c r="H99" s="66"/>
      <c r="I99" s="66"/>
      <c r="J99" s="66"/>
      <c r="K99" s="66"/>
      <c r="L99" s="66"/>
      <c r="M99" s="66"/>
    </row>
    <row r="100" spans="8:13" x14ac:dyDescent="0.25">
      <c r="H100" s="66"/>
      <c r="I100" s="66"/>
      <c r="J100" s="66"/>
      <c r="K100" s="66"/>
      <c r="L100" s="66"/>
      <c r="M100" s="66"/>
    </row>
    <row r="101" spans="8:13" x14ac:dyDescent="0.25">
      <c r="H101" s="66"/>
      <c r="I101" s="66"/>
      <c r="J101" s="66"/>
      <c r="K101" s="66"/>
      <c r="L101" s="66"/>
      <c r="M101" s="66"/>
    </row>
    <row r="102" spans="8:13" x14ac:dyDescent="0.25">
      <c r="H102" s="66"/>
      <c r="I102" s="66"/>
      <c r="J102" s="66"/>
      <c r="K102" s="66"/>
      <c r="L102" s="66"/>
      <c r="M102" s="66"/>
    </row>
    <row r="103" spans="8:13" x14ac:dyDescent="0.25">
      <c r="H103" s="66"/>
      <c r="I103" s="66"/>
      <c r="J103" s="66"/>
      <c r="K103" s="66"/>
      <c r="L103" s="66"/>
      <c r="M103" s="66"/>
    </row>
    <row r="104" spans="8:13" x14ac:dyDescent="0.25">
      <c r="H104" s="66"/>
      <c r="I104" s="66"/>
      <c r="J104" s="66"/>
      <c r="K104" s="66"/>
      <c r="L104" s="66"/>
      <c r="M104" s="66"/>
    </row>
    <row r="105" spans="8:13" x14ac:dyDescent="0.25">
      <c r="H105" s="66"/>
      <c r="I105" s="66"/>
      <c r="J105" s="66"/>
      <c r="K105" s="66"/>
      <c r="L105" s="66"/>
      <c r="M105" s="66"/>
    </row>
    <row r="106" spans="8:13" x14ac:dyDescent="0.25">
      <c r="H106" s="66"/>
      <c r="I106" s="66"/>
      <c r="J106" s="66"/>
      <c r="K106" s="66"/>
      <c r="L106" s="66"/>
      <c r="M106" s="66"/>
    </row>
    <row r="107" spans="8:13" x14ac:dyDescent="0.25">
      <c r="H107" s="66"/>
      <c r="I107" s="66"/>
      <c r="J107" s="66"/>
      <c r="K107" s="66"/>
      <c r="L107" s="66"/>
      <c r="M107" s="66"/>
    </row>
    <row r="108" spans="8:13" x14ac:dyDescent="0.25">
      <c r="H108" s="66"/>
      <c r="I108" s="66"/>
      <c r="J108" s="66"/>
      <c r="K108" s="66"/>
      <c r="L108" s="66"/>
      <c r="M108" s="66"/>
    </row>
    <row r="109" spans="8:13" x14ac:dyDescent="0.25">
      <c r="H109" s="66"/>
      <c r="I109" s="66"/>
      <c r="J109" s="66"/>
      <c r="K109" s="66"/>
      <c r="L109" s="66"/>
      <c r="M109" s="66"/>
    </row>
    <row r="110" spans="8:13" x14ac:dyDescent="0.25">
      <c r="H110" s="66"/>
      <c r="I110" s="66"/>
      <c r="J110" s="66"/>
      <c r="K110" s="66"/>
      <c r="L110" s="66"/>
      <c r="M110" s="66"/>
    </row>
    <row r="111" spans="8:13" x14ac:dyDescent="0.25">
      <c r="H111" s="66"/>
      <c r="I111" s="66"/>
      <c r="J111" s="66"/>
      <c r="K111" s="66"/>
      <c r="L111" s="66"/>
      <c r="M111" s="66"/>
    </row>
    <row r="112" spans="8:13" x14ac:dyDescent="0.25">
      <c r="H112" s="66"/>
      <c r="I112" s="66"/>
      <c r="J112" s="66"/>
      <c r="K112" s="66"/>
      <c r="L112" s="66"/>
      <c r="M112" s="66"/>
    </row>
    <row r="113" spans="8:13" x14ac:dyDescent="0.25">
      <c r="H113" s="66"/>
      <c r="I113" s="66"/>
      <c r="J113" s="66"/>
      <c r="K113" s="66"/>
      <c r="L113" s="66"/>
      <c r="M113" s="66"/>
    </row>
    <row r="114" spans="8:13" x14ac:dyDescent="0.25">
      <c r="H114" s="66"/>
      <c r="I114" s="66"/>
      <c r="J114" s="66"/>
      <c r="K114" s="66"/>
      <c r="L114" s="66"/>
      <c r="M114" s="66"/>
    </row>
    <row r="115" spans="8:13" x14ac:dyDescent="0.25">
      <c r="H115" s="66"/>
      <c r="I115" s="66"/>
      <c r="J115" s="66"/>
      <c r="K115" s="66"/>
      <c r="L115" s="66"/>
      <c r="M115" s="66"/>
    </row>
    <row r="116" spans="8:13" x14ac:dyDescent="0.25">
      <c r="H116" s="66"/>
      <c r="I116" s="66"/>
      <c r="J116" s="66"/>
      <c r="K116" s="66"/>
      <c r="L116" s="66"/>
      <c r="M116" s="66"/>
    </row>
    <row r="117" spans="8:13" x14ac:dyDescent="0.25">
      <c r="H117" s="66"/>
      <c r="I117" s="66"/>
      <c r="J117" s="66"/>
      <c r="K117" s="66"/>
      <c r="L117" s="66"/>
      <c r="M117" s="66"/>
    </row>
    <row r="118" spans="8:13" x14ac:dyDescent="0.25">
      <c r="H118" s="66"/>
      <c r="I118" s="66"/>
      <c r="J118" s="66"/>
      <c r="K118" s="66"/>
      <c r="L118" s="66"/>
      <c r="M118" s="66"/>
    </row>
    <row r="119" spans="8:13" x14ac:dyDescent="0.25">
      <c r="H119" s="66"/>
      <c r="I119" s="66"/>
      <c r="J119" s="66"/>
      <c r="K119" s="66"/>
      <c r="L119" s="66"/>
      <c r="M119" s="66"/>
    </row>
    <row r="120" spans="8:13" x14ac:dyDescent="0.25">
      <c r="H120" s="66"/>
      <c r="I120" s="66"/>
      <c r="J120" s="66"/>
      <c r="K120" s="66"/>
      <c r="L120" s="66"/>
      <c r="M120" s="66"/>
    </row>
    <row r="121" spans="8:13" x14ac:dyDescent="0.25">
      <c r="H121" s="66"/>
      <c r="I121" s="66"/>
      <c r="J121" s="66"/>
      <c r="K121" s="66"/>
      <c r="L121" s="66"/>
      <c r="M121" s="66"/>
    </row>
    <row r="122" spans="8:13" x14ac:dyDescent="0.25">
      <c r="H122" s="66"/>
      <c r="I122" s="66"/>
      <c r="J122" s="66"/>
      <c r="K122" s="66"/>
      <c r="L122" s="66"/>
      <c r="M122" s="66"/>
    </row>
    <row r="123" spans="8:13" x14ac:dyDescent="0.25">
      <c r="H123" s="66"/>
      <c r="I123" s="66"/>
      <c r="J123" s="66"/>
      <c r="K123" s="66"/>
      <c r="L123" s="66"/>
      <c r="M123" s="66"/>
    </row>
    <row r="124" spans="8:13" x14ac:dyDescent="0.25">
      <c r="H124" s="66"/>
      <c r="I124" s="66"/>
      <c r="J124" s="66"/>
      <c r="K124" s="66"/>
      <c r="L124" s="66"/>
      <c r="M124" s="66"/>
    </row>
    <row r="125" spans="8:13" x14ac:dyDescent="0.25">
      <c r="H125" s="66"/>
      <c r="I125" s="66"/>
      <c r="J125" s="66"/>
      <c r="K125" s="66"/>
      <c r="L125" s="66"/>
      <c r="M125" s="66"/>
    </row>
    <row r="126" spans="8:13" x14ac:dyDescent="0.25">
      <c r="H126" s="66"/>
      <c r="I126" s="66"/>
      <c r="J126" s="66"/>
      <c r="K126" s="66"/>
      <c r="L126" s="66"/>
      <c r="M126" s="66"/>
    </row>
    <row r="127" spans="8:13" x14ac:dyDescent="0.25">
      <c r="H127" s="66"/>
      <c r="I127" s="66"/>
      <c r="J127" s="66"/>
      <c r="K127" s="66"/>
      <c r="L127" s="66"/>
      <c r="M127" s="66"/>
    </row>
    <row r="128" spans="8:13" x14ac:dyDescent="0.25">
      <c r="H128" s="66"/>
      <c r="I128" s="66"/>
      <c r="J128" s="66"/>
      <c r="K128" s="66"/>
      <c r="L128" s="66"/>
      <c r="M128" s="66"/>
    </row>
    <row r="129" spans="8:13" x14ac:dyDescent="0.25">
      <c r="H129" s="66"/>
      <c r="I129" s="66"/>
      <c r="J129" s="66"/>
      <c r="K129" s="66"/>
      <c r="L129" s="66"/>
      <c r="M129" s="66"/>
    </row>
    <row r="130" spans="8:13" x14ac:dyDescent="0.25">
      <c r="H130" s="66"/>
      <c r="I130" s="66"/>
      <c r="J130" s="66"/>
      <c r="K130" s="66"/>
      <c r="L130" s="66"/>
      <c r="M130" s="66"/>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52" priority="1" operator="between">
      <formula>0.001</formula>
      <formula>0.999</formula>
    </cfRule>
    <cfRule type="cellIs" dxfId="51" priority="2" operator="equal">
      <formula>1</formula>
    </cfRule>
    <cfRule type="cellIs" dxfId="50"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2"/>
  <sheetViews>
    <sheetView topLeftCell="A4" zoomScale="109" zoomScaleNormal="85" zoomScalePageLayoutView="85" workbookViewId="0">
      <selection activeCell="A6" sqref="A6"/>
    </sheetView>
  </sheetViews>
  <sheetFormatPr defaultColWidth="9.140625" defaultRowHeight="15" x14ac:dyDescent="0.25"/>
  <cols>
    <col min="1" max="1" width="9.140625" style="120"/>
    <col min="2" max="2" width="20.140625" style="1" customWidth="1"/>
    <col min="3" max="3" width="54.7109375" style="1" customWidth="1"/>
    <col min="4" max="4" width="39" style="1" customWidth="1"/>
    <col min="5" max="5" width="60.28515625" style="1" customWidth="1"/>
    <col min="6" max="6" width="27.42578125" style="1" customWidth="1"/>
    <col min="7" max="7" width="13.140625" style="109" customWidth="1"/>
    <col min="9" max="16384" width="9.140625" style="1"/>
  </cols>
  <sheetData>
    <row r="1" spans="1:11" s="104" customFormat="1" ht="30" x14ac:dyDescent="0.25">
      <c r="A1" s="120"/>
      <c r="C1" s="105">
        <f ca="1">TODAY()</f>
        <v>43145</v>
      </c>
      <c r="E1" s="105"/>
      <c r="G1" s="107"/>
      <c r="I1" s="104" t="s">
        <v>40</v>
      </c>
      <c r="K1" s="104" t="s">
        <v>39</v>
      </c>
    </row>
    <row r="2" spans="1:11" s="104" customFormat="1" ht="29.25" customHeight="1" x14ac:dyDescent="0.25">
      <c r="A2" s="121" t="s">
        <v>71</v>
      </c>
      <c r="G2" s="107"/>
    </row>
    <row r="3" spans="1:11" s="75" customFormat="1" ht="39" customHeight="1" x14ac:dyDescent="0.25">
      <c r="A3" s="120"/>
      <c r="B3" s="75" t="s">
        <v>41</v>
      </c>
      <c r="C3" s="75" t="s">
        <v>42</v>
      </c>
      <c r="D3" s="75" t="s">
        <v>74</v>
      </c>
      <c r="E3" s="75" t="s">
        <v>50</v>
      </c>
      <c r="F3" s="75" t="s">
        <v>43</v>
      </c>
      <c r="G3" s="122" t="s">
        <v>46</v>
      </c>
    </row>
    <row r="4" spans="1:11" s="118" customFormat="1" ht="36.75" customHeight="1" x14ac:dyDescent="0.25">
      <c r="A4" s="148"/>
      <c r="B4" s="118" t="s">
        <v>44</v>
      </c>
      <c r="C4" s="118" t="s">
        <v>45</v>
      </c>
      <c r="F4" s="118" t="s">
        <v>47</v>
      </c>
      <c r="G4" s="119">
        <v>1</v>
      </c>
    </row>
    <row r="5" spans="1:11" s="106" customFormat="1" ht="106.5" customHeight="1" x14ac:dyDescent="0.25">
      <c r="A5" s="147"/>
      <c r="B5" s="106" t="s">
        <v>49</v>
      </c>
      <c r="C5" s="106" t="s">
        <v>113</v>
      </c>
      <c r="E5" s="106" t="s">
        <v>112</v>
      </c>
      <c r="F5" s="106" t="s">
        <v>81</v>
      </c>
      <c r="G5" s="108">
        <v>1</v>
      </c>
    </row>
    <row r="6" spans="1:11" s="106" customFormat="1" ht="106.5" customHeight="1" x14ac:dyDescent="0.25">
      <c r="A6" s="267"/>
      <c r="B6" s="106" t="s">
        <v>126</v>
      </c>
      <c r="C6" s="106" t="s">
        <v>125</v>
      </c>
      <c r="E6" s="106" t="s">
        <v>338</v>
      </c>
      <c r="F6" s="106" t="s">
        <v>124</v>
      </c>
      <c r="G6" s="108">
        <v>1</v>
      </c>
    </row>
    <row r="7" spans="1:11" s="106" customFormat="1" ht="67.5" customHeight="1" x14ac:dyDescent="0.25">
      <c r="A7" s="235"/>
      <c r="B7" s="106" t="s">
        <v>127</v>
      </c>
      <c r="C7" s="106" t="s">
        <v>337</v>
      </c>
      <c r="G7" s="108">
        <v>1</v>
      </c>
    </row>
    <row r="8" spans="1:11" s="106" customFormat="1" ht="106.5" customHeight="1" x14ac:dyDescent="0.25">
      <c r="A8" s="235"/>
      <c r="B8" s="106" t="s">
        <v>49</v>
      </c>
      <c r="C8" s="106" t="s">
        <v>289</v>
      </c>
      <c r="E8" s="106" t="s">
        <v>290</v>
      </c>
      <c r="G8" s="108">
        <v>1</v>
      </c>
    </row>
    <row r="9" spans="1:11" s="106" customFormat="1" ht="106.5" customHeight="1" x14ac:dyDescent="0.25">
      <c r="A9" s="235"/>
      <c r="B9" s="106" t="s">
        <v>127</v>
      </c>
      <c r="C9" s="106" t="s">
        <v>128</v>
      </c>
      <c r="D9" s="106" t="s">
        <v>309</v>
      </c>
      <c r="E9" s="106" t="s">
        <v>291</v>
      </c>
      <c r="F9" s="106" t="s">
        <v>114</v>
      </c>
      <c r="G9" s="108">
        <v>1</v>
      </c>
    </row>
    <row r="10" spans="1:11" s="248" customFormat="1" ht="93" customHeight="1" x14ac:dyDescent="0.25">
      <c r="A10" s="260"/>
      <c r="B10" s="248" t="s">
        <v>285</v>
      </c>
      <c r="C10" s="248" t="s">
        <v>286</v>
      </c>
      <c r="D10" s="248" t="s">
        <v>308</v>
      </c>
      <c r="E10" s="248" t="s">
        <v>290</v>
      </c>
      <c r="G10" s="249">
        <v>1</v>
      </c>
    </row>
    <row r="11" spans="1:11" s="248" customFormat="1" ht="67.5" customHeight="1" x14ac:dyDescent="0.25">
      <c r="A11" s="260"/>
      <c r="B11" s="248" t="s">
        <v>292</v>
      </c>
      <c r="C11" s="248" t="s">
        <v>294</v>
      </c>
      <c r="D11" s="248" t="s">
        <v>295</v>
      </c>
      <c r="G11" s="249">
        <v>1</v>
      </c>
    </row>
    <row r="12" spans="1:11" x14ac:dyDescent="0.25">
      <c r="A12" s="123"/>
    </row>
    <row r="13" spans="1:11" x14ac:dyDescent="0.25">
      <c r="A13" s="123"/>
    </row>
    <row r="14" spans="1:11" x14ac:dyDescent="0.25">
      <c r="A14" s="123"/>
    </row>
    <row r="15" spans="1:11" x14ac:dyDescent="0.25">
      <c r="A15" s="123"/>
    </row>
    <row r="16" spans="1:11" x14ac:dyDescent="0.25">
      <c r="A16" s="123"/>
    </row>
    <row r="17" spans="1:1" x14ac:dyDescent="0.25">
      <c r="A17" s="123"/>
    </row>
    <row r="18" spans="1:1" x14ac:dyDescent="0.25">
      <c r="A18" s="123"/>
    </row>
    <row r="19" spans="1:1" x14ac:dyDescent="0.25">
      <c r="A19" s="123"/>
    </row>
    <row r="20" spans="1:1" x14ac:dyDescent="0.25">
      <c r="A20" s="123"/>
    </row>
    <row r="21" spans="1:1" x14ac:dyDescent="0.25">
      <c r="A21" s="123"/>
    </row>
    <row r="22" spans="1:1" x14ac:dyDescent="0.25">
      <c r="A22" s="123"/>
    </row>
  </sheetData>
  <conditionalFormatting sqref="G1:G1048576">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NC729"/>
  <sheetViews>
    <sheetView topLeftCell="A7" workbookViewId="0">
      <selection activeCell="F18" sqref="F18"/>
    </sheetView>
  </sheetViews>
  <sheetFormatPr defaultColWidth="9.140625" defaultRowHeight="15" outlineLevelCol="1" x14ac:dyDescent="0.25"/>
  <cols>
    <col min="1" max="1" width="9.140625" style="10" customWidth="1"/>
    <col min="2" max="2" width="9.140625" style="134" customWidth="1"/>
    <col min="3" max="3" width="9.140625" style="36"/>
    <col min="4" max="4" width="29.85546875" style="36" customWidth="1"/>
    <col min="5" max="5" width="15.85546875" style="37" customWidth="1"/>
    <col min="6" max="6" width="16.42578125" style="37" customWidth="1"/>
    <col min="7" max="7" width="28" style="26" customWidth="1"/>
    <col min="8" max="8" width="2.42578125" style="15" customWidth="1"/>
    <col min="9" max="10" width="15" style="1" customWidth="1" outlineLevel="1"/>
    <col min="11" max="11" width="12.28515625" style="1" customWidth="1" outlineLevel="1"/>
    <col min="12" max="12" width="15.42578125" style="1" customWidth="1" outlineLevel="1"/>
    <col min="13" max="13" width="9.140625" style="1" customWidth="1" outlineLevel="1"/>
    <col min="14" max="14" width="9.140625" style="1"/>
    <col min="15" max="41" width="9.140625" style="1" customWidth="1" outlineLevel="1"/>
    <col min="42" max="16384" width="9.140625" style="1"/>
  </cols>
  <sheetData>
    <row r="1" spans="1:367" s="3" customFormat="1" x14ac:dyDescent="0.25">
      <c r="A1" s="10"/>
      <c r="B1" s="134"/>
      <c r="C1" s="27"/>
      <c r="D1" s="27"/>
      <c r="E1" s="28"/>
      <c r="F1" s="28"/>
      <c r="G1" s="21"/>
      <c r="H1" s="11"/>
    </row>
    <row r="2" spans="1:367" s="7" customFormat="1" x14ac:dyDescent="0.25">
      <c r="A2" s="9"/>
      <c r="B2" s="135"/>
      <c r="C2" s="29"/>
      <c r="D2" s="29"/>
      <c r="E2" s="30"/>
      <c r="F2" s="30"/>
      <c r="G2" s="22"/>
      <c r="H2" s="12"/>
    </row>
    <row r="3" spans="1:367" s="5" customFormat="1" ht="16.5" customHeight="1" x14ac:dyDescent="0.25">
      <c r="A3" s="8"/>
      <c r="B3" s="136"/>
      <c r="C3" s="132"/>
      <c r="D3" s="31" t="s">
        <v>5</v>
      </c>
      <c r="E3" s="32" t="s">
        <v>6</v>
      </c>
      <c r="F3" s="32"/>
      <c r="G3" s="23"/>
      <c r="H3" s="13"/>
    </row>
    <row r="4" spans="1:367" s="6" customFormat="1" ht="24" customHeight="1" x14ac:dyDescent="0.25">
      <c r="A4" s="10"/>
      <c r="B4" s="137"/>
      <c r="C4" s="133"/>
      <c r="D4" s="41">
        <f ca="1">TODAY()</f>
        <v>43145</v>
      </c>
      <c r="E4" s="42" t="s">
        <v>7</v>
      </c>
      <c r="F4" s="34"/>
      <c r="G4" s="24"/>
      <c r="H4" s="14"/>
      <c r="L4" s="68" t="s">
        <v>20</v>
      </c>
    </row>
    <row r="5" spans="1:367" s="6" customFormat="1" x14ac:dyDescent="0.25">
      <c r="A5" s="10"/>
      <c r="B5" s="134"/>
      <c r="C5" s="33"/>
      <c r="D5" s="33"/>
      <c r="E5" s="34"/>
      <c r="F5" s="34"/>
      <c r="G5" s="24"/>
      <c r="H5" s="14"/>
    </row>
    <row r="6" spans="1:367" s="16" customFormat="1" ht="62.25" customHeight="1" x14ac:dyDescent="0.25">
      <c r="A6" s="18"/>
      <c r="B6" s="138"/>
      <c r="C6" s="25"/>
      <c r="D6" s="25"/>
      <c r="E6" s="25"/>
      <c r="F6" s="25"/>
      <c r="G6" s="25"/>
      <c r="H6" s="17"/>
      <c r="I6" s="131">
        <v>43127</v>
      </c>
      <c r="J6" s="131">
        <v>43128</v>
      </c>
      <c r="K6" s="131">
        <v>43129</v>
      </c>
      <c r="L6" s="131">
        <v>43130</v>
      </c>
      <c r="M6" s="131">
        <v>43131</v>
      </c>
      <c r="N6" s="131">
        <v>43132</v>
      </c>
      <c r="O6" s="131">
        <v>43133</v>
      </c>
      <c r="P6" s="131">
        <v>43134</v>
      </c>
      <c r="Q6" s="131">
        <v>43135</v>
      </c>
      <c r="R6" s="131">
        <v>43136</v>
      </c>
      <c r="S6" s="131">
        <v>43137</v>
      </c>
      <c r="T6" s="131">
        <v>43138</v>
      </c>
      <c r="U6" s="131">
        <v>43139</v>
      </c>
      <c r="V6" s="131">
        <v>43140</v>
      </c>
      <c r="W6" s="131">
        <v>43141</v>
      </c>
      <c r="X6" s="131">
        <v>43142</v>
      </c>
      <c r="Y6" s="131">
        <v>43143</v>
      </c>
      <c r="Z6" s="131">
        <v>43144</v>
      </c>
      <c r="AA6" s="131">
        <v>43145</v>
      </c>
      <c r="AB6" s="131">
        <v>43146</v>
      </c>
      <c r="AC6" s="131">
        <v>43147</v>
      </c>
      <c r="AD6" s="131">
        <v>43148</v>
      </c>
      <c r="AE6" s="131">
        <v>43149</v>
      </c>
      <c r="AF6" s="131">
        <v>43150</v>
      </c>
      <c r="AG6" s="131">
        <v>43151</v>
      </c>
      <c r="AH6" s="131">
        <v>43152</v>
      </c>
      <c r="AI6" s="131">
        <v>43153</v>
      </c>
      <c r="AJ6" s="131">
        <v>43154</v>
      </c>
      <c r="AK6" s="131">
        <v>43155</v>
      </c>
      <c r="AL6" s="131">
        <v>43156</v>
      </c>
      <c r="AM6" s="131">
        <v>43157</v>
      </c>
      <c r="AN6" s="131">
        <v>43158</v>
      </c>
      <c r="AO6" s="131">
        <v>43159</v>
      </c>
      <c r="AP6" s="131">
        <v>43160</v>
      </c>
      <c r="AQ6" s="131">
        <v>43161</v>
      </c>
      <c r="AR6" s="131">
        <v>43162</v>
      </c>
      <c r="AS6" s="131">
        <v>43163</v>
      </c>
      <c r="AT6" s="131">
        <v>43164</v>
      </c>
      <c r="AU6" s="131">
        <v>43165</v>
      </c>
      <c r="AV6" s="131">
        <v>43166</v>
      </c>
      <c r="AW6" s="131">
        <v>43167</v>
      </c>
      <c r="AX6" s="131">
        <v>43168</v>
      </c>
      <c r="AY6" s="16">
        <v>43169</v>
      </c>
      <c r="AZ6" s="16">
        <v>43170</v>
      </c>
      <c r="BA6" s="16">
        <v>43171</v>
      </c>
      <c r="BB6" s="16">
        <v>43172</v>
      </c>
      <c r="BC6" s="16">
        <v>43173</v>
      </c>
      <c r="BD6" s="16">
        <v>43174</v>
      </c>
      <c r="BE6" s="16">
        <v>43175</v>
      </c>
      <c r="BF6" s="16">
        <v>43176</v>
      </c>
      <c r="BG6" s="16">
        <v>43177</v>
      </c>
      <c r="BH6" s="16">
        <v>43178</v>
      </c>
      <c r="BI6" s="16">
        <v>43179</v>
      </c>
      <c r="BJ6" s="16">
        <v>43180</v>
      </c>
      <c r="BK6" s="16">
        <v>43181</v>
      </c>
      <c r="BL6" s="16">
        <v>43182</v>
      </c>
      <c r="BM6" s="16">
        <v>43183</v>
      </c>
      <c r="BN6" s="16">
        <v>43184</v>
      </c>
      <c r="BO6" s="16">
        <v>43185</v>
      </c>
      <c r="BP6" s="16">
        <v>43186</v>
      </c>
      <c r="BQ6" s="16">
        <v>43187</v>
      </c>
      <c r="BR6" s="16">
        <v>43188</v>
      </c>
      <c r="BS6" s="16">
        <v>43189</v>
      </c>
      <c r="BT6" s="16">
        <v>43190</v>
      </c>
      <c r="BU6" s="16">
        <v>43191</v>
      </c>
      <c r="BV6" s="16">
        <v>43192</v>
      </c>
      <c r="BW6" s="16">
        <v>43193</v>
      </c>
      <c r="BX6" s="16">
        <v>43194</v>
      </c>
      <c r="BY6" s="16">
        <v>43195</v>
      </c>
      <c r="BZ6" s="16">
        <v>43196</v>
      </c>
      <c r="CA6" s="16">
        <v>43197</v>
      </c>
      <c r="CB6" s="16">
        <v>43198</v>
      </c>
      <c r="CC6" s="16">
        <v>43199</v>
      </c>
      <c r="CD6" s="16">
        <v>43200</v>
      </c>
      <c r="CE6" s="16">
        <v>43201</v>
      </c>
      <c r="CF6" s="16">
        <v>43202</v>
      </c>
      <c r="CG6" s="16">
        <v>43203</v>
      </c>
      <c r="CH6" s="16">
        <v>43204</v>
      </c>
      <c r="CI6" s="16">
        <v>43205</v>
      </c>
      <c r="CJ6" s="16">
        <v>43206</v>
      </c>
      <c r="CK6" s="16">
        <v>43207</v>
      </c>
      <c r="CL6" s="16">
        <v>43208</v>
      </c>
      <c r="CM6" s="16">
        <v>43209</v>
      </c>
      <c r="CN6" s="16">
        <v>43210</v>
      </c>
      <c r="CO6" s="16">
        <v>43211</v>
      </c>
      <c r="CP6" s="16">
        <v>43212</v>
      </c>
      <c r="CQ6" s="16">
        <v>43213</v>
      </c>
      <c r="CR6" s="16">
        <v>43214</v>
      </c>
      <c r="CS6" s="16">
        <v>43215</v>
      </c>
      <c r="CT6" s="16">
        <v>43216</v>
      </c>
      <c r="CU6" s="16">
        <v>43217</v>
      </c>
      <c r="CV6" s="16">
        <v>43218</v>
      </c>
      <c r="CW6" s="16">
        <v>43219</v>
      </c>
      <c r="CX6" s="16">
        <v>43220</v>
      </c>
      <c r="CY6" s="16">
        <v>43221</v>
      </c>
      <c r="CZ6" s="16">
        <v>43222</v>
      </c>
      <c r="DA6" s="16">
        <v>43223</v>
      </c>
      <c r="DB6" s="16">
        <v>43224</v>
      </c>
      <c r="DC6" s="16">
        <v>43225</v>
      </c>
      <c r="DD6" s="16">
        <v>43226</v>
      </c>
      <c r="DE6" s="16">
        <v>43227</v>
      </c>
      <c r="DF6" s="16">
        <v>43228</v>
      </c>
      <c r="DG6" s="16">
        <v>43229</v>
      </c>
      <c r="DH6" s="16">
        <v>43230</v>
      </c>
      <c r="DI6" s="16">
        <v>43231</v>
      </c>
      <c r="DJ6" s="16">
        <v>43232</v>
      </c>
      <c r="DK6" s="16">
        <v>43233</v>
      </c>
      <c r="DL6" s="16">
        <v>43234</v>
      </c>
      <c r="DM6" s="16">
        <v>43235</v>
      </c>
      <c r="DN6" s="16">
        <v>43236</v>
      </c>
      <c r="DO6" s="16">
        <v>43237</v>
      </c>
      <c r="DP6" s="16">
        <v>43238</v>
      </c>
      <c r="DQ6" s="16">
        <v>43239</v>
      </c>
      <c r="DR6" s="16">
        <v>43240</v>
      </c>
      <c r="DS6" s="16">
        <v>43241</v>
      </c>
      <c r="DT6" s="16">
        <v>43242</v>
      </c>
      <c r="DU6" s="16">
        <v>43243</v>
      </c>
      <c r="DV6" s="16">
        <v>43244</v>
      </c>
      <c r="DW6" s="16">
        <v>43245</v>
      </c>
      <c r="DX6" s="16">
        <v>43246</v>
      </c>
      <c r="DY6" s="16">
        <v>43247</v>
      </c>
      <c r="DZ6" s="16">
        <v>43248</v>
      </c>
      <c r="EA6" s="16">
        <v>43249</v>
      </c>
      <c r="EB6" s="16">
        <v>43250</v>
      </c>
      <c r="EC6" s="16">
        <v>43251</v>
      </c>
      <c r="ED6" s="16">
        <v>43252</v>
      </c>
      <c r="EE6" s="16">
        <v>43253</v>
      </c>
      <c r="EF6" s="16">
        <v>43254</v>
      </c>
      <c r="EG6" s="16">
        <v>43255</v>
      </c>
      <c r="EH6" s="16">
        <v>43256</v>
      </c>
      <c r="EI6" s="16">
        <v>43257</v>
      </c>
      <c r="EJ6" s="16">
        <v>43258</v>
      </c>
      <c r="EK6" s="16">
        <v>43259</v>
      </c>
      <c r="EL6" s="16">
        <v>43260</v>
      </c>
      <c r="EM6" s="16">
        <v>43261</v>
      </c>
      <c r="EN6" s="16">
        <v>43262</v>
      </c>
      <c r="EO6" s="16">
        <v>43263</v>
      </c>
      <c r="EP6" s="16">
        <v>43264</v>
      </c>
      <c r="EQ6" s="16">
        <v>43265</v>
      </c>
      <c r="ER6" s="16">
        <v>43266</v>
      </c>
      <c r="ES6" s="16">
        <v>43267</v>
      </c>
      <c r="ET6" s="16">
        <v>43268</v>
      </c>
      <c r="EU6" s="16">
        <v>43269</v>
      </c>
      <c r="EV6" s="16">
        <v>43270</v>
      </c>
      <c r="EW6" s="16">
        <v>43271</v>
      </c>
      <c r="EX6" s="16">
        <v>43272</v>
      </c>
      <c r="EY6" s="16">
        <v>43273</v>
      </c>
      <c r="EZ6" s="16">
        <v>43274</v>
      </c>
      <c r="FA6" s="16">
        <v>43275</v>
      </c>
      <c r="FB6" s="16">
        <v>43276</v>
      </c>
      <c r="FC6" s="16">
        <v>43277</v>
      </c>
      <c r="FD6" s="16">
        <v>43278</v>
      </c>
      <c r="FE6" s="16">
        <v>43279</v>
      </c>
      <c r="FF6" s="16">
        <v>43280</v>
      </c>
      <c r="FG6" s="16">
        <v>43281</v>
      </c>
      <c r="FH6" s="16">
        <v>43282</v>
      </c>
      <c r="FI6" s="16">
        <v>43283</v>
      </c>
      <c r="FJ6" s="16">
        <v>43284</v>
      </c>
      <c r="FK6" s="16">
        <v>43285</v>
      </c>
      <c r="FL6" s="16">
        <v>43286</v>
      </c>
      <c r="FM6" s="16">
        <v>43287</v>
      </c>
      <c r="FN6" s="16">
        <v>43288</v>
      </c>
      <c r="FO6" s="16">
        <v>43289</v>
      </c>
      <c r="FP6" s="16">
        <v>43290</v>
      </c>
      <c r="FQ6" s="16">
        <v>43291</v>
      </c>
      <c r="FR6" s="16">
        <v>43292</v>
      </c>
      <c r="FS6" s="16">
        <v>43293</v>
      </c>
      <c r="FT6" s="16">
        <v>43294</v>
      </c>
      <c r="FU6" s="16">
        <v>43295</v>
      </c>
      <c r="FV6" s="16">
        <v>43296</v>
      </c>
      <c r="FW6" s="16">
        <v>43297</v>
      </c>
      <c r="FX6" s="16">
        <v>43298</v>
      </c>
      <c r="FY6" s="16">
        <v>43299</v>
      </c>
      <c r="FZ6" s="16">
        <v>43300</v>
      </c>
      <c r="GA6" s="16">
        <v>43301</v>
      </c>
      <c r="GB6" s="16">
        <v>43302</v>
      </c>
      <c r="GC6" s="16">
        <v>43303</v>
      </c>
      <c r="GD6" s="16">
        <v>43304</v>
      </c>
      <c r="GE6" s="16">
        <v>43305</v>
      </c>
      <c r="GF6" s="16">
        <v>43306</v>
      </c>
      <c r="GG6" s="16">
        <v>43307</v>
      </c>
      <c r="GH6" s="16">
        <v>43308</v>
      </c>
      <c r="GI6" s="16">
        <v>43309</v>
      </c>
      <c r="GJ6" s="16">
        <v>43310</v>
      </c>
      <c r="GK6" s="16">
        <v>43311</v>
      </c>
      <c r="GL6" s="16">
        <v>43312</v>
      </c>
      <c r="GM6" s="16">
        <v>43313</v>
      </c>
      <c r="GN6" s="16">
        <v>43314</v>
      </c>
      <c r="GO6" s="16">
        <v>43315</v>
      </c>
      <c r="GP6" s="16">
        <v>43316</v>
      </c>
      <c r="GQ6" s="16">
        <v>43317</v>
      </c>
      <c r="GR6" s="16">
        <v>43318</v>
      </c>
      <c r="GS6" s="16">
        <v>43319</v>
      </c>
      <c r="GT6" s="16">
        <v>43320</v>
      </c>
      <c r="GU6" s="16">
        <v>43321</v>
      </c>
      <c r="GV6" s="16">
        <v>43322</v>
      </c>
      <c r="GW6" s="16">
        <v>43323</v>
      </c>
      <c r="GX6" s="16">
        <v>43324</v>
      </c>
      <c r="GY6" s="16">
        <v>43325</v>
      </c>
      <c r="GZ6" s="16">
        <v>43326</v>
      </c>
      <c r="HA6" s="16">
        <v>43327</v>
      </c>
      <c r="HB6" s="16">
        <v>43328</v>
      </c>
      <c r="HC6" s="16">
        <v>43329</v>
      </c>
      <c r="HD6" s="16">
        <v>43330</v>
      </c>
      <c r="HE6" s="16">
        <v>43331</v>
      </c>
      <c r="HF6" s="16">
        <v>43332</v>
      </c>
      <c r="HG6" s="16">
        <v>43333</v>
      </c>
      <c r="HH6" s="16">
        <v>43334</v>
      </c>
      <c r="HI6" s="16">
        <v>43335</v>
      </c>
      <c r="HJ6" s="16">
        <v>43336</v>
      </c>
      <c r="HK6" s="16">
        <v>43337</v>
      </c>
      <c r="HL6" s="16">
        <v>43338</v>
      </c>
      <c r="HM6" s="16">
        <v>43339</v>
      </c>
      <c r="HN6" s="16">
        <v>43340</v>
      </c>
      <c r="HO6" s="16">
        <v>43341</v>
      </c>
      <c r="HP6" s="16">
        <v>43342</v>
      </c>
      <c r="HQ6" s="16">
        <v>43343</v>
      </c>
      <c r="HR6" s="16">
        <v>43344</v>
      </c>
      <c r="HS6" s="16">
        <v>43345</v>
      </c>
      <c r="HT6" s="16">
        <v>43346</v>
      </c>
      <c r="HU6" s="16">
        <v>43347</v>
      </c>
      <c r="HV6" s="16">
        <v>43348</v>
      </c>
      <c r="HW6" s="16">
        <v>43349</v>
      </c>
      <c r="HX6" s="16">
        <v>43350</v>
      </c>
      <c r="HY6" s="16">
        <v>43351</v>
      </c>
      <c r="HZ6" s="16">
        <v>43352</v>
      </c>
      <c r="IA6" s="16">
        <v>43353</v>
      </c>
      <c r="IB6" s="16">
        <v>43354</v>
      </c>
      <c r="IC6" s="16">
        <v>43355</v>
      </c>
      <c r="ID6" s="16">
        <v>43356</v>
      </c>
      <c r="IE6" s="16">
        <v>43357</v>
      </c>
      <c r="IF6" s="16">
        <v>43358</v>
      </c>
      <c r="IG6" s="16">
        <v>43359</v>
      </c>
      <c r="IH6" s="16">
        <v>43360</v>
      </c>
      <c r="II6" s="16">
        <v>43361</v>
      </c>
      <c r="IJ6" s="16">
        <v>43362</v>
      </c>
      <c r="IK6" s="16">
        <v>43363</v>
      </c>
      <c r="IL6" s="16">
        <v>43364</v>
      </c>
      <c r="IM6" s="16">
        <v>43365</v>
      </c>
      <c r="IN6" s="16">
        <v>43366</v>
      </c>
      <c r="IO6" s="16">
        <v>43367</v>
      </c>
      <c r="IP6" s="16">
        <v>43368</v>
      </c>
      <c r="IQ6" s="16">
        <v>43369</v>
      </c>
      <c r="IR6" s="16">
        <v>43370</v>
      </c>
      <c r="IS6" s="16">
        <v>43371</v>
      </c>
      <c r="IT6" s="16">
        <v>43372</v>
      </c>
      <c r="IU6" s="16">
        <v>43373</v>
      </c>
      <c r="IV6" s="16">
        <v>43374</v>
      </c>
      <c r="IW6" s="16">
        <v>43375</v>
      </c>
      <c r="IX6" s="16">
        <v>43376</v>
      </c>
      <c r="IY6" s="16">
        <v>43377</v>
      </c>
      <c r="IZ6" s="16">
        <v>43378</v>
      </c>
      <c r="JA6" s="16">
        <v>43379</v>
      </c>
      <c r="JB6" s="16">
        <v>43380</v>
      </c>
      <c r="JC6" s="16">
        <v>43381</v>
      </c>
      <c r="JD6" s="16">
        <v>43382</v>
      </c>
      <c r="JE6" s="16">
        <v>43383</v>
      </c>
      <c r="JF6" s="16">
        <v>43384</v>
      </c>
      <c r="JG6" s="16">
        <v>43385</v>
      </c>
      <c r="JH6" s="16">
        <v>43386</v>
      </c>
      <c r="JI6" s="16">
        <v>43387</v>
      </c>
      <c r="JJ6" s="16">
        <v>43388</v>
      </c>
      <c r="JK6" s="16">
        <v>43389</v>
      </c>
      <c r="JL6" s="16">
        <v>43390</v>
      </c>
      <c r="JM6" s="16">
        <v>43391</v>
      </c>
      <c r="JN6" s="16">
        <v>43392</v>
      </c>
      <c r="JO6" s="16">
        <v>43393</v>
      </c>
      <c r="JP6" s="16">
        <v>43394</v>
      </c>
      <c r="JQ6" s="16">
        <v>43395</v>
      </c>
      <c r="JR6" s="16">
        <v>43396</v>
      </c>
      <c r="JS6" s="16">
        <v>43397</v>
      </c>
      <c r="JT6" s="16">
        <v>43398</v>
      </c>
      <c r="JU6" s="16">
        <v>43399</v>
      </c>
      <c r="JV6" s="16">
        <v>43400</v>
      </c>
      <c r="JW6" s="16">
        <v>43401</v>
      </c>
      <c r="JX6" s="16">
        <v>43402</v>
      </c>
      <c r="JY6" s="16">
        <v>43403</v>
      </c>
      <c r="JZ6" s="16">
        <v>43404</v>
      </c>
      <c r="KA6" s="16">
        <v>43405</v>
      </c>
      <c r="KB6" s="16">
        <v>43406</v>
      </c>
      <c r="KC6" s="16">
        <v>43407</v>
      </c>
      <c r="KD6" s="16">
        <v>43408</v>
      </c>
      <c r="KE6" s="16">
        <v>43409</v>
      </c>
      <c r="KF6" s="16">
        <v>43410</v>
      </c>
      <c r="KG6" s="16">
        <v>43411</v>
      </c>
      <c r="KH6" s="16">
        <v>43412</v>
      </c>
      <c r="KI6" s="16">
        <v>43413</v>
      </c>
      <c r="KJ6" s="16">
        <v>43414</v>
      </c>
      <c r="KK6" s="16">
        <v>43415</v>
      </c>
      <c r="KL6" s="16">
        <v>43416</v>
      </c>
      <c r="KM6" s="16">
        <v>43417</v>
      </c>
      <c r="KN6" s="16">
        <v>43418</v>
      </c>
      <c r="KO6" s="16">
        <v>43419</v>
      </c>
      <c r="KP6" s="16">
        <v>43420</v>
      </c>
      <c r="KQ6" s="16">
        <v>43421</v>
      </c>
      <c r="KR6" s="16">
        <v>43422</v>
      </c>
      <c r="KS6" s="16">
        <v>43423</v>
      </c>
      <c r="KT6" s="16">
        <v>43424</v>
      </c>
      <c r="KU6" s="16">
        <v>43425</v>
      </c>
      <c r="KV6" s="16">
        <v>43426</v>
      </c>
      <c r="KW6" s="16">
        <v>43427</v>
      </c>
      <c r="KX6" s="16">
        <v>43428</v>
      </c>
      <c r="KY6" s="16">
        <v>43429</v>
      </c>
      <c r="KZ6" s="16">
        <v>43430</v>
      </c>
      <c r="LA6" s="16">
        <v>43431</v>
      </c>
      <c r="LB6" s="16">
        <v>43432</v>
      </c>
      <c r="LC6" s="16">
        <v>43433</v>
      </c>
      <c r="LD6" s="16">
        <v>43434</v>
      </c>
      <c r="LE6" s="16">
        <v>43435</v>
      </c>
      <c r="LF6" s="16">
        <v>43436</v>
      </c>
      <c r="LG6" s="16">
        <v>43437</v>
      </c>
      <c r="LH6" s="16">
        <v>43438</v>
      </c>
      <c r="LI6" s="16">
        <v>43439</v>
      </c>
      <c r="LJ6" s="16">
        <v>43440</v>
      </c>
      <c r="LK6" s="16">
        <v>43441</v>
      </c>
      <c r="LL6" s="16">
        <v>43442</v>
      </c>
      <c r="LM6" s="16">
        <v>43443</v>
      </c>
      <c r="LN6" s="16">
        <v>43444</v>
      </c>
      <c r="LO6" s="16">
        <v>43445</v>
      </c>
      <c r="LP6" s="16">
        <v>43446</v>
      </c>
      <c r="LQ6" s="16">
        <v>43447</v>
      </c>
      <c r="LR6" s="16">
        <v>43448</v>
      </c>
      <c r="LS6" s="16">
        <v>43449</v>
      </c>
      <c r="LT6" s="16">
        <v>43450</v>
      </c>
      <c r="LU6" s="16">
        <v>43451</v>
      </c>
      <c r="LV6" s="16">
        <v>43452</v>
      </c>
      <c r="LW6" s="16">
        <v>43453</v>
      </c>
      <c r="LX6" s="16">
        <v>43454</v>
      </c>
      <c r="LY6" s="16">
        <v>43455</v>
      </c>
      <c r="LZ6" s="16">
        <v>43456</v>
      </c>
      <c r="MA6" s="16">
        <v>43457</v>
      </c>
      <c r="MB6" s="16">
        <v>43458</v>
      </c>
      <c r="MC6" s="16">
        <v>43459</v>
      </c>
      <c r="MD6" s="16">
        <v>43460</v>
      </c>
      <c r="ME6" s="16">
        <v>43461</v>
      </c>
      <c r="MF6" s="16">
        <v>43462</v>
      </c>
      <c r="MG6" s="16">
        <v>43463</v>
      </c>
      <c r="MH6" s="16">
        <v>43464</v>
      </c>
      <c r="MI6" s="16">
        <v>43465</v>
      </c>
      <c r="MJ6" s="16">
        <v>43466</v>
      </c>
      <c r="MK6" s="16">
        <v>43467</v>
      </c>
      <c r="ML6" s="16">
        <v>43468</v>
      </c>
      <c r="MM6" s="16">
        <v>43469</v>
      </c>
      <c r="MN6" s="16">
        <v>43470</v>
      </c>
      <c r="MO6" s="16">
        <v>43471</v>
      </c>
      <c r="MP6" s="16">
        <v>43472</v>
      </c>
      <c r="MQ6" s="16">
        <v>43473</v>
      </c>
      <c r="MR6" s="16">
        <v>43474</v>
      </c>
      <c r="MS6" s="16">
        <v>43475</v>
      </c>
      <c r="MT6" s="16">
        <v>43476</v>
      </c>
      <c r="MU6" s="16">
        <v>43477</v>
      </c>
      <c r="MV6" s="16">
        <v>43478</v>
      </c>
      <c r="MW6" s="16">
        <v>43479</v>
      </c>
      <c r="MX6" s="16">
        <v>43480</v>
      </c>
      <c r="MY6" s="16">
        <v>43481</v>
      </c>
      <c r="MZ6" s="16">
        <v>43482</v>
      </c>
      <c r="NA6" s="16">
        <v>43483</v>
      </c>
      <c r="NB6" s="16">
        <v>43484</v>
      </c>
      <c r="NC6" s="16">
        <v>43485</v>
      </c>
    </row>
    <row r="7" spans="1:367" s="144" customFormat="1" ht="24" customHeight="1" x14ac:dyDescent="0.25">
      <c r="A7" s="10"/>
      <c r="B7" s="139" t="s">
        <v>84</v>
      </c>
      <c r="C7" s="140" t="s">
        <v>4</v>
      </c>
      <c r="D7" s="140" t="s">
        <v>0</v>
      </c>
      <c r="E7" s="141" t="s">
        <v>1</v>
      </c>
      <c r="F7" s="141" t="s">
        <v>2</v>
      </c>
      <c r="G7" s="142" t="s">
        <v>3</v>
      </c>
      <c r="H7" s="143"/>
    </row>
    <row r="8" spans="1:367" s="2" customFormat="1" ht="20.100000000000001" customHeight="1" x14ac:dyDescent="0.25">
      <c r="A8" s="10"/>
      <c r="B8" s="134" t="s">
        <v>103</v>
      </c>
      <c r="C8" s="35" t="s">
        <v>82</v>
      </c>
      <c r="D8" s="19" t="s">
        <v>83</v>
      </c>
      <c r="E8" s="19">
        <v>43131</v>
      </c>
      <c r="F8" s="20">
        <v>43133</v>
      </c>
      <c r="G8" s="4">
        <v>1</v>
      </c>
      <c r="H8" s="15"/>
      <c r="I8" s="145"/>
      <c r="J8" s="145"/>
      <c r="K8" s="145"/>
      <c r="L8" s="145"/>
      <c r="M8" s="43"/>
      <c r="N8" s="43"/>
      <c r="O8" s="43"/>
      <c r="P8" s="129" t="s">
        <v>82</v>
      </c>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row>
    <row r="9" spans="1:367" ht="20.100000000000001" customHeight="1" x14ac:dyDescent="0.25">
      <c r="B9" s="134" t="s">
        <v>103</v>
      </c>
      <c r="C9" s="35" t="s">
        <v>82</v>
      </c>
      <c r="D9" s="19" t="s">
        <v>85</v>
      </c>
      <c r="E9" s="19">
        <v>43133</v>
      </c>
      <c r="F9" s="20">
        <v>43135</v>
      </c>
      <c r="G9" s="4">
        <v>1</v>
      </c>
      <c r="I9" s="145"/>
      <c r="J9" s="145"/>
      <c r="K9" s="145"/>
      <c r="L9" s="145"/>
      <c r="M9" s="145"/>
      <c r="N9" s="145"/>
      <c r="O9" s="103"/>
      <c r="P9" s="103"/>
      <c r="Q9" s="103"/>
      <c r="R9" s="45" t="s">
        <v>88</v>
      </c>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row>
    <row r="10" spans="1:367" ht="20.100000000000001" customHeight="1" x14ac:dyDescent="0.25">
      <c r="B10" s="134" t="s">
        <v>103</v>
      </c>
      <c r="C10" s="35" t="s">
        <v>82</v>
      </c>
      <c r="D10" s="19" t="s">
        <v>87</v>
      </c>
      <c r="E10" s="19">
        <v>43133</v>
      </c>
      <c r="F10" s="20">
        <v>43135</v>
      </c>
      <c r="G10" s="4">
        <v>1</v>
      </c>
      <c r="I10" s="145"/>
      <c r="J10" s="145"/>
      <c r="K10" s="145"/>
      <c r="L10" s="145"/>
      <c r="M10" s="145"/>
      <c r="N10" s="145"/>
      <c r="O10" s="43"/>
      <c r="P10" s="43"/>
      <c r="Q10" s="43"/>
      <c r="R10" s="45" t="s">
        <v>89</v>
      </c>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row>
    <row r="11" spans="1:367" ht="20.100000000000001" customHeight="1" x14ac:dyDescent="0.25">
      <c r="B11" s="134" t="s">
        <v>103</v>
      </c>
      <c r="C11" s="35" t="s">
        <v>82</v>
      </c>
      <c r="D11" s="19" t="s">
        <v>86</v>
      </c>
      <c r="E11" s="19">
        <v>43135</v>
      </c>
      <c r="F11" s="20">
        <v>43140</v>
      </c>
      <c r="G11" s="4">
        <v>0.2</v>
      </c>
      <c r="I11" s="145"/>
      <c r="J11" s="145"/>
      <c r="K11" s="145"/>
      <c r="L11" s="145"/>
      <c r="M11" s="146"/>
      <c r="N11" s="145"/>
      <c r="O11" s="145"/>
      <c r="P11" s="145"/>
      <c r="Q11" s="103"/>
      <c r="R11" s="103"/>
      <c r="S11" s="103"/>
      <c r="T11" s="103"/>
      <c r="U11" s="103"/>
      <c r="V11" s="103"/>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row>
    <row r="12" spans="1:367" ht="16.5" customHeight="1" x14ac:dyDescent="0.25">
      <c r="B12" s="134" t="s">
        <v>103</v>
      </c>
      <c r="C12" s="35" t="s">
        <v>82</v>
      </c>
      <c r="D12" s="19" t="s">
        <v>102</v>
      </c>
      <c r="E12" s="19">
        <v>43136</v>
      </c>
      <c r="F12" s="20">
        <v>43138</v>
      </c>
      <c r="G12" s="4">
        <v>1</v>
      </c>
      <c r="I12" s="45"/>
      <c r="J12" s="45"/>
      <c r="K12" s="45"/>
      <c r="L12" s="45"/>
      <c r="M12" s="45"/>
      <c r="N12" s="45"/>
      <c r="O12" s="45"/>
      <c r="P12" s="128"/>
      <c r="Q12" s="45"/>
      <c r="R12" s="102"/>
      <c r="S12" s="102"/>
      <c r="T12" s="102"/>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row>
    <row r="13" spans="1:367" ht="20.100000000000001" customHeight="1" x14ac:dyDescent="0.25">
      <c r="B13" s="134" t="s">
        <v>103</v>
      </c>
      <c r="C13" s="35" t="s">
        <v>82</v>
      </c>
      <c r="D13" s="19" t="s">
        <v>109</v>
      </c>
      <c r="E13" s="19">
        <v>43136</v>
      </c>
      <c r="F13" s="20">
        <v>43139</v>
      </c>
      <c r="G13" s="4">
        <v>1</v>
      </c>
      <c r="I13" s="45"/>
      <c r="J13" s="45"/>
      <c r="K13" s="45"/>
      <c r="L13" s="45"/>
      <c r="M13" s="45"/>
      <c r="N13" s="45"/>
      <c r="O13" s="45"/>
      <c r="P13" s="128"/>
      <c r="Q13" s="45"/>
      <c r="R13" s="103"/>
      <c r="S13" s="103"/>
      <c r="T13" s="103"/>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row>
    <row r="14" spans="1:367" ht="20.100000000000001" customHeight="1" x14ac:dyDescent="0.25">
      <c r="B14" s="134" t="s">
        <v>104</v>
      </c>
      <c r="C14" s="35" t="s">
        <v>82</v>
      </c>
      <c r="D14" s="19" t="s">
        <v>110</v>
      </c>
      <c r="E14" s="19"/>
      <c r="F14" s="20" t="s">
        <v>122</v>
      </c>
      <c r="G14" s="4">
        <v>0</v>
      </c>
      <c r="I14" s="45"/>
      <c r="J14" s="45"/>
      <c r="K14" s="45"/>
      <c r="L14" s="45"/>
      <c r="M14" s="127"/>
      <c r="N14" s="45"/>
      <c r="O14" s="45"/>
      <c r="P14" s="45"/>
      <c r="Q14" s="45"/>
      <c r="R14" s="45"/>
      <c r="S14" s="45"/>
      <c r="T14" s="45"/>
      <c r="U14" s="102"/>
      <c r="V14" s="102"/>
      <c r="W14" s="102"/>
      <c r="X14" s="102"/>
      <c r="Y14" s="102"/>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row>
    <row r="15" spans="1:367" ht="20.100000000000001" customHeight="1" x14ac:dyDescent="0.25">
      <c r="B15" s="134" t="s">
        <v>105</v>
      </c>
      <c r="C15" s="35" t="s">
        <v>82</v>
      </c>
      <c r="D15" s="19" t="s">
        <v>111</v>
      </c>
      <c r="E15" s="19"/>
      <c r="F15" s="20" t="s">
        <v>122</v>
      </c>
      <c r="G15" s="4">
        <v>0</v>
      </c>
      <c r="I15" s="45"/>
      <c r="J15" s="45"/>
      <c r="K15" s="45"/>
      <c r="L15" s="130"/>
      <c r="M15" s="45"/>
      <c r="N15" s="45"/>
      <c r="O15" s="45"/>
      <c r="P15" s="45"/>
      <c r="Q15" s="45"/>
      <c r="R15" s="45"/>
      <c r="S15" s="45"/>
      <c r="T15" s="45"/>
      <c r="U15" s="45"/>
      <c r="V15" s="126"/>
      <c r="W15" s="126"/>
      <c r="X15" s="126"/>
      <c r="Y15" s="126"/>
      <c r="Z15" s="126"/>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row>
    <row r="16" spans="1:367" ht="20.100000000000001" customHeight="1" x14ac:dyDescent="0.25">
      <c r="B16" s="134" t="s">
        <v>106</v>
      </c>
      <c r="C16" s="35" t="s">
        <v>82</v>
      </c>
      <c r="D16" s="19" t="s">
        <v>121</v>
      </c>
      <c r="E16" s="19"/>
      <c r="F16" s="20" t="s">
        <v>122</v>
      </c>
      <c r="G16" s="4">
        <v>0</v>
      </c>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row>
    <row r="17" spans="2:50" ht="20.100000000000001" customHeight="1" x14ac:dyDescent="0.25">
      <c r="B17" s="134" t="s">
        <v>107</v>
      </c>
      <c r="C17" s="35"/>
      <c r="D17" s="19"/>
      <c r="E17" s="19"/>
      <c r="F17" s="20" t="s">
        <v>122</v>
      </c>
      <c r="G17" s="4">
        <v>0</v>
      </c>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row>
    <row r="18" spans="2:50" ht="20.100000000000001" customHeight="1" x14ac:dyDescent="0.25">
      <c r="B18" s="134" t="s">
        <v>108</v>
      </c>
      <c r="C18" s="35"/>
      <c r="D18" s="19"/>
      <c r="E18" s="19"/>
      <c r="F18" s="20"/>
      <c r="G18" s="4">
        <v>0</v>
      </c>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row>
    <row r="19" spans="2:50" ht="20.100000000000001" customHeight="1" x14ac:dyDescent="0.25">
      <c r="C19" s="35"/>
      <c r="D19" s="19"/>
      <c r="E19" s="19"/>
      <c r="F19" s="20"/>
      <c r="G19" s="4"/>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row>
    <row r="20" spans="2:50" ht="20.100000000000001" customHeight="1" x14ac:dyDescent="0.25">
      <c r="C20" s="35"/>
      <c r="D20" s="19"/>
      <c r="E20" s="19"/>
      <c r="F20" s="20"/>
      <c r="G20" s="4"/>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row>
    <row r="21" spans="2:50" ht="20.100000000000001" customHeight="1" x14ac:dyDescent="0.25">
      <c r="C21" s="35"/>
      <c r="D21" s="19"/>
      <c r="E21" s="19"/>
      <c r="F21" s="20"/>
      <c r="G21" s="4"/>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row>
    <row r="22" spans="2:50" ht="20.100000000000001" customHeight="1" x14ac:dyDescent="0.25">
      <c r="C22" s="35"/>
      <c r="D22" s="19"/>
      <c r="E22" s="19"/>
      <c r="F22" s="20"/>
      <c r="G22" s="4"/>
    </row>
    <row r="23" spans="2:50" ht="20.100000000000001" customHeight="1" x14ac:dyDescent="0.25">
      <c r="C23" s="35"/>
      <c r="D23" s="19"/>
      <c r="E23" s="19"/>
      <c r="F23" s="20"/>
      <c r="G23" s="4"/>
    </row>
    <row r="24" spans="2:50" ht="20.100000000000001" customHeight="1" x14ac:dyDescent="0.25">
      <c r="C24" s="35"/>
      <c r="D24" s="19"/>
      <c r="E24" s="19"/>
      <c r="F24" s="20"/>
      <c r="G24" s="4"/>
    </row>
    <row r="25" spans="2:50" ht="20.100000000000001" customHeight="1" x14ac:dyDescent="0.25">
      <c r="C25" s="35"/>
      <c r="D25" s="19"/>
      <c r="E25" s="19"/>
      <c r="F25" s="20"/>
      <c r="G25" s="4"/>
    </row>
    <row r="26" spans="2:50" ht="20.100000000000001" customHeight="1" x14ac:dyDescent="0.25">
      <c r="C26" s="35"/>
      <c r="D26" s="19"/>
      <c r="E26" s="19"/>
      <c r="F26" s="20"/>
      <c r="G26" s="4"/>
    </row>
    <row r="27" spans="2:50" ht="20.100000000000001" customHeight="1" x14ac:dyDescent="0.25">
      <c r="C27" s="35"/>
      <c r="D27" s="19"/>
      <c r="E27" s="19"/>
      <c r="F27" s="20"/>
      <c r="G27" s="4"/>
    </row>
    <row r="28" spans="2:50" ht="20.100000000000001" customHeight="1" x14ac:dyDescent="0.25">
      <c r="C28" s="35"/>
      <c r="D28" s="19"/>
      <c r="E28" s="19"/>
      <c r="F28" s="20"/>
      <c r="G28" s="4"/>
    </row>
    <row r="29" spans="2:50" ht="20.100000000000001" customHeight="1" x14ac:dyDescent="0.25">
      <c r="C29" s="35"/>
      <c r="D29" s="19"/>
      <c r="E29" s="19"/>
      <c r="F29" s="20"/>
      <c r="G29" s="4"/>
    </row>
    <row r="30" spans="2:50" ht="20.100000000000001" customHeight="1" x14ac:dyDescent="0.25">
      <c r="C30" s="35"/>
      <c r="D30" s="19"/>
      <c r="E30" s="19"/>
      <c r="F30" s="20"/>
      <c r="G30" s="4"/>
    </row>
    <row r="31" spans="2:50" ht="20.100000000000001" customHeight="1" x14ac:dyDescent="0.25">
      <c r="C31" s="35"/>
      <c r="D31" s="19"/>
      <c r="E31" s="19"/>
      <c r="F31" s="20"/>
      <c r="G31" s="4"/>
    </row>
    <row r="32" spans="2:50" ht="20.100000000000001" customHeight="1" x14ac:dyDescent="0.25">
      <c r="C32" s="35"/>
      <c r="D32" s="19"/>
      <c r="E32" s="19"/>
      <c r="F32" s="20"/>
      <c r="G32" s="4"/>
    </row>
    <row r="33" spans="3:7" ht="20.100000000000001" customHeight="1" x14ac:dyDescent="0.25">
      <c r="C33" s="35"/>
      <c r="D33" s="19"/>
      <c r="E33" s="19"/>
      <c r="F33" s="20"/>
      <c r="G33" s="4"/>
    </row>
    <row r="34" spans="3:7" ht="20.100000000000001" customHeight="1" x14ac:dyDescent="0.25">
      <c r="C34" s="35"/>
      <c r="D34" s="19"/>
      <c r="E34" s="19"/>
      <c r="F34" s="20"/>
      <c r="G34" s="4"/>
    </row>
    <row r="35" spans="3:7" ht="20.100000000000001" customHeight="1" x14ac:dyDescent="0.25">
      <c r="C35" s="35"/>
      <c r="D35" s="19"/>
      <c r="E35" s="19"/>
      <c r="F35" s="20"/>
      <c r="G35" s="4"/>
    </row>
    <row r="36" spans="3:7" ht="20.100000000000001" customHeight="1" x14ac:dyDescent="0.25">
      <c r="C36" s="35"/>
      <c r="D36" s="19"/>
      <c r="E36" s="19"/>
      <c r="F36" s="20"/>
      <c r="G36" s="4"/>
    </row>
    <row r="37" spans="3:7" ht="20.100000000000001" customHeight="1" x14ac:dyDescent="0.25">
      <c r="C37" s="35"/>
      <c r="D37" s="19"/>
      <c r="E37" s="19"/>
      <c r="F37" s="20"/>
      <c r="G37" s="4"/>
    </row>
    <row r="38" spans="3:7" ht="20.100000000000001" customHeight="1" x14ac:dyDescent="0.25">
      <c r="C38" s="35"/>
      <c r="D38" s="19"/>
      <c r="E38" s="19"/>
      <c r="F38" s="20"/>
      <c r="G38" s="4"/>
    </row>
    <row r="39" spans="3:7" ht="20.100000000000001" customHeight="1" x14ac:dyDescent="0.25">
      <c r="C39" s="35"/>
      <c r="D39" s="19"/>
      <c r="E39" s="19"/>
      <c r="F39" s="20"/>
      <c r="G39" s="4"/>
    </row>
    <row r="40" spans="3:7" ht="20.100000000000001" customHeight="1" x14ac:dyDescent="0.25">
      <c r="C40" s="35"/>
      <c r="D40" s="19"/>
      <c r="E40" s="19"/>
      <c r="F40" s="20"/>
      <c r="G40" s="4"/>
    </row>
    <row r="41" spans="3:7" ht="20.100000000000001" customHeight="1" x14ac:dyDescent="0.25">
      <c r="C41" s="35"/>
      <c r="D41" s="19"/>
      <c r="E41" s="19"/>
      <c r="F41" s="20"/>
      <c r="G41" s="4"/>
    </row>
    <row r="42" spans="3:7" ht="20.100000000000001" customHeight="1" x14ac:dyDescent="0.25">
      <c r="C42" s="35"/>
      <c r="D42" s="19"/>
      <c r="E42" s="19"/>
      <c r="F42" s="20"/>
      <c r="G42" s="4"/>
    </row>
    <row r="43" spans="3:7" ht="20.100000000000001" customHeight="1" x14ac:dyDescent="0.25">
      <c r="C43" s="35"/>
      <c r="D43" s="19"/>
      <c r="E43" s="19"/>
      <c r="F43" s="20"/>
      <c r="G43" s="4"/>
    </row>
    <row r="44" spans="3:7" ht="20.100000000000001" customHeight="1" x14ac:dyDescent="0.25">
      <c r="C44" s="35"/>
      <c r="D44" s="19"/>
      <c r="E44" s="19"/>
      <c r="F44" s="20"/>
      <c r="G44" s="4"/>
    </row>
    <row r="45" spans="3:7" ht="20.100000000000001" customHeight="1" x14ac:dyDescent="0.25">
      <c r="C45" s="35"/>
      <c r="D45" s="19"/>
      <c r="E45" s="19"/>
      <c r="F45" s="20"/>
      <c r="G45" s="4"/>
    </row>
    <row r="46" spans="3:7" ht="20.100000000000001" customHeight="1" x14ac:dyDescent="0.25">
      <c r="C46" s="35"/>
      <c r="D46" s="19"/>
      <c r="E46" s="19"/>
      <c r="F46" s="20"/>
      <c r="G46" s="4"/>
    </row>
    <row r="47" spans="3:7" ht="20.100000000000001" customHeight="1" x14ac:dyDescent="0.25">
      <c r="C47" s="35"/>
      <c r="D47" s="19"/>
      <c r="E47" s="19"/>
      <c r="F47" s="20"/>
      <c r="G47" s="4"/>
    </row>
    <row r="48" spans="3:7" ht="20.100000000000001" customHeight="1" x14ac:dyDescent="0.25">
      <c r="C48" s="35"/>
      <c r="D48" s="19"/>
      <c r="E48" s="19"/>
      <c r="F48" s="20"/>
      <c r="G48" s="4"/>
    </row>
    <row r="49" spans="3:7" ht="20.100000000000001" customHeight="1" x14ac:dyDescent="0.25">
      <c r="C49" s="35"/>
      <c r="D49" s="19"/>
      <c r="E49" s="19"/>
      <c r="F49" s="20"/>
      <c r="G49" s="4"/>
    </row>
    <row r="50" spans="3:7" ht="20.100000000000001" customHeight="1" x14ac:dyDescent="0.25">
      <c r="C50" s="35"/>
      <c r="D50" s="19"/>
      <c r="E50" s="19"/>
      <c r="F50" s="20"/>
      <c r="G50" s="4"/>
    </row>
    <row r="51" spans="3:7" ht="20.100000000000001" customHeight="1" x14ac:dyDescent="0.25">
      <c r="C51" s="35"/>
      <c r="D51" s="19"/>
      <c r="E51" s="19"/>
      <c r="F51" s="20"/>
      <c r="G51" s="4"/>
    </row>
    <row r="52" spans="3:7" ht="20.100000000000001" customHeight="1" x14ac:dyDescent="0.25">
      <c r="C52" s="35"/>
      <c r="D52" s="19"/>
      <c r="E52" s="19"/>
      <c r="F52" s="20"/>
      <c r="G52" s="4"/>
    </row>
    <row r="53" spans="3:7" ht="20.100000000000001" customHeight="1" x14ac:dyDescent="0.25">
      <c r="C53" s="35"/>
      <c r="D53" s="19"/>
      <c r="E53" s="19"/>
      <c r="F53" s="20"/>
      <c r="G53" s="4"/>
    </row>
    <row r="54" spans="3:7" ht="20.100000000000001" customHeight="1" x14ac:dyDescent="0.25">
      <c r="C54" s="35"/>
      <c r="D54" s="19"/>
      <c r="E54" s="19"/>
      <c r="F54" s="20"/>
      <c r="G54" s="4"/>
    </row>
    <row r="55" spans="3:7" ht="20.100000000000001" customHeight="1" x14ac:dyDescent="0.25">
      <c r="C55" s="35"/>
      <c r="D55" s="19"/>
      <c r="E55" s="19"/>
      <c r="F55" s="20"/>
      <c r="G55" s="4"/>
    </row>
    <row r="56" spans="3:7" ht="20.100000000000001" customHeight="1" x14ac:dyDescent="0.25">
      <c r="C56" s="35"/>
      <c r="D56" s="19"/>
      <c r="E56" s="19"/>
      <c r="F56" s="20"/>
      <c r="G56" s="4"/>
    </row>
    <row r="57" spans="3:7" ht="20.100000000000001" customHeight="1" x14ac:dyDescent="0.25">
      <c r="C57" s="35"/>
      <c r="D57" s="19"/>
      <c r="E57" s="19"/>
      <c r="F57" s="20"/>
      <c r="G57" s="4"/>
    </row>
    <row r="58" spans="3:7" ht="20.100000000000001" customHeight="1" x14ac:dyDescent="0.25">
      <c r="C58" s="35"/>
      <c r="D58" s="19"/>
      <c r="E58" s="19"/>
      <c r="F58" s="20"/>
      <c r="G58" s="4"/>
    </row>
    <row r="59" spans="3:7" ht="20.100000000000001" customHeight="1" x14ac:dyDescent="0.25">
      <c r="C59" s="35"/>
      <c r="D59" s="19"/>
      <c r="E59" s="19"/>
      <c r="F59" s="20"/>
      <c r="G59" s="4"/>
    </row>
    <row r="60" spans="3:7" ht="20.100000000000001" customHeight="1" x14ac:dyDescent="0.25">
      <c r="C60" s="35"/>
      <c r="D60" s="19"/>
      <c r="E60" s="19"/>
      <c r="F60" s="20"/>
      <c r="G60" s="4"/>
    </row>
    <row r="61" spans="3:7" ht="20.100000000000001" customHeight="1" x14ac:dyDescent="0.25">
      <c r="C61" s="35"/>
      <c r="D61" s="19"/>
      <c r="E61" s="19"/>
      <c r="F61" s="20"/>
      <c r="G61" s="4"/>
    </row>
    <row r="62" spans="3:7" ht="20.100000000000001" customHeight="1" x14ac:dyDescent="0.25">
      <c r="C62" s="35"/>
      <c r="D62" s="19"/>
      <c r="E62" s="19"/>
      <c r="F62" s="20"/>
      <c r="G62" s="4"/>
    </row>
    <row r="63" spans="3:7" ht="20.100000000000001" customHeight="1" x14ac:dyDescent="0.25">
      <c r="C63" s="35"/>
      <c r="D63" s="19"/>
      <c r="E63" s="19"/>
      <c r="F63" s="20"/>
      <c r="G63" s="4"/>
    </row>
    <row r="64" spans="3:7" ht="20.100000000000001" customHeight="1" x14ac:dyDescent="0.25">
      <c r="C64" s="35"/>
      <c r="D64" s="19"/>
      <c r="E64" s="19"/>
      <c r="F64" s="20"/>
      <c r="G64" s="4"/>
    </row>
    <row r="65" spans="3:7" ht="20.100000000000001" customHeight="1" x14ac:dyDescent="0.25">
      <c r="C65" s="35"/>
      <c r="D65" s="19"/>
      <c r="E65" s="19"/>
      <c r="F65" s="20"/>
      <c r="G65" s="4"/>
    </row>
    <row r="66" spans="3:7" ht="20.100000000000001" customHeight="1" x14ac:dyDescent="0.25">
      <c r="C66" s="35"/>
      <c r="D66" s="19"/>
      <c r="E66" s="19"/>
      <c r="F66" s="20"/>
      <c r="G66" s="4"/>
    </row>
    <row r="67" spans="3:7" ht="20.100000000000001" customHeight="1" x14ac:dyDescent="0.25">
      <c r="C67" s="35"/>
      <c r="D67" s="19"/>
      <c r="E67" s="19"/>
      <c r="F67" s="20"/>
      <c r="G67" s="4"/>
    </row>
    <row r="68" spans="3:7" ht="20.100000000000001" customHeight="1" x14ac:dyDescent="0.25">
      <c r="C68" s="35"/>
      <c r="D68" s="19"/>
      <c r="E68" s="19"/>
      <c r="F68" s="20"/>
      <c r="G68" s="4"/>
    </row>
    <row r="69" spans="3:7" ht="20.100000000000001" customHeight="1" x14ac:dyDescent="0.25">
      <c r="C69" s="35"/>
      <c r="D69" s="19"/>
      <c r="E69" s="19"/>
      <c r="F69" s="20"/>
      <c r="G69" s="4"/>
    </row>
    <row r="70" spans="3:7" ht="20.100000000000001" customHeight="1" x14ac:dyDescent="0.25">
      <c r="C70" s="35"/>
      <c r="D70" s="19"/>
      <c r="E70" s="19"/>
      <c r="F70" s="20"/>
      <c r="G70" s="4"/>
    </row>
    <row r="71" spans="3:7" ht="20.100000000000001" customHeight="1" x14ac:dyDescent="0.25">
      <c r="C71" s="35"/>
      <c r="D71" s="19"/>
      <c r="E71" s="19"/>
      <c r="F71" s="20"/>
      <c r="G71" s="4"/>
    </row>
    <row r="72" spans="3:7" ht="20.100000000000001" customHeight="1" x14ac:dyDescent="0.25">
      <c r="C72" s="35"/>
      <c r="D72" s="19"/>
      <c r="E72" s="19"/>
      <c r="F72" s="20"/>
      <c r="G72" s="4"/>
    </row>
    <row r="73" spans="3:7" ht="20.100000000000001" customHeight="1" x14ac:dyDescent="0.25">
      <c r="C73" s="35"/>
      <c r="D73" s="19"/>
      <c r="E73" s="19"/>
      <c r="F73" s="20"/>
      <c r="G73" s="4"/>
    </row>
    <row r="74" spans="3:7" ht="20.100000000000001" customHeight="1" x14ac:dyDescent="0.25">
      <c r="C74" s="35"/>
      <c r="D74" s="19"/>
      <c r="E74" s="19"/>
      <c r="F74" s="20"/>
      <c r="G74" s="4"/>
    </row>
    <row r="75" spans="3:7" ht="20.100000000000001" customHeight="1" x14ac:dyDescent="0.25">
      <c r="C75" s="35"/>
      <c r="D75" s="19"/>
      <c r="E75" s="19"/>
      <c r="F75" s="20"/>
      <c r="G75" s="4"/>
    </row>
    <row r="76" spans="3:7" ht="20.100000000000001" customHeight="1" x14ac:dyDescent="0.25">
      <c r="C76" s="35"/>
      <c r="D76" s="19"/>
      <c r="E76" s="19"/>
      <c r="F76" s="20"/>
      <c r="G76" s="4"/>
    </row>
    <row r="77" spans="3:7" ht="20.100000000000001" customHeight="1" x14ac:dyDescent="0.25">
      <c r="C77" s="35"/>
      <c r="D77" s="19"/>
      <c r="E77" s="19"/>
      <c r="F77" s="20"/>
      <c r="G77" s="4"/>
    </row>
    <row r="78" spans="3:7" ht="20.100000000000001" customHeight="1" x14ac:dyDescent="0.25">
      <c r="C78" s="35"/>
      <c r="D78" s="19"/>
      <c r="E78" s="19"/>
      <c r="F78" s="20"/>
      <c r="G78" s="4"/>
    </row>
    <row r="79" spans="3:7" ht="20.100000000000001" customHeight="1" x14ac:dyDescent="0.25">
      <c r="C79" s="35"/>
      <c r="D79" s="19"/>
      <c r="E79" s="19"/>
      <c r="F79" s="20"/>
      <c r="G79" s="4"/>
    </row>
    <row r="80" spans="3:7" ht="20.100000000000001" customHeight="1" x14ac:dyDescent="0.25">
      <c r="C80" s="35"/>
      <c r="D80" s="19"/>
      <c r="E80" s="19"/>
      <c r="F80" s="20"/>
      <c r="G80" s="4"/>
    </row>
    <row r="81" spans="3:7" ht="20.100000000000001" customHeight="1" x14ac:dyDescent="0.25">
      <c r="C81" s="35"/>
      <c r="D81" s="19"/>
      <c r="E81" s="19"/>
      <c r="F81" s="20"/>
      <c r="G81" s="4"/>
    </row>
    <row r="82" spans="3:7" ht="20.100000000000001" customHeight="1" x14ac:dyDescent="0.25">
      <c r="C82" s="35"/>
      <c r="D82" s="19"/>
      <c r="E82" s="19"/>
      <c r="F82" s="20"/>
      <c r="G82" s="4"/>
    </row>
    <row r="83" spans="3:7" ht="20.100000000000001" customHeight="1" x14ac:dyDescent="0.25">
      <c r="C83" s="35"/>
      <c r="D83" s="19"/>
      <c r="E83" s="19"/>
      <c r="F83" s="20"/>
      <c r="G83" s="4"/>
    </row>
    <row r="84" spans="3:7" ht="20.100000000000001" customHeight="1" x14ac:dyDescent="0.25">
      <c r="C84" s="35"/>
      <c r="D84" s="19"/>
      <c r="E84" s="19"/>
      <c r="F84" s="20"/>
      <c r="G84" s="4"/>
    </row>
    <row r="85" spans="3:7" ht="20.100000000000001" customHeight="1" x14ac:dyDescent="0.25">
      <c r="C85" s="35"/>
      <c r="D85" s="19"/>
      <c r="E85" s="19"/>
      <c r="F85" s="20"/>
      <c r="G85" s="4"/>
    </row>
    <row r="86" spans="3:7" ht="20.100000000000001" customHeight="1" x14ac:dyDescent="0.25">
      <c r="C86" s="35"/>
      <c r="D86" s="19"/>
      <c r="E86" s="19"/>
      <c r="F86" s="20"/>
      <c r="G86" s="4"/>
    </row>
    <row r="87" spans="3:7" ht="20.100000000000001" customHeight="1" x14ac:dyDescent="0.25">
      <c r="C87" s="35"/>
      <c r="D87" s="19"/>
      <c r="E87" s="19"/>
      <c r="F87" s="20"/>
      <c r="G87" s="4"/>
    </row>
    <row r="88" spans="3:7" ht="20.100000000000001" customHeight="1" x14ac:dyDescent="0.25">
      <c r="C88" s="35"/>
      <c r="D88" s="19"/>
      <c r="E88" s="19"/>
      <c r="F88" s="20"/>
      <c r="G88" s="4"/>
    </row>
    <row r="89" spans="3:7" ht="20.100000000000001" customHeight="1" x14ac:dyDescent="0.25">
      <c r="C89" s="35"/>
      <c r="D89" s="19"/>
      <c r="E89" s="19"/>
      <c r="F89" s="20"/>
      <c r="G89" s="4"/>
    </row>
    <row r="90" spans="3:7" ht="20.100000000000001" customHeight="1" x14ac:dyDescent="0.25">
      <c r="C90" s="35"/>
      <c r="D90" s="19"/>
      <c r="E90" s="19"/>
      <c r="F90" s="20"/>
      <c r="G90" s="4"/>
    </row>
    <row r="91" spans="3:7" ht="20.100000000000001" customHeight="1" x14ac:dyDescent="0.25">
      <c r="C91" s="35"/>
      <c r="D91" s="19"/>
      <c r="E91" s="19"/>
      <c r="F91" s="20"/>
      <c r="G91" s="4"/>
    </row>
    <row r="92" spans="3:7" ht="20.100000000000001" customHeight="1" x14ac:dyDescent="0.25">
      <c r="C92" s="35"/>
      <c r="D92" s="19"/>
      <c r="E92" s="19"/>
      <c r="F92" s="20"/>
      <c r="G92" s="4"/>
    </row>
    <row r="93" spans="3:7" ht="20.100000000000001" customHeight="1" x14ac:dyDescent="0.25">
      <c r="C93" s="35"/>
      <c r="D93" s="19"/>
      <c r="E93" s="19"/>
      <c r="F93" s="20"/>
      <c r="G93" s="4"/>
    </row>
    <row r="94" spans="3:7" ht="20.100000000000001" customHeight="1" x14ac:dyDescent="0.25">
      <c r="C94" s="35"/>
      <c r="D94" s="19"/>
      <c r="E94" s="19"/>
      <c r="F94" s="20"/>
      <c r="G94" s="4"/>
    </row>
    <row r="95" spans="3:7" ht="20.100000000000001" customHeight="1" x14ac:dyDescent="0.25">
      <c r="C95" s="35"/>
      <c r="D95" s="19"/>
      <c r="E95" s="19"/>
      <c r="F95" s="20"/>
      <c r="G95" s="4"/>
    </row>
    <row r="96" spans="3:7" ht="20.100000000000001" customHeight="1" x14ac:dyDescent="0.25">
      <c r="C96" s="35"/>
      <c r="D96" s="19"/>
      <c r="E96" s="19"/>
      <c r="F96" s="20"/>
      <c r="G96" s="4"/>
    </row>
    <row r="97" spans="3:7" ht="20.100000000000001" customHeight="1" x14ac:dyDescent="0.25">
      <c r="C97" s="35"/>
      <c r="D97" s="19"/>
      <c r="E97" s="19"/>
      <c r="F97" s="20"/>
      <c r="G97" s="4"/>
    </row>
    <row r="98" spans="3:7" ht="20.100000000000001" customHeight="1" x14ac:dyDescent="0.25">
      <c r="C98" s="35"/>
      <c r="D98" s="19"/>
      <c r="E98" s="19"/>
      <c r="F98" s="20"/>
      <c r="G98" s="4"/>
    </row>
    <row r="99" spans="3:7" ht="20.100000000000001" customHeight="1" x14ac:dyDescent="0.25">
      <c r="C99" s="35"/>
      <c r="D99" s="19"/>
      <c r="E99" s="19"/>
      <c r="F99" s="20"/>
      <c r="G99" s="4"/>
    </row>
    <row r="100" spans="3:7" ht="20.100000000000001" customHeight="1" x14ac:dyDescent="0.25">
      <c r="C100" s="35"/>
      <c r="D100" s="19"/>
      <c r="E100" s="19"/>
      <c r="F100" s="20"/>
      <c r="G100" s="4"/>
    </row>
    <row r="101" spans="3:7" ht="20.100000000000001" customHeight="1" x14ac:dyDescent="0.25">
      <c r="C101" s="35"/>
      <c r="D101" s="19"/>
      <c r="E101" s="19"/>
      <c r="F101" s="20"/>
      <c r="G101" s="4"/>
    </row>
    <row r="102" spans="3:7" ht="20.100000000000001" customHeight="1" x14ac:dyDescent="0.25">
      <c r="C102" s="35"/>
      <c r="D102" s="19"/>
      <c r="E102" s="19"/>
      <c r="F102" s="20"/>
      <c r="G102" s="4"/>
    </row>
    <row r="103" spans="3:7" ht="20.100000000000001" customHeight="1" x14ac:dyDescent="0.25">
      <c r="C103" s="35"/>
      <c r="D103" s="19"/>
      <c r="E103" s="19"/>
      <c r="F103" s="20"/>
      <c r="G103" s="4"/>
    </row>
    <row r="104" spans="3:7" ht="20.100000000000001" customHeight="1" x14ac:dyDescent="0.25">
      <c r="C104" s="35"/>
      <c r="D104" s="19"/>
      <c r="E104" s="19"/>
      <c r="F104" s="20"/>
      <c r="G104" s="4"/>
    </row>
    <row r="105" spans="3:7" ht="20.100000000000001" customHeight="1" x14ac:dyDescent="0.25">
      <c r="C105" s="35"/>
      <c r="D105" s="19"/>
      <c r="E105" s="19"/>
      <c r="F105" s="20"/>
      <c r="G105" s="4"/>
    </row>
    <row r="106" spans="3:7" ht="20.100000000000001" customHeight="1" x14ac:dyDescent="0.25">
      <c r="C106" s="35"/>
      <c r="D106" s="19"/>
      <c r="E106" s="19"/>
      <c r="F106" s="20"/>
      <c r="G106" s="4"/>
    </row>
    <row r="107" spans="3:7" ht="20.100000000000001" customHeight="1" x14ac:dyDescent="0.25">
      <c r="C107" s="35"/>
      <c r="D107" s="19"/>
      <c r="E107" s="19"/>
      <c r="F107" s="20"/>
      <c r="G107" s="4"/>
    </row>
    <row r="108" spans="3:7" ht="20.100000000000001" customHeight="1" x14ac:dyDescent="0.25">
      <c r="C108" s="35"/>
      <c r="D108" s="19"/>
      <c r="E108" s="19"/>
      <c r="F108" s="20"/>
      <c r="G108" s="4"/>
    </row>
    <row r="109" spans="3:7" ht="20.100000000000001" customHeight="1" x14ac:dyDescent="0.25">
      <c r="C109" s="35"/>
      <c r="D109" s="19"/>
      <c r="E109" s="19"/>
      <c r="F109" s="20"/>
      <c r="G109" s="4"/>
    </row>
    <row r="110" spans="3:7" ht="20.100000000000001" customHeight="1" x14ac:dyDescent="0.25">
      <c r="C110" s="35"/>
      <c r="D110" s="19"/>
      <c r="E110" s="19"/>
      <c r="F110" s="20"/>
      <c r="G110" s="4"/>
    </row>
    <row r="111" spans="3:7" ht="20.100000000000001" customHeight="1" x14ac:dyDescent="0.25">
      <c r="C111" s="35"/>
      <c r="D111" s="19"/>
      <c r="E111" s="19"/>
      <c r="F111" s="20"/>
      <c r="G111" s="4"/>
    </row>
    <row r="112" spans="3:7" ht="20.100000000000001" customHeight="1" x14ac:dyDescent="0.25">
      <c r="C112" s="35"/>
      <c r="D112" s="19"/>
      <c r="E112" s="19"/>
      <c r="F112" s="20"/>
      <c r="G112" s="4"/>
    </row>
    <row r="113" spans="3:7" ht="20.100000000000001" customHeight="1" x14ac:dyDescent="0.25">
      <c r="C113" s="35"/>
      <c r="D113" s="19"/>
      <c r="E113" s="19"/>
      <c r="F113" s="20"/>
      <c r="G113" s="4"/>
    </row>
    <row r="114" spans="3:7" ht="20.100000000000001" customHeight="1" x14ac:dyDescent="0.25">
      <c r="C114" s="35"/>
      <c r="D114" s="19"/>
      <c r="E114" s="19"/>
      <c r="F114" s="20"/>
      <c r="G114" s="4"/>
    </row>
    <row r="115" spans="3:7" ht="20.100000000000001" customHeight="1" x14ac:dyDescent="0.25">
      <c r="C115" s="35"/>
      <c r="D115" s="19"/>
      <c r="E115" s="19"/>
      <c r="F115" s="20"/>
      <c r="G115" s="4"/>
    </row>
    <row r="116" spans="3:7" ht="20.100000000000001" customHeight="1" x14ac:dyDescent="0.25">
      <c r="C116" s="35"/>
      <c r="D116" s="19"/>
      <c r="E116" s="19"/>
      <c r="F116" s="20"/>
      <c r="G116" s="4"/>
    </row>
    <row r="117" spans="3:7" ht="20.100000000000001" customHeight="1" x14ac:dyDescent="0.25">
      <c r="C117" s="35"/>
      <c r="D117" s="19"/>
      <c r="E117" s="19"/>
      <c r="F117" s="20"/>
      <c r="G117" s="4"/>
    </row>
    <row r="118" spans="3:7" ht="20.100000000000001" customHeight="1" x14ac:dyDescent="0.25">
      <c r="C118" s="35"/>
      <c r="D118" s="19"/>
      <c r="E118" s="19"/>
      <c r="F118" s="20"/>
      <c r="G118" s="4"/>
    </row>
    <row r="119" spans="3:7" ht="20.100000000000001" customHeight="1" x14ac:dyDescent="0.25">
      <c r="C119" s="35"/>
      <c r="D119" s="19"/>
      <c r="E119" s="19"/>
      <c r="F119" s="20"/>
      <c r="G119" s="4"/>
    </row>
    <row r="120" spans="3:7" ht="20.100000000000001" customHeight="1" x14ac:dyDescent="0.25">
      <c r="C120" s="35"/>
      <c r="D120" s="19"/>
      <c r="E120" s="19"/>
      <c r="F120" s="20"/>
      <c r="G120" s="4"/>
    </row>
    <row r="121" spans="3:7" ht="20.100000000000001" customHeight="1" x14ac:dyDescent="0.25">
      <c r="C121" s="35"/>
      <c r="D121" s="19"/>
      <c r="E121" s="19"/>
      <c r="F121" s="20"/>
      <c r="G121" s="4"/>
    </row>
    <row r="122" spans="3:7" ht="20.100000000000001" customHeight="1" x14ac:dyDescent="0.25">
      <c r="C122" s="35"/>
      <c r="D122" s="19"/>
      <c r="E122" s="19"/>
      <c r="F122" s="20"/>
      <c r="G122" s="4"/>
    </row>
    <row r="123" spans="3:7" ht="20.100000000000001" customHeight="1" x14ac:dyDescent="0.25">
      <c r="C123" s="35"/>
      <c r="D123" s="19"/>
      <c r="E123" s="19"/>
      <c r="F123" s="20"/>
      <c r="G123" s="4"/>
    </row>
    <row r="124" spans="3:7" ht="20.100000000000001" customHeight="1" x14ac:dyDescent="0.25">
      <c r="C124" s="35"/>
      <c r="D124" s="19"/>
      <c r="E124" s="19"/>
      <c r="F124" s="20"/>
      <c r="G124" s="4"/>
    </row>
    <row r="125" spans="3:7" ht="20.100000000000001" customHeight="1" x14ac:dyDescent="0.25">
      <c r="C125" s="35"/>
      <c r="D125" s="19"/>
      <c r="E125" s="19"/>
      <c r="F125" s="20"/>
      <c r="G125" s="4"/>
    </row>
    <row r="126" spans="3:7" ht="20.100000000000001" customHeight="1" x14ac:dyDescent="0.25">
      <c r="C126" s="35"/>
      <c r="D126" s="19"/>
      <c r="E126" s="19"/>
      <c r="F126" s="20"/>
      <c r="G126" s="4"/>
    </row>
    <row r="127" spans="3:7" ht="20.100000000000001" customHeight="1" x14ac:dyDescent="0.25">
      <c r="C127" s="35"/>
      <c r="D127" s="19"/>
      <c r="E127" s="19"/>
      <c r="F127" s="20"/>
      <c r="G127" s="4"/>
    </row>
    <row r="128" spans="3:7" ht="20.100000000000001" customHeight="1" x14ac:dyDescent="0.25">
      <c r="C128" s="35"/>
      <c r="D128" s="19"/>
      <c r="E128" s="19"/>
      <c r="F128" s="20"/>
      <c r="G128" s="4"/>
    </row>
    <row r="129" spans="3:7" ht="20.100000000000001" customHeight="1" x14ac:dyDescent="0.25">
      <c r="C129" s="35"/>
      <c r="D129" s="19"/>
      <c r="E129" s="19"/>
      <c r="F129" s="20"/>
      <c r="G129" s="4"/>
    </row>
    <row r="130" spans="3:7" ht="20.100000000000001" customHeight="1" x14ac:dyDescent="0.25">
      <c r="C130" s="35"/>
      <c r="D130" s="19"/>
      <c r="E130" s="19"/>
      <c r="F130" s="20"/>
      <c r="G130" s="4"/>
    </row>
    <row r="131" spans="3:7" ht="20.100000000000001" customHeight="1" x14ac:dyDescent="0.25">
      <c r="C131" s="35"/>
      <c r="D131" s="19"/>
      <c r="E131" s="19"/>
      <c r="F131" s="20"/>
      <c r="G131" s="4"/>
    </row>
    <row r="132" spans="3:7" ht="20.100000000000001" customHeight="1" x14ac:dyDescent="0.25">
      <c r="C132" s="35"/>
      <c r="D132" s="19"/>
      <c r="E132" s="19"/>
      <c r="F132" s="20"/>
      <c r="G132" s="4"/>
    </row>
    <row r="133" spans="3:7" ht="20.100000000000001" customHeight="1" x14ac:dyDescent="0.25">
      <c r="C133" s="35"/>
      <c r="D133" s="19"/>
      <c r="E133" s="19"/>
      <c r="F133" s="20"/>
      <c r="G133" s="4"/>
    </row>
    <row r="134" spans="3:7" ht="20.100000000000001" customHeight="1" x14ac:dyDescent="0.25">
      <c r="C134" s="35"/>
      <c r="D134" s="19"/>
      <c r="E134" s="19"/>
      <c r="F134" s="20"/>
      <c r="G134" s="4"/>
    </row>
    <row r="135" spans="3:7" ht="20.100000000000001" customHeight="1" x14ac:dyDescent="0.25">
      <c r="C135" s="35"/>
      <c r="D135" s="19"/>
      <c r="E135" s="19"/>
      <c r="F135" s="20"/>
      <c r="G135" s="4"/>
    </row>
    <row r="136" spans="3:7" ht="20.100000000000001" customHeight="1" x14ac:dyDescent="0.25">
      <c r="C136" s="35"/>
      <c r="D136" s="19"/>
      <c r="E136" s="19"/>
      <c r="F136" s="20"/>
      <c r="G136" s="4"/>
    </row>
    <row r="137" spans="3:7" ht="20.100000000000001" customHeight="1" x14ac:dyDescent="0.25">
      <c r="C137" s="35"/>
      <c r="D137" s="19"/>
      <c r="E137" s="19"/>
      <c r="F137" s="20"/>
      <c r="G137" s="4"/>
    </row>
    <row r="138" spans="3:7" ht="20.100000000000001" customHeight="1" x14ac:dyDescent="0.25">
      <c r="C138" s="35"/>
      <c r="D138" s="19"/>
      <c r="E138" s="19"/>
      <c r="F138" s="20"/>
      <c r="G138" s="4"/>
    </row>
    <row r="139" spans="3:7" ht="20.100000000000001" customHeight="1" x14ac:dyDescent="0.25">
      <c r="C139" s="35"/>
      <c r="D139" s="19"/>
      <c r="E139" s="19"/>
      <c r="F139" s="20"/>
      <c r="G139" s="4"/>
    </row>
    <row r="140" spans="3:7" ht="20.100000000000001" customHeight="1" x14ac:dyDescent="0.25">
      <c r="C140" s="35"/>
      <c r="D140" s="19"/>
      <c r="E140" s="19"/>
      <c r="F140" s="20"/>
      <c r="G140" s="4"/>
    </row>
    <row r="141" spans="3:7" ht="20.100000000000001" customHeight="1" x14ac:dyDescent="0.25">
      <c r="C141" s="35"/>
      <c r="D141" s="19"/>
      <c r="E141" s="19"/>
      <c r="F141" s="20"/>
      <c r="G141" s="4"/>
    </row>
    <row r="142" spans="3:7" ht="20.100000000000001" customHeight="1" x14ac:dyDescent="0.25">
      <c r="C142" s="35"/>
      <c r="D142" s="19"/>
      <c r="E142" s="19"/>
      <c r="F142" s="20"/>
      <c r="G142" s="4"/>
    </row>
    <row r="143" spans="3:7" ht="20.100000000000001" customHeight="1" x14ac:dyDescent="0.25">
      <c r="C143" s="35"/>
      <c r="D143" s="19"/>
      <c r="E143" s="19"/>
      <c r="F143" s="20"/>
      <c r="G143" s="4"/>
    </row>
    <row r="144" spans="3:7" ht="20.100000000000001" customHeight="1" x14ac:dyDescent="0.25">
      <c r="C144" s="35"/>
      <c r="D144" s="19"/>
      <c r="E144" s="19"/>
      <c r="F144" s="20"/>
      <c r="G144" s="4"/>
    </row>
    <row r="145" spans="3:7" ht="20.100000000000001" customHeight="1" x14ac:dyDescent="0.25">
      <c r="C145" s="35"/>
      <c r="D145" s="19"/>
      <c r="E145" s="19"/>
      <c r="F145" s="20"/>
      <c r="G145" s="4"/>
    </row>
    <row r="146" spans="3:7" ht="20.100000000000001" customHeight="1" x14ac:dyDescent="0.25">
      <c r="C146" s="35"/>
      <c r="D146" s="19"/>
      <c r="E146" s="19"/>
      <c r="F146" s="20"/>
      <c r="G146" s="4"/>
    </row>
    <row r="147" spans="3:7" ht="20.100000000000001" customHeight="1" x14ac:dyDescent="0.25">
      <c r="C147" s="35"/>
      <c r="D147" s="19"/>
      <c r="E147" s="19"/>
      <c r="F147" s="20"/>
      <c r="G147" s="4"/>
    </row>
    <row r="148" spans="3:7" ht="20.100000000000001" customHeight="1" x14ac:dyDescent="0.25">
      <c r="C148" s="35"/>
      <c r="D148" s="19"/>
      <c r="E148" s="19"/>
      <c r="F148" s="20"/>
      <c r="G148" s="4"/>
    </row>
    <row r="149" spans="3:7" ht="20.100000000000001" customHeight="1" x14ac:dyDescent="0.25">
      <c r="C149" s="35"/>
      <c r="D149" s="19"/>
      <c r="E149" s="19"/>
      <c r="F149" s="20"/>
      <c r="G149" s="4"/>
    </row>
    <row r="150" spans="3:7" ht="20.100000000000001" customHeight="1" x14ac:dyDescent="0.25">
      <c r="C150" s="35"/>
      <c r="D150" s="19"/>
      <c r="E150" s="19"/>
      <c r="F150" s="20"/>
      <c r="G150" s="4"/>
    </row>
    <row r="151" spans="3:7" ht="20.100000000000001" customHeight="1" x14ac:dyDescent="0.25">
      <c r="C151" s="35"/>
      <c r="D151" s="19"/>
      <c r="E151" s="19"/>
      <c r="F151" s="20"/>
      <c r="G151" s="4"/>
    </row>
    <row r="152" spans="3:7" ht="20.100000000000001" customHeight="1" x14ac:dyDescent="0.25">
      <c r="C152" s="35"/>
      <c r="D152" s="19"/>
      <c r="E152" s="19"/>
      <c r="F152" s="20"/>
      <c r="G152" s="4"/>
    </row>
    <row r="153" spans="3:7" ht="20.100000000000001" customHeight="1" x14ac:dyDescent="0.25">
      <c r="C153" s="35"/>
      <c r="D153" s="19"/>
      <c r="E153" s="19"/>
      <c r="F153" s="20"/>
      <c r="G153" s="4"/>
    </row>
    <row r="154" spans="3:7" ht="20.100000000000001" customHeight="1" x14ac:dyDescent="0.25">
      <c r="C154" s="35"/>
      <c r="D154" s="19"/>
      <c r="E154" s="19"/>
      <c r="F154" s="20"/>
      <c r="G154" s="4"/>
    </row>
    <row r="155" spans="3:7" ht="20.100000000000001" customHeight="1" x14ac:dyDescent="0.25">
      <c r="C155" s="35"/>
      <c r="D155" s="19"/>
      <c r="E155" s="19"/>
      <c r="F155" s="20"/>
      <c r="G155" s="4"/>
    </row>
    <row r="156" spans="3:7" ht="20.100000000000001" customHeight="1" x14ac:dyDescent="0.25">
      <c r="C156" s="35"/>
      <c r="D156" s="19"/>
      <c r="E156" s="19"/>
      <c r="F156" s="20"/>
      <c r="G156" s="4"/>
    </row>
    <row r="157" spans="3:7" ht="20.100000000000001" customHeight="1" x14ac:dyDescent="0.25">
      <c r="C157" s="35"/>
      <c r="D157" s="19"/>
      <c r="E157" s="19"/>
      <c r="F157" s="20"/>
      <c r="G157" s="4"/>
    </row>
    <row r="158" spans="3:7" ht="20.100000000000001" customHeight="1" x14ac:dyDescent="0.25">
      <c r="C158" s="35"/>
      <c r="D158" s="19"/>
      <c r="E158" s="19"/>
      <c r="F158" s="20"/>
      <c r="G158" s="4"/>
    </row>
    <row r="159" spans="3:7" ht="20.100000000000001" customHeight="1" x14ac:dyDescent="0.25">
      <c r="C159" s="35"/>
      <c r="D159" s="19"/>
      <c r="E159" s="19"/>
      <c r="F159" s="20"/>
      <c r="G159" s="4"/>
    </row>
    <row r="160" spans="3:7" ht="20.100000000000001" customHeight="1" x14ac:dyDescent="0.25">
      <c r="C160" s="35"/>
      <c r="D160" s="19"/>
      <c r="E160" s="19"/>
      <c r="F160" s="20"/>
      <c r="G160" s="4"/>
    </row>
    <row r="161" spans="3:7" ht="20.100000000000001" customHeight="1" x14ac:dyDescent="0.25">
      <c r="C161" s="35"/>
      <c r="D161" s="19"/>
      <c r="E161" s="19"/>
      <c r="F161" s="20"/>
      <c r="G161" s="4"/>
    </row>
    <row r="162" spans="3:7" ht="20.100000000000001" customHeight="1" x14ac:dyDescent="0.25">
      <c r="C162" s="35"/>
      <c r="D162" s="19"/>
      <c r="E162" s="19"/>
      <c r="F162" s="20"/>
      <c r="G162" s="4"/>
    </row>
    <row r="163" spans="3:7" ht="20.100000000000001" customHeight="1" x14ac:dyDescent="0.25">
      <c r="C163" s="35"/>
      <c r="D163" s="19"/>
      <c r="E163" s="19"/>
      <c r="F163" s="20"/>
      <c r="G163" s="4"/>
    </row>
    <row r="164" spans="3:7" ht="20.100000000000001" customHeight="1" x14ac:dyDescent="0.25">
      <c r="C164" s="35"/>
      <c r="D164" s="19"/>
      <c r="E164" s="19"/>
      <c r="F164" s="20"/>
      <c r="G164" s="4"/>
    </row>
    <row r="165" spans="3:7" ht="20.100000000000001" customHeight="1" x14ac:dyDescent="0.25">
      <c r="C165" s="35"/>
      <c r="D165" s="19"/>
      <c r="E165" s="19"/>
      <c r="F165" s="20"/>
      <c r="G165" s="4"/>
    </row>
    <row r="166" spans="3:7" ht="20.100000000000001" customHeight="1" x14ac:dyDescent="0.25">
      <c r="C166" s="35"/>
      <c r="D166" s="19"/>
      <c r="E166" s="19"/>
      <c r="F166" s="20"/>
      <c r="G166" s="4"/>
    </row>
    <row r="167" spans="3:7" ht="20.100000000000001" customHeight="1" x14ac:dyDescent="0.25">
      <c r="C167" s="35"/>
      <c r="D167" s="19"/>
      <c r="E167" s="19"/>
      <c r="F167" s="20"/>
      <c r="G167" s="4"/>
    </row>
    <row r="168" spans="3:7" ht="20.100000000000001" customHeight="1" x14ac:dyDescent="0.25">
      <c r="C168" s="35"/>
      <c r="D168" s="19"/>
      <c r="E168" s="19"/>
      <c r="F168" s="20"/>
      <c r="G168" s="4"/>
    </row>
    <row r="169" spans="3:7" ht="20.100000000000001" customHeight="1" x14ac:dyDescent="0.25">
      <c r="C169" s="35"/>
      <c r="D169" s="19"/>
      <c r="E169" s="19"/>
      <c r="F169" s="20"/>
      <c r="G169" s="4"/>
    </row>
    <row r="170" spans="3:7" ht="20.100000000000001" customHeight="1" x14ac:dyDescent="0.25">
      <c r="C170" s="35"/>
      <c r="D170" s="19"/>
      <c r="E170" s="19"/>
      <c r="F170" s="20"/>
      <c r="G170" s="4"/>
    </row>
    <row r="171" spans="3:7" ht="20.100000000000001" customHeight="1" x14ac:dyDescent="0.25">
      <c r="C171" s="35"/>
      <c r="D171" s="19"/>
      <c r="E171" s="19"/>
      <c r="F171" s="20"/>
      <c r="G171" s="4"/>
    </row>
    <row r="172" spans="3:7" ht="20.100000000000001" customHeight="1" x14ac:dyDescent="0.25">
      <c r="C172" s="35"/>
      <c r="D172" s="19"/>
      <c r="E172" s="19"/>
      <c r="F172" s="20"/>
      <c r="G172" s="4"/>
    </row>
    <row r="173" spans="3:7" ht="20.100000000000001" customHeight="1" x14ac:dyDescent="0.25">
      <c r="C173" s="35"/>
      <c r="D173" s="19"/>
      <c r="E173" s="19"/>
      <c r="F173" s="20"/>
      <c r="G173" s="4"/>
    </row>
    <row r="174" spans="3:7" ht="20.100000000000001" customHeight="1" x14ac:dyDescent="0.25">
      <c r="C174" s="35"/>
      <c r="D174" s="19"/>
      <c r="E174" s="19"/>
      <c r="F174" s="20"/>
      <c r="G174" s="4"/>
    </row>
    <row r="175" spans="3:7" ht="20.100000000000001" customHeight="1" x14ac:dyDescent="0.25">
      <c r="C175" s="35"/>
      <c r="D175" s="19"/>
      <c r="E175" s="19"/>
      <c r="F175" s="20"/>
      <c r="G175" s="4"/>
    </row>
    <row r="176" spans="3:7" ht="20.100000000000001" customHeight="1" x14ac:dyDescent="0.25">
      <c r="C176" s="35"/>
      <c r="D176" s="19"/>
      <c r="E176" s="19"/>
      <c r="F176" s="20"/>
      <c r="G176" s="4"/>
    </row>
    <row r="177" spans="3:7" ht="20.100000000000001" customHeight="1" x14ac:dyDescent="0.25">
      <c r="C177" s="35"/>
      <c r="D177" s="19"/>
      <c r="E177" s="19"/>
      <c r="F177" s="20"/>
      <c r="G177" s="4"/>
    </row>
    <row r="178" spans="3:7" ht="20.100000000000001" customHeight="1" x14ac:dyDescent="0.25">
      <c r="C178" s="35"/>
      <c r="D178" s="19"/>
      <c r="E178" s="19"/>
      <c r="F178" s="20"/>
      <c r="G178" s="4"/>
    </row>
    <row r="179" spans="3:7" ht="20.100000000000001" customHeight="1" x14ac:dyDescent="0.25">
      <c r="C179" s="35"/>
      <c r="D179" s="19"/>
      <c r="E179" s="19"/>
      <c r="F179" s="20"/>
      <c r="G179" s="4"/>
    </row>
    <row r="180" spans="3:7" ht="20.100000000000001" customHeight="1" x14ac:dyDescent="0.25">
      <c r="C180" s="35"/>
      <c r="D180" s="19"/>
      <c r="E180" s="19"/>
      <c r="F180" s="20"/>
      <c r="G180" s="4"/>
    </row>
    <row r="181" spans="3:7" ht="20.100000000000001" customHeight="1" x14ac:dyDescent="0.25">
      <c r="C181" s="35"/>
      <c r="D181" s="19"/>
      <c r="E181" s="19"/>
      <c r="F181" s="20"/>
      <c r="G181" s="4"/>
    </row>
    <row r="182" spans="3:7" ht="20.100000000000001" customHeight="1" x14ac:dyDescent="0.25">
      <c r="C182" s="35"/>
      <c r="D182" s="19"/>
      <c r="E182" s="19"/>
      <c r="F182" s="20"/>
      <c r="G182" s="4"/>
    </row>
    <row r="183" spans="3:7" ht="20.100000000000001" customHeight="1" x14ac:dyDescent="0.25">
      <c r="C183" s="35"/>
      <c r="D183" s="19"/>
      <c r="E183" s="19"/>
      <c r="F183" s="20"/>
      <c r="G183" s="4"/>
    </row>
    <row r="184" spans="3:7" ht="20.100000000000001" customHeight="1" x14ac:dyDescent="0.25">
      <c r="C184" s="35"/>
      <c r="D184" s="19"/>
      <c r="E184" s="19"/>
      <c r="F184" s="20"/>
      <c r="G184" s="4"/>
    </row>
    <row r="185" spans="3:7" ht="20.100000000000001" customHeight="1" x14ac:dyDescent="0.25">
      <c r="C185" s="35"/>
      <c r="D185" s="19"/>
      <c r="E185" s="19"/>
      <c r="F185" s="20"/>
      <c r="G185" s="4"/>
    </row>
    <row r="186" spans="3:7" ht="20.100000000000001" customHeight="1" x14ac:dyDescent="0.25">
      <c r="C186" s="35"/>
      <c r="D186" s="19"/>
      <c r="E186" s="19"/>
      <c r="F186" s="20"/>
      <c r="G186" s="4"/>
    </row>
    <row r="187" spans="3:7" ht="20.100000000000001" customHeight="1" x14ac:dyDescent="0.25">
      <c r="C187" s="35"/>
      <c r="D187" s="19"/>
      <c r="E187" s="19"/>
      <c r="F187" s="20"/>
      <c r="G187" s="4"/>
    </row>
    <row r="188" spans="3:7" ht="20.100000000000001" customHeight="1" x14ac:dyDescent="0.25">
      <c r="C188" s="35"/>
      <c r="D188" s="19"/>
      <c r="E188" s="19"/>
      <c r="F188" s="20"/>
      <c r="G188" s="4"/>
    </row>
    <row r="189" spans="3:7" ht="20.100000000000001" customHeight="1" x14ac:dyDescent="0.25">
      <c r="C189" s="35"/>
      <c r="D189" s="19"/>
      <c r="E189" s="19"/>
      <c r="F189" s="20"/>
      <c r="G189" s="4"/>
    </row>
    <row r="190" spans="3:7" ht="20.100000000000001" customHeight="1" x14ac:dyDescent="0.25">
      <c r="C190" s="35"/>
      <c r="D190" s="19"/>
      <c r="E190" s="19"/>
      <c r="F190" s="20"/>
      <c r="G190" s="4"/>
    </row>
    <row r="191" spans="3:7" ht="20.100000000000001" customHeight="1" x14ac:dyDescent="0.25">
      <c r="C191" s="35"/>
      <c r="D191" s="19"/>
      <c r="E191" s="19"/>
      <c r="F191" s="20"/>
      <c r="G191" s="4"/>
    </row>
    <row r="192" spans="3:7" ht="20.100000000000001" customHeight="1" x14ac:dyDescent="0.25">
      <c r="C192" s="35"/>
      <c r="D192" s="19"/>
      <c r="E192" s="19"/>
      <c r="F192" s="20"/>
      <c r="G192" s="4"/>
    </row>
    <row r="193" spans="3:7" ht="20.100000000000001" customHeight="1" x14ac:dyDescent="0.25">
      <c r="C193" s="35"/>
      <c r="D193" s="19"/>
      <c r="E193" s="19"/>
      <c r="F193" s="20"/>
      <c r="G193" s="4"/>
    </row>
    <row r="194" spans="3:7" ht="20.100000000000001" customHeight="1" x14ac:dyDescent="0.25">
      <c r="C194" s="35"/>
      <c r="D194" s="19"/>
      <c r="E194" s="19"/>
      <c r="F194" s="20"/>
      <c r="G194" s="4"/>
    </row>
    <row r="195" spans="3:7" ht="20.100000000000001" customHeight="1" x14ac:dyDescent="0.25">
      <c r="C195" s="35"/>
      <c r="D195" s="19"/>
      <c r="E195" s="19"/>
      <c r="F195" s="20"/>
      <c r="G195" s="4"/>
    </row>
    <row r="196" spans="3:7" ht="20.100000000000001" customHeight="1" x14ac:dyDescent="0.25">
      <c r="C196" s="35"/>
      <c r="D196" s="19"/>
      <c r="E196" s="19"/>
      <c r="F196" s="20"/>
      <c r="G196" s="4"/>
    </row>
    <row r="197" spans="3:7" ht="20.100000000000001" customHeight="1" x14ac:dyDescent="0.25">
      <c r="C197" s="35"/>
      <c r="D197" s="19"/>
      <c r="E197" s="19"/>
      <c r="F197" s="20"/>
      <c r="G197" s="4"/>
    </row>
    <row r="198" spans="3:7" ht="20.100000000000001" customHeight="1" x14ac:dyDescent="0.25">
      <c r="C198" s="35"/>
      <c r="D198" s="19"/>
      <c r="E198" s="19"/>
      <c r="F198" s="20"/>
      <c r="G198" s="4"/>
    </row>
    <row r="199" spans="3:7" ht="20.100000000000001" customHeight="1" x14ac:dyDescent="0.25">
      <c r="C199" s="35"/>
      <c r="D199" s="19"/>
      <c r="E199" s="19"/>
      <c r="F199" s="20"/>
      <c r="G199" s="4"/>
    </row>
    <row r="200" spans="3:7" ht="20.100000000000001" customHeight="1" x14ac:dyDescent="0.25">
      <c r="C200" s="35"/>
      <c r="D200" s="19"/>
      <c r="E200" s="19"/>
      <c r="F200" s="20"/>
      <c r="G200" s="4"/>
    </row>
    <row r="201" spans="3:7" ht="20.100000000000001" customHeight="1" x14ac:dyDescent="0.25">
      <c r="C201" s="35"/>
      <c r="D201" s="19"/>
      <c r="E201" s="19"/>
      <c r="F201" s="20"/>
      <c r="G201" s="4"/>
    </row>
    <row r="202" spans="3:7" ht="20.100000000000001" customHeight="1" x14ac:dyDescent="0.25">
      <c r="C202" s="35"/>
      <c r="D202" s="19"/>
      <c r="E202" s="19"/>
      <c r="F202" s="20"/>
      <c r="G202" s="4"/>
    </row>
    <row r="203" spans="3:7" ht="20.100000000000001" customHeight="1" x14ac:dyDescent="0.25">
      <c r="C203" s="35"/>
      <c r="D203" s="19"/>
      <c r="E203" s="19"/>
      <c r="F203" s="20"/>
      <c r="G203" s="4"/>
    </row>
    <row r="204" spans="3:7" ht="20.100000000000001" customHeight="1" x14ac:dyDescent="0.25">
      <c r="C204" s="35"/>
      <c r="D204" s="19"/>
      <c r="E204" s="19"/>
      <c r="F204" s="20"/>
      <c r="G204" s="4"/>
    </row>
    <row r="205" spans="3:7" ht="20.100000000000001" customHeight="1" x14ac:dyDescent="0.25">
      <c r="C205" s="35"/>
      <c r="D205" s="19"/>
      <c r="E205" s="19"/>
      <c r="F205" s="20"/>
      <c r="G205" s="4"/>
    </row>
    <row r="206" spans="3:7" ht="20.100000000000001" customHeight="1" x14ac:dyDescent="0.25">
      <c r="C206" s="35"/>
      <c r="D206" s="19"/>
      <c r="E206" s="19"/>
      <c r="F206" s="20"/>
      <c r="G206" s="4"/>
    </row>
    <row r="207" spans="3:7" ht="20.100000000000001" customHeight="1" x14ac:dyDescent="0.25">
      <c r="C207" s="35"/>
      <c r="D207" s="19"/>
      <c r="E207" s="19"/>
      <c r="F207" s="20"/>
      <c r="G207" s="4"/>
    </row>
    <row r="208" spans="3:7" ht="20.100000000000001" customHeight="1" x14ac:dyDescent="0.25">
      <c r="C208" s="35"/>
      <c r="D208" s="19"/>
      <c r="E208" s="19"/>
      <c r="F208" s="20"/>
      <c r="G208" s="4"/>
    </row>
    <row r="209" spans="3:7" ht="20.100000000000001" customHeight="1" x14ac:dyDescent="0.25">
      <c r="C209" s="35"/>
      <c r="D209" s="19"/>
      <c r="E209" s="19"/>
      <c r="F209" s="20"/>
      <c r="G209" s="4"/>
    </row>
    <row r="210" spans="3:7" ht="20.100000000000001" customHeight="1" x14ac:dyDescent="0.25">
      <c r="C210" s="35"/>
      <c r="D210" s="19"/>
      <c r="E210" s="19"/>
      <c r="F210" s="20"/>
      <c r="G210" s="4"/>
    </row>
    <row r="211" spans="3:7" ht="20.100000000000001" customHeight="1" x14ac:dyDescent="0.25">
      <c r="C211" s="35"/>
      <c r="D211" s="19"/>
      <c r="E211" s="19"/>
      <c r="F211" s="20"/>
      <c r="G211" s="4"/>
    </row>
    <row r="212" spans="3:7" ht="20.100000000000001" customHeight="1" x14ac:dyDescent="0.25">
      <c r="C212" s="35"/>
      <c r="D212" s="19"/>
      <c r="E212" s="19"/>
      <c r="F212" s="20"/>
      <c r="G212" s="4"/>
    </row>
    <row r="213" spans="3:7" ht="20.100000000000001" customHeight="1" x14ac:dyDescent="0.25">
      <c r="C213" s="35"/>
      <c r="D213" s="19"/>
      <c r="E213" s="19"/>
      <c r="F213" s="20"/>
      <c r="G213" s="4"/>
    </row>
    <row r="214" spans="3:7" ht="20.100000000000001" customHeight="1" x14ac:dyDescent="0.25">
      <c r="C214" s="35"/>
      <c r="D214" s="19"/>
      <c r="E214" s="19"/>
      <c r="F214" s="20"/>
      <c r="G214" s="4"/>
    </row>
    <row r="215" spans="3:7" ht="20.100000000000001" customHeight="1" x14ac:dyDescent="0.25">
      <c r="C215" s="35"/>
      <c r="D215" s="19"/>
      <c r="E215" s="19"/>
      <c r="F215" s="20"/>
      <c r="G215" s="4"/>
    </row>
    <row r="216" spans="3:7" ht="20.100000000000001" customHeight="1" x14ac:dyDescent="0.25">
      <c r="C216" s="35"/>
      <c r="D216" s="19"/>
      <c r="E216" s="19"/>
      <c r="F216" s="20"/>
      <c r="G216" s="4"/>
    </row>
    <row r="217" spans="3:7" ht="20.100000000000001" customHeight="1" x14ac:dyDescent="0.25">
      <c r="C217" s="35"/>
      <c r="D217" s="19"/>
      <c r="E217" s="19"/>
      <c r="F217" s="20"/>
      <c r="G217" s="4"/>
    </row>
    <row r="218" spans="3:7" ht="20.100000000000001" customHeight="1" x14ac:dyDescent="0.25">
      <c r="C218" s="35"/>
      <c r="D218" s="19"/>
      <c r="E218" s="19"/>
      <c r="F218" s="20"/>
      <c r="G218" s="4"/>
    </row>
    <row r="219" spans="3:7" ht="20.100000000000001" customHeight="1" x14ac:dyDescent="0.25">
      <c r="C219" s="35"/>
      <c r="D219" s="19"/>
      <c r="E219" s="19"/>
      <c r="F219" s="20"/>
      <c r="G219" s="4"/>
    </row>
    <row r="220" spans="3:7" ht="20.100000000000001" customHeight="1" x14ac:dyDescent="0.25">
      <c r="C220" s="35"/>
      <c r="D220" s="19"/>
      <c r="E220" s="19"/>
      <c r="F220" s="20"/>
      <c r="G220" s="4"/>
    </row>
    <row r="221" spans="3:7" ht="20.100000000000001" customHeight="1" x14ac:dyDescent="0.25">
      <c r="C221" s="35"/>
      <c r="D221" s="19"/>
      <c r="E221" s="19"/>
      <c r="F221" s="20"/>
      <c r="G221" s="4"/>
    </row>
    <row r="222" spans="3:7" ht="20.100000000000001" customHeight="1" x14ac:dyDescent="0.25">
      <c r="C222" s="35"/>
      <c r="D222" s="19"/>
      <c r="E222" s="19"/>
      <c r="F222" s="20"/>
      <c r="G222" s="4"/>
    </row>
    <row r="223" spans="3:7" ht="20.100000000000001" customHeight="1" x14ac:dyDescent="0.25">
      <c r="C223" s="35"/>
      <c r="D223" s="19"/>
      <c r="E223" s="19"/>
      <c r="F223" s="20"/>
      <c r="G223" s="4"/>
    </row>
    <row r="224" spans="3:7" ht="20.100000000000001" customHeight="1" x14ac:dyDescent="0.25">
      <c r="C224" s="35"/>
      <c r="D224" s="19"/>
      <c r="E224" s="19"/>
      <c r="F224" s="20"/>
      <c r="G224" s="4"/>
    </row>
    <row r="225" spans="3:7" ht="20.100000000000001" customHeight="1" x14ac:dyDescent="0.25">
      <c r="C225" s="35"/>
      <c r="D225" s="19"/>
      <c r="E225" s="19"/>
      <c r="F225" s="20"/>
      <c r="G225" s="4"/>
    </row>
    <row r="226" spans="3:7" ht="20.100000000000001" customHeight="1" x14ac:dyDescent="0.25">
      <c r="C226" s="35"/>
      <c r="D226" s="19"/>
      <c r="E226" s="19"/>
      <c r="F226" s="20"/>
      <c r="G226" s="4"/>
    </row>
    <row r="227" spans="3:7" ht="20.100000000000001" customHeight="1" x14ac:dyDescent="0.25">
      <c r="C227" s="35"/>
      <c r="D227" s="19"/>
      <c r="E227" s="19"/>
      <c r="F227" s="20"/>
      <c r="G227" s="4"/>
    </row>
    <row r="228" spans="3:7" ht="20.100000000000001" customHeight="1" x14ac:dyDescent="0.25">
      <c r="C228" s="35"/>
      <c r="D228" s="19"/>
      <c r="E228" s="19"/>
      <c r="F228" s="20"/>
      <c r="G228" s="4"/>
    </row>
    <row r="229" spans="3:7" ht="20.100000000000001" customHeight="1" x14ac:dyDescent="0.25">
      <c r="C229" s="35"/>
      <c r="D229" s="19"/>
      <c r="E229" s="19"/>
      <c r="F229" s="20"/>
      <c r="G229" s="4"/>
    </row>
    <row r="230" spans="3:7" ht="20.100000000000001" customHeight="1" x14ac:dyDescent="0.25">
      <c r="C230" s="35"/>
      <c r="D230" s="19"/>
      <c r="E230" s="19"/>
      <c r="F230" s="20"/>
      <c r="G230" s="4"/>
    </row>
    <row r="231" spans="3:7" ht="20.100000000000001" customHeight="1" x14ac:dyDescent="0.25">
      <c r="C231" s="35"/>
      <c r="D231" s="19"/>
      <c r="E231" s="19"/>
      <c r="F231" s="20"/>
      <c r="G231" s="4"/>
    </row>
    <row r="232" spans="3:7" ht="20.100000000000001" customHeight="1" x14ac:dyDescent="0.25">
      <c r="C232" s="35"/>
      <c r="D232" s="19"/>
      <c r="E232" s="19"/>
      <c r="F232" s="20"/>
      <c r="G232" s="4"/>
    </row>
    <row r="233" spans="3:7" ht="20.100000000000001" customHeight="1" x14ac:dyDescent="0.25">
      <c r="C233" s="35"/>
      <c r="D233" s="19"/>
      <c r="E233" s="19"/>
      <c r="F233" s="20"/>
      <c r="G233" s="4"/>
    </row>
    <row r="234" spans="3:7" ht="20.100000000000001" customHeight="1" x14ac:dyDescent="0.25">
      <c r="C234" s="35"/>
      <c r="D234" s="19"/>
      <c r="E234" s="19"/>
      <c r="F234" s="20"/>
      <c r="G234" s="4"/>
    </row>
    <row r="235" spans="3:7" ht="20.100000000000001" customHeight="1" x14ac:dyDescent="0.25">
      <c r="C235" s="35"/>
      <c r="D235" s="19"/>
      <c r="E235" s="19"/>
      <c r="F235" s="20"/>
      <c r="G235" s="4"/>
    </row>
    <row r="236" spans="3:7" ht="20.100000000000001" customHeight="1" x14ac:dyDescent="0.25">
      <c r="C236" s="35"/>
      <c r="D236" s="19"/>
      <c r="E236" s="19"/>
      <c r="F236" s="20"/>
      <c r="G236" s="4"/>
    </row>
    <row r="237" spans="3:7" ht="20.100000000000001" customHeight="1" x14ac:dyDescent="0.25">
      <c r="C237" s="35"/>
      <c r="D237" s="19"/>
      <c r="E237" s="19"/>
      <c r="F237" s="20"/>
      <c r="G237" s="4"/>
    </row>
    <row r="238" spans="3:7" ht="20.100000000000001" customHeight="1" x14ac:dyDescent="0.25">
      <c r="C238" s="35"/>
      <c r="D238" s="19"/>
      <c r="E238" s="19"/>
      <c r="F238" s="20"/>
      <c r="G238" s="4"/>
    </row>
    <row r="239" spans="3:7" ht="20.100000000000001" customHeight="1" x14ac:dyDescent="0.25">
      <c r="C239" s="35"/>
      <c r="D239" s="19"/>
      <c r="E239" s="19"/>
      <c r="F239" s="20"/>
      <c r="G239" s="4"/>
    </row>
    <row r="240" spans="3:7" ht="20.100000000000001" customHeight="1" x14ac:dyDescent="0.25">
      <c r="C240" s="35"/>
      <c r="D240" s="19"/>
      <c r="E240" s="19"/>
      <c r="F240" s="20"/>
      <c r="G240" s="4"/>
    </row>
    <row r="241" spans="3:7" ht="20.100000000000001" customHeight="1" x14ac:dyDescent="0.25">
      <c r="C241" s="35"/>
      <c r="D241" s="19"/>
      <c r="E241" s="19"/>
      <c r="F241" s="20"/>
      <c r="G241" s="4"/>
    </row>
    <row r="242" spans="3:7" ht="20.100000000000001" customHeight="1" x14ac:dyDescent="0.25">
      <c r="C242" s="35"/>
      <c r="D242" s="19"/>
      <c r="E242" s="19"/>
      <c r="F242" s="20"/>
      <c r="G242" s="4"/>
    </row>
    <row r="243" spans="3:7" ht="20.100000000000001" customHeight="1" x14ac:dyDescent="0.25">
      <c r="C243" s="35"/>
      <c r="D243" s="19"/>
      <c r="E243" s="19"/>
      <c r="F243" s="20"/>
      <c r="G243" s="4"/>
    </row>
    <row r="244" spans="3:7" ht="20.100000000000001" customHeight="1" x14ac:dyDescent="0.25">
      <c r="C244" s="35"/>
      <c r="D244" s="19"/>
      <c r="E244" s="19"/>
      <c r="F244" s="20"/>
      <c r="G244" s="4"/>
    </row>
    <row r="245" spans="3:7" ht="20.100000000000001" customHeight="1" x14ac:dyDescent="0.25">
      <c r="C245" s="35"/>
      <c r="D245" s="19"/>
      <c r="E245" s="19"/>
      <c r="F245" s="20"/>
      <c r="G245" s="4"/>
    </row>
    <row r="246" spans="3:7" ht="20.100000000000001" customHeight="1" x14ac:dyDescent="0.25">
      <c r="C246" s="35"/>
      <c r="D246" s="19"/>
      <c r="E246" s="19"/>
      <c r="F246" s="20"/>
      <c r="G246" s="4"/>
    </row>
    <row r="247" spans="3:7" ht="20.100000000000001" customHeight="1" x14ac:dyDescent="0.25">
      <c r="C247" s="35"/>
      <c r="D247" s="19"/>
      <c r="E247" s="19"/>
      <c r="F247" s="20"/>
      <c r="G247" s="4"/>
    </row>
    <row r="248" spans="3:7" ht="20.100000000000001" customHeight="1" x14ac:dyDescent="0.25">
      <c r="C248" s="35"/>
      <c r="D248" s="19"/>
      <c r="E248" s="19"/>
      <c r="F248" s="20"/>
      <c r="G248" s="4"/>
    </row>
    <row r="249" spans="3:7" ht="20.100000000000001" customHeight="1" x14ac:dyDescent="0.25">
      <c r="C249" s="35"/>
      <c r="D249" s="19"/>
      <c r="E249" s="19"/>
      <c r="F249" s="20"/>
      <c r="G249" s="4"/>
    </row>
    <row r="250" spans="3:7" ht="20.100000000000001" customHeight="1" x14ac:dyDescent="0.25">
      <c r="C250" s="35"/>
      <c r="D250" s="19"/>
      <c r="E250" s="19"/>
      <c r="F250" s="20"/>
      <c r="G250" s="4"/>
    </row>
    <row r="251" spans="3:7" ht="20.100000000000001" customHeight="1" x14ac:dyDescent="0.25">
      <c r="C251" s="35"/>
      <c r="D251" s="19"/>
      <c r="E251" s="19"/>
      <c r="F251" s="20"/>
      <c r="G251" s="4"/>
    </row>
    <row r="252" spans="3:7" ht="20.100000000000001" customHeight="1" x14ac:dyDescent="0.25">
      <c r="C252" s="35"/>
      <c r="D252" s="19"/>
      <c r="E252" s="19"/>
      <c r="F252" s="20"/>
      <c r="G252" s="4"/>
    </row>
    <row r="253" spans="3:7" ht="20.100000000000001" customHeight="1" x14ac:dyDescent="0.25">
      <c r="C253" s="35"/>
      <c r="D253" s="19"/>
      <c r="E253" s="19"/>
      <c r="F253" s="20"/>
      <c r="G253" s="4"/>
    </row>
    <row r="254" spans="3:7" ht="20.100000000000001" customHeight="1" x14ac:dyDescent="0.25">
      <c r="C254" s="35"/>
      <c r="D254" s="19"/>
      <c r="E254" s="19"/>
      <c r="F254" s="20"/>
      <c r="G254" s="4"/>
    </row>
    <row r="255" spans="3:7" ht="20.100000000000001" customHeight="1" x14ac:dyDescent="0.25">
      <c r="C255" s="35"/>
      <c r="D255" s="19"/>
      <c r="E255" s="19"/>
      <c r="F255" s="20"/>
      <c r="G255" s="4"/>
    </row>
    <row r="256" spans="3:7" ht="20.100000000000001" customHeight="1" x14ac:dyDescent="0.25">
      <c r="C256" s="35"/>
      <c r="D256" s="19"/>
      <c r="E256" s="19"/>
      <c r="F256" s="20"/>
      <c r="G256" s="4"/>
    </row>
    <row r="257" spans="3:7" ht="20.100000000000001" customHeight="1" x14ac:dyDescent="0.25">
      <c r="C257" s="35"/>
      <c r="D257" s="19"/>
      <c r="E257" s="19"/>
      <c r="F257" s="20"/>
      <c r="G257" s="4"/>
    </row>
    <row r="258" spans="3:7" ht="20.100000000000001" customHeight="1" x14ac:dyDescent="0.25">
      <c r="C258" s="35"/>
      <c r="D258" s="19"/>
      <c r="E258" s="19"/>
      <c r="F258" s="20"/>
      <c r="G258" s="4"/>
    </row>
    <row r="259" spans="3:7" ht="20.100000000000001" customHeight="1" x14ac:dyDescent="0.25">
      <c r="C259" s="35"/>
      <c r="D259" s="19"/>
      <c r="E259" s="19"/>
      <c r="F259" s="20"/>
      <c r="G259" s="4"/>
    </row>
    <row r="260" spans="3:7" ht="20.100000000000001" customHeight="1" x14ac:dyDescent="0.25">
      <c r="C260" s="35"/>
      <c r="D260" s="19"/>
      <c r="E260" s="19"/>
      <c r="F260" s="20"/>
      <c r="G260" s="4"/>
    </row>
    <row r="261" spans="3:7" ht="20.100000000000001" customHeight="1" x14ac:dyDescent="0.25">
      <c r="C261" s="35"/>
      <c r="D261" s="19"/>
      <c r="E261" s="19"/>
      <c r="F261" s="20"/>
      <c r="G261" s="4"/>
    </row>
    <row r="262" spans="3:7" ht="20.100000000000001" customHeight="1" x14ac:dyDescent="0.25">
      <c r="C262" s="35"/>
      <c r="D262" s="19"/>
      <c r="E262" s="19"/>
      <c r="F262" s="20"/>
      <c r="G262" s="4"/>
    </row>
    <row r="263" spans="3:7" ht="20.100000000000001" customHeight="1" x14ac:dyDescent="0.25">
      <c r="C263" s="35"/>
      <c r="D263" s="19"/>
      <c r="E263" s="19"/>
      <c r="F263" s="20"/>
      <c r="G263" s="4"/>
    </row>
    <row r="264" spans="3:7" ht="20.100000000000001" customHeight="1" x14ac:dyDescent="0.25">
      <c r="C264" s="35"/>
      <c r="D264" s="19"/>
      <c r="E264" s="19"/>
      <c r="F264" s="20"/>
      <c r="G264" s="4"/>
    </row>
    <row r="265" spans="3:7" ht="20.100000000000001" customHeight="1" x14ac:dyDescent="0.25">
      <c r="C265" s="35"/>
      <c r="D265" s="19"/>
      <c r="E265" s="19"/>
      <c r="F265" s="20"/>
      <c r="G265" s="4"/>
    </row>
    <row r="266" spans="3:7" ht="20.100000000000001" customHeight="1" x14ac:dyDescent="0.25">
      <c r="C266" s="35"/>
      <c r="D266" s="19"/>
      <c r="E266" s="19"/>
      <c r="F266" s="20"/>
      <c r="G266" s="4"/>
    </row>
    <row r="267" spans="3:7" ht="20.100000000000001" customHeight="1" x14ac:dyDescent="0.25">
      <c r="C267" s="35"/>
      <c r="D267" s="19"/>
      <c r="E267" s="19"/>
      <c r="F267" s="20"/>
      <c r="G267" s="4"/>
    </row>
    <row r="268" spans="3:7" ht="20.100000000000001" customHeight="1" x14ac:dyDescent="0.25">
      <c r="C268" s="35"/>
      <c r="D268" s="19"/>
      <c r="E268" s="19"/>
      <c r="F268" s="20"/>
      <c r="G268" s="4"/>
    </row>
    <row r="269" spans="3:7" ht="20.100000000000001" customHeight="1" x14ac:dyDescent="0.25">
      <c r="C269" s="35"/>
      <c r="D269" s="19"/>
      <c r="E269" s="19"/>
      <c r="F269" s="20"/>
      <c r="G269" s="4"/>
    </row>
    <row r="270" spans="3:7" ht="20.100000000000001" customHeight="1" x14ac:dyDescent="0.25">
      <c r="C270" s="35"/>
      <c r="D270" s="19"/>
      <c r="E270" s="19"/>
      <c r="F270" s="20"/>
      <c r="G270" s="4"/>
    </row>
    <row r="271" spans="3:7" ht="20.100000000000001" customHeight="1" x14ac:dyDescent="0.25">
      <c r="C271" s="35"/>
      <c r="D271" s="19"/>
      <c r="E271" s="19"/>
      <c r="F271" s="20"/>
      <c r="G271" s="4"/>
    </row>
    <row r="272" spans="3:7" ht="20.100000000000001" customHeight="1" x14ac:dyDescent="0.25">
      <c r="C272" s="35"/>
      <c r="D272" s="19"/>
      <c r="E272" s="19"/>
      <c r="F272" s="20"/>
      <c r="G272" s="4"/>
    </row>
    <row r="273" spans="3:7" ht="20.100000000000001" customHeight="1" x14ac:dyDescent="0.25">
      <c r="C273" s="35"/>
      <c r="D273" s="19"/>
      <c r="E273" s="19"/>
      <c r="F273" s="20"/>
      <c r="G273" s="4"/>
    </row>
    <row r="274" spans="3:7" ht="20.100000000000001" customHeight="1" x14ac:dyDescent="0.25">
      <c r="C274" s="35"/>
      <c r="D274" s="19"/>
      <c r="E274" s="19"/>
      <c r="F274" s="20"/>
      <c r="G274" s="4"/>
    </row>
    <row r="275" spans="3:7" ht="20.100000000000001" customHeight="1" x14ac:dyDescent="0.25">
      <c r="C275" s="35"/>
      <c r="D275" s="19"/>
      <c r="E275" s="19"/>
      <c r="F275" s="20"/>
      <c r="G275" s="4"/>
    </row>
    <row r="276" spans="3:7" ht="20.100000000000001" customHeight="1" x14ac:dyDescent="0.25">
      <c r="C276" s="35"/>
      <c r="D276" s="19"/>
      <c r="E276" s="19"/>
      <c r="F276" s="20"/>
      <c r="G276" s="4"/>
    </row>
    <row r="277" spans="3:7" ht="20.100000000000001" customHeight="1" x14ac:dyDescent="0.25">
      <c r="C277" s="35"/>
      <c r="D277" s="19"/>
      <c r="E277" s="19"/>
      <c r="F277" s="20"/>
      <c r="G277" s="4"/>
    </row>
    <row r="278" spans="3:7" ht="20.100000000000001" customHeight="1" x14ac:dyDescent="0.25">
      <c r="C278" s="35"/>
      <c r="D278" s="19"/>
      <c r="E278" s="19"/>
      <c r="F278" s="20"/>
      <c r="G278" s="4"/>
    </row>
    <row r="279" spans="3:7" ht="20.100000000000001" customHeight="1" x14ac:dyDescent="0.25">
      <c r="C279" s="35"/>
      <c r="D279" s="19"/>
      <c r="E279" s="19"/>
      <c r="F279" s="20"/>
      <c r="G279" s="4"/>
    </row>
    <row r="280" spans="3:7" ht="20.100000000000001" customHeight="1" x14ac:dyDescent="0.25">
      <c r="C280" s="35"/>
      <c r="D280" s="19"/>
      <c r="E280" s="19"/>
      <c r="F280" s="20"/>
      <c r="G280" s="4"/>
    </row>
    <row r="281" spans="3:7" ht="20.100000000000001" customHeight="1" x14ac:dyDescent="0.25">
      <c r="C281" s="35"/>
      <c r="D281" s="19"/>
      <c r="E281" s="19"/>
      <c r="F281" s="20"/>
      <c r="G281" s="4"/>
    </row>
    <row r="282" spans="3:7" ht="20.100000000000001" customHeight="1" x14ac:dyDescent="0.25">
      <c r="C282" s="35"/>
      <c r="D282" s="19"/>
      <c r="E282" s="19"/>
      <c r="F282" s="20"/>
      <c r="G282" s="4"/>
    </row>
    <row r="283" spans="3:7" ht="20.100000000000001" customHeight="1" x14ac:dyDescent="0.25">
      <c r="C283" s="35"/>
      <c r="D283" s="19"/>
      <c r="E283" s="19"/>
      <c r="F283" s="20"/>
      <c r="G283" s="4"/>
    </row>
    <row r="284" spans="3:7" ht="20.100000000000001" customHeight="1" x14ac:dyDescent="0.25">
      <c r="C284" s="35"/>
      <c r="D284" s="19"/>
      <c r="E284" s="19"/>
      <c r="F284" s="20"/>
      <c r="G284" s="4"/>
    </row>
    <row r="285" spans="3:7" ht="20.100000000000001" customHeight="1" x14ac:dyDescent="0.25">
      <c r="C285" s="35"/>
      <c r="D285" s="19"/>
      <c r="E285" s="19"/>
      <c r="F285" s="20"/>
      <c r="G285" s="4"/>
    </row>
    <row r="286" spans="3:7" ht="20.100000000000001" customHeight="1" x14ac:dyDescent="0.25">
      <c r="C286" s="35"/>
      <c r="D286" s="19"/>
      <c r="E286" s="19"/>
      <c r="F286" s="20"/>
      <c r="G286" s="4"/>
    </row>
    <row r="287" spans="3:7" ht="20.100000000000001" customHeight="1" x14ac:dyDescent="0.25">
      <c r="C287" s="35"/>
      <c r="D287" s="19"/>
      <c r="E287" s="19"/>
      <c r="F287" s="20"/>
      <c r="G287" s="4"/>
    </row>
    <row r="288" spans="3:7" ht="20.100000000000001" customHeight="1" x14ac:dyDescent="0.25">
      <c r="C288" s="35"/>
      <c r="D288" s="19"/>
      <c r="E288" s="19"/>
      <c r="F288" s="20"/>
      <c r="G288" s="4"/>
    </row>
    <row r="289" spans="3:7" ht="20.100000000000001" customHeight="1" x14ac:dyDescent="0.25">
      <c r="C289" s="35"/>
      <c r="D289" s="19"/>
      <c r="E289" s="19"/>
      <c r="F289" s="20"/>
      <c r="G289" s="4"/>
    </row>
    <row r="290" spans="3:7" ht="20.100000000000001" customHeight="1" x14ac:dyDescent="0.25">
      <c r="C290" s="35"/>
      <c r="D290" s="19"/>
      <c r="E290" s="19"/>
      <c r="F290" s="20"/>
      <c r="G290" s="4"/>
    </row>
    <row r="291" spans="3:7" ht="20.100000000000001" customHeight="1" x14ac:dyDescent="0.25">
      <c r="C291" s="35"/>
      <c r="D291" s="19"/>
      <c r="E291" s="19"/>
      <c r="F291" s="20"/>
      <c r="G291" s="4"/>
    </row>
    <row r="292" spans="3:7" ht="20.100000000000001" customHeight="1" x14ac:dyDescent="0.25">
      <c r="C292" s="35"/>
      <c r="D292" s="19"/>
      <c r="E292" s="19"/>
      <c r="F292" s="20"/>
      <c r="G292" s="4"/>
    </row>
    <row r="293" spans="3:7" ht="20.100000000000001" customHeight="1" x14ac:dyDescent="0.25">
      <c r="C293" s="35"/>
      <c r="D293" s="19"/>
      <c r="E293" s="19"/>
      <c r="F293" s="20"/>
      <c r="G293" s="4"/>
    </row>
    <row r="294" spans="3:7" ht="20.100000000000001" customHeight="1" x14ac:dyDescent="0.25">
      <c r="C294" s="35"/>
      <c r="D294" s="19"/>
      <c r="E294" s="19"/>
      <c r="F294" s="20"/>
      <c r="G294" s="4"/>
    </row>
    <row r="295" spans="3:7" ht="20.100000000000001" customHeight="1" x14ac:dyDescent="0.25">
      <c r="C295" s="35"/>
      <c r="D295" s="19"/>
      <c r="E295" s="19"/>
      <c r="F295" s="20"/>
      <c r="G295" s="4"/>
    </row>
    <row r="296" spans="3:7" ht="20.100000000000001" customHeight="1" x14ac:dyDescent="0.25">
      <c r="C296" s="35"/>
      <c r="D296" s="19"/>
      <c r="E296" s="19"/>
      <c r="F296" s="20"/>
      <c r="G296" s="4"/>
    </row>
    <row r="297" spans="3:7" ht="20.100000000000001" customHeight="1" x14ac:dyDescent="0.25">
      <c r="C297" s="35"/>
      <c r="D297" s="19"/>
      <c r="E297" s="19"/>
      <c r="F297" s="20"/>
      <c r="G297" s="4"/>
    </row>
    <row r="298" spans="3:7" ht="20.100000000000001" customHeight="1" x14ac:dyDescent="0.25">
      <c r="C298" s="35"/>
      <c r="D298" s="19"/>
      <c r="E298" s="19"/>
      <c r="F298" s="20"/>
      <c r="G298" s="4"/>
    </row>
    <row r="299" spans="3:7" ht="20.100000000000001" customHeight="1" x14ac:dyDescent="0.25">
      <c r="C299" s="35"/>
      <c r="D299" s="19"/>
      <c r="E299" s="19"/>
      <c r="F299" s="20"/>
      <c r="G299" s="4"/>
    </row>
    <row r="300" spans="3:7" ht="20.100000000000001" customHeight="1" x14ac:dyDescent="0.25">
      <c r="C300" s="35"/>
      <c r="D300" s="19"/>
      <c r="E300" s="19"/>
      <c r="F300" s="20"/>
      <c r="G300" s="4"/>
    </row>
    <row r="301" spans="3:7" ht="20.100000000000001" customHeight="1" x14ac:dyDescent="0.25">
      <c r="C301" s="35"/>
      <c r="D301" s="19"/>
      <c r="E301" s="19"/>
      <c r="F301" s="20"/>
      <c r="G301" s="4"/>
    </row>
    <row r="302" spans="3:7" ht="20.100000000000001" customHeight="1" x14ac:dyDescent="0.25">
      <c r="C302" s="35"/>
      <c r="D302" s="19"/>
      <c r="E302" s="19"/>
      <c r="F302" s="20"/>
      <c r="G302" s="4"/>
    </row>
    <row r="303" spans="3:7" ht="20.100000000000001" customHeight="1" x14ac:dyDescent="0.25">
      <c r="C303" s="35"/>
      <c r="D303" s="19"/>
      <c r="E303" s="19"/>
      <c r="F303" s="20"/>
      <c r="G303" s="4"/>
    </row>
    <row r="304" spans="3:7" ht="20.100000000000001" customHeight="1" x14ac:dyDescent="0.25">
      <c r="C304" s="35"/>
      <c r="D304" s="19"/>
      <c r="E304" s="19"/>
      <c r="F304" s="20"/>
      <c r="G304" s="4"/>
    </row>
    <row r="305" spans="3:7" ht="20.100000000000001" customHeight="1" x14ac:dyDescent="0.25">
      <c r="C305" s="35"/>
      <c r="D305" s="19"/>
      <c r="E305" s="19"/>
      <c r="F305" s="20"/>
      <c r="G305" s="4"/>
    </row>
    <row r="306" spans="3:7" ht="20.100000000000001" customHeight="1" x14ac:dyDescent="0.25">
      <c r="C306" s="35"/>
      <c r="D306" s="19"/>
      <c r="E306" s="19"/>
      <c r="F306" s="20"/>
      <c r="G306" s="4"/>
    </row>
    <row r="307" spans="3:7" ht="20.100000000000001" customHeight="1" x14ac:dyDescent="0.25">
      <c r="C307" s="35"/>
      <c r="D307" s="19"/>
      <c r="E307" s="19"/>
      <c r="F307" s="20"/>
      <c r="G307" s="4"/>
    </row>
    <row r="308" spans="3:7" ht="20.100000000000001" customHeight="1" x14ac:dyDescent="0.25">
      <c r="C308" s="35"/>
      <c r="D308" s="19"/>
      <c r="E308" s="19"/>
      <c r="F308" s="20"/>
      <c r="G308" s="4"/>
    </row>
    <row r="309" spans="3:7" ht="20.100000000000001" customHeight="1" x14ac:dyDescent="0.25">
      <c r="C309" s="35"/>
      <c r="D309" s="19"/>
      <c r="E309" s="19"/>
      <c r="F309" s="20"/>
      <c r="G309" s="4"/>
    </row>
    <row r="310" spans="3:7" ht="20.100000000000001" customHeight="1" x14ac:dyDescent="0.25">
      <c r="C310" s="35"/>
      <c r="D310" s="19"/>
      <c r="E310" s="19"/>
      <c r="F310" s="20"/>
      <c r="G310" s="4"/>
    </row>
    <row r="311" spans="3:7" ht="20.100000000000001" customHeight="1" x14ac:dyDescent="0.25">
      <c r="C311" s="35"/>
      <c r="D311" s="19"/>
      <c r="E311" s="19"/>
      <c r="F311" s="20"/>
      <c r="G311" s="4"/>
    </row>
    <row r="312" spans="3:7" ht="20.100000000000001" customHeight="1" x14ac:dyDescent="0.25">
      <c r="C312" s="35"/>
      <c r="D312" s="19"/>
      <c r="E312" s="19"/>
      <c r="F312" s="20"/>
      <c r="G312" s="4"/>
    </row>
    <row r="313" spans="3:7" ht="20.100000000000001" customHeight="1" x14ac:dyDescent="0.25">
      <c r="C313" s="35"/>
      <c r="D313" s="19"/>
      <c r="E313" s="19"/>
      <c r="F313" s="20"/>
      <c r="G313" s="4"/>
    </row>
    <row r="314" spans="3:7" ht="20.100000000000001" customHeight="1" x14ac:dyDescent="0.25">
      <c r="C314" s="35"/>
      <c r="D314" s="19"/>
      <c r="E314" s="19"/>
      <c r="F314" s="20"/>
      <c r="G314" s="4"/>
    </row>
    <row r="315" spans="3:7" ht="20.100000000000001" customHeight="1" x14ac:dyDescent="0.25">
      <c r="C315" s="35"/>
      <c r="D315" s="19"/>
      <c r="E315" s="19"/>
      <c r="F315" s="20"/>
      <c r="G315" s="4"/>
    </row>
    <row r="316" spans="3:7" ht="20.100000000000001" customHeight="1" x14ac:dyDescent="0.25">
      <c r="C316" s="35"/>
      <c r="D316" s="19"/>
      <c r="E316" s="19"/>
      <c r="F316" s="20"/>
      <c r="G316" s="4"/>
    </row>
    <row r="317" spans="3:7" ht="20.100000000000001" customHeight="1" x14ac:dyDescent="0.25">
      <c r="C317" s="35"/>
      <c r="D317" s="19"/>
      <c r="E317" s="19"/>
      <c r="F317" s="20"/>
      <c r="G317" s="4"/>
    </row>
    <row r="318" spans="3:7" ht="20.100000000000001" customHeight="1" x14ac:dyDescent="0.25">
      <c r="C318" s="35"/>
      <c r="D318" s="19"/>
      <c r="E318" s="19"/>
      <c r="F318" s="20"/>
      <c r="G318" s="4"/>
    </row>
    <row r="319" spans="3:7" ht="20.100000000000001" customHeight="1" x14ac:dyDescent="0.25">
      <c r="C319" s="35"/>
      <c r="D319" s="19"/>
      <c r="E319" s="19"/>
      <c r="F319" s="20"/>
      <c r="G319" s="4"/>
    </row>
    <row r="320" spans="3:7" ht="20.100000000000001" customHeight="1" x14ac:dyDescent="0.25">
      <c r="C320" s="35"/>
      <c r="D320" s="19"/>
      <c r="E320" s="19"/>
      <c r="F320" s="20"/>
      <c r="G320" s="4"/>
    </row>
    <row r="321" spans="3:7" ht="20.100000000000001" customHeight="1" x14ac:dyDescent="0.25">
      <c r="C321" s="35"/>
      <c r="D321" s="19"/>
      <c r="E321" s="19"/>
      <c r="F321" s="20"/>
      <c r="G321" s="4"/>
    </row>
    <row r="322" spans="3:7" ht="20.100000000000001" customHeight="1" x14ac:dyDescent="0.25">
      <c r="C322" s="35"/>
      <c r="D322" s="19"/>
      <c r="E322" s="19"/>
      <c r="F322" s="20"/>
      <c r="G322" s="4"/>
    </row>
    <row r="323" spans="3:7" ht="20.100000000000001" customHeight="1" x14ac:dyDescent="0.25">
      <c r="C323" s="35"/>
      <c r="D323" s="19"/>
      <c r="E323" s="19"/>
      <c r="F323" s="20"/>
      <c r="G323" s="4"/>
    </row>
    <row r="324" spans="3:7" ht="20.100000000000001" customHeight="1" x14ac:dyDescent="0.25">
      <c r="C324" s="35"/>
      <c r="D324" s="19"/>
      <c r="E324" s="19"/>
      <c r="F324" s="20"/>
      <c r="G324" s="4"/>
    </row>
    <row r="325" spans="3:7" ht="20.100000000000001" customHeight="1" x14ac:dyDescent="0.25">
      <c r="C325" s="35"/>
      <c r="D325" s="19"/>
      <c r="E325" s="19"/>
      <c r="F325" s="20"/>
      <c r="G325" s="4"/>
    </row>
    <row r="326" spans="3:7" ht="20.100000000000001" customHeight="1" x14ac:dyDescent="0.25">
      <c r="C326" s="35"/>
      <c r="D326" s="19"/>
      <c r="E326" s="19"/>
      <c r="F326" s="20"/>
      <c r="G326" s="4"/>
    </row>
    <row r="327" spans="3:7" ht="20.100000000000001" customHeight="1" x14ac:dyDescent="0.25">
      <c r="C327" s="35"/>
      <c r="D327" s="19"/>
      <c r="E327" s="19"/>
      <c r="F327" s="20"/>
      <c r="G327" s="4"/>
    </row>
    <row r="328" spans="3:7" ht="20.100000000000001" customHeight="1" x14ac:dyDescent="0.25">
      <c r="C328" s="35"/>
      <c r="D328" s="19"/>
      <c r="E328" s="19"/>
      <c r="F328" s="20"/>
      <c r="G328" s="4"/>
    </row>
    <row r="329" spans="3:7" ht="20.100000000000001" customHeight="1" x14ac:dyDescent="0.25">
      <c r="C329" s="35"/>
      <c r="D329" s="19"/>
      <c r="E329" s="19"/>
      <c r="F329" s="20"/>
      <c r="G329" s="4"/>
    </row>
    <row r="330" spans="3:7" ht="20.100000000000001" customHeight="1" x14ac:dyDescent="0.25">
      <c r="C330" s="35"/>
      <c r="D330" s="19"/>
      <c r="E330" s="19"/>
      <c r="F330" s="20"/>
      <c r="G330" s="4"/>
    </row>
    <row r="331" spans="3:7" ht="20.100000000000001" customHeight="1" x14ac:dyDescent="0.25">
      <c r="C331" s="35"/>
      <c r="D331" s="19"/>
      <c r="E331" s="19"/>
      <c r="F331" s="20"/>
      <c r="G331" s="4"/>
    </row>
    <row r="332" spans="3:7" ht="20.100000000000001" customHeight="1" x14ac:dyDescent="0.25">
      <c r="C332" s="35"/>
      <c r="D332" s="19"/>
      <c r="E332" s="19"/>
      <c r="F332" s="20"/>
      <c r="G332" s="4"/>
    </row>
    <row r="333" spans="3:7" ht="20.100000000000001" customHeight="1" x14ac:dyDescent="0.25">
      <c r="C333" s="35"/>
      <c r="D333" s="19"/>
      <c r="E333" s="19"/>
      <c r="F333" s="20"/>
      <c r="G333" s="4"/>
    </row>
    <row r="334" spans="3:7" ht="20.100000000000001" customHeight="1" x14ac:dyDescent="0.25">
      <c r="C334" s="35"/>
      <c r="D334" s="19"/>
      <c r="E334" s="19"/>
      <c r="F334" s="20"/>
      <c r="G334" s="4"/>
    </row>
    <row r="335" spans="3:7" ht="20.100000000000001" customHeight="1" x14ac:dyDescent="0.25">
      <c r="C335" s="35"/>
      <c r="D335" s="19"/>
      <c r="E335" s="19"/>
      <c r="F335" s="20"/>
      <c r="G335" s="4"/>
    </row>
    <row r="336" spans="3:7" ht="20.100000000000001" customHeight="1" x14ac:dyDescent="0.25">
      <c r="C336" s="35"/>
      <c r="D336" s="19"/>
      <c r="E336" s="19"/>
      <c r="F336" s="20"/>
      <c r="G336" s="4"/>
    </row>
    <row r="337" spans="3:7" ht="20.100000000000001" customHeight="1" x14ac:dyDescent="0.25">
      <c r="C337" s="35"/>
      <c r="D337" s="19"/>
      <c r="E337" s="19"/>
      <c r="F337" s="20"/>
      <c r="G337" s="4"/>
    </row>
    <row r="338" spans="3:7" ht="20.100000000000001" customHeight="1" x14ac:dyDescent="0.25">
      <c r="C338" s="35"/>
      <c r="D338" s="19"/>
      <c r="E338" s="19"/>
      <c r="F338" s="20"/>
      <c r="G338" s="4"/>
    </row>
    <row r="339" spans="3:7" ht="20.100000000000001" customHeight="1" x14ac:dyDescent="0.25">
      <c r="C339" s="35"/>
      <c r="D339" s="19"/>
      <c r="E339" s="19"/>
      <c r="F339" s="20"/>
      <c r="G339" s="4"/>
    </row>
    <row r="340" spans="3:7" ht="20.100000000000001" customHeight="1" x14ac:dyDescent="0.25"/>
    <row r="341" spans="3:7" ht="20.100000000000001" customHeight="1" x14ac:dyDescent="0.25"/>
    <row r="342" spans="3:7" ht="20.100000000000001" customHeight="1" x14ac:dyDescent="0.25"/>
    <row r="343" spans="3:7" ht="20.100000000000001" customHeight="1" x14ac:dyDescent="0.25"/>
    <row r="344" spans="3:7" ht="20.100000000000001" customHeight="1" x14ac:dyDescent="0.25"/>
    <row r="345" spans="3:7" ht="20.100000000000001" customHeight="1" x14ac:dyDescent="0.25"/>
    <row r="346" spans="3:7" ht="20.100000000000001" customHeight="1" x14ac:dyDescent="0.25"/>
    <row r="347" spans="3:7" ht="20.100000000000001" customHeight="1" x14ac:dyDescent="0.25"/>
    <row r="348" spans="3:7" ht="20.100000000000001" customHeight="1" x14ac:dyDescent="0.25"/>
    <row r="349" spans="3:7" ht="20.100000000000001" customHeight="1" x14ac:dyDescent="0.25"/>
    <row r="350" spans="3:7" ht="20.100000000000001" customHeight="1" x14ac:dyDescent="0.25"/>
    <row r="351" spans="3:7" ht="20.100000000000001" customHeight="1" x14ac:dyDescent="0.25"/>
    <row r="352" spans="3:7"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sheetData>
  <conditionalFormatting sqref="A6:XFD6">
    <cfRule type="timePeriod" dxfId="49" priority="9" timePeriod="yesterday">
      <formula>FLOOR(A6,1)=TODAY()-1</formula>
    </cfRule>
    <cfRule type="timePeriod" dxfId="48" priority="29" timePeriod="tomorrow">
      <formula>FLOOR(A6,1)=TODAY()+1</formula>
    </cfRule>
    <cfRule type="timePeriod" dxfId="47" priority="30" timePeriod="yesterday">
      <formula>FLOOR(A6,1)=TODAY()-1</formula>
    </cfRule>
    <cfRule type="timePeriod" dxfId="46" priority="31" timePeriod="yesterday">
      <formula>FLOOR(A6,1)=TODAY()-1</formula>
    </cfRule>
    <cfRule type="timePeriod" dxfId="45" priority="32" timePeriod="today">
      <formula>FLOOR(A6,1)=TODAY()</formula>
    </cfRule>
  </conditionalFormatting>
  <conditionalFormatting sqref="G8:G339">
    <cfRule type="colorScale" priority="28">
      <colorScale>
        <cfvo type="num" val="0"/>
        <cfvo type="num" val="0.5"/>
        <cfvo type="num" val="1"/>
        <color rgb="FFFF3300"/>
        <color rgb="FFFFC000"/>
        <color rgb="FF92D050"/>
      </colorScale>
    </cfRule>
  </conditionalFormatting>
  <conditionalFormatting sqref="G1:G1048576">
    <cfRule type="colorScale" priority="27">
      <colorScale>
        <cfvo type="num" val="0"/>
        <cfvo type="num" val="0.5"/>
        <cfvo type="num" val="1"/>
        <color rgb="FFF8696B"/>
        <color rgb="FFFFEB84"/>
        <color rgb="FF63BE7B"/>
      </colorScale>
    </cfRule>
  </conditionalFormatting>
  <conditionalFormatting sqref="F1:F7 F340:F1048576">
    <cfRule type="cellIs" priority="26" operator="lessThan">
      <formula>TODAY()</formula>
    </cfRule>
  </conditionalFormatting>
  <conditionalFormatting sqref="F8:F339">
    <cfRule type="cellIs" dxfId="44" priority="24" operator="lessThanOrEqual">
      <formula>TODAY()</formula>
    </cfRule>
    <cfRule type="cellIs" dxfId="43" priority="25" operator="greaterThan">
      <formula>TODAY()</formula>
    </cfRule>
  </conditionalFormatting>
  <conditionalFormatting sqref="C8:E8">
    <cfRule type="expression" dxfId="42" priority="20">
      <formula>ISBLANK(INDIRECT("E"&amp;ROW()))*ISBLANK(INDIRECT("F"&amp;ROW()))</formula>
    </cfRule>
    <cfRule type="expression" dxfId="41" priority="21">
      <formula>INDIRECT("G"&amp;ROW()) &gt;= 0.9</formula>
    </cfRule>
    <cfRule type="expression" dxfId="40" priority="22">
      <formula>INDIRECT("G"&amp;ROW())&lt;0.9 * NOT(ISBLANK("G"&amp;ROW()))</formula>
    </cfRule>
    <cfRule type="expression" dxfId="39" priority="23">
      <formula>INDIRECT("F"&amp;ROW())&lt;TODAY() * NOT(ISBLANK(INDIRECT("F"&amp;ROW())))</formula>
    </cfRule>
  </conditionalFormatting>
  <conditionalFormatting sqref="F8:F339">
    <cfRule type="expression" dxfId="38" priority="19">
      <formula>ISBLANK(INDIRECT("E"&amp;ROW()))</formula>
    </cfRule>
  </conditionalFormatting>
  <conditionalFormatting sqref="C9:E339">
    <cfRule type="expression" dxfId="37" priority="11">
      <formula>ISBLANK(INDIRECT("E"&amp;ROW()))*ISBLANK(INDIRECT("F"&amp;ROW()))</formula>
    </cfRule>
    <cfRule type="expression" dxfId="36" priority="12">
      <formula>INDIRECT("F"&amp;ROW()) &gt;= 0.9</formula>
    </cfRule>
    <cfRule type="expression" dxfId="35" priority="13">
      <formula>INDIRECT("F"&amp;ROW())&lt;0.9</formula>
    </cfRule>
    <cfRule type="expression" dxfId="34" priority="14">
      <formula>INDIRECT("E"&amp;ROW())&lt;TODAY() * NOT(ISBLANK(INDIRECT("E"&amp;ROW())))</formula>
    </cfRule>
  </conditionalFormatting>
  <conditionalFormatting sqref="C1:E1048576">
    <cfRule type="expression" dxfId="33" priority="8">
      <formula xml:space="preserve"> (INDIRECT("G" &amp; ROW()) &lt; 0.9) * (INDIRECT("F" &amp; ROW()) &gt; TODAY())</formula>
    </cfRule>
  </conditionalFormatting>
  <conditionalFormatting sqref="I12:EA729 I7:L11 X7:EA11 M8:W11">
    <cfRule type="expression" dxfId="32" priority="7">
      <formula xml:space="preserve"> INDIRECT(CHAR(COLUMN()+96) &amp; 6) = TODAY()</formula>
    </cfRule>
  </conditionalFormatting>
  <conditionalFormatting sqref="B8:B913">
    <cfRule type="expression" dxfId="31" priority="2">
      <formula xml:space="preserve"> ISBLANK(INDIRECT("B" &amp; ROW()))</formula>
    </cfRule>
    <cfRule type="expression" dxfId="30" priority="3">
      <formula>INDIRECT("F"&amp;ROW())&gt;TODAY() * NOT(ISBLANK(INDIRECT("F"&amp;ROW())))</formula>
    </cfRule>
    <cfRule type="expression" dxfId="29" priority="4">
      <formula>INDIRECT("G"&amp;ROW())&lt;0.9 * NOT(ISBLANK("G"&amp;ROW()))</formula>
    </cfRule>
    <cfRule type="expression" dxfId="28" priority="5">
      <formula xml:space="preserve"> (INDIRECT("G" &amp; ROW()) &lt; 0.9) * (INDIRECT("F" &amp; ROW()) &gt; TODAY())</formula>
    </cfRule>
    <cfRule type="expression" dxfId="27" priority="6">
      <formula>INDIRECT("G"&amp;ROW()) &gt;= 0.9</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GAANT</vt:lpstr>
      <vt:lpstr>Project Scheduler</vt:lpstr>
      <vt:lpstr>Study Planner</vt:lpstr>
      <vt:lpstr>Journal</vt:lpstr>
      <vt:lpstr>Time Tracker</vt:lpstr>
      <vt:lpstr>Homework</vt:lpstr>
      <vt:lpstr>Business 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2018-02-14T05:55:14Z</dcterms:modified>
</cp:coreProperties>
</file>