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63660" windowWidth="38400" windowHeight="21045" tabRatio="540" activeTab="2"/>
  </bookViews>
  <sheets>
    <sheet name="Revision Planning" sheetId="15" r:id="rId1"/>
    <sheet name="Life Planner" sheetId="6" r:id="rId2"/>
    <sheet name="Journal" sheetId="3" r:id="rId3"/>
    <sheet name="Upload Release Sheet" sheetId="14" r:id="rId4"/>
    <sheet name="Life Map" sheetId="11" r:id="rId5"/>
    <sheet name="Current Tasks" sheetId="9" r:id="rId6"/>
    <sheet name="Workout Planner" sheetId="12" r:id="rId7"/>
    <sheet name="GAANT" sheetId="1" r:id="rId8"/>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3" i="6" l="1"/>
  <c r="J24" i="15" l="1"/>
  <c r="L24" i="15"/>
  <c r="K25" i="15" l="1"/>
  <c r="I25" i="15"/>
  <c r="G25" i="15"/>
  <c r="E25" i="15"/>
  <c r="C25" i="15"/>
  <c r="D24" i="15"/>
  <c r="F24" i="15"/>
  <c r="H24" i="15"/>
  <c r="A5" i="6" l="1"/>
  <c r="BP31" i="6" l="1"/>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DJ31" i="6"/>
  <c r="DK31" i="6"/>
  <c r="DL31" i="6"/>
  <c r="DM31" i="6"/>
  <c r="DN31" i="6"/>
  <c r="DO31" i="6"/>
  <c r="DP31" i="6"/>
  <c r="DQ31" i="6"/>
  <c r="DR31" i="6"/>
  <c r="DS31" i="6"/>
  <c r="DT31" i="6"/>
  <c r="DU31" i="6"/>
  <c r="A11" i="6" l="1"/>
  <c r="B20" i="12"/>
  <c r="B50" i="12"/>
  <c r="B8" i="12"/>
  <c r="B9" i="12"/>
  <c r="B11" i="12"/>
  <c r="B12" i="12"/>
  <c r="B13" i="12"/>
  <c r="B14" i="12"/>
  <c r="B15" i="12"/>
  <c r="B16" i="12"/>
  <c r="B17" i="12"/>
  <c r="B18" i="12"/>
  <c r="B19"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7" i="12"/>
  <c r="A2" i="12"/>
  <c r="A3" i="12" s="1"/>
  <c r="A1" i="12"/>
  <c r="C31" i="6"/>
  <c r="D31" i="6"/>
  <c r="E31" i="6"/>
  <c r="F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BL31" i="6"/>
  <c r="BM31" i="6"/>
  <c r="BN31" i="6"/>
  <c r="BO31" i="6"/>
  <c r="A2" i="11"/>
  <c r="A1" i="11"/>
  <c r="A2" i="9"/>
  <c r="A1" i="9"/>
  <c r="H4" i="1"/>
  <c r="W6" i="1" s="1"/>
  <c r="C4" i="1"/>
  <c r="A2" i="6"/>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A9" i="6"/>
  <c r="A10" i="6"/>
  <c r="A12" i="6"/>
  <c r="A13" i="6"/>
  <c r="A14" i="6"/>
  <c r="A15" i="6"/>
  <c r="A16" i="6"/>
  <c r="A17" i="6"/>
  <c r="A18" i="6"/>
  <c r="A19" i="6"/>
  <c r="A20" i="6"/>
  <c r="A21" i="6"/>
  <c r="A22" i="6"/>
  <c r="A24" i="6"/>
  <c r="A25" i="6"/>
  <c r="A26" i="6"/>
  <c r="A27" i="6"/>
  <c r="A28" i="6"/>
  <c r="A29" i="6"/>
  <c r="A30" i="6"/>
  <c r="A8" i="6"/>
  <c r="A7" i="6"/>
  <c r="A1" i="6"/>
  <c r="C6" i="3"/>
  <c r="E6" i="3"/>
  <c r="EN6" i="1"/>
  <c r="GP6" i="1" l="1"/>
  <c r="I6" i="1"/>
  <c r="IY6" i="1"/>
  <c r="GZ6" i="1"/>
  <c r="HR6" i="1"/>
  <c r="EO6" i="1"/>
  <c r="CM6" i="1"/>
  <c r="S6" i="1"/>
  <c r="HE6" i="1"/>
  <c r="JQ6" i="1"/>
  <c r="CC6" i="1"/>
  <c r="ED6" i="1"/>
  <c r="MB6" i="1"/>
  <c r="AM6" i="1"/>
  <c r="GL6" i="1"/>
  <c r="BH6" i="1"/>
  <c r="CY6" i="1"/>
  <c r="CE6" i="1"/>
  <c r="LY6" i="1"/>
  <c r="IR6" i="1"/>
  <c r="BN6" i="1"/>
  <c r="A3" i="6"/>
  <c r="FD6" i="1"/>
  <c r="CS6" i="1"/>
  <c r="M6" i="1"/>
  <c r="JH6" i="1"/>
  <c r="HU6" i="1"/>
  <c r="ET6" i="1"/>
  <c r="BC6" i="1"/>
  <c r="DZ6" i="1"/>
  <c r="BW6" i="1"/>
  <c r="MW6" i="1"/>
  <c r="HB6" i="1"/>
  <c r="HP6" i="1"/>
  <c r="BX6" i="1"/>
  <c r="AK6" i="1"/>
  <c r="KG6" i="1"/>
  <c r="HF6" i="1"/>
  <c r="DO6" i="1"/>
  <c r="KQ6" i="1"/>
  <c r="JG6" i="1"/>
  <c r="HK6" i="1"/>
  <c r="EU6" i="1"/>
  <c r="FE6" i="1"/>
  <c r="JL6" i="1"/>
  <c r="HA6" i="1"/>
  <c r="DT6" i="1"/>
  <c r="CG6" i="1"/>
  <c r="MC6" i="1"/>
  <c r="JB6" i="1"/>
  <c r="DR6" i="1"/>
  <c r="AP6" i="1"/>
  <c r="MV6" i="1"/>
  <c r="FV6" i="1"/>
  <c r="HG6" i="1"/>
  <c r="EJ6" i="1"/>
  <c r="FN6" i="1"/>
  <c r="KB6" i="1"/>
  <c r="U6" i="1"/>
  <c r="ES6" i="1"/>
  <c r="AF6" i="1"/>
  <c r="HQ6" i="1"/>
  <c r="CW6" i="1"/>
  <c r="JR6" i="1"/>
  <c r="DB6" i="1"/>
  <c r="R6" i="1"/>
  <c r="KI6" i="1"/>
  <c r="CB6" i="1"/>
  <c r="T6" i="1"/>
  <c r="JM6" i="1"/>
  <c r="GF6" i="1"/>
  <c r="BR6" i="1"/>
  <c r="LN6" i="1"/>
  <c r="KL6" i="1"/>
  <c r="II6" i="1"/>
  <c r="GD6" i="1"/>
  <c r="BO6" i="1"/>
  <c r="CR6" i="1"/>
  <c r="AG6" i="1"/>
  <c r="KC6" i="1"/>
  <c r="GV6" i="1"/>
  <c r="FI6" i="1"/>
  <c r="CH6" i="1"/>
  <c r="MD6" i="1"/>
  <c r="LS6" i="1"/>
  <c r="KA6" i="1"/>
  <c r="HS6" i="1"/>
  <c r="AI6" i="1"/>
  <c r="H6" i="1"/>
  <c r="CJ6" i="1"/>
  <c r="EV6" i="1"/>
  <c r="HH6" i="1"/>
  <c r="JT6" i="1"/>
  <c r="X6" i="1"/>
  <c r="CK6" i="1"/>
  <c r="EW6" i="1"/>
  <c r="HI6" i="1"/>
  <c r="JU6" i="1"/>
  <c r="MG6" i="1"/>
  <c r="BP6" i="1"/>
  <c r="EB6" i="1"/>
  <c r="GN6" i="1"/>
  <c r="IZ6" i="1"/>
  <c r="AC6" i="1"/>
  <c r="CO6" i="1"/>
  <c r="FA6" i="1"/>
  <c r="HM6" i="1"/>
  <c r="JY6" i="1"/>
  <c r="P6" i="1"/>
  <c r="BZ6" i="1"/>
  <c r="EL6" i="1"/>
  <c r="GX6" i="1"/>
  <c r="JJ6" i="1"/>
  <c r="LV6" i="1"/>
  <c r="AU6" i="1"/>
  <c r="DG6" i="1"/>
  <c r="EQ6" i="1"/>
  <c r="LC6" i="1"/>
  <c r="CT6" i="1"/>
  <c r="JV6" i="1"/>
  <c r="BV6" i="1"/>
  <c r="JF6" i="1"/>
  <c r="AQ6" i="1"/>
  <c r="IM6" i="1"/>
  <c r="J6" i="1"/>
  <c r="GY6" i="1"/>
  <c r="MN6" i="1"/>
  <c r="FK6" i="1"/>
  <c r="IA6" i="1"/>
  <c r="JC6" i="1"/>
  <c r="AY6" i="1"/>
  <c r="EY6" i="1"/>
  <c r="FO6" i="1"/>
  <c r="AN6" i="1"/>
  <c r="CZ6" i="1"/>
  <c r="FL6" i="1"/>
  <c r="HX6" i="1"/>
  <c r="KJ6" i="1"/>
  <c r="AO6" i="1"/>
  <c r="DA6" i="1"/>
  <c r="FM6" i="1"/>
  <c r="HY6" i="1"/>
  <c r="KK6" i="1"/>
  <c r="Q6" i="1"/>
  <c r="CF6" i="1"/>
  <c r="ER6" i="1"/>
  <c r="HD6" i="1"/>
  <c r="JP6" i="1"/>
  <c r="AS6" i="1"/>
  <c r="DE6" i="1"/>
  <c r="FQ6" i="1"/>
  <c r="IC6" i="1"/>
  <c r="KO6" i="1"/>
  <c r="AD6" i="1"/>
  <c r="CP6" i="1"/>
  <c r="FB6" i="1"/>
  <c r="HN6" i="1"/>
  <c r="JZ6" i="1"/>
  <c r="ML6" i="1"/>
  <c r="BK6" i="1"/>
  <c r="DW6" i="1"/>
  <c r="GI6" i="1"/>
  <c r="MF6" i="1"/>
  <c r="EX6" i="1"/>
  <c r="LG6" i="1"/>
  <c r="EH6" i="1"/>
  <c r="KU6" i="1"/>
  <c r="DC6" i="1"/>
  <c r="KD6" i="1"/>
  <c r="AX6" i="1"/>
  <c r="IP6" i="1"/>
  <c r="K6" i="1"/>
  <c r="JS6" i="1"/>
  <c r="LX6" i="1"/>
  <c r="DS6" i="1"/>
  <c r="KT6" i="1"/>
  <c r="JW6" i="1"/>
  <c r="HW6" i="1"/>
  <c r="AV6" i="1"/>
  <c r="DH6" i="1"/>
  <c r="FT6" i="1"/>
  <c r="IF6" i="1"/>
  <c r="KR6" i="1"/>
  <c r="AW6" i="1"/>
  <c r="DI6" i="1"/>
  <c r="FU6" i="1"/>
  <c r="IG6" i="1"/>
  <c r="KS6" i="1"/>
  <c r="AB6" i="1"/>
  <c r="CN6" i="1"/>
  <c r="EZ6" i="1"/>
  <c r="HL6" i="1"/>
  <c r="JX6" i="1"/>
  <c r="BA6" i="1"/>
  <c r="DM6" i="1"/>
  <c r="FY6" i="1"/>
  <c r="IK6" i="1"/>
  <c r="KW6" i="1"/>
  <c r="AL6" i="1"/>
  <c r="CX6" i="1"/>
  <c r="FJ6" i="1"/>
  <c r="HV6" i="1"/>
  <c r="KH6" i="1"/>
  <c r="MT6" i="1"/>
  <c r="BS6" i="1"/>
  <c r="EE6" i="1"/>
  <c r="HC6" i="1"/>
  <c r="MP6" i="1"/>
  <c r="FS6" i="1"/>
  <c r="LW6" i="1"/>
  <c r="FC6" i="1"/>
  <c r="LK6" i="1"/>
  <c r="EI6" i="1"/>
  <c r="KV6" i="1"/>
  <c r="CD6" i="1"/>
  <c r="JK6" i="1"/>
  <c r="EA6" i="1"/>
  <c r="LR6" i="1"/>
  <c r="MZ6" i="1"/>
  <c r="GE6" i="1"/>
  <c r="L6" i="1"/>
  <c r="LT6" i="1"/>
  <c r="JN6" i="1"/>
  <c r="BD6" i="1"/>
  <c r="DP6" i="1"/>
  <c r="GB6" i="1"/>
  <c r="IN6" i="1"/>
  <c r="KZ6" i="1"/>
  <c r="BE6" i="1"/>
  <c r="DQ6" i="1"/>
  <c r="GC6" i="1"/>
  <c r="IO6" i="1"/>
  <c r="LA6" i="1"/>
  <c r="AJ6" i="1"/>
  <c r="CV6" i="1"/>
  <c r="FH6" i="1"/>
  <c r="HT6" i="1"/>
  <c r="KF6" i="1"/>
  <c r="BI6" i="1"/>
  <c r="DU6" i="1"/>
  <c r="GG6" i="1"/>
  <c r="IS6" i="1"/>
  <c r="LE6" i="1"/>
  <c r="AT6" i="1"/>
  <c r="DF6" i="1"/>
  <c r="FR6" i="1"/>
  <c r="ID6" i="1"/>
  <c r="KP6" i="1"/>
  <c r="N6" i="1"/>
  <c r="CA6" i="1"/>
  <c r="Z6" i="1"/>
  <c r="HZ6" i="1"/>
  <c r="MY6" i="1"/>
  <c r="GM6" i="1"/>
  <c r="MI6" i="1"/>
  <c r="FW6" i="1"/>
  <c r="LZ6" i="1"/>
  <c r="FF6" i="1"/>
  <c r="LL6" i="1"/>
  <c r="DJ6" i="1"/>
  <c r="KE6" i="1"/>
  <c r="EP6" i="1"/>
  <c r="MS6" i="1"/>
  <c r="IQ6" i="1"/>
  <c r="IH6" i="1"/>
  <c r="BG6" i="1"/>
  <c r="MQ6" i="1"/>
  <c r="DX6" i="1"/>
  <c r="LH6" i="1"/>
  <c r="GK6" i="1"/>
  <c r="LI6" i="1"/>
  <c r="FP6" i="1"/>
  <c r="KN6" i="1"/>
  <c r="EC6" i="1"/>
  <c r="JA6" i="1"/>
  <c r="BB6" i="1"/>
  <c r="DN6" i="1"/>
  <c r="FZ6" i="1"/>
  <c r="IL6" i="1"/>
  <c r="KX6" i="1"/>
  <c r="V6" i="1"/>
  <c r="CI6" i="1"/>
  <c r="BF6" i="1"/>
  <c r="IU6" i="1"/>
  <c r="AA6" i="1"/>
  <c r="HJ6" i="1"/>
  <c r="MR6" i="1"/>
  <c r="GT6" i="1"/>
  <c r="MK6" i="1"/>
  <c r="GA6" i="1"/>
  <c r="MA6" i="1"/>
  <c r="EM6" i="1"/>
  <c r="KY6" i="1"/>
  <c r="MJ6" i="1"/>
  <c r="O6" i="1"/>
  <c r="MH6" i="1"/>
  <c r="KM6" i="1"/>
  <c r="GQ6" i="1"/>
  <c r="CU6" i="1"/>
  <c r="BL6" i="1"/>
  <c r="GJ6" i="1"/>
  <c r="IV6" i="1"/>
  <c r="BM6" i="1"/>
  <c r="DY6" i="1"/>
  <c r="IW6" i="1"/>
  <c r="AR6" i="1"/>
  <c r="DD6" i="1"/>
  <c r="IB6" i="1"/>
  <c r="BQ6" i="1"/>
  <c r="GO6" i="1"/>
  <c r="LM6" i="1"/>
  <c r="BT6" i="1"/>
  <c r="EF6" i="1"/>
  <c r="GR6" i="1"/>
  <c r="JD6" i="1"/>
  <c r="LP6" i="1"/>
  <c r="BU6" i="1"/>
  <c r="EG6" i="1"/>
  <c r="GS6" i="1"/>
  <c r="JE6" i="1"/>
  <c r="LQ6" i="1"/>
  <c r="AZ6" i="1"/>
  <c r="DL6" i="1"/>
  <c r="FX6" i="1"/>
  <c r="IJ6" i="1"/>
  <c r="Y6" i="1"/>
  <c r="BY6" i="1"/>
  <c r="EK6" i="1"/>
  <c r="GW6" i="1"/>
  <c r="JI6" i="1"/>
  <c r="LU6" i="1"/>
  <c r="BJ6" i="1"/>
  <c r="DV6" i="1"/>
  <c r="GH6" i="1"/>
  <c r="IT6" i="1"/>
  <c r="LF6" i="1"/>
  <c r="AE6" i="1"/>
  <c r="CQ6" i="1"/>
  <c r="CL6" i="1"/>
  <c r="JO6" i="1"/>
  <c r="AH6" i="1"/>
  <c r="IE6" i="1"/>
  <c r="NA6" i="1"/>
  <c r="HO6" i="1"/>
  <c r="MU6" i="1"/>
  <c r="GU6" i="1"/>
  <c r="MM6" i="1"/>
  <c r="FG6" i="1"/>
  <c r="LO6" i="1"/>
  <c r="LD6" i="1"/>
  <c r="DK6" i="1"/>
  <c r="IX6" i="1"/>
  <c r="ME6" i="1"/>
  <c r="LB6" i="1"/>
  <c r="LJ6" i="1"/>
  <c r="MX6" i="1"/>
  <c r="MO6" i="1"/>
</calcChain>
</file>

<file path=xl/sharedStrings.xml><?xml version="1.0" encoding="utf-8"?>
<sst xmlns="http://schemas.openxmlformats.org/spreadsheetml/2006/main" count="808" uniqueCount="692">
  <si>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</si>
  <si>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</si>
  <si>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</si>
  <si>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</si>
  <si>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</si>
  <si>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</si>
  <si>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</si>
  <si>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</si>
  <si>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</si>
  <si>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</si>
  <si>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</si>
  <si>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</si>
  <si>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</si>
  <si>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</si>
  <si>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</si>
  <si>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</si>
  <si>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</si>
  <si>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</si>
  <si>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</si>
  <si>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</si>
  <si>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</si>
  <si>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SUBJECT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</si>
  <si>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</si>
  <si>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</si>
  <si>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</si>
  <si>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</si>
  <si>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</si>
  <si>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</si>
  <si>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</si>
  <si>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</si>
  <si>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</si>
  <si>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</si>
  <si>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</si>
  <si>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</si>
  <si>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</si>
  <si>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</si>
  <si>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</si>
  <si>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</si>
  <si>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</si>
  <si>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</si>
  <si>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</si>
  <si>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</si>
  <si>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</si>
  <si>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</si>
  <si>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</si>
  <si>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</si>
  <si>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</si>
  <si>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</si>
  <si>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</si>
  <si>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</si>
  <si>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</si>
  <si>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</si>
  <si>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Player Controller</t>
  </si>
  <si>
    <t xml:space="preserve">Spread By : </t>
  </si>
  <si>
    <t xml:space="preserve">Auto cell highlighting on needed to do tasks
Scrolling up and down
</t>
  </si>
  <si>
    <t>IDEAS :</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</si>
  <si>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</si>
  <si>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</si>
  <si>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</si>
  <si>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</si>
  <si>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</si>
  <si>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</si>
  <si>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</si>
  <si>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</si>
  <si>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</si>
  <si>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</si>
  <si>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</si>
  <si>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</si>
  <si>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</si>
  <si>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</si>
  <si>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</si>
  <si>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</si>
  <si>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</si>
  <si>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</si>
  <si>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</si>
  <si>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</si>
  <si>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</si>
  <si>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</si>
  <si>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</si>
  <si>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</si>
  <si>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</si>
  <si>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</si>
  <si>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</si>
  <si>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</si>
  <si>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</si>
  <si>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</si>
  <si>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</si>
  <si>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</si>
  <si>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</si>
  <si>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</si>
  <si>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</si>
  <si>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</si>
  <si>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</si>
  <si>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</si>
  <si>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</si>
  <si>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</si>
  <si>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</si>
  <si>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</si>
  <si>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</si>
  <si>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</si>
  <si>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</si>
  <si>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</si>
  <si>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</si>
  <si>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</si>
  <si>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</si>
  <si>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</si>
  <si>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</si>
  <si>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</si>
  <si>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</si>
  <si>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</si>
  <si>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</si>
  <si>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</si>
  <si>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</si>
  <si>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</si>
  <si>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</si>
  <si>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</si>
  <si>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</si>
  <si>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</si>
  <si>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</si>
  <si>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</si>
  <si>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</si>
  <si>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</si>
  <si>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</si>
  <si>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</si>
  <si>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</si>
  <si>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</si>
  <si>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</si>
  <si>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</si>
  <si>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</si>
  <si>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</si>
  <si>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</si>
  <si>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</si>
  <si>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</si>
  <si>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</si>
  <si>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</si>
  <si>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</si>
  <si>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</si>
  <si>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</si>
  <si>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</si>
  <si>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</si>
  <si>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</si>
  <si>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</si>
  <si>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</si>
  <si>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</si>
  <si>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</si>
  <si>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</si>
  <si>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</si>
  <si>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</si>
  <si>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</si>
  <si>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</si>
  <si>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</si>
  <si>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</si>
  <si>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</si>
  <si>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</si>
  <si>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</si>
  <si>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</si>
  <si>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</si>
  <si>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</si>
  <si>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</si>
  <si>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</si>
  <si>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</si>
  <si>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</si>
  <si>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</si>
  <si>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</si>
  <si>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</si>
  <si>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</si>
  <si>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</si>
  <si>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</si>
  <si>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</si>
  <si>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</si>
  <si>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</si>
  <si>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</si>
  <si>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</si>
  <si>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</si>
  <si>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</si>
  <si>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</si>
  <si>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</si>
  <si>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</si>
  <si>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</si>
  <si>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</si>
  <si>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</si>
  <si>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</si>
  <si>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</si>
  <si>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</si>
  <si>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</si>
  <si>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</si>
  <si>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</si>
  <si>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</si>
  <si>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</si>
  <si>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</si>
  <si>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</si>
  <si>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</si>
  <si>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</si>
  <si>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</si>
  <si>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</si>
  <si>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</si>
  <si>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</si>
  <si>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</si>
  <si>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</si>
  <si>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</si>
  <si>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</si>
  <si>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</si>
  <si>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</si>
  <si>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</si>
  <si>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</si>
  <si>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</si>
  <si>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</si>
  <si>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</si>
  <si>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</si>
  <si>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</si>
  <si>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</si>
  <si>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</si>
  <si>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</si>
  <si>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</si>
  <si>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</si>
  <si>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</si>
  <si>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</si>
  <si>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</si>
  <si>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</si>
  <si>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</si>
  <si>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</si>
  <si>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</si>
  <si>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</si>
  <si>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</si>
  <si>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</si>
  <si>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</si>
  <si>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</si>
  <si>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</si>
  <si>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</si>
  <si>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</si>
  <si>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</si>
  <si>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</si>
  <si>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</si>
  <si>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</si>
  <si>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</si>
  <si>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</si>
  <si>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</si>
  <si>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</si>
  <si>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</si>
  <si>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</si>
  <si>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</si>
  <si>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</si>
  <si>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</si>
  <si>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</si>
  <si>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</si>
  <si>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</si>
  <si>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</si>
  <si>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</si>
  <si>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</si>
  <si>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</si>
  <si>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</si>
  <si>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</si>
  <si>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</si>
  <si>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</si>
  <si>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</si>
  <si>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</si>
  <si>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</si>
  <si>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</si>
  <si>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</si>
  <si>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</si>
  <si>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</si>
  <si>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</si>
  <si>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</si>
  <si>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</si>
  <si>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</si>
  <si>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</si>
  <si>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</si>
  <si>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</si>
  <si>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</si>
  <si>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</si>
  <si>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</si>
  <si>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</si>
  <si>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</si>
  <si>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</si>
  <si>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</si>
  <si>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</si>
  <si>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</si>
  <si>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</si>
  <si>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</si>
  <si>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</si>
  <si>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</si>
  <si>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</si>
  <si>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</si>
  <si>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</si>
  <si>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</si>
  <si>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</si>
  <si>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</si>
  <si>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</si>
  <si>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</si>
  <si>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</si>
  <si>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</si>
  <si>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</si>
  <si>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</si>
  <si>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</si>
  <si>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</si>
  <si>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</si>
  <si>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</si>
  <si>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</si>
  <si>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</si>
  <si>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</si>
  <si>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</si>
  <si>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</si>
  <si>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</si>
  <si>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 xml:space="preserve"> </t>
  </si>
  <si>
    <t>TASK MANAGER</t>
  </si>
  <si>
    <t>Percent</t>
  </si>
  <si>
    <t>Links</t>
  </si>
  <si>
    <t>Revision</t>
  </si>
  <si>
    <t>0 - 10</t>
  </si>
  <si>
    <t>Due Dates</t>
  </si>
  <si>
    <t>-</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</si>
  <si>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</si>
  <si>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</si>
  <si>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Next Assesment + Assignment</t>
  </si>
  <si>
    <t>Tasks</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</si>
  <si>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</si>
  <si>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</si>
  <si>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</si>
  <si>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</si>
  <si>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</si>
  <si>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</si>
  <si>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By the end of Sunday I will be able to finish atleast the first two parts of the course and upload them to Udemy, then I can work on the Maths revision for the test on Tuesday. I need to wake up at 3am for the next two days in order to get these tasks done.</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</si>
  <si>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</si>
  <si>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</si>
  <si>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</si>
  <si>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</si>
  <si>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</si>
  <si>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</si>
  <si>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</si>
  <si>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</si>
  <si>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</si>
  <si>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</si>
  <si>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</si>
  <si>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</si>
  <si>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</si>
  <si>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</si>
  <si>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</si>
  <si>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</si>
  <si>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</si>
  <si>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</si>
  <si>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</si>
  <si>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</si>
  <si>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</si>
  <si>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</si>
  <si>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</si>
  <si>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</si>
  <si>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</si>
  <si>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</si>
  <si>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</si>
  <si>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</si>
  <si>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</si>
  <si>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Young ICT Explorer</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</si>
  <si>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</si>
  <si>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</si>
  <si>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</si>
  <si>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</si>
  <si>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</si>
  <si>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</si>
  <si>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</si>
  <si>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</si>
  <si>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</si>
  <si>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</si>
  <si>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</si>
  <si>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</si>
  <si>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</si>
  <si>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</si>
  <si>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</si>
  <si>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</si>
  <si>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Date</t>
  </si>
  <si>
    <t>Break Days</t>
  </si>
  <si>
    <t>Workout Plan</t>
  </si>
  <si>
    <t xml:space="preserve">Targets / Goals </t>
  </si>
  <si>
    <t xml:space="preserve">Notes </t>
  </si>
  <si>
    <t>Improvements</t>
  </si>
  <si>
    <t>Results Acquired (cals etc..)</t>
  </si>
  <si>
    <t>- Warmup by stretching
- Slow jog 1KM
- Super fast run
- Real run (Water)  
~~ (20 MINS) ~~
- 1.5 KM (Sip)
- 1.5 KM (Sip)
- 1.5 KM (Sip)
~~ (25 MINS) ~~
- Warm Down
~~ (5 MINS) ~~</t>
  </si>
  <si>
    <t>3.7-4.5 KM (With 3, 10-15 second breaks with water)
________________________
Run that in less that 20 mins…</t>
  </si>
  <si>
    <t>Ran : 5 km
Calories : 270
In Time : 25 mins
Incline : 0
Avg Speed (Pace) : 14 mainly</t>
  </si>
  <si>
    <t>Wow, I just ran a 5km (with breaks obviously) but wow! That super awesome workout in the begginning with the toe stretches really help in terms of improving my endurance and my muscles didn’t even hurt that much, with a nice warm down at the end.</t>
  </si>
  <si>
    <t>Certainly can decrease the amount of breaks I took and improve the speed slightly.</t>
  </si>
  <si>
    <t>Workout Links / Tips</t>
  </si>
  <si>
    <t>Do not improve the distance, try averageing in around 4.5 for the rest of the week when you are running and improve by 10 percent next week. Make sure you add in a mix of other workouts like endurance in there as well.</t>
  </si>
  <si>
    <t>Type of Training</t>
  </si>
  <si>
    <t>Long Distance Jog for Endurance and getting rid of Calories</t>
  </si>
  <si>
    <t>Place</t>
  </si>
  <si>
    <t>HOME</t>
  </si>
  <si>
    <t>Long Term Notes</t>
  </si>
  <si>
    <t>In order to reach the goal of 6km without stopping I will need to do a mix of endurance training with just long jogs and then one day I will be able to run it due to my improved running ability + breathing and diet capabilities.</t>
  </si>
  <si>
    <t>RUN 10 KM WITHOUT STOPPING</t>
  </si>
  <si>
    <t>I have around 20 more workout sessions to achieve this goal, which is certainly possible.</t>
  </si>
  <si>
    <t>I really want to look into adding the 'IK RIG' technology Im going to districts boi</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</si>
  <si>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</si>
  <si>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WEBSITE</t>
  </si>
  <si>
    <t>Short Distance Endurance</t>
  </si>
  <si>
    <t>Quick Warmup
Extreme Fast 1KM Run
Break
1 KM Jog</t>
  </si>
  <si>
    <t>Reach 1 KM in Less than 4 mins</t>
  </si>
  <si>
    <t>I couldn't complete the 1KM Jog at the end because the first 1 KM was too intense and my legs hurt too much</t>
  </si>
  <si>
    <t>Try the slower more long distance jogs as you can start to loose even more calories and improve endurance. Maybe try hill running as well.</t>
  </si>
  <si>
    <t>Need more speed endurance.</t>
  </si>
  <si>
    <t>Ran : 1 km
Calories : 60
In Time : 4 mins
Incline : 0
Avg Speed : 18</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</si>
  <si>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</si>
  <si>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</si>
  <si>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 Okay so today when I got home I just slacked and really it helped me unload and I feel like i can be a lot more productive now than just forcing myself to work, but 2 hours of slack = 2 days of continious work + punishment okay :)</t>
  </si>
  <si>
    <t>So it's decided huh. Nefarious only comes after I finish this website. YES Ofcourse because if the game doesn’t go twards your plan then you can always have the development log as a backup. If you make it interesting enough that caan be your main source of finance for now until your release that game. Plus the YICT allows you to follow your very big passion of learning and innovating technology. THis is the perfect opportunity + This motion capture system I am building will not only help others but it will allow me to animate my game with ease. Then you can work on the IK RIG to allow you to animate anything.</t>
  </si>
  <si>
    <t>Okay so the way you can convert your HTML files over to wordpress is a complicated process but it is much easier : HERE : HTML/CSS to Custom Wordpress Theme (2017 Update!) on YouTube and then you can convert your files into that. So use DreamWeaver or something to code it, maybe atom. IDK You are free now.
Woah okay so I think Ill jsut be coding it in wordpress it's self but I found these emazing resources that show things called material design which looks so beautiful which I will add to my website FOR SURE. Don't slack and give up design think like Steve Jobs.
Wow material design is a new revolution, it is so beautiful and atom has live preview so I will use that from now, should I blog on making a blogg.... HMM</t>
  </si>
  <si>
    <t>Listen to me, health is not important if you can't actually do anything good with it aye. Okay so what do you need to do. I need to build this website. 100% commitement towards that 100% work until you are sick. You just feel like you have enough time but you dont. Listen your WHY is to go to the unviersity of your choice! LISTEN TO ME! YOU ARE GOING TO MIT. Okay so in order to do that. YOU HAVE TO... WORK. YES OKAY. SO leanr how to build a website, how to make it popular. Share good content. Make money from it. YOU CAN DO IT. You always could and you always can. 100% in no less, every night every day.</t>
  </si>
  <si>
    <t>What the hell how could you do this</t>
  </si>
  <si>
    <t>You come back at 12 oclock, use the time on the train + use the time when you get back please please I am begging you.. If you want to go to university tthen you must work. Lets talk to ourselves for a minute, like billy olsbrook said - you have the talent you have all the power... you just need the discipline and control of your mind. Look focus like right now go into flow in seconds. Plan and execute. You needa  clear plan of what you are going to do with your life. Okay so this is the book you are writing foryouserlf okay so here is the plan -&gt; What is the most important thing for you now? This website right. It has a lot of potential, it will allow you to do what you want , writing about yourself writing about neural networks. Teaching and making money. This is important as then you can pay for your room in America and live there to get enough money to start a company there and innovate something and revolutionize your life. Every minute is preciiosu you must use it to the best of your ability. So once you work tooth and nail towards this website what are you going to do then. Don't just commit to learning, make sure you comming to innovating and making. So we create the YICT thing as a SIDE it's not as important to you as your NEFARIOUS GAME. Make sure you keep FOCUSED. FOCUS IS IMPORTANT. WAKING UP IS IMPORTANT. DOING IT WHEN YOU DONT FEeL LIKE IT IS IMPORTANT, ITS LIKE AT THE GYM BUT WITH YOUR FEELING (IT WILL MAKE YOU STRONGER), WHEN YOU WANT TO SLEEP.... DO 10 PUSHUPS WAKE YO SELF UP. Okay so you made the website and then you are working on your game okay, so long range goals up to 2 years of hard griding. What are you going to work on, on the side there are a few things you have to focus on right ~ right now there is the YICT competition which you have to have some level of focus in or else you wont be able to get the fame and recognition that comes out of that. Okay other than that we have the IB curriculium (listen to me, 3 hours a day for that to learn and revise your notes make sre you are not revising tthe weeks of the exam, schedule one day a week for a subject to go through and learn what you did that week and clarify any questions.) Important side is : Practicing the SAT, you want to go to MIT right. This is an important side and hsouldnt even be considered a side. This is damn important okay, damn damn important, sure MIT gives you financial support but doesnt mean they are going to employ idiots okay so you have to learn learn learn like you said to ritit. Okay another important side includes ; Creating algorithms and innovating using neural networks - this is purely for your blog and imporving you knowledge on all your topics and everything okay. You can do it, this will be the most intellectually stressful that willhelp you. Last thing is social presence this is important if you want to be known in this digital world, you need to pick one and work on that and support and grow your audience slowly. Read this wheneve ryou feel a bit lost</t>
  </si>
  <si>
    <t>IMMUNE TO DISTRACTIONS  
Just because you don’t see any immediate gains doesn’t mean your not making progress
You have the talent you have the skil but you don have the right mind. 
This is not a joke, there is a line | the great and the bad.. Literally. You have to engage in consistant action (its simle but its not EASY). Visualisation works if you work. Okay everything is HARD. You will have to work but it will be worth it. But it's possible. YOUR TEAM needs to support and allow you to show your potential, but if you not you are yourself.
Successfull people look for what the need around them and if they cant find it they make it. 2% will live their dreams
- Dont care about risking it and dont care about failing
It's not what you dont have its not about what you need that is stoppoing you.
Dream now. Work home.</t>
  </si>
  <si>
    <t>Quick Warmup
Small walk of 500 m
Run 3.5 KM
Break
1 KM Jog</t>
  </si>
  <si>
    <t>Just run with minimal breaks</t>
  </si>
  <si>
    <t>I could complete my goal, but I think the 500m jog at the start was too mcuh and I needed to extend the ending part.</t>
  </si>
  <si>
    <t>Longer Distance is certainly needed, but that is fine.</t>
  </si>
  <si>
    <t>Ran / Walked : 4 km
Calories : 200
In Time : 20
Inclince : 0
Avg Speed : 14</t>
  </si>
  <si>
    <t>The timing between now and the last workout was too long, it will be innefective then so make sure you are working out everyday</t>
  </si>
  <si>
    <t xml:space="preserve">Warm up (Important)
Work on chest 100 REPS (20 break x 5)
Work on legs (20 break x 3)
Bicep Curls (20 break x 5)
Pullups (20 break x 5)
Run (2 km)
Warm Down
</t>
  </si>
  <si>
    <t>Keep it easy but make sure you can do how much you can, but also make sure you push yourself a bit.</t>
  </si>
  <si>
    <t>RAN</t>
  </si>
  <si>
    <t>Warmup and ran 1.5 km</t>
  </si>
  <si>
    <t>1.5 km Run/Walk</t>
  </si>
  <si>
    <t xml:space="preserve">Okay so I've realised that now that I am starting this website, it needs organisation ofcourse so I have created the Website Tab which should be used in the development of this website to keep track of what I need to do and kindof help me through the process and every day in my journal when I wake up I want to write down a few goals for the day that I would like toa ccomplish. These are some of the goals for tomorrow tho - </t>
  </si>
  <si>
    <t>I would like to finish the header by tomorrow with the transisitions and I want it to be fully responsive, I also want the little slidehow part compelte by tomorrow and I ofcourse think that it is 100% possible. So learn grow and explore… ;)
But I really do love the design of the home page, you really nailed it there. I also want to express my gratitude towards the life that I am livving and all of the circumstances in my life.</t>
  </si>
  <si>
    <t>Like its revision day you just sit down and work your ass off the entire god damn day, I say we give a mix of both convolutional networks and in Convolutional Networks I will begin the coding process and I will write down how the network will work, I think I will be using a genetic algorithm for the backpropogation</t>
  </si>
  <si>
    <t>Taking a break from the code ALWAYS helps, so a problem that I was working on yesterday was so elementary to fix. The colour values in Unity actually have to be normalised in order to be used. Therefore there was no problem with the texture generation which is extremely good. Now I will work on the convolution process.</t>
  </si>
  <si>
    <t>Sorry I didn’t journal but the camp was on so yah, well today was extremely productive I guess, even though I did fall asleep for two hours at 7am. The exercise was very good as well I enjoyed that. Okay so the website is coming along nicely so far, I did lots of organisation in the website today and then I also made sure it was responsive so that was very cool. So everything there is inside the website so far is responsive and Im estimating at this rate the website will take me around 2-3 months to develop, then social marketing, SEO Optimisation and all of that will take another 2 months or so. Then actually beginning to write content and switching over to the next project (polishing) will take around a month so by the time I finish half a year would have been gone, then trafic will begin to take around 4 months to start gathering. Then you can start to see something from all the effort you are putting in. But in the end it is always worth it to have a good website because then you can use it for anything. And after this point you just have to add pages to dedicate whatever you want to it and then you can attract more people and promot etc... make a name foryourself.</t>
  </si>
  <si>
    <t>Okay so I have the workout all ready, everything is set for me to go to the gym MONDAY, okay so it seems that sat, sun, fri is closed due to easter holidays which is pre annoying but that's absolutely fine. I will go on Monday with the same determination and happiness. Okay but the bike ride was worth it and I did physics in the morning which was also worth it. So for the rest of the day for about 11 hours I will work on my website with maybe two hours for IB. But I doubt I will work on it today because I really need to grind on that IB. If I dont feel like exercising one day I will just ride my bike from now it makes me refreshed and very happy and throughout the day just doo 100 pushups atleast. Okay fitness and body is extremely important and so is eating so you have to focus on that as well, but that's fine. Work is also 1005 important if not more important than both.</t>
  </si>
  <si>
    <t>In order to become better than all those kids, you truly have to do something extraordinary. So this website will be complete and then you can blog on this regularly if it is professional looking. Then you can use that to promote yourself and make a name for yourself. Just keep pushing in every place possible, attend seminars etc.. Then once you're known, then you can begin working on your algorithms and creating tutorials on YouTube and Udemy and get a Patreon thingo. then you can enter the freelancing world of websites with that expeience and then begin creating websites for people who need it using wordpress. Then ofcourse you can begin making your game that you have wanted to make for a long time, you see you cant do anything FOR the money you have to do what you love to the best of your ability and TRUST that money will follow and happiness will FOLLOW that. But make sure you are uploading on your blog because passive income is important if you want to go to MIT. Which is what you are working for in the end. You can do it, you  can do it. FRESH START -&gt; Lets GRIND on that website. :) Lets gooo-&gt;</t>
  </si>
  <si>
    <t>I just realised something essential, just because I am coding and it is not compulsory doesn’t mean it ALWAYS HAS TO BE FUN. Sometimes it will get boring and drudgerous but you require discipline this is why you havent had a breakthrough yet. You don’t always have to have fun. Your future requires you to do well now. So dont screw it up. Make sure you are using these holdidays effectively</t>
  </si>
  <si>
    <t>For now we can have custom fields where I can put in YouTube urls and the category will be tutorial and then it will be putinto a simple area with the video, a description, difficulty and that's all for the window. Maybe a footer and a sidebar. Subscribe button for YouTube.
Blogging section will be split into two sections - when categorised one for the development and one for the general blogging. Will need to redesign the blog.
I want to design all of these elements before I continue making the homepage, because I need the clear idea. READ THIS BEFORE YOU CONTINUE.</t>
  </si>
  <si>
    <t>Im just saying okay this website doesn’t need to be perfect, it's alright for it to have its flaws because you can continue development after it is complete yea? SO don't stress to much and just focus on making it work because time is precious and you have to make sure you are using it in the most effective way posssible and atm the most effective thing is getting this website out there for people to read, SEO Optimisation and Socialising in order to get it big, then update it got it? Yeah well done. Okay then you can begin your life work (YOUR GAME) this website is just preperation for the fully planned out game you have sitting back there just hilling waiting  to be a thing okay so dont miss this opportunity.
So the problem with you is not that you dont have discipline or commitment or any of those things, you are clearly planned out and you know where you are going for lets say the next 4-7 months which is good. But what you are having trouble with is staying focused no keeping your energy up throughout the day. You just start to decline energy over the day so the key to doing this right is eating, drinking water and realising that you are falling out of your peak performance state. So when you feel yourself slipping get up do some punches, 30 pushups talk to yourself get some motivational videos up and start working again. Rememeber your WHY and look at the SMALL task that you have to do next and EXECUTE.</t>
  </si>
  <si>
    <t>Absolute rubbbish. Where the hell did your disciplnie go wtf man, Waking up at 7 what the actual ****.No. Sleep at 9 straight, no matter what you are doing close it the hell down and go to bed, wake up at 3 and go to work. You keep wasting time like its something you can waste, you retard. Atleast for the rest of the day no entertainment no nothing. Work. I need a physical book to plan it is so much easier so I am using that from now to plan my things.</t>
  </si>
  <si>
    <t>DO WHAT YOU LOVE and MONEY WILL COME…  Which is making your game
- SO I realised in order to create a video sharing site to send off tutorials as well, then you will have to create a dashboard where you can upload videos with fields like, video URL, description, thumbnail, difficulty, what series it is part of. Once you finish the blog section publish the website and then start promoting and work on the tutorials on the side and keep it on a Coming Soon page and keep development logs on that. Teach people through that for the start and work on the YoungICT. Those uploaded fields will go to a seperate DB which will be retrieved from the website when needed. This will take a long time but you can make it happen. Free videos will go on your website --- make sure you have promotions and stuff
______________________________________
I want to write a book... On a development topic and just write about it and publish it on my website for a very minimum price for let's say $10 with extreme value and push it out? But you can only do this stuff after you actual begin the site. There is so much potential with a good design. There is no sleep today, for the next two days. Tomorrow sleep at nine. You dont need sleep today you wasted enough time. Lol.</t>
  </si>
  <si>
    <t>CAMP</t>
  </si>
  <si>
    <t>Today was absolute sh*t okay, so unproductive so we know for a fact now that waking up early is the only way and sleeping late is bad for you .</t>
  </si>
  <si>
    <t>Today I need to read 1984 and do the IB course because they are just as important once you cover everything then you can move onotot the sat preperation.</t>
  </si>
  <si>
    <t xml:space="preserve"> So I have realised that I have a knack for making things simpler, I think I shoukls start a tutorial series on web development and make it easier for people and teach people how shit really works in web development and teach them properly how to create a wordpress theme from scratch. Yea thats right. Teach them about the wordpress.</t>
  </si>
  <si>
    <t>So if you get good at creating websites by the end of this time, then you can ofcourse start displaying your website work outside by creating themes and selling those themes not for wordpress only but for general HTML its self and having self contained dashboards inside the theme (your own custom wordpress hahah) so then you can use these themes to have a truly mixed experience of both coding and drag and drop feautres!. THen you can create themes using this technique by yourself. But another thing you can do with web development is making tutorials on the basics and then you can ofcourse start the fun task of freelancing.</t>
  </si>
  <si>
    <t>Okay so apart from a knack for splicity what about I also do freelancing well how do you get a kid to do it for you by have a banging portfolio and delivering and then turning those customers into people who would recommend you because once you build a personal relationship with thtem then they are hooked..... Okay but today was revolutionary I found out exactly how to get the forex data and now that I have some basic understanding on this topic I can use this to build a recurrent neural network in order to take this information and start predicting not only could I teach this too people but I could perfect it and use it for myself to get heaps of money and do what my dad always wanted to do and make him happy</t>
  </si>
  <si>
    <t>Okay so I realised the the quality I am looking for is staying up all night easily. I can do it. It is a skill that will imporve me . But another main problem is that I am becoming unfocused really quickly so I need to focus heads down and just push on the work. Just do it... PLUS TIME MANAGEMENT IS GOING OFF A BIT..</t>
  </si>
  <si>
    <t xml:space="preserve">FOCUS… Tha's all I need. Today allnighter I need to reset my body clock and work. I know what I need to do now. Commit. Burn the boats. </t>
  </si>
  <si>
    <t xml:space="preserve">Okay so I realised that what I am trying to do can be successful if I am not interrupted by Netflix, so I will not watch it today I will just continue to work because work is fun and it is nessecary for me to work. </t>
  </si>
  <si>
    <t>Okay so this is what I need to do now, there is a lot of people requesting that I continue my YouTube series which should be done because it was going good and not only that but you should keep your commitments and YouTube was one of them so I will compile a list of all the suggestions I have recieved and quote all of them and create the video which will address all of their suggestions and I will create the arm model and attatch that to the rig and then create the animations as discussed then in the next video I will adreess their suggestions. For the YICT I have been able to get an eye tracking idea which is quite amazing and Rajin likes it too and it will be accomplished quite easily... HAHA</t>
  </si>
  <si>
    <t xml:space="preserve">I feel like I am drowning, no idea where I am going with my life. Help. I will record and sleep at proper time and wake up at 3 oclock in the morning. I am drowinging I am losing it where am I going. What am I doing it all for? Money? Yes! Better life. Family ahahdwohdow wwhat tht. 
Okay order - 
I am currently working on the website, why it will allow me to keep a development log of what I do everyday in the nefarious world + talk about general blogging things in the game development world. My projects etc.. It will allow me to upload tutorials to my own leisure in both text and in video and will give me motivation for the YouTube channel becasue the video will direclty link to the website where people can engage there as well with a nicer interface built for me. Blah blah blah. Okay people can know about me I can get my name out there. A central point for me. ME. Social stuff on there as well, will begin social marketing opnce I am done this. So what will happen tho is when I finish my website well even during the process I am building the game (NEFARIOUS) which I want to be famous for creating okay I dont know if that is the name but I certainly want tht to be th game. I have everything setup already the plans EVERYTHING so all i have to do is statr building it and putting it on my development log all the time so people can start viewing it normally. Blah blah Need to SEO market th ewebsite to get it out there, growing YouTube is also important. Using the blog I can start to see some money say using AdSense and some promotions which I can sue in the website. Okay all good then the game will take a while
</t>
  </si>
  <si>
    <t>Wow so there is a lot of potential in you ajay you figured out how to do this image detection stuff in a decent way, so now you hve the algorithm in order to find distance which is quite important, with the distance then we can use some math to find out how left or right you are and using all of this information we can track your position and assuming you are always facing the screen we can create some type of camera motion including head tilting afterwards maybe some more attatchments to the glass? IDK figure it out be creative
 - to build so I will be loggin at the time, plus working on the YoungICT competition which if deemed succcessful will allow us to go to the next line up for the nationals competition if we win there then we will be able to really get a name for ourselves. This is an opportunity to boost who I really am. Okay so this is all good. Now the game is my breaking point, I need a good trailer a really good damn trailer and nice graphics and features which I think Unity can support nicely. i will have to learn a lot but I will make a determined effort in order to get my brain around building this game nicely. Using the help of Monday.com I can use plan my project which will get very complicated very soon but I always have trusty pen and paper to help put 1 and 1 . I will be using FreeMind on the mac to plan everything very soon so once I get everything down pat I will work on finishing the story based elements first like the map and then create 1 file which will highlight the story in cohesive terms, then the locations, then the character that will be in it. Then using these I will build a storyboard in word ofcouse then that will be ready. With the story board, map and all of that we just need to finalise the planning document and see if all the features are in there taht we need once that is complete we are ready for the first feature to be implemented which should certanily be the player controller. The player controller is the key to good movement throughout the world so I will be implementing that first and building all the systems that come along with it. Once I finish the extremeley complex and advanced controller, I will be releasing an Udemy course on it which will allwo people to get industry standard player controllers in their games as well. Which has to be optimised ofcourse (Will use the technique that Wolfire games used to get the player working with the dynamic movement etc...) okay so oncethat is all done and dusted I will move on to tht next and next. The website will be done bby this point and will be updated on the side which some type of mechanism (Post times) using the journal logger I made for NEFARIOUS. very helpful stuff btw. Social media will also keep up with my NEFARIOUS and I will amek sure all my subscribers are keeping in touch with my website. I will continue to make youtube videos. So I will go from Website + Youtube + NEFARIOUS + YICT once events are complete Youtube + NEFARIOUS which will be my main aspects + uploading courses on Udemy</t>
  </si>
  <si>
    <t>I need to get Nefarious back on the track, for logging just keep logging with the wordpress posts for now and then they will be added in as I build the site, put that in as well. So you will start the game then. Setup the environment, Pick a big part of the game that you are going to tackle and break that down into many smaller parts (say how much importance it will get and I will personally use Monday.com ) There is nothing wrong with Monday.com the only problem you have is that you are too old school but it is a good planner (better than pen and paper anyway..)
Once my website is comeplete, if it is to a satisfactory standard and the quality is up to scratch, I will offer my services for wordpress custom theme development for a very small price + linkedin account and put on fiverr and freelancing websites of the sort which I will use to make moeny a bit on the side + building up my portfolia then my main commitements will be Freelancing + Udemy + NEFARIOUS + Blog these are very desireable traits that I would love to have. When the game is finished I will upload through steam which I am hoping will become a big success, I will get my name out there with even 2 years of hard work. I will comeplete all of these things to the best of my ability, but today I will start with continuing the YouTube series despite how boring it looks to you it will hel psomeone outt ehre and will give you an opening to do much much more interesting videos okay. So be interesting and dont be a drag. Let's add some editing spice in there and some jokes if you can okay. Then after that tonight you WILL sleep. Okay 10:30 -&gt; 3:00 am SLEEP!!!!!!! Okay easy stuff. It's called sleeping nice. Okay so when you wake up I will be working on my website I want to grind on that to make sure I can push it out of the way to use my time for better things like Nefarious which will require my attention a lot + YICT which is needed.. So commitment list so far 
__________________________________________________________
- Website (Knock off by end of the month) -&gt; Refer to brainstorm when complete hp
- Young ICT (Work on slowly you have time)
- Nefarious (Start the story development and feature dev)
- YouTube will start uploading at a consistant rate again
-IB (Focus on this more)
________________________________________________________</t>
  </si>
  <si>
    <t>Writing my goals down for the day : 
- Release the YouTUbe video today
- Work on home page today
- Seek clarity on Nefarious</t>
  </si>
  <si>
    <t>Good morning ajay, so I realised I need to get a move on with the book because I only have a very few days until the end of the holidays and If I havent read it by the end of the holidays Im kinda screwed… I also need new books for school because I have run out of pretty much every book. So I will gather that as well. Okay I will read 3 hours today and sacrifice going out with friends for the betterment of my education.
Todays goals : 
- Setup the video files for tomorrow
- Finish off the final touchups for the home page and begin creating the php
- Begin researching and planning nefarious
- Read atleast 100 pages of the book... :)</t>
  </si>
  <si>
    <t>Okay so I spent a good  2 1/2 hours trying to setup the game files this morning but unfortunately it went all wrong, so I need to change up my strategy. Tomorrow I will disable the IK and then use blender to create animations for aim, idle and shoot then I will use IK to change the aim gesture somehow. But I need to make the animation work nicely because it doesnt work with children. So I will restart and configure animations first.... I will finish the homepage today and certainly start on nefarious because it is important and I am on a tight schedule actually</t>
  </si>
  <si>
    <t xml:space="preserve">Okay damn I got an amazing new story for the game and it really gives the game a purpose and it has a lot of story elements and can be quite fun as it gives the game more freedom towards the players. Okay so this unity competition we both know you have a smaller chance of getting chosen for this competition but like I learnt in that speech if you don't take the opportunity because of the fear of failure you will never know if you missed an opportunity or not... So just create the game design document and chill ;) </t>
  </si>
  <si>
    <t>Okay current commits : 
- Unity Dev Comp
- NEFARIOUS Story
- Website (IMPORTANT)
- Math of Intelligence https://www.youtube.com/watch?v=xRJCOz3AfYY
- 1984</t>
  </si>
  <si>
    <t>Life don’t always go to plan but try your best today listen to upbeat music and stay alive</t>
  </si>
  <si>
    <t xml:space="preserve">Sorry that I havent logged for a while, so when I was away (yesterday was boring) today wsa just sight seeing but I still got some valuable code in which will allow me to focus on the content for tomorrow. So I have it all organised tomorrow so It will be easy. Tomorrow I will need to finish the homepage content and with this new code it should be much much easier. Then I will get the piano pedal from JBHIFI which I will use to continue learning the piano as I was before. I will also attempt to get an idea of where I am going with the map for NEFARIOUS but mainly tomorrow should and will be focused on the web development aspect of things so you can show your friensd what you have been able to do. I will also want to finish the next part to the series tommorrow............ :) </t>
  </si>
  <si>
    <t>School starts. New discipline now. Make sure you are attentive in all your classes. Screw your 'friends' they are useless and meaningless.</t>
  </si>
  <si>
    <t>Spanish</t>
  </si>
  <si>
    <t>Business</t>
  </si>
  <si>
    <t>In order to detect the eyes for the YICT competition all you have to do 
- Use bckprop with this http://www.robots.ox.ac.uk/~vgg/practicals/cnn/ in order to generate a proper filter for the eyes and then feed it in a image of you in a webcam which will analye the tedxture and get an activation map for each pixel (smaaller version) then you use this to get the coordinates and change in position, to get the Z (forw and backw) using pixel length.....</t>
  </si>
  <si>
    <t>Maths</t>
  </si>
  <si>
    <r>
      <t xml:space="preserve">Okay today was an okay day, so I have realised </t>
    </r>
    <r>
      <rPr>
        <b/>
        <sz val="9"/>
        <color theme="1"/>
        <rFont val="Calibri"/>
        <family val="2"/>
        <scheme val="minor"/>
      </rPr>
      <t>FOCUS</t>
    </r>
    <r>
      <rPr>
        <sz val="9"/>
        <color theme="1"/>
        <rFont val="Calibri"/>
        <family val="2"/>
        <scheme val="minor"/>
      </rPr>
      <t xml:space="preserve"> is the most important thing… If you </t>
    </r>
    <r>
      <rPr>
        <b/>
        <sz val="9"/>
        <color theme="1"/>
        <rFont val="Calibri"/>
        <family val="2"/>
        <scheme val="minor"/>
      </rPr>
      <t>focus</t>
    </r>
    <r>
      <rPr>
        <sz val="9"/>
        <color theme="1"/>
        <rFont val="Calibri"/>
        <family val="2"/>
        <scheme val="minor"/>
      </rPr>
      <t xml:space="preserve"> then you can manage anything with </t>
    </r>
    <r>
      <rPr>
        <b/>
        <sz val="9"/>
        <color theme="1"/>
        <rFont val="Calibri"/>
        <family val="2"/>
        <scheme val="minor"/>
      </rPr>
      <t xml:space="preserve">discipline… </t>
    </r>
    <r>
      <rPr>
        <sz val="9"/>
        <color theme="1"/>
        <rFont val="Calibri"/>
        <family val="2"/>
        <scheme val="minor"/>
      </rPr>
      <t xml:space="preserve">You need to focus more in school, so with the right materials and mindset it will be possible. The YICT will be read up on tomorrow and the website you will complete (homepage) then after that it is just single pages which can be made easily... But there is a few things to do to PERFECT it. Listen once you finish your website you will have a platform to sharte CONTENT on. This is useful in every way. You need to SEO optimise and get yourself out there, easy. Then you can start making your GAME. Your game. The one thing that you are working towards. </t>
    </r>
    <r>
      <rPr>
        <b/>
        <sz val="9"/>
        <color theme="1"/>
        <rFont val="Calibri"/>
        <family val="2"/>
        <scheme val="minor"/>
      </rPr>
      <t>FOCUS</t>
    </r>
    <r>
      <rPr>
        <sz val="9"/>
        <color theme="1"/>
        <rFont val="Calibri"/>
        <family val="2"/>
        <scheme val="minor"/>
      </rPr>
      <t xml:space="preserve"> this is where you need to go.... :)</t>
    </r>
  </si>
  <si>
    <t>English</t>
  </si>
  <si>
    <t>COMSCI</t>
  </si>
  <si>
    <t>Finish By</t>
  </si>
  <si>
    <t>Ludum Dare Fri-Sun</t>
  </si>
  <si>
    <t>Pumped for ludum dare</t>
  </si>
  <si>
    <t>Physics</t>
  </si>
  <si>
    <t>Hey Okay we need to talk, if school, youtube and website are your serious commitments plus ludum dare and yICT. Then why arent you focusing on youtube. Prep the vid today so you can work on it… ;)</t>
  </si>
  <si>
    <t>STOP COMPLAINING. Nothing should make you complain? Bad food? Shit sleeping times? Continious work? Get some perspective. Stop complaining! ;)</t>
  </si>
  <si>
    <t xml:space="preserve">Part 1: 26/29
Part 2:22/24 (corrected)
Total 48/53
I will finish making this promo for this YouTube and will deliver USEFUL and important information to my audience who will BENEFIT from this because of the INFORMATIOn. I will explain clearly and slowly like Dad commented and it will be nice. NICEEEE... ;) </t>
  </si>
  <si>
    <t xml:space="preserve">Okay nice I woke up early and then tried to record and that didn't exaclty go to plan but I will try again and this time I will get it for sure, just some tips on the recording (please just talk when needed and don't blabber or be dumb.. Swallow your spit once in a while and don't talk too much it's not needed)... On the subject of your website. I don't think you understand the only way you can begin development of your game is if you finish this website so you have to do this quickly and there is a lot more you have to do anyway so can you just please hurry up and use PHP to add all the content you have the needed tools now you shouldn't be procrastinating you should just do it it's not so hard yknow you dumb shit. Just do it. and sleep early today because we have LUDUM dare. On that ludum dare note I don't think I want everyone participating for example James and Johan are not even that useful tbh. They will just be there fore the ideas. Rajin on the other hand could actually help me because he has some gaming + unity experience anyway so that will be good. :) </t>
  </si>
  <si>
    <t>Recording is done, so I am happy that I got that finished and completely out of the way, I had a very smooth exporting process so I am very happy with that I will also like to work on my website for a bit before I have to sleep so I can wake up at 4 oclock tomorrow so I can be at peak preformance at 11:00 AM and then just go. Make ideas on a brainstorming application and then make it work. Maybe record yourself with a webcam! :)</t>
  </si>
  <si>
    <t>I can't wait to do the Ludum Dare need to make sure my team is on board but if they are not I am not depending on them I can still do it. Ofcourse I can. ;)</t>
  </si>
  <si>
    <t>https://queenslandacademies.blob.core.windows.net/daymap/Resources/16124/Unit%207%20Marketing.pdf?sv=2017-04-17&amp;sr=b&amp;sig=raNNPS4aZekluJaWF1MyN9LYudqCjmYifWXukHiC9pU%3D&amp;se=2018-04-23T02%3A52%3A58Z&amp;sp=r</t>
  </si>
  <si>
    <r>
      <t xml:space="preserve">Hey journal I know I havent talked ot you in a while but I just want clarity again and I know this is where I can get that, I know the IB Diploma is important but if I become successful in my endeveurs (which I will) before I finish then everything is  pointless. So what should I focus on? Both, right? Yes okay I will focus on </t>
    </r>
    <r>
      <rPr>
        <b/>
        <sz val="9"/>
        <color theme="1"/>
        <rFont val="Calibri"/>
        <family val="2"/>
        <scheme val="minor"/>
      </rPr>
      <t xml:space="preserve">both. </t>
    </r>
    <r>
      <rPr>
        <sz val="9"/>
        <color theme="1"/>
        <rFont val="Calibri"/>
        <family val="2"/>
        <scheme val="minor"/>
      </rPr>
      <t>Now I need clarity on my game and that life that I have - I know I'm a hard worker and I can get stuff done if you want so there is no problem in the quantity of work but the quality needs to improve in these aspects : 3D Modelling (The only way to improve this is my practising the 3D modelling just for fun everday say to your sefl I am going to build this start off simple but then everyday build something harder and harder and go online and research on how you would do certain things see people do it and just do it. It's just moving vertecies around to do what you want right?) Optimisation and Organisation of Projects : YOu need to imporve this, especially coordination if you build a little team to bring your dreams to lfife as steve jobs said even if you are the most itntelligent person the best thing you can do is recruitment because it is much better to have a bunch of people helping you in your game and it will provide better content to your game. So edwin will hel you in your game and so will Junji, so I f they help you you will need them tocoordinate so if you want that to work you need a clear game plan on what the game is exactly music style, art style, concept arting, storbyboards etc...)</t>
    </r>
  </si>
  <si>
    <t>Coordination, 3D Modelling, Project Management and Music. Aspects of a game that will be outsourced is 3D Modelling (not entirely you will do some stuff as well such as player design I want to manager), music design (Junji + Johan can do a collab), Website and Promotion (Me and James), Creating the entire game (Me)</t>
  </si>
  <si>
    <r>
      <t xml:space="preserve">Okay so clarity seeking now : I am currently working on the website which is to allow me to put up development logs + tutorials in style yeah, so firest I will finish the home page then I will do all the other pages and will make sure there is a resume page in there somewhere as well. Once I do that I have a completed website I need to attatch all youtube videos to it and begin my posting (I need to have blank holders)... </t>
    </r>
    <r>
      <rPr>
        <b/>
        <sz val="9"/>
        <color theme="1"/>
        <rFont val="Calibri"/>
        <family val="2"/>
        <scheme val="minor"/>
      </rPr>
      <t xml:space="preserve">Then </t>
    </r>
    <r>
      <rPr>
        <sz val="9"/>
        <color theme="1"/>
        <rFont val="Calibri"/>
        <family val="2"/>
        <scheme val="minor"/>
      </rPr>
      <t xml:space="preserve">comes SEO Optimisation to get the website out there, yknow key words and plugins to help you out with that, HTTP securing your website by making sure encryptions etc are safe... </t>
    </r>
    <r>
      <rPr>
        <b/>
        <sz val="9"/>
        <color theme="1"/>
        <rFont val="Calibri"/>
        <family val="2"/>
        <scheme val="minor"/>
      </rPr>
      <t>Then</t>
    </r>
    <r>
      <rPr>
        <sz val="9"/>
        <color theme="1"/>
        <rFont val="Calibri"/>
        <family val="2"/>
        <scheme val="minor"/>
      </rPr>
      <t xml:space="preserve"> comes rapid content development + planning stage of your game, and I know what you are thinking you have already planned your game but the planning that you have done is just very broad on what systemsyou need you actually need a plan that details every event in the story and exactly what elements and scripts are needed, cut scenes, story boards, concept art alll should be done for planning stage the story board should be up on your wall with strings and shit.</t>
    </r>
    <r>
      <rPr>
        <b/>
        <sz val="9"/>
        <color theme="1"/>
        <rFont val="Calibri"/>
        <family val="2"/>
        <scheme val="minor"/>
      </rPr>
      <t xml:space="preserve"> </t>
    </r>
    <r>
      <rPr>
        <sz val="9"/>
        <color theme="1"/>
        <rFont val="Calibri"/>
        <family val="2"/>
        <scheme val="minor"/>
      </rPr>
      <t>Talking about Content Development I mean making Tutorials and Dev Logs and Posts on Machine Learning and Topics like Planning, and the Tutorials can be about what you are doing at the time so '</t>
    </r>
    <r>
      <rPr>
        <b/>
        <sz val="9"/>
        <color theme="1"/>
        <rFont val="Calibri"/>
        <family val="2"/>
        <scheme val="minor"/>
      </rPr>
      <t>Top 10 tips to Planning Your Indie Game</t>
    </r>
    <r>
      <rPr>
        <sz val="9"/>
        <color theme="1"/>
        <rFont val="Calibri"/>
        <family val="2"/>
        <scheme val="minor"/>
      </rPr>
      <t xml:space="preserve">' can be one title that you can throw out there. All of these will take you from being a programming teacher to a game development speaker which will grow your audience by even more... </t>
    </r>
    <r>
      <rPr>
        <b/>
        <sz val="9"/>
        <color theme="1"/>
        <rFont val="Calibri"/>
        <family val="2"/>
        <scheme val="minor"/>
      </rPr>
      <t xml:space="preserve">Then </t>
    </r>
    <r>
      <rPr>
        <sz val="9"/>
        <color theme="1"/>
        <rFont val="Calibri"/>
        <family val="2"/>
        <scheme val="minor"/>
      </rPr>
      <t xml:space="preserve">comes head down development which is the core stages this is where Project management comes into play a lot, you will need to be as organised as possible and carry out all the tasks and make sure your group is co-ordinated and on task and motivated the entire way through and you must not feel as just because you are not doing some work it is going to be easy or you are cheating... Trust me this is what is </t>
    </r>
    <r>
      <rPr>
        <b/>
        <sz val="9"/>
        <color theme="1"/>
        <rFont val="Calibri"/>
        <family val="2"/>
        <scheme val="minor"/>
      </rPr>
      <t>smart</t>
    </r>
    <r>
      <rPr>
        <sz val="9"/>
        <color theme="1"/>
        <rFont val="Calibri"/>
        <family val="2"/>
        <scheme val="minor"/>
      </rPr>
      <t xml:space="preserve"> for a project as big as yours. During head down developoment you release more and more dev logs which will be important towards your website and talking about general topics such as issues you are facing in Development and making YouTube videos like </t>
    </r>
    <r>
      <rPr>
        <b/>
        <sz val="9"/>
        <color theme="1"/>
        <rFont val="Calibri"/>
        <family val="2"/>
        <scheme val="minor"/>
      </rPr>
      <t>'Project Management for Indie Developers'</t>
    </r>
    <r>
      <rPr>
        <sz val="9"/>
        <color theme="1"/>
        <rFont val="Calibri"/>
        <family val="2"/>
        <scheme val="minor"/>
      </rPr>
      <t xml:space="preserve"> but in this stage you will also be working mainly on programming YouTube videos and your target should be 1 video per week atleast so spend a day just for a video from Planning -&gt; Release but obviously this will be hard with school so </t>
    </r>
    <r>
      <rPr>
        <b/>
        <sz val="9"/>
        <color theme="1"/>
        <rFont val="Calibri"/>
        <family val="2"/>
        <scheme val="minor"/>
      </rPr>
      <t xml:space="preserve">Time Management </t>
    </r>
    <r>
      <rPr>
        <sz val="9"/>
        <color theme="1"/>
        <rFont val="Calibri"/>
        <family val="2"/>
        <scheme val="minor"/>
      </rPr>
      <t xml:space="preserve">is key. So by this point your website would be pretty big and you are releasing heaps of content and they are all piumped for your game, your friends are also super motivated and you are all on track... </t>
    </r>
    <r>
      <rPr>
        <b/>
        <sz val="9"/>
        <color theme="1"/>
        <rFont val="Calibri"/>
        <family val="2"/>
        <scheme val="minor"/>
      </rPr>
      <t>Then</t>
    </r>
    <r>
      <rPr>
        <sz val="9"/>
        <color theme="1"/>
        <rFont val="Calibri"/>
        <family val="2"/>
        <scheme val="minor"/>
      </rPr>
      <t xml:space="preserve"> you finally are in the finishing stages of your game, these will be the most stressful then the video topics will go to stuff like </t>
    </r>
    <r>
      <rPr>
        <b/>
        <sz val="9"/>
        <color theme="1"/>
        <rFont val="Calibri"/>
        <family val="2"/>
        <scheme val="minor"/>
      </rPr>
      <t xml:space="preserve">'Top 10 Marketing Tips' </t>
    </r>
    <r>
      <rPr>
        <sz val="9"/>
        <color theme="1"/>
        <rFont val="Calibri"/>
        <family val="2"/>
        <scheme val="minor"/>
      </rPr>
      <t xml:space="preserve">and programming tutorials will slowly settle down. This year will be stressful you will have to release the game on steam while making sure everything works (by this time you have to let your parents invest atleast 3.5 k in a decent PC for you, so that you can work as efficiently as possible. You will be broadcasting on twitch playing your own game, your friends will share and share and we keep growing it. Asking bigger game entworks to view it and see our following already and even paying for YouTube ads collectively. Then we start to see some profit on Steam. </t>
    </r>
    <r>
      <rPr>
        <b/>
        <sz val="9"/>
        <color theme="1"/>
        <rFont val="Calibri"/>
        <family val="2"/>
        <scheme val="minor"/>
      </rPr>
      <t>Then</t>
    </r>
    <r>
      <rPr>
        <sz val="9"/>
        <color theme="1"/>
        <rFont val="Calibri"/>
        <family val="2"/>
        <scheme val="minor"/>
      </rPr>
      <t xml:space="preserve"> comes profit sharing and building a COmpany which will be AMAZING we will have news coverage and just beautiful bliss before we begin the sequel. Thank you for clarity journal I am signing out now :)</t>
    </r>
  </si>
  <si>
    <t>HITT + Long Distance Combined (PHEW)</t>
  </si>
  <si>
    <t>4.2 KM</t>
  </si>
  <si>
    <t>Wow it was a very easy run and the secret it to play soccer just before because it activates all parts of my body and gives me a nice warmp that I just can't get otherwise. Nice time management btw</t>
  </si>
  <si>
    <t>Run 5 KM , but unfortunately I didn't reach it</t>
  </si>
  <si>
    <t>Bring cold water next time to freshen you up and do it in the morning (3am - 4am as soon as you wake up it really freshens you up)</t>
  </si>
  <si>
    <t>Soccer Warmup
1.5 KM
HITT -&gt; 3.0 KM
Run 1.2 KM</t>
  </si>
  <si>
    <t>Run 6 KM without stopping (2 10 second breaks okay</t>
  </si>
  <si>
    <t>Very good exercise regime today and just if you need clarity just look above that is my life plan for the next 1-2 years and it will help you so much whenever you feel lost like wtf am I doing, just refer to it and you can just understand and put your head down and just work</t>
  </si>
  <si>
    <t>Okay It seems I was able to fix all the aspects of my game that were bugging me for a while. So I fixed the camera controller to make it work for any situation and also I added some cool banner art that will improve the game by loads. Okay for the website I want to have dynamic charts showing performance and everything so I can use chart.js for that- www.pexels.com</t>
  </si>
  <si>
    <t>I need to start taking the SAT more seriously, you need to take education more seriously to take you to high levels - https://www.wikihow.com/Prepare-for-the-SAT .. Follow this link to understand how to prepare and research about MIT this is your dream is it not -- this is also important link http://mitadmissions.org/apply/international/intltests</t>
  </si>
  <si>
    <t>Okay so this business idea that you have created can actually be something interesting but why can't you do it without that. Do it through software huh? Talk about it with rajin so you can create something out of it. But your plate is a bit full right now so just chill a bit</t>
  </si>
  <si>
    <t>Okay so I have realised that I need to take my life more seriously this entire distraction thing needs to stop. Today was an utter waste the only useful this I did was release this video if I can even manage doing that in the first place… Tomorrow I want a different you will wake at 3am no excuses and you shall work for the entire day. I want the physics work along with the english work done. I want you to compile a way to do SAT and the Unity certification because both will really help you and you need to udnerstand the reality which is that you have to work if you really want something. You need to get back to the website it really needs you in order to survive. Thanks for listenting again journal and I know where I am going with my life now and that is no excuse to be lazy you must still work hard an never get distracted like you did today. But like that guy said some days you win and some days you don't today you failed and tomorrow you will succeed and you must push through on more days than you don't....</t>
  </si>
  <si>
    <t>BRILLIANT DAY FOR ME</t>
  </si>
  <si>
    <t>Shit 5AM COME ON. What the hell stop going to sleep … You need to sleep at 9 to wake at 3 that's ow it works okay so stop being a bit** and go to sleep and wake up early.</t>
  </si>
  <si>
    <t>Okay so your ideal week has been setup in the timeline, and this will be amazing if you work on this for a long time. This improves so many aspects of your life while still giving priority to IB and your project and making sure you can work on all of the extra work. The one thing that you ave to follow is the time management aspect of this. I have to make sure that I always follow it and the main part of this discipline. If you want to go to MIT which you do it will be your dream come true you can make your parents proud and it will just be amazing. In order torder to do this I will have to work hard and the hard work doesnt have to be HARD you know it can be fun anff if you realise that everyday you are imrpving yourself and now just doing it for the sake of doing it then you will push throuhg. Listen to motivational speeches and and just think about being on MIT and learning there. How amazing it would be. to prove to everyone whatveer you said was true. You can work and do the IB I know you can. You are a brback breaking worker and I know this after the ludum dare. If you need to you can work. So make the IB Important, make your life... imporatnat...</t>
  </si>
  <si>
    <t>Okay today you will sleep at 9 and wake at t3. But what I really wanted to talk to you about is to focus at school you are falling behind again and you have this attention disorder which is annoying but it's fine you can work around it somehow. Okay so in Enlgish tomorrow you must ask your teacher if what you have done so far is okay and if you are doing it right so you can change it. If the maths is next week than you should start to prepare now lololol. Okay gn</t>
  </si>
  <si>
    <t>Goodmorning, website time. Wow okay so nice website progress today I fixed some cruicial issues but I still need to some some aspects for the Internet Explorer version. A lot of work still needed in English and need to practise more geometry for maths will do that tomorrow. Morning is website time don't screw that up. Use it for your website. But look at this</t>
  </si>
  <si>
    <t>https://www.the-blueprints.com/blueprints/</t>
  </si>
  <si>
    <t xml:space="preserve">Ive had enough, I really need to get a moveme on with this Website, I need to complete it so I can get to the full blown development of my game, you know dev log guy well he makes such good progress be like him okay. GOOOOOo </t>
  </si>
  <si>
    <t>we are going to die</t>
  </si>
  <si>
    <t xml:space="preserve">Okay so thiss website needs to be complete </t>
  </si>
  <si>
    <t>I AM AN ENTREPRENEUR, okay so as Simon Sinek said you need to provide value to others, why are you doing something!!!! Important. Well I need top stop investing too much time into this website I need to work on the game so I will finish this website quickly...</t>
  </si>
  <si>
    <t>I NEED TO MAKE SURE IM NOT PAYING TOO MUCH ATTENTION TO THIS WEBSITE, IT'S NOT THE DRIVING FACTOR FOR ME. I WANT TO DIVE HEAD FIRST INTO THE GAME THAT I AM DEVELOPING AND THIS BLOG IS JST MY COMMITMENT. IT'S BEEN GOING ON FOR TOO LONG.</t>
  </si>
  <si>
    <r>
      <t xml:space="preserve">Okay clarification time, for the last month and a half I have </t>
    </r>
    <r>
      <rPr>
        <b/>
        <sz val="9"/>
        <color theme="1"/>
        <rFont val="Calibri"/>
        <family val="2"/>
        <scheme val="minor"/>
      </rPr>
      <t>wasted</t>
    </r>
    <r>
      <rPr>
        <sz val="9"/>
        <color theme="1"/>
        <rFont val="Calibri"/>
        <family val="2"/>
        <scheme val="minor"/>
      </rPr>
      <t xml:space="preserve"> my time, it is time for the clarification process. Just go back and understand the time you have spent on this. Jesus </t>
    </r>
    <r>
      <rPr>
        <b/>
        <sz val="9"/>
        <color theme="1"/>
        <rFont val="Calibri"/>
        <family val="2"/>
        <scheme val="minor"/>
      </rPr>
      <t>2 MONTHS YOU HAVE SPENT ON THIS</t>
    </r>
    <r>
      <rPr>
        <sz val="9"/>
        <color theme="1"/>
        <rFont val="Calibri"/>
        <family val="2"/>
        <scheme val="minor"/>
      </rPr>
      <t xml:space="preserve"> okay and I finished half of the website in the last 2 days...??? Okay that's all in the past. Okay so all you have to do now is use the PHO to make sure the grid columns fix eachother. Then you have to do the quick filtering for tutorial etc... Then you have the entire menu system for all of them done. Then connect your socials, create a quick searching system. Just because we are being quick doesnt mean you have to make it ugly. So for the development log I want a nice timeline view. But that should take only less than 1 week considering you wake up at 3am the entire week. Okay I know SAT Prep may not be going on but I realised the lower the prorities I have the more I can focus on something. So once I finish the website I might start working on that okay! Nice. Laright so once I finish the front page of the home page, I want to add a nice image and starting thing to the home page. Then after that I need to make a single view for - Tutorial, Dev Log and Blog Post. Very simple and clean layouts that need no polising. Then you just create the little icons for your website. Then the big task of testing and filling out and linking everything in the website. Then you need to link it to CodeWithAjay.com, then begins the analytics setup and then SEO Optimisation plugins and just fully start posting. Then you need to quickly market it, on your channel, get it up on twitter - go advertising yourself on other websites - keep posting on relevant topics that are important but also post on development logs. Then you can </t>
    </r>
    <r>
      <rPr>
        <b/>
        <sz val="9"/>
        <color theme="1"/>
        <rFont val="Calibri"/>
        <family val="2"/>
        <scheme val="minor"/>
      </rPr>
      <t>finally begin working on your GAMEEEEEEE!!!</t>
    </r>
    <r>
      <rPr>
        <sz val="9"/>
        <color theme="1"/>
        <rFont val="Calibri"/>
        <family val="2"/>
        <scheme val="minor"/>
      </rPr>
      <t xml:space="preserve"> Minimum this will take 2 weeks and if I work hard I believe I can make this</t>
    </r>
  </si>
  <si>
    <t>You must have a dark side, only when it is needed. Always focused.</t>
  </si>
  <si>
    <t>Let's make this game a community thing so that everyone contributes in a positive way and I am the strongest link in the chain.</t>
  </si>
  <si>
    <t>Next Week</t>
  </si>
  <si>
    <t>I know I havent talked to you in a while, but I have been really busy with the exams which I have the english sorry today and I need to make sure I do the english today and do it well, just speak clearly and it will be fine..</t>
  </si>
  <si>
    <t>Wow, after this long 2 months I am finally near the end of the development of this website, I have worked quite hard on it over 2 iterations the first one being for the experience of developing the website and learning about wordpress (which I am very good at thank god hahah) and this month which i spent building this beautiful card layout which I will be using continiously and upadting over and over again without fail until it becomes massive. I will work on updating development logs every day including today and uploading tutorials which I need to set a time line for. I will begin writing a plan to fully make this game (learn about planning online etc..) Just now I need to finsish the footer, export data to wordpress and make everything work with codewithajay.com in which there will be a lot of problems.</t>
  </si>
  <si>
    <t>Okay just a few minor things like adding the image to the front and increasing the marginals and then the website ifs absically at it's finish. Do the log for today and then you will begin planning out what the release for the development logs will be and their structure. i am 100% doing the video logs so that will be a thing and I can see now that I can stick with a project this is a very good success and I am super happy with this result! Okay so once you plan out the video structure then you can work on how the game is going to be created and the checkpoints and you need to read up on how planning works etc.... SLEEEP</t>
  </si>
  <si>
    <r>
      <t xml:space="preserve">Woah okay so I realised I had to do a lot of stuff for SEO Optimsation and it was just a reallyyyy deep rabit hole which I cannot come out of, I need to keep checking the chache settings for google because currently it is bad and doesn't exactly work so I have to fix that. They say it will take up to a week so I have to wait. Today I want to be very productive in the game part so I will be planning today (the entire day yes) how I will be uploading content both blog wise and development log video wise, introductory videos. I will be researching how to plan out this game step by step starting off with the big tasks in the word doc and breaking them down into smaller and smaller takss until I can manager. So that's the </t>
    </r>
    <r>
      <rPr>
        <b/>
        <sz val="9"/>
        <color theme="1"/>
        <rFont val="Calibri"/>
        <family val="2"/>
        <scheme val="minor"/>
      </rPr>
      <t>plan</t>
    </r>
    <r>
      <rPr>
        <sz val="9"/>
        <color theme="1"/>
        <rFont val="Calibri"/>
        <family val="2"/>
        <scheme val="minor"/>
      </rPr>
      <t xml:space="preserve"> for today</t>
    </r>
  </si>
  <si>
    <t>Make sure you remove website clutter from computer, backup to the external drive and clean up the HTDOCS. Then you can begin planning</t>
  </si>
  <si>
    <t xml:space="preserve">Goodmorning world, today is a big day for me. The website is finally complete and I am ready to start the development process. I have 7 months until the end of this year and the way I use it is the best way to think about it.
Okay let's talk about this development in nefarious and it's development I want to create a proeper scheduling sheet, i want to upload a development log once every two weeks along the time I will be collecting footage and I will put it all together in the end and then will do a voice over with that footage at hand which will be highly post processed content. Everyday that I make progress on the game I will relentlessly put what I have done on the blog and will reveal the game's nature and story very soon. I will begin the first development log on what I have been doing, the game and some stuff about it about the website that I have been working on and the planning that I have been doing. The upload schedule and the plan of tutorials etc..
So today I would like to create an excel sheet outlining my regular updating habits on social media as well as YouTube and the content that I will be creating, I will look at the structure of other videos that do similar things and I will try and imitate what they do well and not be lazy in these aspects and bring to life clean and simple videos that are high quality. I will test moms mic and use it with audacity to try and create clean audio.
</t>
  </si>
  <si>
    <t>Need a proper layout for the blog, with a structure, I need to use the worpdress plugin on my phone which will automatically responsify the images to work for my website which is easy to use. I want to fix these small things up and then start the promotion process.</t>
  </si>
  <si>
    <t>So cool the website images are responsive now, I am awake now at 3 which it has been a while, the strategy being sleeping at 9 obviously. Well I don't have moms phone which is  ablessing and a curse because with the proper technique the macbook actually have very good sound quality so I will be using that now instead anyway. So I will finish the vocals before 4. And after 4 I will process the vocals properly and begin the editing process. I will determine what goes where and begin collecting some footage for the video until year</t>
  </si>
  <si>
    <t>Yeah I can't do this without the phone. I need to tell mom to keep it out tomorrow so I can use it or something. Maybe this afternoon will be a good itme.</t>
  </si>
  <si>
    <t>Okay I just feel a bit lost now , I feel very lost actually. I finished the website and I finished the player plan, so now I am onto building the player and this is where it is getting hard. I need to create a development log, and once I do that I can begin creating the player controller which is going to be the first real part of the game that I work on which will be fun. So I will work on the script now and then I will work on th game... This YICT Thing will take some time and I will work on it soon enough.</t>
  </si>
  <si>
    <t xml:space="preserve">Okay so I need a plan and I am just going to close my eyes and write this, okay so I have been working very hard on my game and I know that is my priority but I really want to consider many toher things as well - one my rel w k which I need to improve, then I need to focus on my IB studeies which is extremely imoprtant there is no need to just throw that asway okay. But this game is very important and I need to allocate time to it which I am not doing. But this YICT thing is also pretty big in my life and it is getting very complicated very quickly </t>
  </si>
  <si>
    <t>Wow what a turn of events, all of a sudden I am here in the middle of no where because of some random reasons. I am very sad about grandpa passing away and this has enlightened me a lot, even people that work their entire lives die. So you have to work as long as you need to in order to make a difference and then once you finish that you have to enjoy the rest of your tie and give back to those who were closest to you. This is how I am going to be living my life and this is how I advise everyone elese to live as well. I am going to work extra hard before university and work during university and get a lot of money and then I will give back to this world and then I will chill for the rest of my life. Thiss is how I will live</t>
  </si>
  <si>
    <t xml:space="preserve">Okay tlets talk technically now, okay so what stage are you on now I am in the development stage of my player yes. Yes. Okay so I finsihed the webssite sso I have to keep updating that. I need to more importantly make the development log for my game to get things started. This is how it will work, the development logs and website will be my side hustle while the game is my main hustle. This YICT and School is side side hustles even though school will ge more priority from me for now. </t>
  </si>
  <si>
    <t>So I need to understand that the key to all succcess in life, is disciple. I really lack in this factor. I always change the timetable based on what I feel like not on what should have happened. So from now I will follow the time table I have set even if I have no lcue what I am doing I will try and achieve it by getting a clue. Okay I need to focus up my life right now. This YICT is important. Yes. But it doesnt mean you can't focus on your game which is the biggest aspect right now because if you can finish the game then you will be able to go to steam and when you get to steam things wil take off from there. You can make a name for yourself and that is the most important factor. i could even if I wanted from there build an app. But based on this holographic YICT technology, if this becomes big then that's something. I just need to figure out what I am going to be working on in India....
I want to get a bsae prototype of my character controller ready, let's just work on this in my agile plan and make sure I get somethigns done.</t>
  </si>
  <si>
    <t>From now on I promise to myself that I will be disciplied.</t>
  </si>
  <si>
    <t>Today was an emotional day for everyone and I hope thatha reaches heaven and his soul rests in peace for eternity. I loved him very much but I just couldn’t bring myself to cry after how much I had cried before hand at home. But I did take something away from this experience - you must be the hardest worker in the room and you must work hard silently and touch as many people as you can with your time here. You have to touch them emotionally and do something for them so that when you die they cry and tell everyoone how great a person you were. Like there were so many of his patients there saying how he had saved their lives which was just amazing to hear. He worked so hard when he was little to get to where he always wanted to be which is a business man. He worked much much harder than me and I think I can work even harder and this is how I am going to do that - &gt;</t>
  </si>
  <si>
    <r>
      <t xml:space="preserve">You must be the hardest worker but be silent and </t>
    </r>
    <r>
      <rPr>
        <b/>
        <sz val="9"/>
        <color theme="1"/>
        <rFont val="Calibri"/>
        <family val="2"/>
        <scheme val="minor"/>
      </rPr>
      <t>kind</t>
    </r>
    <r>
      <rPr>
        <sz val="9"/>
        <color theme="1"/>
        <rFont val="Calibri"/>
        <family val="2"/>
        <scheme val="minor"/>
      </rPr>
      <t xml:space="preserve"> to everyone - okay lets focus on the hard working part first - hard work is synonomous with working smart. Working smart comes from discipline and that comes from good time management - so this is what I need you to do - whenever you set something on your time table i </t>
    </r>
    <r>
      <rPr>
        <b/>
        <sz val="9"/>
        <color theme="1"/>
        <rFont val="Calibri"/>
        <family val="2"/>
        <scheme val="minor"/>
      </rPr>
      <t xml:space="preserve">owe it to myself and keep a standard for myself that I do what I say I am going to do </t>
    </r>
    <r>
      <rPr>
        <sz val="9"/>
        <color theme="1"/>
        <rFont val="Calibri"/>
        <family val="2"/>
        <scheme val="minor"/>
      </rPr>
      <t xml:space="preserve">next I need to wake up early at 3 o'clock </t>
    </r>
    <r>
      <rPr>
        <b/>
        <sz val="9"/>
        <color theme="1"/>
        <rFont val="Calibri"/>
        <family val="2"/>
        <scheme val="minor"/>
      </rPr>
      <t>everyday</t>
    </r>
    <r>
      <rPr>
        <sz val="9"/>
        <color theme="1"/>
        <rFont val="Calibri"/>
        <family val="2"/>
        <scheme val="minor"/>
      </rPr>
      <t xml:space="preserve"> without fail. There are no excuses. On those days that you fall asleep at 11 oclock you don't set the alarm back. You keep it at the same time and if you don't sleep that day thats fine - you can sleep a bit earlier the next day but you will keep waking up at 3 oclock anyway. Next is taking care of your body - you need to exercise more regularly - for the arms you can work on 200 pushups (working up to it but first you can 100 pushups properly which as effective and then do your usual abs exercises)... Okay then working on the IB - you need to take more notes in class and stop talking to your firends. You need to focus on the content and get your head in the game.</t>
    </r>
  </si>
  <si>
    <t>Okay so I need to talk to you about standards - you need to hold yourself to a whole nother level if you want to go where you want to go -- you have realised how precious life is at India. Bam done and the life is gone. You also know that you are lucky asf that you are born to such a high quality family - like you saw all the kids on the street they are the unlucky ones you are not. Lets make a difference this year. I need this right now I just need to hold myself to another standard. I need to owe myself more - i deserve more - my family deserved more.</t>
  </si>
  <si>
    <r>
      <t xml:space="preserve">So let's make a change - these are the things I want to change - 1. watch your language (that’s all I need to say - easy - just be quiet, don't boast about your hard work - sure you work hard but doesn’t mean you have to tell everyone about it - </t>
    </r>
    <r>
      <rPr>
        <b/>
        <sz val="9"/>
        <color theme="1"/>
        <rFont val="Calibri"/>
        <family val="2"/>
        <scheme val="minor"/>
      </rPr>
      <t>be quiet</t>
    </r>
    <r>
      <rPr>
        <sz val="9"/>
        <color theme="1"/>
        <rFont val="Calibri"/>
        <family val="2"/>
        <scheme val="minor"/>
      </rPr>
      <t xml:space="preserve"> no swearing okay. Keep it quite -if you get angry just relax it ) easy okay. Next is holding yourself to a standard in discipline - if you set a time to do something first understand why you set that there - next you need more time so you will have to wake up at 2-3 oclock </t>
    </r>
    <r>
      <rPr>
        <b/>
        <sz val="9"/>
        <color theme="1"/>
        <rFont val="Calibri"/>
        <family val="2"/>
        <scheme val="minor"/>
      </rPr>
      <t>everyday</t>
    </r>
    <r>
      <rPr>
        <sz val="9"/>
        <color theme="1"/>
        <rFont val="Calibri"/>
        <family val="2"/>
        <scheme val="minor"/>
      </rPr>
      <t xml:space="preserve"> not just 1 or 2 days. EVERYDAY. Application is key. let's do something with all this information in your head. I need to equally operate 100% on all aspects of my life. Let's do ittttttt</t>
    </r>
  </si>
  <si>
    <r>
      <t xml:space="preserve">Okay lets talk about life now, okay this is important - you have to be excited about where you are going in life so lets talk a bit about this - fitness wise I am aiming for those blocky abs that come from a year of dedication . That's fitness I want the vainy big muscles on my arms there is no shame is saying that you want this. In terms of my game I want the full game done and released on steam with many many followers on YouTube and my website by that time. I want to reach upwards of 100,000 subscribers by that point and a fan base of 20,000 on my website. Once I reach this point people will buy my game when it is released for $10 and let's say 22,000 people buy it which is a stretch but yay - then $220,000 woah right. Thats a massive amount and I could easily give back to everyone who gave to me. I will be able to go to the talks and Unity conferences and I think I will take a day or two off to release the game on steam and support those who have helped me for a long time. The following on Twitter, YT and Website will help me out in buying the game. I will use the money to build myself a nice gaming pc to support development. I will be invited as a guest speaker at Unity and other conferences where I will make a lot of contacts. On the side the game will keep growing and soon I will begin development of a extension tto the game which is the multiplayer open world battle royal with players as bomb carriers etc with the entire game except in multiplayer controlling armies which will be awesome and then opening workshops etc and allowing people to extend this game with level designers and hosting those maps etc... Then I will be able to talk to the big blogging sites to get them to promote my game, at this point I will be in the finishing stages of the IB curriculum and would have had a lot of money by then, I am studying very hard and I would have finished taking the SATS and been recognised by MIT and been allowed for an interview. Dad and I will fly over and impress them with my amazing interview and I will soon be living in America with some friends and still be improving the game over theer. When I am there I will secure myself a job in some big game development company wher I will work in a lead role. I will also finish my university to a very high level and be picked by some big ccompanies to work there. While at these companies I will continuously work on my own development projects trying to take my life to the next level, while starting some tech startups with a secured job to make sure that nothing goes wrong like that. But at some point I will have to </t>
    </r>
    <r>
      <rPr>
        <b/>
        <sz val="9"/>
        <color theme="1"/>
        <rFont val="Calibri"/>
        <family val="2"/>
        <scheme val="minor"/>
      </rPr>
      <t>jump</t>
    </r>
    <r>
      <rPr>
        <sz val="9"/>
        <color theme="1"/>
        <rFont val="Calibri"/>
        <family val="2"/>
        <scheme val="minor"/>
      </rPr>
      <t xml:space="preserve"> this is important. Okay now I am very successfull and I will start the startup which I want it to be in the line of immersive games technology and inventing new platforms in which people can game and interact with technology (I want to do something as big as Oculous Rift)... Then I will really become a billionaire. Then I will work on my compnay and build games and become a philathropist starting big companies to save the environment and people. i will give back to everyone who gave to me etc... This is where I want to go in life - this will just be amazing...!!!!!!!!!!!!!!!!!!!!!!!!!!!!!!!!!!!!!!!</t>
    </r>
  </si>
  <si>
    <t>I hate travel.</t>
  </si>
  <si>
    <t>Time is up. Let's get to work now - what is the work? I don’t exactly know what I have to do  - I know I have some work in physics and business. But I really need to focus on keeping the house as clean as possible --- so that'll be the hard part. Wednesday put the clothes in the wash and take it out, wash the dishes when they get dirty and vacuum on saturday and sunday - it's only two weeks so I'll be alright.</t>
  </si>
  <si>
    <t>Don't need to talk too much but here are a few tips -
Wake up at 3:30 - 4:00 which is a good time, and soon progress up slowly…</t>
  </si>
  <si>
    <t>I need some type of a study plan………… A guide (written of what I am doing)</t>
  </si>
  <si>
    <t>Begin the assesment by finding a research question and asking the teacher what happened during the break time</t>
  </si>
  <si>
    <t>Finish the data bases, learn about relational databases and learn about what we did for the past few lessons and the import that data into mysql</t>
  </si>
  <si>
    <t>It is important that I read the entire 1984 book again so that I know any excerpt from the book, I also need to practice by doing the homework and writing thesis statements etc.. Practice the structure and analysic</t>
  </si>
  <si>
    <t>Read the book
Do the Tuesday homework</t>
  </si>
  <si>
    <t>Create the helper sheet and then once you do that, follow it and finish everything and revise over and over again..</t>
  </si>
  <si>
    <t>Keep finishing the business</t>
  </si>
  <si>
    <t>Revise the vocabulary and everything that we did for the past week and try and fully understand everything…</t>
  </si>
  <si>
    <t>It's at times like this when you are super overwhelmed that your reveal your true self and the hardworker in you and you can really shine. I love your work ethic when you're under pressure. Keep it up ;)</t>
  </si>
  <si>
    <t xml:space="preserve">I feel like shit because I woke up late and then slept again and woke up at 7:44 which is not good and I need to steady myself because I don't feel good ata ll. I need to exercise because I feel like absolute shit. I NEED TO FINISH MY DEVELOPMENT LOG TODAY. Today is one of those days where you just feel stuck and you can't work on ANYTHING yes. I know how this feels. Usually this is when I quit on a project but I won't do it this time. I just feel like shit. Tommorrow will be better.. But I need to progress on the game okay, and I need to 100% make the development log. So I am going to stop the development of the development vlog until I finish the entire player controller, which then I will go over and show show I did it etc.. I will make it interesting on the day I make the video. Like taking short real life segment of videos. Then I will talk about how I made the controller and where it is going to go from there. </t>
  </si>
  <si>
    <r>
      <t xml:space="preserve">In terms of IB and school this is what I need to do - 
I need to clarify all my questions with my teachers, in terms of physics etc.. But I need to do some serious math revisions on the concepts and problem solving because I am behind for sure. Then I must do the Spanish homework that was set because it will actually help me, and I need to know how to do this entire thing properly. Okay good I need sleep. </t>
    </r>
    <r>
      <rPr>
        <b/>
        <sz val="9"/>
        <color theme="1"/>
        <rFont val="Calibri"/>
        <family val="2"/>
        <scheme val="minor"/>
      </rPr>
      <t>Please tomorrow you need to wake up with the right attitude.</t>
    </r>
  </si>
  <si>
    <t>Alright in the development stage this is what I need to do still - 
I have began modelling but I feel stuck in that as well, I need to make sure I stick to the coding side, like I told myself I would. I need to make the slope checking works, this is what i will focus on for the rest of the day. I will fix the slopes PLEASE FINISH THE COMPLEX MOVEMENT AND THEN DO THE CAMERA.</t>
  </si>
  <si>
    <r>
      <t xml:space="preserve">I am going to be making development videos, especially those ones where I take people on an </t>
    </r>
    <r>
      <rPr>
        <b/>
        <sz val="9"/>
        <color theme="1"/>
        <rFont val="Calibri"/>
        <family val="2"/>
        <scheme val="minor"/>
      </rPr>
      <t>interesting journey</t>
    </r>
    <r>
      <rPr>
        <sz val="9"/>
        <color theme="1"/>
        <rFont val="Calibri"/>
        <family val="2"/>
        <scheme val="minor"/>
      </rPr>
      <t xml:space="preserve"> but I will only do that once I finish the player controller.</t>
    </r>
  </si>
  <si>
    <t>From now on I am going to use the teachers, as they are the ones that will actually help as they are getting paid to do very that!!!</t>
  </si>
  <si>
    <t>You realise that you are losing your disipline. And that person said - ' You speak and walk like a beast. But when it's time to do what beasts do, you back out… ' waking up at 2 am. See you have work but you don't wake up …. You can wake up and be productive but you punted that. Okay so do this on the train atleast...</t>
  </si>
  <si>
    <t>Two words : Wake up</t>
  </si>
  <si>
    <t>Once all the assignments are done, clean up the hard drive and backup the needed files.</t>
  </si>
  <si>
    <t xml:space="preserve">I know I haven't talked to you in a while - but you should really get some balls and just talk to her atleast. Yeah her. Just be like hey, how'd you go with physics. Hahaha I think we all did terrible - </t>
  </si>
  <si>
    <r>
      <t>Now the psat week have been pretty trash and I know I haven't talk to tyou but I know what I am doing. For the money I will be working with Akira on the side and it may even come with some good perks like getting this computer for a pretty cheep priceeee. So I can't wait for that. I just need to build him a good website and do some marketing (whcih he can pay for). I need to focus a lot more on YouTube as that will be the thing that funds for my PC. I will reelease the first video and if it does good then i will continue to release but if it doesnt do good then I am better off creating a really sophisticaed Udemy video or going for job over the</t>
    </r>
    <r>
      <rPr>
        <b/>
        <sz val="9"/>
        <color theme="1"/>
        <rFont val="Calibri"/>
        <family val="2"/>
        <scheme val="minor"/>
      </rPr>
      <t xml:space="preserve"> long term holidays.</t>
    </r>
  </si>
  <si>
    <t xml:space="preserve">Dad is right you still do have to help out around the house so affiliate marketing is the way to go, first promote bluehost and then get bigger </t>
  </si>
  <si>
    <r>
      <t xml:space="preserve">I am sick and tired of not working holy shit. I am so mad right now. I am going to vacuum the houe now then I will </t>
    </r>
    <r>
      <rPr>
        <b/>
        <sz val="9"/>
        <color theme="1"/>
        <rFont val="Calibri"/>
        <family val="2"/>
        <scheme val="minor"/>
      </rPr>
      <t>fix the slope controller, then I will optimise the controller a bit more</t>
    </r>
    <r>
      <rPr>
        <sz val="9"/>
        <color theme="1"/>
        <rFont val="Calibri"/>
        <family val="2"/>
        <scheme val="minor"/>
      </rPr>
      <t xml:space="preserve"> then I will begin </t>
    </r>
    <r>
      <rPr>
        <b/>
        <sz val="9"/>
        <color theme="1"/>
        <rFont val="Calibri"/>
        <family val="2"/>
        <scheme val="minor"/>
      </rPr>
      <t>finishing the game design document</t>
    </r>
    <r>
      <rPr>
        <sz val="9"/>
        <color theme="1"/>
        <rFont val="Calibri"/>
        <family val="2"/>
        <scheme val="minor"/>
      </rPr>
      <t xml:space="preserve"> and then I will work on the YICT PLAN which I will begin acting on tomorrow. I need to send data of the eye first, let me install the packages I need. Put a sold 1-2 horus to install it on mac, don't be lazy. I dont know if I have depression or not, haha :( . Okay so I need to switch to a task based management system where I set out a cert  amount of tasks per day and the goal is to finish those no matter what.</t>
    </r>
  </si>
  <si>
    <t>Today, let's try minimal distractions. It is possible you must believe…</t>
  </si>
  <si>
    <t>Don’t wase any more time on youtube
Working on YICT went pretty well today, I got the eye tracking working and I also know how to send data back and forth from the server to unity, so now I will build a plan for this that I can follow. If time persists I will try building my own algorithm for pupil detection. Or using the python input I can further refine. I will be exporting onto the phone and the phone has very good camera so eye tracking will be much much better.</t>
  </si>
  <si>
    <t>You are spreading yourself tooooo thin now, you need to lock in on a few things right now. One of them is a very good locomotion system because I have decided that movement is one of the most important aspects in my game and in order to get that right I have to make sure everything else works perfectly.</t>
  </si>
  <si>
    <t>I'm actually kind of happy YICT is off the map so I can focus more on my game. It's absolutely fine for me. But I also need to focus more in math, I know that seating position isn't helping me so I will start to move forward or atleast revise math. I need to do myimath today</t>
  </si>
  <si>
    <t>Like les brown says you must make decisions in your life that may not be so popular with your friends or family so you must act in your best self interest even if they say that you are selfish or whstver. It doesn’t matter, I will be working on my dream so screw everyone. I don't need them,</t>
  </si>
  <si>
    <t>I need a ritual (a morning ritual), wake up and … 00think about it00</t>
  </si>
  <si>
    <t>If you will use tomorrow wisely then stay at home… dcabf</t>
  </si>
  <si>
    <t>Look today you need to work, full displine okay. You gave up a super fun day for this and you better use it right</t>
  </si>
  <si>
    <t>Holy shit I just realised something, I don't have a definite goal that I am working towards. I need a goal and I need it now. I need a SMART goal. Why, where, how, what, and from there?</t>
  </si>
  <si>
    <t>Wow, massive leap forward in time from the last time I did inverse kinematics and I am so happy, it just goes to show how much I am imporving over the years and as time goes. Last time around I was struggling so much with getting gthis constraints to work and I am super happy that I have fully functional constraints, and I believe I will get the full body IK working and I will be able to show my audience how great this is. I will be adding this to my script and I'm going to reward myself slightly for an hour or two for the amazing amount of effort and work you put in. Ajay Venkat I truly love you, no matter what anyone says you are the best and we together are going to create this amazing game and build a channel and an empire together. We are unstoppable. This is what happens when you drink too much coffeeeee xoxoxoxo Ajay alove you !!! !:)D)D)D)</t>
  </si>
  <si>
    <t>Can't be a billionaire through games… Hahah, watch me world. I am going to be the first billionaire who started off through games. This is how I am going to do it - I am going to release this game, I will use the money that I earn from that to invest in houses and grow my profit from there, using the new capital I will build a technology that will revolutionise how games work ( a new platform )  using that I will re-invest and invest and patent it. I will license the technology to the biggest comapneis in the world and through that I will become one of the yougest billionaires of my time. Watch me world. Just watch me....</t>
  </si>
  <si>
    <t xml:space="preserve">So I was thinking, what if I reached out to a bigger and greater audience : 2 videos every one-two weeks ! Similar as well. Give people a start into development - 
Plan your next video to be the
- Introduction to Game Development Series
 : The full process of making a game (Why you are making it)
- Talking about the industry and if you are right for the job
 - Talk about planning
- Learning curve
  - How to plan (examples
 - Talk about motivation
 - Good sexc titleeee!!!
- Learning and staying at it
- Scope 
- Engines , Languages and What you are good at 
- Good places to get started with Unity (Promote your own channel)
______________________________________________
With a good quality mic, you can start pumping out superb quality commentaries on relevant topics and really expand your grasp around the game development industry on YouTube and even grow from there to Udemy with the very high quality mic and start selling courses on Udemy. Through all of these platforms + your own game being on steam you are certainly going places which I am very happy for.
</t>
  </si>
  <si>
    <t>Name</t>
  </si>
  <si>
    <t>About</t>
  </si>
  <si>
    <t>Expected Date</t>
  </si>
  <si>
    <t>Work Time</t>
  </si>
  <si>
    <t>Series Name</t>
  </si>
  <si>
    <t>Stealth Game Series</t>
  </si>
  <si>
    <t>Introductory Game Dev Log</t>
  </si>
  <si>
    <t>Development Log</t>
  </si>
  <si>
    <t>Column2</t>
  </si>
  <si>
    <t>Column3</t>
  </si>
  <si>
    <t>Column4</t>
  </si>
  <si>
    <t>Column5</t>
  </si>
  <si>
    <t>Column6</t>
  </si>
  <si>
    <t>Column7</t>
  </si>
  <si>
    <t xml:space="preserve">Custom Pathfinding A* </t>
  </si>
  <si>
    <t>You will code a path finding system for the units using A* make sure it is optimised and can find out where the player is using some simple hacks for a small level.
Show intuitively throgh the editor and through visuals that you draw with high quality scripts (yes create the script for a tut)</t>
  </si>
  <si>
    <t>You will have to creeate an optimised A* algorithm that can work with small scenes and make sure it is optimised. I don't think I will use seb's grid system tho - I will build my own system using the walls as the nodes themselves.</t>
  </si>
  <si>
    <t>Hours</t>
  </si>
  <si>
    <t>Creating the algorithm - 5 hours
Scripting / Planning - 3 hours
Recording - 3 hours
Editing - 5 hours
+ Error Time : 8 hours
Time Required : 16-24 hours</t>
  </si>
  <si>
    <t xml:space="preserve">Begin Game Development </t>
  </si>
  <si>
    <t>You will teach people about the game development industry and how to succeed and how to plan etc.. This is due in two weeks but the development log also needs to drop by then.</t>
  </si>
  <si>
    <t>Development Log 2</t>
  </si>
  <si>
    <t>This is  more important than the Introductory Game Dev log but in order to have progress I need to actually work on it hahaha.
Use Desmos</t>
  </si>
  <si>
    <t>Once I start getting a bigger YouTube channel maybe 1.5K I will use Patreon - https://www.patreon.com/
Okay in terms of the IK systemin my game, I don't want super complicated constraints right now, I just like the cone constraint that I have atm and I will expand into an eliptical one when i need it later, until then i can use box constraints etc to do the job. Same thing imao. I don't watnt to waste time on this. I jsut want to get the foot ik to work. I can do that tomorrow. I believ I will have one hour and if you use that one hour wisely I can get the FABRIK clases to work and then use that to build the algoirhtm. I can do that in the morning as well imao.</t>
  </si>
  <si>
    <t>I know I have the business on Thursday but there is nothing to revise except for doing a case study on Break Even and I will do that after I do math revision…</t>
  </si>
  <si>
    <r>
      <t xml:space="preserve">That was a pretty productive homework session, I wrote down a massive spanish paragraph where I learnt quite a few things, but I still need to do dedicated like home vocabulary + just vocabulary and verbs in general. Then I also did all the maths that we have been doing to make sure I am on track, which I am. I just will do some problem solving when I get back and then I will finish the IK system. I did some solid progress on Business I just revised the notes. </t>
    </r>
    <r>
      <rPr>
        <b/>
        <sz val="9"/>
        <color theme="1"/>
        <rFont val="Calibri"/>
        <family val="2"/>
        <scheme val="minor"/>
      </rPr>
      <t>This is what I will do, once I come back I will do some problem solving from trig in maths for 20 mins and then for the next 20 mins I will do some physics questions with components and do them correctly... Then I will do some more business and finish the IK system tonight. This is how to be productive and I like it because I am learning things and it will help me out greatly during the exams. Make sure you are energized when you are working. Just begin answering questions and talking to yourself for clarity like this. Adios amigo</t>
    </r>
  </si>
  <si>
    <t>I know the problem with the Ik system, you are trying to do a full body IK system, but that is just stupid for now, what you have to do is setup an IK chain at leg and solve for the leg in that script by it's self which connects to a root bone which just has a collection of chains and fires them. That's all. You need to delete all the classes and do that again. Screw links just keep the bones in one class and have a seperate list of floats that have the distances. This is much more optimised and smarter imao.
So create a single chain and solve that IK. This way we can have seperate Ik for the arms and the legs and they can both affect the appropriate poitns of the body because extending your arms isn't going to move your player, but moving your legs will lol. Okay I will implement it this way then.</t>
  </si>
  <si>
    <t>This IK Is giving me more trouble than I expected I made it simple for myself by segmenting it into two different bone piles, I just need to do it with a for loop. I think I may just have to compress it into one IK file, make that work and then I can move forward. I may have to use the LINk system again ;) That's how I can make it work. I can do that from 12-1 today</t>
  </si>
  <si>
    <t>Hey journal the last few days have been very chaotic so I haven't been able to talk to you. I was kindof finding myself. I was in a very dark place for the last 2 days. But im fine now. The IK system is set up on the fake bones I just need to attach it to the model and make it work with the animations and work with the floor and rotate stuff. Hahaha this development log will be good. I also want to finish the script for the introduction to game development. I want to be into the point and not tell people too much about me. I need a hook. I also want to work closely with Johan in order to create some cool video footage. I want to get my foot into the video development industry with a really cool intro im not sure. I also want to improve my YouTube retention rate. But while focusing on all of this I also want to be involved in studies so I will be working on revision this afternoon to make sure that I am on top of everything and then I will go onto writing the script for the two YouTube videos and hopefully I will wake up and record.</t>
  </si>
  <si>
    <t>BROKEN</t>
  </si>
  <si>
    <t>BROKEN &amp; FIXING</t>
  </si>
  <si>
    <t>Hhahahahahah need to make sure the agile plan is up to date.
I just want to acknolage the next landmark - which is buying a stable PC using the money that I earn and this will propel me to the next level. To do this I will improve my YouTube channel and begin to develop Unity Udemy Videos</t>
  </si>
  <si>
    <t>Important/Goals</t>
  </si>
  <si>
    <t xml:space="preserve">https://buildfire.com/free-app-promotion/
</t>
  </si>
  <si>
    <t xml:space="preserve">I can make an app for omney. If I can build an epic time management app that I WOULD USE . That is targetted for kids and improves motivation etc through a variety of means. Why the hell wouldn’t you use it. Then once you have a VERY SLEEEK UI with GOOD MECHANICS AND most importantly GOOD MARKETTING you will literally explode. They can't stop you. Use that
</t>
  </si>
  <si>
    <t>The IK system is beautiful . I am grateful for everything in my life. Parents, technology, friends and everything and everyone that meks me happy. Living in this amazing country and so much more. Thank you world. I woke up early today and I finished the IK system I believe. So wI will be able to apply the foot ik system today and I will just be back once I do some simple exercise. See the best thing to do is to work for 2 hours. Break. Your focus can last two hours which is very good
Well done ajay, really good work ethic today. I got the iK blending working and it came so randomly and quickly and almost by accident. I love it. I will be finishing the foot ik system tomorrow and blending it correctly. We will see how that works. I also want to spend some time on the app for the side purposes. Not only will it be very effective for me but also aid me alot. Tomorrow I need to focus more on school revision though. I need to commit myself for this week to fully be vested in the revision of all subjects, getting questions and asking teachers every day about the work and making sure i am 100% confident with all aspects of this</t>
  </si>
  <si>
    <t>I SOLVED IT!!! YASSS it needs heaps of tweaking for example the animation leg doesn’t lift sometimes, so I might just artificialise it. Wow this is amazing. I have to pay more attention to the ik from now and I will do blending of the hip bones to work with the rig. I will add a reference bone in every blender thing for arm positions, leg positions etc.. This will be good. I am happy worth the morning work imao</t>
  </si>
  <si>
    <r>
      <t xml:space="preserve">Okay I have to be slightly honest with myself, Unreal Engine is much better than Unity so what I will do is build as many development logs as possible and release them. I will research YouTube promotion and actively promote my channel and twitter. I need to start a following I will research this at 9-10 today. I need to get enough money to buy a </t>
    </r>
    <r>
      <rPr>
        <b/>
        <sz val="9"/>
        <color theme="1"/>
        <rFont val="Calibri"/>
        <family val="2"/>
        <scheme val="minor"/>
      </rPr>
      <t>very high end</t>
    </r>
    <r>
      <rPr>
        <sz val="9"/>
        <color theme="1"/>
        <rFont val="Calibri"/>
        <family val="2"/>
        <scheme val="minor"/>
      </rPr>
      <t xml:space="preserve"> gaming PC that can easily handle Unreal and I will port my game so far to Unreal and that shouldn't be hard as the code bases are the same and I will use the same logic and port it into C++ or Blueprint (I will learn about everything)</t>
    </r>
  </si>
  <si>
    <t>Let me clarify. I have the basic idea of the animation and IK blending working. Now I just need to be able to seamlessly blend between that, and for that I believe the best option is to use the motion curves to blend in and out of IK. Or I can even use my own animation curves. But I need to make sure that fooot IK is only being affected when it is needed and it is blending in and out seamlessly. I also need to be able to preserve the old animation without killing it too much, so I should blend in and out of IK it's self as well. Which can be done with the double blend effector tool. So if I get the right mix of everything and reposition the feet and ankle I should get the desireable results that I am looking for and I can teach it to people. But until then don't celebrate too early am iright.</t>
  </si>
  <si>
    <t>Ultimately, an influencer with a strong social media following, is someone who the fans and followers go to for inspiration and knowledge in a certain subject area. They motivate and provide expertise.</t>
  </si>
  <si>
    <r>
      <t xml:space="preserve">I've had enough of being passive. I'm almost like js. Working hard but never being recognised. I have accounts in instagram and twitter. I need to start actively posting and hashtagging. I have to find a marketting plan that suits me in order to build a following on YouTube, Instagram, Twitter and from there I can publish the game and an app. Think now, if you don't have a following by the time you upload your game, then how will all this hard work pay off. </t>
    </r>
    <r>
      <rPr>
        <b/>
        <sz val="9"/>
        <color theme="1"/>
        <rFont val="Calibri"/>
        <family val="2"/>
        <scheme val="minor"/>
      </rPr>
      <t>you need to focus on marketting yourself</t>
    </r>
    <r>
      <rPr>
        <sz val="9"/>
        <color theme="1"/>
        <rFont val="Calibri"/>
        <family val="2"/>
        <scheme val="minor"/>
      </rPr>
      <t xml:space="preserve"> in everyway possible. More tutorials, and start with a hook on YouTube, really engage audience. Think about how to do that on </t>
    </r>
    <r>
      <rPr>
        <u/>
        <sz val="9"/>
        <color theme="1"/>
        <rFont val="Calibri"/>
        <family val="2"/>
        <scheme val="minor"/>
      </rPr>
      <t>tutorials</t>
    </r>
    <r>
      <rPr>
        <sz val="9"/>
        <color theme="1"/>
        <rFont val="Calibri"/>
        <family val="2"/>
        <scheme val="minor"/>
      </rPr>
      <t xml:space="preserve">, the weekend after test week. I will upload a video once or twice a week. I will upload 2 developmetn logs over the weekend, with 3 tutorials and really boost the quality with my mic and many offscreen transitions teaching how things work. I will promote my Instagram and Twitter. </t>
    </r>
  </si>
  <si>
    <t>Once you get the system to work on the other character it will be very nice, see you just have to make sure that the basic system works and then after that it's all up to you. The problem though is that the elbow is taking away too much of it's power, so what you will have to do is tug it in the right direction by putting the elbow effector first and then using the rest of the chain to complete it.</t>
  </si>
  <si>
    <t>ComSCi</t>
  </si>
  <si>
    <t>%</t>
  </si>
  <si>
    <t>SUVAT</t>
  </si>
  <si>
    <t>Vectors and Adding Components and Subtracting Componenets</t>
  </si>
  <si>
    <t>Vector notation</t>
  </si>
  <si>
    <t>Force Calculations and Understanding the 3 Laws of Motion</t>
  </si>
  <si>
    <t>Problem solving using force, acceleration, velocity etc..</t>
  </si>
  <si>
    <t>Final Revision</t>
  </si>
  <si>
    <t>Similarity</t>
  </si>
  <si>
    <t>Angle of Depression/Elevation</t>
  </si>
  <si>
    <t>Trigonometry Basics</t>
  </si>
  <si>
    <t>Trig Identities/Pythagoras/Exact Values / Memorizing values</t>
  </si>
  <si>
    <t>Trig Equations and Hard Problems Including that</t>
  </si>
  <si>
    <t>Diagnostic Testing Fixups / Understandments</t>
  </si>
  <si>
    <t>Domain and Range of Equations and Graphs / Understanding the Rules</t>
  </si>
  <si>
    <t>Functions and Composite Functions, Functions with sin() cos and tan</t>
  </si>
  <si>
    <t>Hard Simplification Problems</t>
  </si>
  <si>
    <t>Hard Trig Equations, Hard Bearings and Exact Values, Harder Trig Questions using Quadratic Equations</t>
  </si>
  <si>
    <t>Simple / Common Verb Noun Conjugations</t>
  </si>
  <si>
    <t>Ser Estar Difference</t>
  </si>
  <si>
    <t>Writing Sentences in Third Person</t>
  </si>
  <si>
    <t>Room and House vocabulary</t>
  </si>
  <si>
    <t>Describing routine</t>
  </si>
  <si>
    <t>Telling time effiently</t>
  </si>
  <si>
    <t>Answering questions simples</t>
  </si>
  <si>
    <t>Writing a letter, format, starting, ending, content</t>
  </si>
  <si>
    <t>Writing the date inside the letter</t>
  </si>
  <si>
    <t>House Vocabulary, Routine Vocabulary, Verb Vocabulary -- Time Vocab, Writing in full sentences</t>
  </si>
  <si>
    <t>Describing yourself and other people, making comparisions</t>
  </si>
  <si>
    <t>Practicing the sentence connectives, to make the sentence flow even more</t>
  </si>
  <si>
    <t>Motion Graphs, Their Links</t>
  </si>
  <si>
    <t>Making Instantaneuos Speed Connections and Doing the entire test sheet</t>
  </si>
  <si>
    <t>Doing the harder level questions</t>
  </si>
  <si>
    <t>Do the definitions sheet</t>
  </si>
  <si>
    <t>Go through the queries we learnt and the evidence sheet</t>
  </si>
  <si>
    <t>Revise what we have been doing over the term</t>
  </si>
  <si>
    <t>Revise the meanings of each acronym</t>
  </si>
  <si>
    <t>Revise how the servers connect and receive information and store it</t>
  </si>
  <si>
    <t>Go through the book chapter review so you know what actually happens</t>
  </si>
  <si>
    <t>Revise the SSLT chart so you know the different features</t>
  </si>
  <si>
    <t>Revise the criteria and practice making a thesis statement here and there</t>
  </si>
  <si>
    <t>Finishing the Force Problems on the One Note</t>
  </si>
  <si>
    <t>Then Doing the Force Problems he Sent You</t>
  </si>
  <si>
    <t>Days Until Exam</t>
  </si>
  <si>
    <t xml:space="preserve">Energy Types/Work and their uses </t>
  </si>
  <si>
    <t>Doing Extra Homework that he sent via MIS for everything</t>
  </si>
  <si>
    <t>Linearisation Practice - You know the different types of graphs and how to do it</t>
  </si>
  <si>
    <t>Sin and Cos Problem Solving, sin^2 + cos^2 = 1 and use that to solve problems and remembering the sin cos rules</t>
  </si>
  <si>
    <t>Do Page 14 and 15 as an extract to analyse and do a practice exam at home</t>
  </si>
  <si>
    <t>Do the Revision on One Note</t>
  </si>
  <si>
    <t>Use the Revision One Note She Sent You</t>
  </si>
  <si>
    <t>Hard work was done</t>
  </si>
  <si>
    <t>Literrally 100 rays will be cast down and a terrain will be created around the player and a point there will be selected in order to be the place to land the feet.</t>
  </si>
  <si>
    <t>Build a tool to create the proper animatino curves. Do an animation analyser that takes the time of the current animation and displays it, you can create keyframes at the time.</t>
  </si>
  <si>
    <t>Connectives</t>
  </si>
  <si>
    <t xml:space="preserve">Revising Old Concepts
- Perpendicularity
- Intersection
</t>
  </si>
  <si>
    <t>Circle Trig Problems, Call a friend and ask if you need help</t>
  </si>
  <si>
    <t>3D Trigonometry</t>
  </si>
  <si>
    <t>Working</t>
  </si>
  <si>
    <t>BUT WOW THIS http://www.gdcvault.com/play/1023316/Fitting-the-World-A-Biomechanical</t>
  </si>
  <si>
    <t>I have been obsessing over IK this much, but in reality it doesn’t really play a big part in real animation. So in blender create slope animation and an extreme version and a non extreme version. These can be interpolated between to get the feet closer to what it should be, then you can predit foot motion using previous and vel and calculate a new hip position to get the feet even closer, then you will predict individual foot position and then you can interpolate between this and the IK just as you are about to reach it and slowly blend into the rotation of the ground... You can do this and cut down a lot of IK cost and even stop using the elbow joint. This is so much easier for foot IK. Even for ledge climbing, you will only need slight changes in hand rotation, hand position, extension etc... You can do that later. This will be a big achievement to start with anyway. GL</t>
  </si>
  <si>
    <t>Revising Basic Vocabulary (Divertido, Actions, Verbs, Routine)</t>
  </si>
  <si>
    <t>Decribing all about myself and reading over textbook for vocabulary.</t>
  </si>
  <si>
    <t>Bearings (TRUE BEARINGS and SOLVING BEARINGS) + Problem Solving</t>
  </si>
  <si>
    <t>Unit Circle Understanding - Unit Circle Revision Sent</t>
  </si>
  <si>
    <t>THE CODE GRIND BEGINS… FOUR VIDEOS BY THE END OF THE TWO WEEKS WITH A FINISHED FOOT INVERSE KINEMATICS SYTEM..;.</t>
  </si>
  <si>
    <t>I am very unclear today and very agitated, the best thing I can do is go to sleep today and wake u pearly tomorrow and do some english revision, I am also going to exercise to make myself even more ready. I am going to go there and ace that shit</t>
  </si>
  <si>
    <t>This day has not been as productive as it could be so I will make the rest of the day the best of my day… Boom…
WOWW. The unity job system is out??! Okay, let's get the party started, you can run your IK code in your job system no?</t>
  </si>
  <si>
    <t>FULL BODY IK SYSTEM COMING WITH NEW UNITY WHATTTT. NEW JOB SYSTEM AVAILABLE WHATTTT. SHADE RGRAPH AVAILABLE WHAATT…. AHAHAHAHAHAHAHAHHA YESS UNITY I LOVE YOUUUUUUU</t>
  </si>
  <si>
    <t>Next term I wiill get books for all my subjects, and put my head down and take notes for all subjects and really focus. I can do this and I will do this. I will dedicate those study hours porperly and actually do work instead of procrastinate imao</t>
  </si>
  <si>
    <t>Focus, you can do this. You are smart. You are powerful. You will reach 1000 subscribers by the end of the next two months and you will consistently get high grades in this school. It is all I will aim for and I will do extremely well in life as well. Thank god. I will grind my ass off when Friday comes. Thursday enjoy... Then BOOM GO INTO ACTION. 4 video by the end of the two weeks with a finsihed foot Ik system... I have to update my agile planner imao</t>
  </si>
  <si>
    <t>To my credit I did work really hard but it didn't work out this time, but this did teach me something very valuable. Just because you work hard at the last momemnt doesn’t mean this world should respect you. You have to work hard from the very first day to the very last day until you are certain that you have reached the peak of every subject and it is possible. You just need to be able to balance your programming and the school work. Evryday after school I need you to work 3 hours on school work. But tht eproblem is that you don't really work on it, you kinda do it which isn't good enough. I need you to be practicing problems especially inside maths, I need you to work you a** off. Even if you are in standard level mathematics which is okay I will fight the hell back into the ihgh level mathematics. I can do it. I will do it. There is no other way. Same in programming, sit for programming take it as a job and f**king do it</t>
  </si>
  <si>
    <t>Plan out 4 different video releases, the dates of release, planning required etc.. (Project 600)</t>
  </si>
  <si>
    <t>Work on the First Video</t>
  </si>
  <si>
    <t>Reset the IK System Figure out what you're doing in that and where you are up to</t>
  </si>
  <si>
    <t>SLEEP</t>
  </si>
  <si>
    <t xml:space="preserve">WAKE UP </t>
  </si>
  <si>
    <t>EXERCISE (NO EXCUSE)</t>
  </si>
  <si>
    <t>Ubisoft IK System</t>
  </si>
  <si>
    <t>YouTube Video #1 Script</t>
  </si>
  <si>
    <t>Remember the rule work in 1.5 hour terms with 20 min breaks in the middle and re-energise. Low energy = low performance…</t>
  </si>
  <si>
    <t>YouTube Video Collation/Recording</t>
  </si>
  <si>
    <t>BREAK</t>
  </si>
  <si>
    <t>Update IK Progress to blog + IK System</t>
  </si>
  <si>
    <t>IK System Work</t>
  </si>
  <si>
    <t>YouTube work</t>
  </si>
  <si>
    <t>YouTube work/(30 min break)) (REWARD))</t>
  </si>
  <si>
    <t>Video 1 done by now</t>
  </si>
  <si>
    <t>Video 2 done by now</t>
  </si>
  <si>
    <t>Video 3 done by now</t>
  </si>
  <si>
    <t>Video 4 done by now w/ Marketing</t>
  </si>
  <si>
    <t>You have a deadline with a project on hand, don't mess it up…….. Don't give up. 4 videos in less than 2 weeks. Is amazing!!!</t>
  </si>
  <si>
    <t>Why haven't I looked at machine learning on my channel yett…..???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</si>
</sst>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C09]dd\-mmm\-yy;@"/>
    <numFmt numFmtId="165" formatCode="[$-F800]dddd\,\ mmmm\ dd\,\ yyyy"/>
    <numFmt numFmtId="166" formatCode="[$-C09]d\ mmmm\ yyyy;@"/>
    <numFmt numFmtId="167" formatCode="[$-409]h:mm:ss\ AM/PM;@"/>
    <numFmt numFmtId="168" formatCode="0.0"/>
  </numFmts>
  <fonts count="42"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b/>
      <i/>
      <sz val="11"/>
      <color theme="1"/>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family val="2"/>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family val="2"/>
      <scheme val="minor"/>
    </font>
    <font>
      <b/>
      <sz val="14"/>
      <color rgb="FFFF0000"/>
      <name val="Calibri"/>
      <family val="2"/>
      <scheme val="minor"/>
    </font>
    <font>
      <b/>
      <sz val="11"/>
      <name val="Calibri"/>
      <family val="2"/>
      <scheme val="minor"/>
    </font>
    <font>
      <b/>
      <i/>
      <u/>
      <sz val="11"/>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sz val="14"/>
      <color theme="1"/>
      <name val="Calibri"/>
      <family val="2"/>
      <scheme val="minor"/>
    </font>
    <font>
      <b/>
      <sz val="11"/>
      <color rgb="FF3F3F3F"/>
      <name val="Calibri"/>
      <family val="2"/>
      <scheme val="minor"/>
    </font>
    <font>
      <b/>
      <u/>
      <sz val="9"/>
      <color theme="1"/>
      <name val="Calibri"/>
      <family val="2"/>
      <scheme val="minor"/>
    </font>
    <font>
      <sz val="9"/>
      <color theme="1" tint="4.9989318521683403E-2"/>
      <name val="Calibri"/>
      <family val="2"/>
      <scheme val="minor"/>
    </font>
    <font>
      <b/>
      <sz val="9"/>
      <color rgb="FF3F3F3F"/>
      <name val="Calibri"/>
      <family val="2"/>
      <scheme val="minor"/>
    </font>
    <font>
      <sz val="9"/>
      <color rgb="FF006100"/>
      <name val="Calibri"/>
      <family val="2"/>
      <scheme val="minor"/>
    </font>
    <font>
      <b/>
      <sz val="9"/>
      <color rgb="FF006100"/>
      <name val="Calibri"/>
      <family val="2"/>
      <scheme val="minor"/>
    </font>
    <font>
      <sz val="10"/>
      <color rgb="FF006100"/>
      <name val="Calibri"/>
      <family val="2"/>
      <scheme val="minor"/>
    </font>
    <font>
      <sz val="18"/>
      <color rgb="FF006100"/>
      <name val="Calibri"/>
      <family val="2"/>
      <scheme val="minor"/>
    </font>
    <font>
      <u/>
      <sz val="9"/>
      <color theme="10"/>
      <name val="Calibri"/>
      <family val="2"/>
      <scheme val="minor"/>
    </font>
    <font>
      <sz val="11"/>
      <color theme="4" tint="-0.24994659260841701"/>
      <name val="Calibri"/>
      <family val="2"/>
      <scheme val="minor"/>
    </font>
    <font>
      <sz val="11"/>
      <color theme="4" tint="-0.499984740745262"/>
      <name val="Calibri"/>
      <family val="2"/>
      <scheme val="minor"/>
    </font>
    <font>
      <u/>
      <sz val="9"/>
      <color theme="1"/>
      <name val="Calibri"/>
      <family val="2"/>
      <scheme val="minor"/>
    </font>
    <font>
      <sz val="11"/>
      <color theme="0"/>
      <name val="Calibri"/>
      <family val="2"/>
      <scheme val="minor"/>
    </font>
  </fonts>
  <fills count="26">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FCC"/>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2F2F2"/>
      </patternFill>
    </fill>
    <fill>
      <patternFill patternType="solid">
        <fgColor rgb="FFA1C7F5"/>
        <bgColor indexed="64"/>
      </patternFill>
    </fill>
    <fill>
      <patternFill patternType="solid">
        <fgColor theme="4" tint="0.59999389629810485"/>
        <bgColor indexed="64"/>
      </patternFill>
    </fill>
    <fill>
      <patternFill patternType="solid">
        <fgColor theme="5"/>
        <bgColor indexed="64"/>
      </patternFill>
    </fill>
    <fill>
      <patternFill patternType="solid">
        <fgColor rgb="FFFF0000"/>
        <bgColor indexed="64"/>
      </patternFill>
    </fill>
    <fill>
      <patternFill patternType="solid">
        <fgColor rgb="FF7030A0"/>
        <bgColor indexed="64"/>
      </patternFill>
    </fill>
    <fill>
      <patternFill patternType="solid">
        <fgColor theme="4"/>
        <bgColor indexed="64"/>
      </patternFill>
    </fill>
    <fill>
      <patternFill patternType="solid">
        <fgColor theme="0" tint="-0.14999847407452621"/>
        <bgColor indexed="64"/>
      </patternFill>
    </fill>
  </fills>
  <borders count="21">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s>
  <cellStyleXfs count="8">
    <xf numFmtId="0" fontId="0" fillId="0" borderId="0"/>
    <xf numFmtId="0" fontId="1" fillId="2" borderId="0" applyNumberFormat="0" applyBorder="0" applyAlignment="0" applyProtection="0"/>
    <xf numFmtId="0" fontId="11" fillId="0" borderId="0" applyNumberFormat="0" applyFill="0" applyBorder="0" applyAlignment="0" applyProtection="0"/>
    <xf numFmtId="0" fontId="15" fillId="14" borderId="14" applyNumberFormat="0" applyFont="0" applyAlignment="0" applyProtection="0"/>
    <xf numFmtId="0" fontId="24" fillId="15" borderId="0" applyNumberFormat="0" applyBorder="0" applyAlignment="0" applyProtection="0"/>
    <xf numFmtId="0" fontId="25" fillId="16" borderId="0" applyNumberFormat="0" applyBorder="0" applyAlignment="0" applyProtection="0"/>
    <xf numFmtId="0" fontId="29" fillId="18" borderId="19" applyNumberFormat="0" applyAlignment="0" applyProtection="0"/>
    <xf numFmtId="0" fontId="39" fillId="19" borderId="20" applyNumberFormat="0" applyBorder="0" applyAlignment="0" applyProtection="0"/>
  </cellStyleXfs>
  <cellXfs count="239">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0" fillId="4" borderId="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22" fontId="12" fillId="7" borderId="0" xfId="0" applyNumberFormat="1" applyFont="1" applyFill="1" applyAlignment="1">
      <alignment horizontal="center" vertical="center" wrapText="1"/>
    </xf>
    <xf numFmtId="0" fontId="12" fillId="7" borderId="0" xfId="0" applyFont="1" applyFill="1" applyAlignment="1">
      <alignment horizontal="center" vertical="center" wrapText="1"/>
    </xf>
    <xf numFmtId="166" fontId="12"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0" fontId="14" fillId="3" borderId="0" xfId="0" applyFont="1" applyFill="1" applyAlignment="1">
      <alignment horizontal="center" vertical="center" wrapText="1"/>
    </xf>
    <xf numFmtId="164" fontId="14"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0" fillId="7" borderId="0" xfId="0" applyFont="1" applyFill="1" applyAlignment="1">
      <alignment horizontal="center" vertical="center" wrapText="1"/>
    </xf>
    <xf numFmtId="0" fontId="10" fillId="0" borderId="0" xfId="0" applyFont="1" applyFill="1" applyAlignment="1">
      <alignment horizontal="center" vertical="center" wrapText="1"/>
    </xf>
    <xf numFmtId="0" fontId="10" fillId="0" borderId="0" xfId="0" applyFont="1" applyAlignment="1">
      <alignment horizontal="center" vertical="center" wrapText="1"/>
    </xf>
    <xf numFmtId="0" fontId="16" fillId="3" borderId="0" xfId="0" applyFont="1" applyFill="1" applyAlignment="1">
      <alignment horizontal="center" vertical="center" wrapText="1"/>
    </xf>
    <xf numFmtId="10" fontId="0" fillId="0" borderId="0" xfId="0" applyNumberFormat="1" applyAlignment="1">
      <alignment horizontal="center" vertical="center" wrapText="1"/>
    </xf>
    <xf numFmtId="0" fontId="18" fillId="14" borderId="14" xfId="3" applyFont="1" applyAlignment="1">
      <alignment horizontal="center" vertical="center" wrapText="1"/>
    </xf>
    <xf numFmtId="165" fontId="17" fillId="0" borderId="0" xfId="2" applyNumberFormat="1" applyFont="1" applyAlignment="1">
      <alignment horizontal="center" vertical="center" wrapText="1"/>
    </xf>
    <xf numFmtId="165" fontId="17" fillId="0" borderId="0" xfId="0" applyNumberFormat="1" applyFont="1" applyAlignment="1">
      <alignment horizontal="center" vertical="center" wrapText="1"/>
    </xf>
    <xf numFmtId="0" fontId="16" fillId="3" borderId="0" xfId="0" applyFont="1" applyFill="1" applyAlignment="1">
      <alignment wrapText="1"/>
    </xf>
    <xf numFmtId="0" fontId="16" fillId="7" borderId="0" xfId="0" applyFont="1" applyFill="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20" fillId="14"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21" fillId="0" borderId="0" xfId="0" applyNumberFormat="1" applyFont="1" applyBorder="1" applyAlignment="1">
      <alignment horizontal="center" vertical="center" wrapText="1"/>
    </xf>
    <xf numFmtId="0" fontId="11" fillId="0" borderId="0" xfId="2" applyBorder="1" applyAlignment="1">
      <alignment horizontal="center" vertical="center" wrapText="1"/>
    </xf>
    <xf numFmtId="0" fontId="13" fillId="3" borderId="7" xfId="0" applyNumberFormat="1" applyFont="1" applyFill="1" applyBorder="1" applyAlignment="1">
      <alignment horizontal="center" vertical="center" wrapText="1"/>
    </xf>
    <xf numFmtId="0" fontId="13" fillId="3" borderId="0" xfId="0" applyNumberFormat="1" applyFont="1" applyFill="1" applyAlignment="1">
      <alignment horizontal="center" vertical="center" wrapText="1"/>
    </xf>
    <xf numFmtId="10" fontId="23" fillId="3" borderId="0" xfId="0" applyNumberFormat="1" applyFont="1" applyFill="1" applyBorder="1" applyAlignment="1">
      <alignment horizontal="center" vertical="center" wrapText="1"/>
    </xf>
    <xf numFmtId="0" fontId="22" fillId="3" borderId="0" xfId="0" applyFont="1" applyFill="1" applyAlignment="1">
      <alignment horizontal="center" vertical="center" wrapText="1"/>
    </xf>
    <xf numFmtId="0" fontId="19" fillId="14" borderId="14" xfId="3" applyFont="1" applyAlignment="1">
      <alignment horizontal="center" vertical="center" wrapText="1"/>
    </xf>
    <xf numFmtId="0" fontId="19" fillId="14" borderId="14" xfId="3" applyFont="1" applyBorder="1" applyAlignment="1">
      <alignment horizontal="center" vertical="center" wrapText="1"/>
    </xf>
    <xf numFmtId="10" fontId="14" fillId="3" borderId="0" xfId="0" applyNumberFormat="1" applyFont="1" applyFill="1" applyBorder="1" applyAlignment="1">
      <alignment horizontal="center" vertical="center" wrapText="1"/>
    </xf>
    <xf numFmtId="0" fontId="3" fillId="0" borderId="0" xfId="0" applyFont="1" applyAlignment="1">
      <alignment horizontal="center" vertical="center"/>
    </xf>
    <xf numFmtId="0" fontId="4" fillId="2" borderId="0" xfId="1" applyFont="1" applyAlignment="1">
      <alignment horizontal="center" vertical="center"/>
    </xf>
    <xf numFmtId="0" fontId="26" fillId="15" borderId="0" xfId="4" applyFont="1" applyAlignment="1">
      <alignment horizontal="center" vertical="center"/>
    </xf>
    <xf numFmtId="0" fontId="27" fillId="16"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28" fillId="3" borderId="0" xfId="0" applyNumberFormat="1" applyFont="1" applyFill="1" applyAlignment="1">
      <alignment horizontal="center" vertical="center" wrapText="1"/>
    </xf>
    <xf numFmtId="166" fontId="0" fillId="13" borderId="0"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13"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14" fontId="8" fillId="7" borderId="0" xfId="0" applyNumberFormat="1" applyFont="1" applyFill="1" applyAlignment="1">
      <alignment horizontal="center" vertical="center" wrapText="1"/>
    </xf>
    <xf numFmtId="0" fontId="8" fillId="7" borderId="0" xfId="0" applyFont="1" applyFill="1" applyAlignment="1">
      <alignment horizontal="center" vertical="center" wrapText="1"/>
    </xf>
    <xf numFmtId="165" fontId="8" fillId="7" borderId="0" xfId="0" applyNumberFormat="1" applyFont="1" applyFill="1" applyAlignment="1">
      <alignment horizontal="center" vertical="center" wrapText="1"/>
    </xf>
    <xf numFmtId="22" fontId="30" fillId="7" borderId="0" xfId="0" applyNumberFormat="1" applyFont="1" applyFill="1" applyAlignment="1">
      <alignment horizontal="center" vertical="center" wrapText="1"/>
    </xf>
    <xf numFmtId="166" fontId="30" fillId="7" borderId="0" xfId="0" applyNumberFormat="1" applyFont="1" applyFill="1" applyAlignment="1">
      <alignment horizontal="center" vertical="center" wrapText="1"/>
    </xf>
    <xf numFmtId="165" fontId="30" fillId="7" borderId="0" xfId="0" applyNumberFormat="1" applyFont="1" applyFill="1" applyAlignment="1">
      <alignment horizontal="center" vertical="center" wrapText="1"/>
    </xf>
    <xf numFmtId="0" fontId="30" fillId="7" borderId="0" xfId="0" applyFont="1" applyFill="1" applyAlignment="1">
      <alignment horizontal="center" vertical="center" wrapText="1"/>
    </xf>
    <xf numFmtId="0" fontId="31" fillId="7" borderId="0" xfId="0" applyNumberFormat="1" applyFont="1" applyFill="1" applyAlignment="1">
      <alignment horizontal="center" vertical="center" wrapText="1"/>
    </xf>
    <xf numFmtId="165" fontId="9" fillId="7" borderId="0" xfId="0" applyNumberFormat="1" applyFont="1" applyFill="1" applyAlignment="1">
      <alignment horizontal="center" vertical="center" wrapText="1"/>
    </xf>
    <xf numFmtId="0" fontId="8" fillId="7" borderId="0" xfId="0" applyNumberFormat="1" applyFont="1" applyFill="1" applyAlignment="1">
      <alignment horizontal="center" vertical="center" wrapText="1"/>
    </xf>
    <xf numFmtId="2" fontId="8" fillId="8" borderId="0" xfId="0" applyNumberFormat="1" applyFont="1" applyFill="1" applyAlignment="1">
      <alignment horizontal="center" vertical="center" wrapText="1"/>
    </xf>
    <xf numFmtId="2" fontId="8" fillId="7" borderId="0" xfId="0" applyNumberFormat="1" applyFont="1" applyFill="1" applyAlignment="1">
      <alignment horizontal="center" vertical="center" wrapText="1"/>
    </xf>
    <xf numFmtId="2" fontId="33" fillId="2" borderId="0" xfId="1" applyNumberFormat="1" applyFont="1" applyAlignment="1">
      <alignment horizontal="center" vertical="center" wrapText="1"/>
    </xf>
    <xf numFmtId="49" fontId="8" fillId="7" borderId="0" xfId="0" applyNumberFormat="1" applyFont="1" applyFill="1" applyAlignment="1">
      <alignment horizontal="center" vertical="center" wrapText="1"/>
    </xf>
    <xf numFmtId="49" fontId="30" fillId="7" borderId="0" xfId="0" applyNumberFormat="1" applyFont="1" applyFill="1" applyAlignment="1">
      <alignment horizontal="center" vertical="center" wrapText="1"/>
    </xf>
    <xf numFmtId="49" fontId="8" fillId="11" borderId="0" xfId="0" applyNumberFormat="1" applyFont="1" applyFill="1" applyAlignment="1">
      <alignment horizontal="center" vertical="center" wrapText="1"/>
    </xf>
    <xf numFmtId="0" fontId="8" fillId="0" borderId="0" xfId="0" applyFont="1" applyAlignment="1">
      <alignment horizontal="center" vertical="center" wrapText="1"/>
    </xf>
    <xf numFmtId="165" fontId="8" fillId="0" borderId="0" xfId="0" applyNumberFormat="1" applyFont="1" applyAlignment="1">
      <alignment horizontal="center" vertical="center" wrapText="1"/>
    </xf>
    <xf numFmtId="49" fontId="8" fillId="0" borderId="0" xfId="0" applyNumberFormat="1" applyFont="1" applyAlignment="1">
      <alignment horizontal="center" vertical="center" wrapText="1"/>
    </xf>
    <xf numFmtId="0" fontId="32" fillId="18" borderId="19" xfId="6" applyFont="1" applyAlignment="1">
      <alignment horizontal="center" vertical="center" wrapText="1"/>
    </xf>
    <xf numFmtId="165" fontId="32" fillId="18" borderId="19" xfId="6" applyNumberFormat="1" applyFont="1" applyAlignment="1">
      <alignment horizontal="center" vertical="center" wrapText="1"/>
    </xf>
    <xf numFmtId="49" fontId="32" fillId="18" borderId="19" xfId="6" applyNumberFormat="1" applyFont="1" applyAlignment="1">
      <alignment horizontal="center" vertical="center" wrapText="1"/>
    </xf>
    <xf numFmtId="165" fontId="8" fillId="13" borderId="0" xfId="0" applyNumberFormat="1" applyFont="1" applyFill="1" applyAlignment="1">
      <alignment horizontal="center" vertical="center" wrapText="1"/>
    </xf>
    <xf numFmtId="49" fontId="8" fillId="13" borderId="0" xfId="0" applyNumberFormat="1" applyFont="1" applyFill="1" applyAlignment="1">
      <alignment horizontal="center" vertical="center" wrapText="1"/>
    </xf>
    <xf numFmtId="0" fontId="8" fillId="13" borderId="0" xfId="0" applyFont="1" applyFill="1" applyAlignment="1">
      <alignment horizontal="center" vertical="center" wrapText="1"/>
    </xf>
    <xf numFmtId="0" fontId="33" fillId="2" borderId="0" xfId="1" applyFont="1" applyAlignment="1">
      <alignment horizontal="center" vertical="center" wrapText="1"/>
    </xf>
    <xf numFmtId="49" fontId="33" fillId="2" borderId="0" xfId="1" applyNumberFormat="1" applyFont="1" applyAlignment="1">
      <alignment horizontal="center" vertical="center" wrapText="1"/>
    </xf>
    <xf numFmtId="49" fontId="34" fillId="2" borderId="0" xfId="1" applyNumberFormat="1" applyFont="1" applyAlignment="1">
      <alignment horizontal="center" vertical="center" wrapText="1"/>
    </xf>
    <xf numFmtId="165" fontId="8" fillId="12" borderId="0" xfId="0" applyNumberFormat="1" applyFont="1" applyFill="1" applyAlignment="1">
      <alignment horizontal="center" vertical="center" wrapText="1"/>
    </xf>
    <xf numFmtId="49" fontId="8" fillId="12" borderId="0" xfId="0" applyNumberFormat="1" applyFont="1" applyFill="1" applyAlignment="1">
      <alignment horizontal="center" vertical="center" wrapText="1"/>
    </xf>
    <xf numFmtId="0" fontId="8" fillId="12" borderId="0" xfId="0" applyFont="1" applyFill="1" applyAlignment="1">
      <alignment horizontal="center" vertical="center" wrapText="1"/>
    </xf>
    <xf numFmtId="49" fontId="8" fillId="17" borderId="0" xfId="0" applyNumberFormat="1" applyFont="1" applyFill="1" applyAlignment="1">
      <alignment horizontal="center" vertical="center" wrapText="1"/>
    </xf>
    <xf numFmtId="165"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wrapText="1"/>
    </xf>
    <xf numFmtId="0" fontId="8" fillId="9" borderId="0" xfId="0" applyFont="1" applyFill="1" applyAlignment="1">
      <alignment horizontal="center" vertical="center" wrapText="1"/>
    </xf>
    <xf numFmtId="49" fontId="8" fillId="10" borderId="0" xfId="0" applyNumberFormat="1" applyFont="1" applyFill="1" applyAlignment="1">
      <alignment horizontal="center" vertical="center" wrapText="1"/>
    </xf>
    <xf numFmtId="165" fontId="9" fillId="17" borderId="0" xfId="0" applyNumberFormat="1" applyFont="1" applyFill="1" applyAlignment="1">
      <alignment horizontal="center" vertical="center" wrapText="1"/>
    </xf>
    <xf numFmtId="165" fontId="29" fillId="18" borderId="19" xfId="6" applyNumberFormat="1" applyAlignment="1">
      <alignment horizontal="center" vertical="center" wrapText="1"/>
    </xf>
    <xf numFmtId="165" fontId="9" fillId="10" borderId="0" xfId="0" applyNumberFormat="1" applyFont="1" applyFill="1" applyAlignment="1">
      <alignment horizontal="center" vertical="center" wrapText="1"/>
    </xf>
    <xf numFmtId="165" fontId="9" fillId="11" borderId="0" xfId="0" applyNumberFormat="1" applyFont="1" applyFill="1" applyAlignment="1">
      <alignment horizontal="center" vertical="center" wrapText="1"/>
    </xf>
    <xf numFmtId="165" fontId="4" fillId="2" borderId="0" xfId="1" applyNumberFormat="1" applyFont="1" applyAlignment="1">
      <alignment horizontal="center" vertical="center" wrapText="1"/>
    </xf>
    <xf numFmtId="165" fontId="9" fillId="0" borderId="0" xfId="0" applyNumberFormat="1" applyFont="1" applyAlignment="1">
      <alignment horizontal="center" vertical="center" wrapText="1"/>
    </xf>
    <xf numFmtId="0" fontId="11" fillId="0" borderId="16" xfId="2" applyBorder="1" applyAlignment="1">
      <alignment horizontal="center" vertical="center" wrapText="1"/>
    </xf>
    <xf numFmtId="14" fontId="0" fillId="0" borderId="0" xfId="0" applyNumberFormat="1" applyAlignment="1">
      <alignment horizontal="center" vertical="center" wrapText="1"/>
    </xf>
    <xf numFmtId="49" fontId="24" fillId="15" borderId="12" xfId="4" applyNumberFormat="1" applyBorder="1" applyAlignment="1">
      <alignment horizontal="center" vertical="center" wrapText="1"/>
    </xf>
    <xf numFmtId="49" fontId="24" fillId="15" borderId="11" xfId="4" applyNumberFormat="1" applyBorder="1" applyAlignment="1">
      <alignment horizontal="center" vertical="center" wrapText="1"/>
    </xf>
    <xf numFmtId="2" fontId="24" fillId="15" borderId="11" xfId="4" applyNumberFormat="1" applyBorder="1" applyAlignment="1">
      <alignment horizontal="center" vertical="center" wrapText="1"/>
    </xf>
    <xf numFmtId="49" fontId="11" fillId="3" borderId="11" xfId="2" applyNumberFormat="1" applyFill="1" applyBorder="1" applyAlignment="1">
      <alignment horizontal="center" vertical="center" wrapText="1"/>
    </xf>
    <xf numFmtId="0" fontId="35" fillId="2" borderId="0" xfId="1" applyFont="1" applyAlignment="1">
      <alignment horizontal="center" vertical="center" wrapText="1"/>
    </xf>
    <xf numFmtId="165" fontId="35" fillId="2" borderId="3" xfId="1" applyNumberFormat="1" applyFont="1" applyBorder="1" applyAlignment="1">
      <alignment horizontal="center" vertical="center" wrapText="1"/>
    </xf>
    <xf numFmtId="49" fontId="35" fillId="2" borderId="12" xfId="1" applyNumberFormat="1" applyFont="1" applyBorder="1" applyAlignment="1">
      <alignment horizontal="center" vertical="center" wrapText="1"/>
    </xf>
    <xf numFmtId="49" fontId="35" fillId="2" borderId="11" xfId="1" applyNumberFormat="1" applyFont="1" applyBorder="1" applyAlignment="1">
      <alignment horizontal="center" vertical="center" wrapText="1"/>
    </xf>
    <xf numFmtId="2" fontId="35" fillId="2" borderId="11" xfId="1" applyNumberFormat="1" applyFont="1" applyBorder="1" applyAlignment="1">
      <alignment horizontal="center" vertical="center" wrapText="1"/>
    </xf>
    <xf numFmtId="0" fontId="35" fillId="2" borderId="11" xfId="1" applyFont="1" applyBorder="1" applyAlignment="1">
      <alignment horizontal="center" vertical="center" wrapText="1"/>
    </xf>
    <xf numFmtId="0" fontId="35" fillId="2" borderId="13" xfId="1" applyFont="1" applyBorder="1" applyAlignment="1">
      <alignment horizontal="center" vertical="center" wrapText="1"/>
    </xf>
    <xf numFmtId="49" fontId="36" fillId="2" borderId="11" xfId="1" applyNumberFormat="1" applyFont="1" applyBorder="1" applyAlignment="1">
      <alignment horizontal="center" vertical="center" wrapText="1"/>
    </xf>
    <xf numFmtId="49" fontId="37" fillId="3" borderId="11" xfId="2" applyNumberFormat="1" applyFont="1" applyFill="1" applyBorder="1" applyAlignment="1">
      <alignment horizontal="center" vertical="center" wrapText="1"/>
    </xf>
    <xf numFmtId="0" fontId="0" fillId="7" borderId="0" xfId="0" applyNumberFormat="1" applyFont="1" applyFill="1" applyAlignment="1">
      <alignment horizontal="center" vertical="center" wrapText="1" shrinkToFit="1"/>
    </xf>
    <xf numFmtId="18" fontId="0" fillId="3" borderId="0" xfId="0" applyNumberFormat="1" applyFont="1" applyFill="1" applyAlignment="1">
      <alignment horizontal="center" vertical="center" wrapText="1" shrinkToFit="1"/>
    </xf>
    <xf numFmtId="2" fontId="0" fillId="0" borderId="0" xfId="0" applyNumberFormat="1" applyFont="1" applyAlignment="1">
      <alignment horizontal="center" vertical="center" wrapText="1" shrinkToFit="1"/>
    </xf>
    <xf numFmtId="0" fontId="0" fillId="0" borderId="0" xfId="0" applyFont="1" applyAlignment="1">
      <alignment horizontal="center" vertical="center" wrapText="1" shrinkToFit="1"/>
    </xf>
    <xf numFmtId="2" fontId="0" fillId="3" borderId="0" xfId="0" applyNumberFormat="1" applyFont="1" applyFill="1" applyAlignment="1">
      <alignment horizontal="center" vertical="center" wrapText="1" shrinkToFit="1"/>
    </xf>
    <xf numFmtId="0" fontId="0" fillId="3" borderId="0" xfId="0" applyFont="1" applyFill="1" applyAlignment="1">
      <alignment horizontal="center" vertical="center" wrapText="1" shrinkToFit="1"/>
    </xf>
    <xf numFmtId="0" fontId="1" fillId="0" borderId="0" xfId="1" applyFill="1" applyAlignment="1">
      <alignment horizontal="center" vertical="center" wrapText="1"/>
    </xf>
    <xf numFmtId="0" fontId="25" fillId="0" borderId="0" xfId="5" applyFill="1" applyAlignment="1">
      <alignment horizontal="center" vertical="center" wrapText="1"/>
    </xf>
    <xf numFmtId="0" fontId="38" fillId="0" borderId="0" xfId="7" applyFont="1" applyFill="1" applyBorder="1" applyAlignment="1">
      <alignment horizontal="center" vertical="center" wrapText="1"/>
    </xf>
    <xf numFmtId="0" fontId="24" fillId="0" borderId="0" xfId="4" applyFill="1" applyAlignment="1">
      <alignment horizontal="center" vertical="center" wrapText="1"/>
    </xf>
    <xf numFmtId="165" fontId="0" fillId="7" borderId="0" xfId="0" applyNumberFormat="1" applyFill="1" applyAlignment="1">
      <alignment horizontal="center" vertical="center" wrapText="1"/>
    </xf>
    <xf numFmtId="165" fontId="1" fillId="0" borderId="0" xfId="1" applyNumberFormat="1" applyFill="1" applyAlignment="1">
      <alignment horizontal="center" vertical="center" wrapText="1"/>
    </xf>
    <xf numFmtId="165" fontId="0" fillId="0" borderId="0" xfId="0" applyNumberFormat="1" applyFill="1" applyAlignment="1">
      <alignment horizontal="center" vertical="center" wrapText="1"/>
    </xf>
    <xf numFmtId="2" fontId="0" fillId="0" borderId="0" xfId="0" applyNumberFormat="1" applyFont="1" applyFill="1" applyAlignment="1">
      <alignment horizontal="center" vertical="center" wrapText="1" shrinkToFit="1"/>
    </xf>
    <xf numFmtId="167" fontId="0" fillId="7" borderId="0" xfId="0" applyNumberFormat="1" applyFont="1" applyFill="1" applyAlignment="1">
      <alignment horizontal="center" vertical="center" wrapText="1"/>
    </xf>
    <xf numFmtId="168" fontId="13" fillId="7" borderId="0" xfId="0" applyNumberFormat="1" applyFont="1" applyFill="1" applyAlignment="1">
      <alignment horizontal="center" vertical="center" wrapText="1"/>
    </xf>
    <xf numFmtId="2" fontId="0" fillId="20" borderId="0" xfId="0" applyNumberFormat="1" applyFont="1" applyFill="1" applyAlignment="1">
      <alignment horizontal="center" vertical="center" wrapText="1" shrinkToFit="1"/>
    </xf>
    <xf numFmtId="10" fontId="0" fillId="7" borderId="0" xfId="0" applyNumberFormat="1" applyFill="1" applyAlignment="1">
      <alignment horizontal="center" vertical="center" wrapText="1"/>
    </xf>
    <xf numFmtId="0" fontId="0" fillId="8" borderId="0" xfId="0" applyFill="1" applyAlignment="1">
      <alignment horizontal="center" vertical="center" wrapText="1"/>
    </xf>
    <xf numFmtId="10" fontId="0" fillId="8" borderId="0" xfId="0" applyNumberFormat="1" applyFill="1" applyAlignment="1">
      <alignment horizontal="center" vertical="center" wrapText="1"/>
    </xf>
    <xf numFmtId="0" fontId="0" fillId="14" borderId="14" xfId="3" applyFont="1" applyAlignment="1">
      <alignment horizontal="center" vertical="center" wrapText="1"/>
    </xf>
    <xf numFmtId="10" fontId="0" fillId="14" borderId="14" xfId="3" applyNumberFormat="1" applyFont="1" applyAlignment="1">
      <alignment horizontal="center" vertical="center" wrapText="1"/>
    </xf>
    <xf numFmtId="0" fontId="29" fillId="18" borderId="19" xfId="6" applyAlignment="1">
      <alignment horizontal="center" vertical="center" wrapText="1"/>
    </xf>
    <xf numFmtId="10" fontId="29" fillId="18" borderId="19" xfId="6" applyNumberFormat="1" applyAlignment="1">
      <alignment horizontal="center" vertical="center" wrapText="1"/>
    </xf>
    <xf numFmtId="2" fontId="29" fillId="18" borderId="19" xfId="6" applyNumberFormat="1" applyAlignment="1">
      <alignment horizontal="center" vertical="center" wrapText="1"/>
    </xf>
    <xf numFmtId="16" fontId="25" fillId="16" borderId="0" xfId="5" applyNumberFormat="1" applyAlignment="1">
      <alignment horizontal="center" vertical="center" wrapText="1"/>
    </xf>
    <xf numFmtId="2" fontId="0" fillId="21" borderId="0" xfId="0" applyNumberFormat="1" applyFont="1" applyFill="1" applyAlignment="1">
      <alignment horizontal="center" vertical="center" wrapText="1" shrinkToFit="1"/>
    </xf>
    <xf numFmtId="2" fontId="0" fillId="17" borderId="0" xfId="0" applyNumberFormat="1" applyFont="1" applyFill="1" applyAlignment="1">
      <alignment horizontal="center" vertical="center" wrapText="1" shrinkToFit="1"/>
    </xf>
    <xf numFmtId="2" fontId="0" fillId="22" borderId="0" xfId="0" applyNumberFormat="1" applyFont="1" applyFill="1" applyAlignment="1">
      <alignment horizontal="center" vertical="center" wrapText="1" shrinkToFit="1"/>
    </xf>
    <xf numFmtId="2" fontId="0" fillId="7" borderId="0" xfId="0" applyNumberFormat="1" applyFont="1" applyFill="1" applyAlignment="1">
      <alignment horizontal="center" vertical="center" wrapText="1" shrinkToFit="1"/>
    </xf>
    <xf numFmtId="2" fontId="41" fillId="23" borderId="0" xfId="0" applyNumberFormat="1" applyFont="1" applyFill="1" applyAlignment="1">
      <alignment horizontal="center" vertical="center" wrapText="1" shrinkToFit="1"/>
    </xf>
    <xf numFmtId="0" fontId="25" fillId="16" borderId="0" xfId="5" applyAlignment="1">
      <alignment horizontal="center" vertical="center" wrapText="1"/>
    </xf>
    <xf numFmtId="0" fontId="24" fillId="15" borderId="0" xfId="4" applyAlignment="1">
      <alignment horizontal="center" vertical="center" wrapText="1"/>
    </xf>
    <xf numFmtId="2" fontId="0" fillId="24" borderId="0" xfId="0" applyNumberFormat="1" applyFont="1" applyFill="1" applyAlignment="1">
      <alignment horizontal="center" vertical="center" wrapText="1" shrinkToFit="1"/>
    </xf>
    <xf numFmtId="2" fontId="0" fillId="25" borderId="0" xfId="0" applyNumberFormat="1" applyFont="1" applyFill="1" applyAlignment="1">
      <alignment horizontal="center" vertical="center" wrapText="1" shrinkToFit="1"/>
    </xf>
    <xf numFmtId="2" fontId="41" fillId="22" borderId="0" xfId="0" applyNumberFormat="1" applyFont="1" applyFill="1" applyAlignment="1">
      <alignment horizontal="center" vertical="center" wrapText="1" shrinkToFit="1"/>
    </xf>
    <xf numFmtId="2" fontId="0" fillId="19" borderId="0" xfId="0" applyNumberFormat="1" applyFont="1" applyFill="1" applyAlignment="1">
      <alignment horizontal="center" vertical="center" wrapText="1" shrinkToFit="1"/>
    </xf>
  </cellXfs>
  <cellStyles count="8">
    <cellStyle name="Bad" xfId="4" builtinId="27"/>
    <cellStyle name="Calculation" xfId="7" builtinId="22" customBuiltin="1"/>
    <cellStyle name="Good" xfId="1" builtinId="26"/>
    <cellStyle name="Hyperlink" xfId="2" builtinId="8"/>
    <cellStyle name="Neutral" xfId="5" builtinId="28"/>
    <cellStyle name="Normal" xfId="0" builtinId="0"/>
    <cellStyle name="Note" xfId="3" builtinId="10"/>
    <cellStyle name="Output" xfId="6" builtinId="21"/>
  </cellStyles>
  <dxfs count="544">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b/>
        <i val="0"/>
        <color theme="0"/>
      </font>
      <fill>
        <patternFill>
          <bgColor theme="1" tint="0.34998626667073579"/>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A1C7F5"/>
      <color rgb="FFEBDD89"/>
      <color rgb="FF00F66F"/>
      <color rgb="FFFF5050"/>
      <color rgb="FFFF2929"/>
      <color rgb="FFFF3B3B"/>
      <color rgb="FFA9DA74"/>
      <color rgb="FFFBAFAF"/>
      <color rgb="FFA6D86E"/>
      <color rgb="FFABDB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val="2"/>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HR31" totalsRowCount="1" headerRowDxfId="530" dataDxfId="529" totalsRowDxfId="528">
  <autoFilter ref="C3:HR30"/>
  <tableColumns count="224">
    <tableColumn id="130" name="Thursday120" totalsRowFunction="custom" dataDxfId="527" totalsRowDxfId="526">
      <totalsRowFormula>SUM(C7:C30)</totalsRowFormula>
    </tableColumn>
    <tableColumn id="131" name="Friday121" totalsRowFunction="custom" dataDxfId="525" totalsRowDxfId="524">
      <totalsRowFormula>SUM(D7:D30)</totalsRowFormula>
    </tableColumn>
    <tableColumn id="132" name="Saturday122" totalsRowFunction="custom" dataDxfId="523" totalsRowDxfId="522">
      <totalsRowFormula>SUM(E7:E30)</totalsRowFormula>
    </tableColumn>
    <tableColumn id="133" name="Sunday123" totalsRowFunction="custom" dataDxfId="521" totalsRowDxfId="520">
      <totalsRowFormula>SUM(F7:F30)</totalsRowFormula>
    </tableColumn>
    <tableColumn id="134" name="Monday124" totalsRowFunction="custom" dataDxfId="519" totalsRowDxfId="518">
      <totalsRowFormula>SUM(G7:G30)</totalsRowFormula>
    </tableColumn>
    <tableColumn id="135" name="Tuesday125" totalsRowFunction="custom" dataDxfId="517" totalsRowDxfId="516">
      <totalsRowFormula>SUM(H7:H30)</totalsRowFormula>
    </tableColumn>
    <tableColumn id="136" name="Wednesday126" totalsRowFunction="custom" dataDxfId="515" totalsRowDxfId="514">
      <totalsRowFormula>SUM(I7:I30)</totalsRowFormula>
    </tableColumn>
    <tableColumn id="137" name="Thursday127" totalsRowFunction="custom" dataDxfId="513" totalsRowDxfId="512">
      <totalsRowFormula>SUM(J7:J30)</totalsRowFormula>
    </tableColumn>
    <tableColumn id="138" name="Friday128" totalsRowFunction="custom" dataDxfId="511" totalsRowDxfId="510">
      <totalsRowFormula>SUM(K7:K30)</totalsRowFormula>
    </tableColumn>
    <tableColumn id="139" name="Saturday129" totalsRowFunction="custom" dataDxfId="509" totalsRowDxfId="508">
      <totalsRowFormula>SUM(L7:L30)</totalsRowFormula>
    </tableColumn>
    <tableColumn id="140" name="Sunday130" totalsRowFunction="custom" dataDxfId="507" totalsRowDxfId="506">
      <totalsRowFormula>SUM(M7:M30)</totalsRowFormula>
    </tableColumn>
    <tableColumn id="141" name="Monday131" totalsRowFunction="custom" dataDxfId="505" totalsRowDxfId="504">
      <totalsRowFormula>SUM(N7:N30)</totalsRowFormula>
    </tableColumn>
    <tableColumn id="142" name="Tuesday132" totalsRowFunction="custom" dataDxfId="503" totalsRowDxfId="502">
      <totalsRowFormula>SUM(O7:O30)</totalsRowFormula>
    </tableColumn>
    <tableColumn id="143" name="Wednesday133" totalsRowFunction="custom" dataDxfId="501" totalsRowDxfId="500">
      <totalsRowFormula>SUM(P7:P30)</totalsRowFormula>
    </tableColumn>
    <tableColumn id="144" name="Thursday134" totalsRowFunction="custom" dataDxfId="499" totalsRowDxfId="498">
      <totalsRowFormula>SUM(Q7:Q30)</totalsRowFormula>
    </tableColumn>
    <tableColumn id="145" name="Friday135" totalsRowFunction="custom" dataDxfId="497" totalsRowDxfId="496">
      <totalsRowFormula>SUM(R7:R30)</totalsRowFormula>
    </tableColumn>
    <tableColumn id="146" name="Saturday136" totalsRowFunction="custom" dataDxfId="495" totalsRowDxfId="494">
      <totalsRowFormula>SUM(S7:S30)</totalsRowFormula>
    </tableColumn>
    <tableColumn id="147" name="Sunday137" totalsRowFunction="custom" dataDxfId="493" totalsRowDxfId="492">
      <totalsRowFormula>SUM(T7:T30)</totalsRowFormula>
    </tableColumn>
    <tableColumn id="148" name="Monday138" totalsRowFunction="custom" dataDxfId="491" totalsRowDxfId="490">
      <totalsRowFormula>SUM(U7:U30)</totalsRowFormula>
    </tableColumn>
    <tableColumn id="149" name="Tuesday139" totalsRowFunction="custom" dataDxfId="489" totalsRowDxfId="488">
      <totalsRowFormula>SUM(V7:V30)</totalsRowFormula>
    </tableColumn>
    <tableColumn id="150" name="Wednesday140" totalsRowFunction="custom" dataDxfId="487" totalsRowDxfId="486">
      <totalsRowFormula>SUM(W7:W30)</totalsRowFormula>
    </tableColumn>
    <tableColumn id="151" name="Thursday141" totalsRowFunction="custom" dataDxfId="485" totalsRowDxfId="484">
      <totalsRowFormula>SUM(X7:X30)</totalsRowFormula>
    </tableColumn>
    <tableColumn id="152" name="Friday142" totalsRowFunction="custom" dataDxfId="483" totalsRowDxfId="482">
      <totalsRowFormula>SUM(Y7:Y30)</totalsRowFormula>
    </tableColumn>
    <tableColumn id="153" name="Saturday143" totalsRowFunction="custom" dataDxfId="481" totalsRowDxfId="480">
      <totalsRowFormula>SUM(Z7:Z30)</totalsRowFormula>
    </tableColumn>
    <tableColumn id="154" name="Sunday144" totalsRowFunction="custom" dataDxfId="479" totalsRowDxfId="478">
      <totalsRowFormula>SUM(AA7:AA30)</totalsRowFormula>
    </tableColumn>
    <tableColumn id="155" name="Monday145" totalsRowFunction="custom" dataDxfId="477" totalsRowDxfId="476">
      <totalsRowFormula>SUM(AB7:AB30)</totalsRowFormula>
    </tableColumn>
    <tableColumn id="156" name="Tuesday146" totalsRowFunction="custom" dataDxfId="475" totalsRowDxfId="474">
      <totalsRowFormula>SUM(AC7:AC30)</totalsRowFormula>
    </tableColumn>
    <tableColumn id="157" name="Wednesday147" totalsRowFunction="custom" dataDxfId="473" totalsRowDxfId="472">
      <totalsRowFormula>SUM(AD7:AD30)</totalsRowFormula>
    </tableColumn>
    <tableColumn id="158" name="Thursday148" totalsRowFunction="custom" dataDxfId="471" totalsRowDxfId="470">
      <totalsRowFormula>SUM(AE7:AE30)</totalsRowFormula>
    </tableColumn>
    <tableColumn id="159" name="Friday149" totalsRowFunction="custom" dataDxfId="469" totalsRowDxfId="468">
      <totalsRowFormula>SUM(AF7:AF30)</totalsRowFormula>
    </tableColumn>
    <tableColumn id="160" name="Saturday150" totalsRowFunction="custom" dataDxfId="467" totalsRowDxfId="466">
      <totalsRowFormula>SUM(AG7:AG30)</totalsRowFormula>
    </tableColumn>
    <tableColumn id="161" name="Sunday151" totalsRowFunction="custom" dataDxfId="465" totalsRowDxfId="464">
      <totalsRowFormula>SUM(AH7:AH30)</totalsRowFormula>
    </tableColumn>
    <tableColumn id="162" name="Monday152" totalsRowFunction="custom" dataDxfId="463" totalsRowDxfId="462">
      <totalsRowFormula>SUM(AI7:AI30)</totalsRowFormula>
    </tableColumn>
    <tableColumn id="163" name="Tuesday153" totalsRowFunction="custom" dataDxfId="461" totalsRowDxfId="460">
      <totalsRowFormula>SUM(AJ7:AJ30)</totalsRowFormula>
    </tableColumn>
    <tableColumn id="164" name="Wednesday154" totalsRowFunction="custom" dataDxfId="459" totalsRowDxfId="458">
      <totalsRowFormula>SUM(AK7:AK30)</totalsRowFormula>
    </tableColumn>
    <tableColumn id="165" name="Thursday155" totalsRowFunction="custom" dataDxfId="457" totalsRowDxfId="456">
      <totalsRowFormula>SUM(AL7:AL30)</totalsRowFormula>
    </tableColumn>
    <tableColumn id="166" name="Friday156" totalsRowFunction="custom" dataDxfId="455" totalsRowDxfId="454">
      <totalsRowFormula>SUM(AM7:AM30)</totalsRowFormula>
    </tableColumn>
    <tableColumn id="167" name="Saturday157" totalsRowFunction="custom" dataDxfId="453" totalsRowDxfId="452">
      <totalsRowFormula>SUM(AN7:AN30)</totalsRowFormula>
    </tableColumn>
    <tableColumn id="168" name="Sunday158" totalsRowFunction="custom" dataDxfId="451" totalsRowDxfId="450">
      <totalsRowFormula>SUM(AO7:AO30)</totalsRowFormula>
    </tableColumn>
    <tableColumn id="169" name="Monday159" totalsRowFunction="custom" dataDxfId="449" totalsRowDxfId="448">
      <totalsRowFormula>SUM(AP7:AP30)</totalsRowFormula>
    </tableColumn>
    <tableColumn id="170" name="Tuesday160" totalsRowFunction="custom" dataDxfId="447" totalsRowDxfId="446">
      <totalsRowFormula>SUM(AQ7:AQ30)</totalsRowFormula>
    </tableColumn>
    <tableColumn id="171" name="Wednesday161" totalsRowFunction="custom" dataDxfId="445" totalsRowDxfId="444">
      <totalsRowFormula>SUM(AR7:AR30)</totalsRowFormula>
    </tableColumn>
    <tableColumn id="172" name="Thursday162" totalsRowFunction="custom" dataDxfId="443" totalsRowDxfId="442">
      <totalsRowFormula>SUM(AS7:AS30)</totalsRowFormula>
    </tableColumn>
    <tableColumn id="173" name="Friday163" totalsRowFunction="custom" dataDxfId="441" totalsRowDxfId="440">
      <totalsRowFormula>SUM(AT7:AT30)</totalsRowFormula>
    </tableColumn>
    <tableColumn id="174" name="Saturday164" totalsRowFunction="custom" dataDxfId="439" totalsRowDxfId="438">
      <totalsRowFormula>SUM(AU7:AU30)</totalsRowFormula>
    </tableColumn>
    <tableColumn id="175" name="Sunday165" totalsRowFunction="custom" dataDxfId="437" totalsRowDxfId="436">
      <totalsRowFormula>SUM(AV7:AV30)</totalsRowFormula>
    </tableColumn>
    <tableColumn id="176" name="Monday166" totalsRowFunction="custom" dataDxfId="435" totalsRowDxfId="434">
      <totalsRowFormula>SUM(AW7:AW30)</totalsRowFormula>
    </tableColumn>
    <tableColumn id="177" name="Tuesday167" totalsRowFunction="custom" dataDxfId="433" totalsRowDxfId="432">
      <totalsRowFormula>SUM(AX7:AX30)</totalsRowFormula>
    </tableColumn>
    <tableColumn id="178" name="Wednesday168" totalsRowFunction="custom" dataDxfId="431" totalsRowDxfId="430">
      <totalsRowFormula>SUM(AY7:AY30)</totalsRowFormula>
    </tableColumn>
    <tableColumn id="179" name="Thursday169" totalsRowFunction="custom" dataDxfId="429" totalsRowDxfId="428">
      <totalsRowFormula>SUM(AZ7:AZ30)</totalsRowFormula>
    </tableColumn>
    <tableColumn id="180" name="Friday170" totalsRowFunction="custom" dataDxfId="427" totalsRowDxfId="426">
      <totalsRowFormula>SUM(BA7:BA30)</totalsRowFormula>
    </tableColumn>
    <tableColumn id="181" name="Saturday171" totalsRowFunction="custom" dataDxfId="425" totalsRowDxfId="424">
      <totalsRowFormula>SUM(BB7:BB30)</totalsRowFormula>
    </tableColumn>
    <tableColumn id="182" name="Sunday172" totalsRowFunction="custom" dataDxfId="423" totalsRowDxfId="422">
      <totalsRowFormula>SUM(BC7:BC30)</totalsRowFormula>
    </tableColumn>
    <tableColumn id="183" name="Monday173" totalsRowFunction="custom" dataDxfId="421" totalsRowDxfId="420">
      <totalsRowFormula>SUM(BD7:BD30)</totalsRowFormula>
    </tableColumn>
    <tableColumn id="184" name="Tuesday174" totalsRowFunction="custom" dataDxfId="419" totalsRowDxfId="418">
      <totalsRowFormula>SUM(BE7:BE30)</totalsRowFormula>
    </tableColumn>
    <tableColumn id="185" name="Wednesday175" totalsRowFunction="custom" dataDxfId="417" totalsRowDxfId="416">
      <totalsRowFormula>SUM(BF7:BF30)</totalsRowFormula>
    </tableColumn>
    <tableColumn id="186" name="Thursday176" totalsRowFunction="custom" dataDxfId="415" totalsRowDxfId="414">
      <totalsRowFormula>SUM(BG7:BG30)</totalsRowFormula>
    </tableColumn>
    <tableColumn id="187" name="Friday177" totalsRowFunction="custom" dataDxfId="413" totalsRowDxfId="412">
      <totalsRowFormula>SUM(BH7:BH30)</totalsRowFormula>
    </tableColumn>
    <tableColumn id="188" name="Saturday178" totalsRowFunction="custom" dataDxfId="411" totalsRowDxfId="410">
      <totalsRowFormula>SUM(BI7:BI30)</totalsRowFormula>
    </tableColumn>
    <tableColumn id="189" name="Sunday179" totalsRowFunction="custom" dataDxfId="409" totalsRowDxfId="408">
      <totalsRowFormula>SUM(BJ7:BJ30)</totalsRowFormula>
    </tableColumn>
    <tableColumn id="190" name="Monday180" totalsRowFunction="custom" dataDxfId="407" totalsRowDxfId="406">
      <totalsRowFormula>SUM(BK7:BK30)</totalsRowFormula>
    </tableColumn>
    <tableColumn id="191" name="Tuesday181" totalsRowFunction="custom" dataDxfId="405" totalsRowDxfId="404">
      <totalsRowFormula>SUM(BL7:BL30)</totalsRowFormula>
    </tableColumn>
    <tableColumn id="192" name="Wednesday182" totalsRowFunction="custom" dataDxfId="403" totalsRowDxfId="402">
      <totalsRowFormula>SUM(BM7:BM30)</totalsRowFormula>
    </tableColumn>
    <tableColumn id="193" name="Thursday183" totalsRowFunction="custom" dataDxfId="401" totalsRowDxfId="400">
      <totalsRowFormula>SUM(BN7:BN30)</totalsRowFormula>
    </tableColumn>
    <tableColumn id="194" name="Friday184" totalsRowFunction="custom" dataDxfId="399" totalsRowDxfId="398">
      <totalsRowFormula>SUM(BO7:BO30)</totalsRowFormula>
    </tableColumn>
    <tableColumn id="195" name="Saturday185" totalsRowFunction="custom" dataDxfId="397" totalsRowDxfId="396">
      <totalsRowFormula>SUM(BP7:BP30)</totalsRowFormula>
    </tableColumn>
    <tableColumn id="196" name="Sunday186" totalsRowFunction="custom" dataDxfId="395" totalsRowDxfId="394">
      <totalsRowFormula>SUM(BQ7:BQ30)</totalsRowFormula>
    </tableColumn>
    <tableColumn id="197" name="Monday187" totalsRowFunction="custom" dataDxfId="393" totalsRowDxfId="392">
      <totalsRowFormula>SUM(BR7:BR30)</totalsRowFormula>
    </tableColumn>
    <tableColumn id="198" name="Tuesday188" totalsRowFunction="custom" dataDxfId="391" totalsRowDxfId="390">
      <totalsRowFormula>SUM(BS7:BS30)</totalsRowFormula>
    </tableColumn>
    <tableColumn id="199" name="Wednesday189" totalsRowFunction="custom" dataDxfId="389" totalsRowDxfId="388">
      <totalsRowFormula>SUM(BT7:BT30)</totalsRowFormula>
    </tableColumn>
    <tableColumn id="200" name="Thursday190" totalsRowFunction="custom" dataDxfId="387" totalsRowDxfId="386">
      <totalsRowFormula>SUM(BU7:BU30)</totalsRowFormula>
    </tableColumn>
    <tableColumn id="201" name="Friday191" totalsRowFunction="custom" dataDxfId="385" totalsRowDxfId="384">
      <totalsRowFormula>SUM(BV7:BV30)</totalsRowFormula>
    </tableColumn>
    <tableColumn id="202" name="Saturday192" totalsRowFunction="custom" dataDxfId="383" totalsRowDxfId="382">
      <totalsRowFormula>SUM(BW7:BW30)</totalsRowFormula>
    </tableColumn>
    <tableColumn id="203" name="Sunday193" totalsRowFunction="custom" dataDxfId="381" totalsRowDxfId="380">
      <totalsRowFormula>SUM(BX7:BX30)</totalsRowFormula>
    </tableColumn>
    <tableColumn id="204" name="Monday194" totalsRowFunction="custom" dataDxfId="379" totalsRowDxfId="378">
      <totalsRowFormula>SUM(BY7:BY30)</totalsRowFormula>
    </tableColumn>
    <tableColumn id="205" name="Tuesday195" totalsRowFunction="custom" dataDxfId="377" totalsRowDxfId="376">
      <totalsRowFormula>SUM(BZ7:BZ30)</totalsRowFormula>
    </tableColumn>
    <tableColumn id="206" name="Wednesday196" totalsRowFunction="custom" dataDxfId="375" totalsRowDxfId="374">
      <totalsRowFormula>SUM(CA7:CA30)</totalsRowFormula>
    </tableColumn>
    <tableColumn id="207" name="Thursday197" totalsRowFunction="custom" dataDxfId="373" totalsRowDxfId="372">
      <totalsRowFormula>SUM(CB7:CB30)</totalsRowFormula>
    </tableColumn>
    <tableColumn id="208" name="Friday198" totalsRowFunction="custom" dataDxfId="371" totalsRowDxfId="370">
      <totalsRowFormula>SUM(CC7:CC30)</totalsRowFormula>
    </tableColumn>
    <tableColumn id="209" name="Saturday199" totalsRowFunction="custom" dataDxfId="369" totalsRowDxfId="368">
      <totalsRowFormula>SUM(CD7:CD30)</totalsRowFormula>
    </tableColumn>
    <tableColumn id="210" name="Sunday200" totalsRowFunction="custom" dataDxfId="367" totalsRowDxfId="366">
      <totalsRowFormula>SUM(CE7:CE30)</totalsRowFormula>
    </tableColumn>
    <tableColumn id="211" name="Monday201" totalsRowFunction="custom" dataDxfId="365" totalsRowDxfId="364">
      <totalsRowFormula>SUM(CF7:CF30)</totalsRowFormula>
    </tableColumn>
    <tableColumn id="212" name="Tuesday202" totalsRowFunction="custom" dataDxfId="363" totalsRowDxfId="362">
      <totalsRowFormula>SUM(CG7:CG30)</totalsRowFormula>
    </tableColumn>
    <tableColumn id="213" name="Wednesday203" totalsRowFunction="custom" dataDxfId="361" totalsRowDxfId="360">
      <totalsRowFormula>SUM(CH7:CH30)</totalsRowFormula>
    </tableColumn>
    <tableColumn id="214" name="Thursday204" totalsRowFunction="custom" dataDxfId="359" totalsRowDxfId="358">
      <totalsRowFormula>SUM(CI7:CI30)</totalsRowFormula>
    </tableColumn>
    <tableColumn id="215" name="Friday205" totalsRowFunction="custom" dataDxfId="357" totalsRowDxfId="356">
      <totalsRowFormula>SUM(CJ7:CJ30)</totalsRowFormula>
    </tableColumn>
    <tableColumn id="216" name="Saturday206" totalsRowFunction="custom" dataDxfId="355" totalsRowDxfId="354">
      <totalsRowFormula>SUM(CK7:CK30)</totalsRowFormula>
    </tableColumn>
    <tableColumn id="217" name="Sunday207" totalsRowFunction="custom" dataDxfId="353" totalsRowDxfId="352">
      <totalsRowFormula>SUM(CL7:CL30)</totalsRowFormula>
    </tableColumn>
    <tableColumn id="218" name="Monday208" totalsRowFunction="custom" dataDxfId="351" totalsRowDxfId="350">
      <totalsRowFormula>SUM(CM7:CM30)</totalsRowFormula>
    </tableColumn>
    <tableColumn id="219" name="Tuesday209" totalsRowFunction="custom" dataDxfId="349" totalsRowDxfId="348">
      <totalsRowFormula>SUM(CN7:CN30)</totalsRowFormula>
    </tableColumn>
    <tableColumn id="220" name="Wednesday210" totalsRowFunction="custom" dataDxfId="347" totalsRowDxfId="346">
      <totalsRowFormula>SUM(CO7:CO30)</totalsRowFormula>
    </tableColumn>
    <tableColumn id="221" name="Thursday211" totalsRowFunction="custom" dataDxfId="345" totalsRowDxfId="344">
      <totalsRowFormula>SUM(CP7:CP30)</totalsRowFormula>
    </tableColumn>
    <tableColumn id="222" name="Friday212" totalsRowFunction="custom" dataDxfId="343" totalsRowDxfId="342">
      <totalsRowFormula>SUM(CQ7:CQ30)</totalsRowFormula>
    </tableColumn>
    <tableColumn id="223" name="Saturday213" totalsRowFunction="custom" dataDxfId="341" totalsRowDxfId="340">
      <totalsRowFormula>SUM(CR7:CR30)</totalsRowFormula>
    </tableColumn>
    <tableColumn id="224" name="Sunday214" totalsRowFunction="custom" dataDxfId="339" totalsRowDxfId="338">
      <totalsRowFormula>SUM(CS7:CS30)</totalsRowFormula>
    </tableColumn>
    <tableColumn id="225" name="Monday215" totalsRowFunction="custom" dataDxfId="337" totalsRowDxfId="336">
      <totalsRowFormula>SUM(CT7:CT30)</totalsRowFormula>
    </tableColumn>
    <tableColumn id="226" name="Tuesday216" totalsRowFunction="custom" dataDxfId="335" totalsRowDxfId="334">
      <totalsRowFormula>SUM(CU7:CU30)</totalsRowFormula>
    </tableColumn>
    <tableColumn id="227" name="Wednesday217" totalsRowFunction="custom" dataDxfId="333" totalsRowDxfId="332">
      <totalsRowFormula>SUM(CV7:CV30)</totalsRowFormula>
    </tableColumn>
    <tableColumn id="228" name="Thursday218" totalsRowFunction="custom" dataDxfId="331" totalsRowDxfId="330">
      <totalsRowFormula>SUM(CW7:CW30)</totalsRowFormula>
    </tableColumn>
    <tableColumn id="229" name="Friday219" totalsRowFunction="custom" dataDxfId="329" totalsRowDxfId="328">
      <totalsRowFormula>SUM(CX7:CX30)</totalsRowFormula>
    </tableColumn>
    <tableColumn id="230" name="Saturday220" totalsRowFunction="custom" dataDxfId="327" totalsRowDxfId="326">
      <totalsRowFormula>SUM(CY7:CY30)</totalsRowFormula>
    </tableColumn>
    <tableColumn id="231" name="Sunday221" totalsRowFunction="custom" dataDxfId="325" totalsRowDxfId="324">
      <totalsRowFormula>SUM(CZ7:CZ30)</totalsRowFormula>
    </tableColumn>
    <tableColumn id="232" name="Monday222" totalsRowFunction="custom" dataDxfId="323" totalsRowDxfId="322">
      <totalsRowFormula>SUM(DA7:DA30)</totalsRowFormula>
    </tableColumn>
    <tableColumn id="233" name="Tuesday223" totalsRowFunction="custom" dataDxfId="321" totalsRowDxfId="320">
      <totalsRowFormula>SUM(DB7:DB30)</totalsRowFormula>
    </tableColumn>
    <tableColumn id="234" name="Wednesday224" totalsRowFunction="custom" dataDxfId="319" totalsRowDxfId="318">
      <totalsRowFormula>SUM(DC7:DC30)</totalsRowFormula>
    </tableColumn>
    <tableColumn id="235" name="Thursday225" totalsRowFunction="custom" dataDxfId="317" totalsRowDxfId="316">
      <totalsRowFormula>SUM(DD7:DD30)</totalsRowFormula>
    </tableColumn>
    <tableColumn id="236" name="Friday226" totalsRowFunction="custom" dataDxfId="315" totalsRowDxfId="314">
      <totalsRowFormula>SUM(DE7:DE30)</totalsRowFormula>
    </tableColumn>
    <tableColumn id="237" name="Saturday227" totalsRowFunction="custom" dataDxfId="313" totalsRowDxfId="312">
      <totalsRowFormula>SUM(DF7:DF30)</totalsRowFormula>
    </tableColumn>
    <tableColumn id="238" name="Sunday228" totalsRowFunction="custom" dataDxfId="311" totalsRowDxfId="310">
      <totalsRowFormula>SUM(DG7:DG30)</totalsRowFormula>
    </tableColumn>
    <tableColumn id="239" name="Monday229" totalsRowFunction="custom" dataDxfId="309" totalsRowDxfId="308">
      <totalsRowFormula>SUM(DH7:DH30)</totalsRowFormula>
    </tableColumn>
    <tableColumn id="240" name="Tuesday230" totalsRowFunction="custom" dataDxfId="307" totalsRowDxfId="306">
      <totalsRowFormula>SUM(DI7:DI30)</totalsRowFormula>
    </tableColumn>
    <tableColumn id="241" name="Wednesday231" totalsRowFunction="custom" dataDxfId="305" totalsRowDxfId="304">
      <totalsRowFormula>SUM(DJ7:DJ30)</totalsRowFormula>
    </tableColumn>
    <tableColumn id="242" name="Thursday232" totalsRowFunction="custom" dataDxfId="303" totalsRowDxfId="302">
      <totalsRowFormula>SUM(DK7:DK30)</totalsRowFormula>
    </tableColumn>
    <tableColumn id="243" name="Friday233" totalsRowFunction="custom" dataDxfId="301" totalsRowDxfId="300">
      <totalsRowFormula>SUM(DL7:DL30)</totalsRowFormula>
    </tableColumn>
    <tableColumn id="244" name="Saturday234" totalsRowFunction="custom" dataDxfId="299" totalsRowDxfId="298">
      <totalsRowFormula>SUM(DM7:DM30)</totalsRowFormula>
    </tableColumn>
    <tableColumn id="245" name="Sunday235" totalsRowFunction="custom" dataDxfId="297" totalsRowDxfId="296">
      <totalsRowFormula>SUM(DN7:DN30)</totalsRowFormula>
    </tableColumn>
    <tableColumn id="246" name="Monday236" totalsRowFunction="custom" dataDxfId="295" totalsRowDxfId="294">
      <totalsRowFormula>SUM(DO7:DO30)</totalsRowFormula>
    </tableColumn>
    <tableColumn id="247" name="Tuesday237" totalsRowFunction="custom" dataDxfId="293" totalsRowDxfId="292">
      <totalsRowFormula>SUM(DP7:DP30)</totalsRowFormula>
    </tableColumn>
    <tableColumn id="248" name="Wednesday238" totalsRowFunction="custom" dataDxfId="291" totalsRowDxfId="290">
      <totalsRowFormula>SUM(DQ7:DQ30)</totalsRowFormula>
    </tableColumn>
    <tableColumn id="249" name="Thursday239" totalsRowFunction="custom" dataDxfId="289" totalsRowDxfId="288">
      <totalsRowFormula>SUM(DR7:DR30)</totalsRowFormula>
    </tableColumn>
    <tableColumn id="250" name="Friday240" totalsRowFunction="custom" dataDxfId="287" totalsRowDxfId="286">
      <totalsRowFormula>SUM(DS7:DS30)</totalsRowFormula>
    </tableColumn>
    <tableColumn id="251" name="Saturday241" totalsRowFunction="custom" dataDxfId="285" totalsRowDxfId="284">
      <totalsRowFormula>SUM(DT7:DT30)</totalsRowFormula>
    </tableColumn>
    <tableColumn id="252" name="Sunday242" totalsRowFunction="custom" dataDxfId="283" totalsRowDxfId="282">
      <totalsRowFormula>SUM(DU7:DU30)</totalsRowFormula>
    </tableColumn>
    <tableColumn id="253" name="Monday243" dataDxfId="281" totalsRowDxfId="280"/>
    <tableColumn id="254" name="Tuesday244" dataDxfId="279" totalsRowDxfId="278"/>
    <tableColumn id="255" name="Wednesday245" dataDxfId="277" totalsRowDxfId="276"/>
    <tableColumn id="256" name="Thursday246" dataDxfId="275" totalsRowDxfId="274"/>
    <tableColumn id="257" name="Friday247" dataDxfId="273" totalsRowDxfId="272"/>
    <tableColumn id="258" name="Saturday248" dataDxfId="271" totalsRowDxfId="270"/>
    <tableColumn id="259" name="Sunday249" dataDxfId="269" totalsRowDxfId="268"/>
    <tableColumn id="260" name="Monday250" dataDxfId="267" totalsRowDxfId="266"/>
    <tableColumn id="261" name="Tuesday251" dataDxfId="265" totalsRowDxfId="264"/>
    <tableColumn id="262" name="Wednesday252" dataDxfId="263" totalsRowDxfId="262"/>
    <tableColumn id="263" name="Thursday253" dataDxfId="261" totalsRowDxfId="260"/>
    <tableColumn id="264" name="Friday254" dataDxfId="259" totalsRowDxfId="258"/>
    <tableColumn id="265" name="Saturday255" dataDxfId="257" totalsRowDxfId="256"/>
    <tableColumn id="266" name="Sunday256" dataDxfId="255" totalsRowDxfId="254"/>
    <tableColumn id="267" name="Monday257" dataDxfId="253" totalsRowDxfId="252"/>
    <tableColumn id="268" name="Tuesday258" dataDxfId="251" totalsRowDxfId="250"/>
    <tableColumn id="269" name="Wednesday259" dataDxfId="249" totalsRowDxfId="248"/>
    <tableColumn id="270" name="Thursday260" dataDxfId="247" totalsRowDxfId="246"/>
    <tableColumn id="271" name="Friday261" dataDxfId="245" totalsRowDxfId="244"/>
    <tableColumn id="272" name="Saturday262" dataDxfId="243" totalsRowDxfId="242"/>
    <tableColumn id="273" name="Sunday263" dataDxfId="241" totalsRowDxfId="240"/>
    <tableColumn id="274" name="Monday264" dataDxfId="239" totalsRowDxfId="238"/>
    <tableColumn id="275" name="Tuesday265" dataDxfId="237" totalsRowDxfId="236"/>
    <tableColumn id="276" name="Wednesday266" dataDxfId="235" totalsRowDxfId="234"/>
    <tableColumn id="277" name="Thursday267" dataDxfId="233" totalsRowDxfId="232"/>
    <tableColumn id="278" name="Friday268" dataDxfId="231" totalsRowDxfId="230"/>
    <tableColumn id="279" name="Saturday269" dataDxfId="229" totalsRowDxfId="228"/>
    <tableColumn id="280" name="Sunday270" dataDxfId="227" totalsRowDxfId="226"/>
    <tableColumn id="281" name="Monday271" dataDxfId="225" totalsRowDxfId="224"/>
    <tableColumn id="282" name="Tuesday272" dataDxfId="223" totalsRowDxfId="222"/>
    <tableColumn id="283" name="Wednesday273" dataDxfId="221" totalsRowDxfId="220"/>
    <tableColumn id="284" name="Thursday274" dataDxfId="219" totalsRowDxfId="218"/>
    <tableColumn id="285" name="Friday275" dataDxfId="217" totalsRowDxfId="216"/>
    <tableColumn id="286" name="Saturday276" dataDxfId="215" totalsRowDxfId="214"/>
    <tableColumn id="287" name="Sunday277" dataDxfId="213" totalsRowDxfId="212"/>
    <tableColumn id="288" name="Monday278" dataDxfId="211" totalsRowDxfId="210"/>
    <tableColumn id="289" name="Tuesday279" dataDxfId="209" totalsRowDxfId="208"/>
    <tableColumn id="290" name="Wednesday280" dataDxfId="207" totalsRowDxfId="206"/>
    <tableColumn id="291" name="Thursday281" dataDxfId="205" totalsRowDxfId="204"/>
    <tableColumn id="292" name="Friday282" dataDxfId="203" totalsRowDxfId="202"/>
    <tableColumn id="293" name="Saturday283" dataDxfId="201" totalsRowDxfId="200"/>
    <tableColumn id="294" name="Sunday284" dataDxfId="199" totalsRowDxfId="198"/>
    <tableColumn id="295" name="Monday285" dataDxfId="197" totalsRowDxfId="196"/>
    <tableColumn id="296" name="Tuesday286" dataDxfId="195" totalsRowDxfId="194"/>
    <tableColumn id="297" name="Wednesday287" dataDxfId="193" totalsRowDxfId="192"/>
    <tableColumn id="298" name="Thursday288" dataDxfId="191" totalsRowDxfId="190"/>
    <tableColumn id="299" name="Friday289" dataDxfId="189" totalsRowDxfId="188"/>
    <tableColumn id="300" name="Saturday290" dataDxfId="187" totalsRowDxfId="186"/>
    <tableColumn id="301" name="Sunday291" dataDxfId="185" totalsRowDxfId="184"/>
    <tableColumn id="302" name="Monday292" dataDxfId="183" totalsRowDxfId="182"/>
    <tableColumn id="303" name="Tuesday293" dataDxfId="181" totalsRowDxfId="180"/>
    <tableColumn id="304" name="Wednesday294" dataDxfId="179" totalsRowDxfId="178"/>
    <tableColumn id="305" name="Thursday295" dataDxfId="177" totalsRowDxfId="176"/>
    <tableColumn id="306" name="Friday296" dataDxfId="175" totalsRowDxfId="174"/>
    <tableColumn id="307" name="Saturday297" dataDxfId="173" totalsRowDxfId="172"/>
    <tableColumn id="308" name="Sunday298" dataDxfId="171" totalsRowDxfId="170"/>
    <tableColumn id="309" name="Monday299" dataDxfId="169" totalsRowDxfId="168"/>
    <tableColumn id="310" name="Tuesday300" dataDxfId="167" totalsRowDxfId="166"/>
    <tableColumn id="311" name="Wednesday301" dataDxfId="165" totalsRowDxfId="164"/>
    <tableColumn id="312" name="Thursday302" dataDxfId="163" totalsRowDxfId="162"/>
    <tableColumn id="313" name="Friday303" dataDxfId="161" totalsRowDxfId="160"/>
    <tableColumn id="314" name="Saturday304" dataDxfId="159" totalsRowDxfId="158"/>
    <tableColumn id="315" name="Sunday305" dataDxfId="157" totalsRowDxfId="156"/>
    <tableColumn id="316" name="Monday306" dataDxfId="155" totalsRowDxfId="154"/>
    <tableColumn id="317" name="Tuesday307" dataDxfId="153" totalsRowDxfId="152"/>
    <tableColumn id="318" name="Wednesday308" dataDxfId="151" totalsRowDxfId="150"/>
    <tableColumn id="319" name="Thursday309" dataDxfId="149" totalsRowDxfId="148"/>
    <tableColumn id="320" name="Friday310" dataDxfId="147" totalsRowDxfId="146"/>
    <tableColumn id="321" name="Saturday311" dataDxfId="145" totalsRowDxfId="144"/>
    <tableColumn id="322" name="Sunday312" dataDxfId="143" totalsRowDxfId="142"/>
    <tableColumn id="323" name="Monday313" dataDxfId="141" totalsRowDxfId="140"/>
    <tableColumn id="324" name="Tuesday314" dataDxfId="139" totalsRowDxfId="138"/>
    <tableColumn id="325" name="Wednesday315" dataDxfId="137" totalsRowDxfId="136"/>
    <tableColumn id="326" name="Thursday316" dataDxfId="135" totalsRowDxfId="134"/>
    <tableColumn id="327" name="Friday317" dataDxfId="133" totalsRowDxfId="132"/>
    <tableColumn id="328" name="Saturday318" dataDxfId="131" totalsRowDxfId="130"/>
    <tableColumn id="329" name="Sunday319" dataDxfId="129" totalsRowDxfId="128"/>
    <tableColumn id="330" name="Monday320" dataDxfId="127" totalsRowDxfId="126"/>
    <tableColumn id="331" name="Tuesday321" dataDxfId="125" totalsRowDxfId="124"/>
    <tableColumn id="332" name="Wednesday322" dataDxfId="123" totalsRowDxfId="122"/>
    <tableColumn id="333" name="Thursday323" dataDxfId="121" totalsRowDxfId="120"/>
    <tableColumn id="334" name="Friday324" dataDxfId="119" totalsRowDxfId="118"/>
    <tableColumn id="335" name="Saturday325" dataDxfId="117" totalsRowDxfId="116"/>
    <tableColumn id="336" name="Sunday326" dataDxfId="115" totalsRowDxfId="114"/>
    <tableColumn id="337" name="Monday327" dataDxfId="113" totalsRowDxfId="112"/>
    <tableColumn id="338" name="Tuesday328" dataDxfId="111" totalsRowDxfId="110"/>
    <tableColumn id="339" name="Wednesday329" dataDxfId="109" totalsRowDxfId="108"/>
    <tableColumn id="340" name="Thursday330" dataDxfId="107" totalsRowDxfId="106"/>
    <tableColumn id="341" name="Friday331" dataDxfId="105" totalsRowDxfId="104"/>
    <tableColumn id="342" name="Saturday332" dataDxfId="103" totalsRowDxfId="102"/>
    <tableColumn id="343" name="Sunday333" dataDxfId="101" totalsRowDxfId="100"/>
    <tableColumn id="344" name="Monday334" dataDxfId="99" totalsRowDxfId="98"/>
    <tableColumn id="345" name="Tuesday335" dataDxfId="97" totalsRowDxfId="96"/>
    <tableColumn id="346" name="Wednesday336" dataDxfId="95" totalsRowDxfId="94"/>
    <tableColumn id="347" name="Thursday337" dataDxfId="93" totalsRowDxfId="92"/>
    <tableColumn id="348" name="Friday338" dataDxfId="91" totalsRowDxfId="90"/>
    <tableColumn id="349" name="Saturday339" dataDxfId="89" totalsRowDxfId="88"/>
    <tableColumn id="350" name="Sunday340" dataDxfId="87" totalsRowDxfId="86"/>
    <tableColumn id="351" name="Monday341" dataDxfId="85" totalsRowDxfId="84"/>
    <tableColumn id="352" name="Tuesday342" dataDxfId="83" totalsRowDxfId="82"/>
    <tableColumn id="353" name="Wednesday343" dataDxfId="81" totalsRowDxfId="80"/>
  </tableColumns>
  <tableStyleInfo name="TableStyleLight1" showFirstColumn="0" showLastColumn="0" showRowStripes="1" showColumnStripes="0"/>
</table>
</file>

<file path=xl/tables/table2.xml><?xml version="1.0" encoding="utf-8"?>
<table xmlns="http://schemas.openxmlformats.org/spreadsheetml/2006/main" id="2" name="Table2" displayName="Table2" ref="B3:M80" totalsRowShown="0" headerRowDxfId="77" dataDxfId="76" headerRowCellStyle="Good">
  <autoFilter ref="B3:M80"/>
  <tableColumns count="12">
    <tableColumn id="1" name="Series Name" dataDxfId="75"/>
    <tableColumn id="2" name="Name" dataDxfId="74"/>
    <tableColumn id="3" name="About" dataDxfId="73"/>
    <tableColumn id="4" name="Expected Date" dataDxfId="72"/>
    <tableColumn id="5" name="Work Time" dataDxfId="71"/>
    <tableColumn id="6" name="Hours" dataDxfId="70"/>
    <tableColumn id="7" name="Column2" dataDxfId="69"/>
    <tableColumn id="8" name="Column3" dataDxfId="68"/>
    <tableColumn id="9" name="Column4" dataDxfId="67"/>
    <tableColumn id="10" name="Column5" dataDxfId="66"/>
    <tableColumn id="11" name="Column6" dataDxfId="65"/>
    <tableColumn id="12" name="Column7" dataDxfId="64"/>
  </tableColumns>
  <tableStyleInfo name="TableStyleLight1" showFirstColumn="0" showLastColumn="0" showRowStripes="1" showColumnStripes="0"/>
</table>
</file>

<file path=xl/tables/table3.xml><?xml version="1.0" encoding="utf-8"?>
<table xmlns="http://schemas.openxmlformats.org/spreadsheetml/2006/main" id="3" name="Table3" displayName="Table3" ref="C15:G120" totalsRowShown="0" headerRowDxfId="63" dataDxfId="62">
  <autoFilter ref="C15:G120"/>
  <tableColumns count="5">
    <tableColumn id="1" name="Task" dataDxfId="61"/>
    <tableColumn id="2" name="TODO" dataDxfId="60"/>
    <tableColumn id="3" name="Percentage" dataDxfId="59"/>
    <tableColumn id="4" name="Due" dataDxfId="58"/>
    <tableColumn id="5" name="Side Notes" dataDxfId="57"/>
  </tableColumns>
  <tableStyleInfo name="TableStyleLight1" showFirstColumn="0" showLastColumn="0" showRowStripes="1" showColumnStripes="0"/>
</table>
</file>

<file path=xl/tables/table4.xml><?xml version="1.0" encoding="utf-8"?>
<table xmlns="http://schemas.openxmlformats.org/spreadsheetml/2006/main" id="1" name="Table1" displayName="Table1" ref="B4:K11" totalsRowShown="0" headerRowDxfId="56" dataDxfId="55">
  <autoFilter ref="B4:K11"/>
  <sortState ref="B5:K12">
    <sortCondition descending="1" ref="B4:B12"/>
  </sortState>
  <tableColumns count="10">
    <tableColumn id="1" name="PRIORITY" dataDxfId="54"/>
    <tableColumn id="10" name="Finish By" dataDxfId="53"/>
    <tableColumn id="2" name="SUBJECT" dataDxfId="52"/>
    <tableColumn id="9" name="TASKS LEFT" dataDxfId="51"/>
    <tableColumn id="3" name="Tasks" dataDxfId="50" dataCellStyle="Note"/>
    <tableColumn id="4" name="Links" dataDxfId="49"/>
    <tableColumn id="5" name="Percent" dataDxfId="48"/>
    <tableColumn id="6" name="Due Dates" dataDxfId="47"/>
    <tableColumn id="7" name="Revision" dataDxfId="46" dataCellStyle="Normal"/>
    <tableColumn id="8" name="Next Assesment + Assignment" dataDxfId="45"/>
  </tableColumns>
  <tableStyleInfo name="TableStyleLight1" showFirstColumn="0" showLastColumn="0" showRowStripes="1" showColumnStripes="0"/>
</table>
</file>

<file path=xl/tables/table5.xml><?xml version="1.0" encoding="utf-8"?>
<table xmlns="http://schemas.openxmlformats.org/spreadsheetml/2006/main" id="6" name="Table6" displayName="Table6" ref="A7:F723" totalsRowShown="0" dataDxfId="7" tableBorderDxfId="6">
  <autoFilter ref="A7:F723"/>
  <tableColumns count="6">
    <tableColumn id="1" name="CAT" dataDxfId="5" dataCellStyle="Good"/>
    <tableColumn id="2" name="STAGE" dataDxfId="4"/>
    <tableColumn id="3" name="TASK" dataDxfId="3"/>
    <tableColumn id="4" name="Start Date" dataDxfId="2"/>
    <tableColumn id="5" name="End Date" dataDxfId="1"/>
    <tableColumn id="6" name="Progress"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https://buildfire.com/free-app-promotion/" TargetMode="External"/><Relationship Id="rId2" Type="http://schemas.openxmlformats.org/officeDocument/2006/relationships/hyperlink" Target="https://www.the-blueprints.com/blueprints/" TargetMode="External"/><Relationship Id="rId1" Type="http://schemas.openxmlformats.org/officeDocument/2006/relationships/hyperlink" Target="https://queenslandacademies.blob.core.windows.net/daymap/Resources/16124/Unit%207%20Marketing.pdf?sv=2017-04-17&amp;sr=b&amp;sig=raNNPS4aZekluJaWF1MyN9LYudqCjmYifWXukHiC9pU%3D&amp;se=2018-04-23T02%3A52%3A58Z&amp;sp=r" TargetMode="Externa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table" Target="../tables/table5.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sheetPr>
  <dimension ref="A1:L28"/>
  <sheetViews>
    <sheetView topLeftCell="A10" zoomScale="70" zoomScaleNormal="70" workbookViewId="0">
      <selection activeCell="E15" sqref="E15"/>
    </sheetView>
  </sheetViews>
  <sheetFormatPr defaultRowHeight="15" x14ac:dyDescent="0.25"/>
  <cols>
    <col min="1" max="1" width="9.140625" style="65"/>
    <col min="2" max="2" width="16" style="1" customWidth="1"/>
    <col min="3" max="3" width="32.42578125" style="1" customWidth="1"/>
    <col min="4" max="4" width="13.140625" style="111" customWidth="1"/>
    <col min="5" max="5" width="30.42578125" style="1" customWidth="1"/>
    <col min="6" max="6" width="10.42578125" style="111" customWidth="1"/>
    <col min="7" max="7" width="23.7109375" style="1" customWidth="1"/>
    <col min="8" max="8" width="10.42578125" style="111" customWidth="1"/>
    <col min="9" max="9" width="23.5703125" style="1" customWidth="1"/>
    <col min="10" max="10" width="10.42578125" style="111" customWidth="1"/>
    <col min="11" max="11" width="28.7109375" style="1" customWidth="1"/>
    <col min="12" max="12" width="9.140625" style="111" customWidth="1"/>
    <col min="13" max="16384" width="9.140625" style="1"/>
  </cols>
  <sheetData>
    <row r="1" spans="2:12" s="65" customFormat="1" x14ac:dyDescent="0.25">
      <c r="D1" s="219"/>
      <c r="F1" s="219"/>
      <c r="G1" s="212"/>
      <c r="H1" s="219"/>
      <c r="J1" s="219"/>
      <c r="L1" s="219"/>
    </row>
    <row r="2" spans="2:12" s="65" customFormat="1" x14ac:dyDescent="0.25">
      <c r="D2" s="219"/>
      <c r="F2" s="219"/>
      <c r="G2" s="212"/>
      <c r="H2" s="219"/>
      <c r="J2" s="219"/>
      <c r="L2" s="219"/>
    </row>
    <row r="3" spans="2:12" s="220" customFormat="1" ht="3" customHeight="1" x14ac:dyDescent="0.25">
      <c r="D3" s="221"/>
      <c r="F3" s="221"/>
      <c r="H3" s="221"/>
      <c r="J3" s="221"/>
      <c r="L3" s="221"/>
    </row>
    <row r="4" spans="2:12" ht="20.25" customHeight="1" x14ac:dyDescent="0.25">
      <c r="B4" s="1" t="s">
        <v>314</v>
      </c>
      <c r="C4" s="1" t="s">
        <v>456</v>
      </c>
      <c r="D4" s="111" t="s">
        <v>600</v>
      </c>
      <c r="E4" s="1" t="s">
        <v>463</v>
      </c>
      <c r="F4" s="111" t="s">
        <v>600</v>
      </c>
      <c r="G4" s="1" t="s">
        <v>453</v>
      </c>
      <c r="H4" s="111" t="s">
        <v>600</v>
      </c>
      <c r="I4" s="1" t="s">
        <v>599</v>
      </c>
      <c r="J4" s="111" t="s">
        <v>600</v>
      </c>
      <c r="K4" s="1" t="s">
        <v>458</v>
      </c>
      <c r="L4" s="111" t="s">
        <v>600</v>
      </c>
    </row>
    <row r="5" spans="2:12" s="220" customFormat="1" ht="2.25" customHeight="1" x14ac:dyDescent="0.25">
      <c r="D5" s="221"/>
      <c r="F5" s="221"/>
      <c r="H5" s="221"/>
      <c r="J5" s="221"/>
      <c r="L5" s="221"/>
    </row>
    <row r="6" spans="2:12" ht="45" x14ac:dyDescent="0.25">
      <c r="C6" s="42" t="s">
        <v>607</v>
      </c>
      <c r="D6" s="111">
        <v>0.8</v>
      </c>
      <c r="E6" s="42" t="s">
        <v>601</v>
      </c>
      <c r="F6" s="111">
        <v>0.8</v>
      </c>
      <c r="G6" s="42" t="s">
        <v>617</v>
      </c>
      <c r="H6" s="111">
        <v>0.7</v>
      </c>
      <c r="I6" s="42" t="s">
        <v>632</v>
      </c>
      <c r="J6" s="111">
        <v>0.2</v>
      </c>
      <c r="K6" s="233" t="s">
        <v>637</v>
      </c>
      <c r="L6" s="111">
        <v>1</v>
      </c>
    </row>
    <row r="7" spans="2:12" ht="45" x14ac:dyDescent="0.25">
      <c r="C7" s="42" t="s">
        <v>608</v>
      </c>
      <c r="D7" s="111">
        <v>0.9</v>
      </c>
      <c r="E7" s="42" t="s">
        <v>602</v>
      </c>
      <c r="F7" s="111">
        <v>0.9</v>
      </c>
      <c r="G7" s="233" t="s">
        <v>618</v>
      </c>
      <c r="H7" s="111">
        <v>1</v>
      </c>
      <c r="I7" s="233" t="s">
        <v>633</v>
      </c>
      <c r="J7" s="111">
        <v>0</v>
      </c>
      <c r="K7" s="233" t="s">
        <v>638</v>
      </c>
      <c r="L7" s="111">
        <v>0.4</v>
      </c>
    </row>
    <row r="8" spans="2:12" ht="45" x14ac:dyDescent="0.25">
      <c r="C8" s="233" t="s">
        <v>656</v>
      </c>
      <c r="D8" s="111">
        <v>0.3</v>
      </c>
      <c r="E8" s="42" t="s">
        <v>603</v>
      </c>
      <c r="F8" s="111">
        <v>0.6</v>
      </c>
      <c r="G8" s="42" t="s">
        <v>619</v>
      </c>
      <c r="H8" s="111">
        <v>0.8</v>
      </c>
      <c r="I8" s="233" t="s">
        <v>634</v>
      </c>
      <c r="J8" s="111">
        <v>0</v>
      </c>
      <c r="K8" s="233" t="s">
        <v>639</v>
      </c>
      <c r="L8" s="111">
        <v>-0.1</v>
      </c>
    </row>
    <row r="9" spans="2:12" ht="45" x14ac:dyDescent="0.25">
      <c r="C9" s="42" t="s">
        <v>609</v>
      </c>
      <c r="D9" s="111">
        <v>1</v>
      </c>
      <c r="E9" s="233" t="s">
        <v>604</v>
      </c>
      <c r="F9" s="111">
        <v>0.7</v>
      </c>
      <c r="G9" s="234" t="s">
        <v>620</v>
      </c>
      <c r="H9" s="111">
        <v>0.4</v>
      </c>
      <c r="I9" s="233" t="s">
        <v>635</v>
      </c>
      <c r="J9" s="111">
        <v>0</v>
      </c>
      <c r="K9" s="233" t="s">
        <v>647</v>
      </c>
      <c r="L9" s="111">
        <v>0.1</v>
      </c>
    </row>
    <row r="10" spans="2:12" ht="45" x14ac:dyDescent="0.25">
      <c r="C10" s="234" t="s">
        <v>610</v>
      </c>
      <c r="D10" s="111">
        <v>0.7</v>
      </c>
      <c r="E10" s="233" t="s">
        <v>643</v>
      </c>
      <c r="F10" s="111">
        <v>0.8</v>
      </c>
      <c r="G10" s="233" t="s">
        <v>621</v>
      </c>
      <c r="H10" s="111">
        <v>0.5</v>
      </c>
      <c r="I10" s="42" t="s">
        <v>636</v>
      </c>
      <c r="J10" s="111">
        <v>0</v>
      </c>
    </row>
    <row r="11" spans="2:12" ht="45" x14ac:dyDescent="0.25">
      <c r="C11" s="233" t="s">
        <v>662</v>
      </c>
      <c r="D11" s="111">
        <v>0.8</v>
      </c>
      <c r="E11" s="233" t="s">
        <v>605</v>
      </c>
      <c r="F11" s="111">
        <v>0.6</v>
      </c>
      <c r="G11" s="233" t="s">
        <v>622</v>
      </c>
      <c r="H11" s="111">
        <v>0.8</v>
      </c>
      <c r="I11" s="42" t="s">
        <v>648</v>
      </c>
      <c r="J11" s="111">
        <v>0</v>
      </c>
    </row>
    <row r="12" spans="2:12" ht="30" x14ac:dyDescent="0.25">
      <c r="C12" s="233" t="s">
        <v>611</v>
      </c>
      <c r="D12" s="111">
        <v>0.5</v>
      </c>
      <c r="E12" s="233" t="s">
        <v>629</v>
      </c>
      <c r="F12" s="111">
        <v>0.7</v>
      </c>
      <c r="G12" s="42" t="s">
        <v>623</v>
      </c>
      <c r="H12" s="111">
        <v>0.6</v>
      </c>
    </row>
    <row r="13" spans="2:12" ht="45" x14ac:dyDescent="0.25">
      <c r="C13" s="234" t="s">
        <v>663</v>
      </c>
      <c r="D13" s="111">
        <v>0.6</v>
      </c>
      <c r="E13" s="42" t="s">
        <v>630</v>
      </c>
      <c r="F13" s="111">
        <v>0.7</v>
      </c>
      <c r="G13" s="234" t="s">
        <v>624</v>
      </c>
      <c r="H13" s="111">
        <v>0.4</v>
      </c>
    </row>
    <row r="14" spans="2:12" ht="30" x14ac:dyDescent="0.25">
      <c r="C14" s="42" t="s">
        <v>612</v>
      </c>
      <c r="D14" s="111">
        <v>0.7</v>
      </c>
      <c r="E14" s="233" t="s">
        <v>631</v>
      </c>
      <c r="F14" s="111">
        <v>0.05</v>
      </c>
      <c r="G14" s="234" t="s">
        <v>625</v>
      </c>
      <c r="H14" s="111">
        <v>0.5</v>
      </c>
    </row>
    <row r="15" spans="2:12" ht="75" x14ac:dyDescent="0.25">
      <c r="C15" s="233" t="s">
        <v>613</v>
      </c>
      <c r="D15" s="111">
        <v>0.7</v>
      </c>
      <c r="E15" s="42" t="s">
        <v>640</v>
      </c>
      <c r="F15" s="111">
        <v>0.6</v>
      </c>
      <c r="G15" s="233" t="s">
        <v>626</v>
      </c>
      <c r="H15" s="111">
        <v>0.4</v>
      </c>
    </row>
    <row r="16" spans="2:12" ht="45" x14ac:dyDescent="0.25">
      <c r="C16" s="233" t="s">
        <v>614</v>
      </c>
      <c r="D16" s="111">
        <v>0.5</v>
      </c>
      <c r="E16" s="233" t="s">
        <v>641</v>
      </c>
      <c r="F16" s="111">
        <v>0</v>
      </c>
      <c r="G16" s="233" t="s">
        <v>627</v>
      </c>
      <c r="H16" s="111">
        <v>0.7</v>
      </c>
    </row>
    <row r="17" spans="2:12" ht="60" x14ac:dyDescent="0.25">
      <c r="C17" s="234" t="s">
        <v>615</v>
      </c>
      <c r="D17" s="111">
        <v>0.2</v>
      </c>
      <c r="E17" s="233" t="s">
        <v>644</v>
      </c>
      <c r="F17" s="111">
        <v>0</v>
      </c>
      <c r="G17" s="233" t="s">
        <v>628</v>
      </c>
      <c r="H17" s="111">
        <v>0.2</v>
      </c>
    </row>
    <row r="18" spans="2:12" ht="60" x14ac:dyDescent="0.25">
      <c r="C18" s="233" t="s">
        <v>654</v>
      </c>
      <c r="D18" s="111">
        <v>0.6</v>
      </c>
      <c r="E18" s="233" t="s">
        <v>645</v>
      </c>
      <c r="F18" s="111">
        <v>0.1</v>
      </c>
      <c r="G18" s="233" t="s">
        <v>653</v>
      </c>
      <c r="H18" s="111">
        <v>0.6</v>
      </c>
    </row>
    <row r="19" spans="2:12" ht="45" x14ac:dyDescent="0.25">
      <c r="C19" s="233" t="s">
        <v>655</v>
      </c>
      <c r="D19" s="111">
        <v>0.7</v>
      </c>
      <c r="F19" s="1"/>
      <c r="G19" s="234" t="s">
        <v>660</v>
      </c>
      <c r="H19" s="111">
        <v>0.2</v>
      </c>
      <c r="J19" s="1"/>
      <c r="L19" s="1"/>
    </row>
    <row r="20" spans="2:12" ht="60" x14ac:dyDescent="0.25">
      <c r="C20" s="234" t="s">
        <v>616</v>
      </c>
      <c r="D20" s="111">
        <v>0.3</v>
      </c>
      <c r="F20" s="1"/>
      <c r="G20" s="233" t="s">
        <v>661</v>
      </c>
      <c r="H20" s="111">
        <v>0.1</v>
      </c>
    </row>
    <row r="21" spans="2:12" ht="30" x14ac:dyDescent="0.25">
      <c r="C21" s="234" t="s">
        <v>649</v>
      </c>
      <c r="D21" s="111">
        <v>0</v>
      </c>
      <c r="F21" s="1"/>
      <c r="H21" s="1"/>
    </row>
    <row r="22" spans="2:12" ht="60" x14ac:dyDescent="0.25">
      <c r="C22" s="234" t="s">
        <v>646</v>
      </c>
      <c r="D22" s="111">
        <v>0.5</v>
      </c>
      <c r="G22" s="1" t="s">
        <v>310</v>
      </c>
      <c r="H22" s="111" t="s">
        <v>310</v>
      </c>
    </row>
    <row r="23" spans="2:12" s="222" customFormat="1" ht="7.5" customHeight="1" x14ac:dyDescent="0.25">
      <c r="D23" s="223"/>
      <c r="F23" s="223"/>
      <c r="H23" s="223"/>
      <c r="J23" s="223"/>
      <c r="L23" s="223"/>
    </row>
    <row r="24" spans="2:12" x14ac:dyDescent="0.25">
      <c r="C24" s="1" t="s">
        <v>606</v>
      </c>
      <c r="D24" s="111">
        <f>AVERAGE(D6:D23)</f>
        <v>0.57647058823529418</v>
      </c>
      <c r="E24" s="1" t="s">
        <v>606</v>
      </c>
      <c r="F24" s="111">
        <f>AVERAGE(F6:F23)</f>
        <v>0.50384615384615372</v>
      </c>
      <c r="G24" s="1" t="s">
        <v>606</v>
      </c>
      <c r="H24" s="111">
        <f>AVERAGE(H6:H23)</f>
        <v>0.52666666666666673</v>
      </c>
      <c r="I24" s="1" t="s">
        <v>606</v>
      </c>
      <c r="J24" s="111">
        <f>AVERAGE(J6:J23)</f>
        <v>3.3333333333333333E-2</v>
      </c>
      <c r="K24" s="1" t="s">
        <v>606</v>
      </c>
      <c r="L24" s="111">
        <f>AVERAGE(L6:L23)</f>
        <v>0.35</v>
      </c>
    </row>
    <row r="25" spans="2:12" s="224" customFormat="1" ht="62.25" customHeight="1" x14ac:dyDescent="0.25">
      <c r="B25" s="224" t="s">
        <v>642</v>
      </c>
      <c r="C25" s="226">
        <f ca="1">C27-NOW()</f>
        <v>-0.76541076388821239</v>
      </c>
      <c r="D25" s="224" t="s">
        <v>642</v>
      </c>
      <c r="E25" s="226">
        <f ca="1">E27-NOW()</f>
        <v>-1.7654107638882124</v>
      </c>
      <c r="F25" s="224" t="s">
        <v>642</v>
      </c>
      <c r="G25" s="226">
        <f ca="1">G27-NOW()</f>
        <v>-2.7654107638882124</v>
      </c>
      <c r="H25" s="224" t="s">
        <v>642</v>
      </c>
      <c r="I25" s="226">
        <f ca="1">I27-NOW()</f>
        <v>-0.76541076388821239</v>
      </c>
      <c r="J25" s="224" t="s">
        <v>642</v>
      </c>
      <c r="K25" s="226">
        <f ca="1">K27-NOW()</f>
        <v>-3.7654107638882124</v>
      </c>
      <c r="L25" s="225"/>
    </row>
    <row r="27" spans="2:12" x14ac:dyDescent="0.25">
      <c r="C27" s="227">
        <v>43279</v>
      </c>
      <c r="E27" s="227">
        <v>43278</v>
      </c>
      <c r="G27" s="227">
        <v>43277</v>
      </c>
      <c r="I27" s="227">
        <v>43279</v>
      </c>
      <c r="K27" s="227">
        <v>43276</v>
      </c>
    </row>
    <row r="28" spans="2:12" x14ac:dyDescent="0.25">
      <c r="C28" s="64"/>
    </row>
  </sheetData>
  <conditionalFormatting sqref="H26:H1048576 D26:D1048576 D1:D23 F26:F1048576 J26:J1048576 L25:L1048576 F22:F23 H22:H23 F1:F17 J1:J12 L1:L12 J20:J23 J14:J18 L20:L23 L14:L18 H1:H20">
    <cfRule type="colorScale" priority="8">
      <colorScale>
        <cfvo type="num" val="0"/>
        <cfvo type="num" val="0.5"/>
        <cfvo type="num" val="1"/>
        <color rgb="FFF8696B"/>
        <color rgb="FFFFEB84"/>
        <color rgb="FF63BE7B"/>
      </colorScale>
    </cfRule>
  </conditionalFormatting>
  <conditionalFormatting sqref="J13">
    <cfRule type="colorScale" priority="6">
      <colorScale>
        <cfvo type="num" val="0"/>
        <cfvo type="num" val="0.5"/>
        <cfvo type="num" val="1"/>
        <color rgb="FFF8696B"/>
        <color rgb="FFFFEB84"/>
        <color rgb="FF63BE7B"/>
      </colorScale>
    </cfRule>
  </conditionalFormatting>
  <conditionalFormatting sqref="L13">
    <cfRule type="colorScale" priority="5">
      <colorScale>
        <cfvo type="num" val="0"/>
        <cfvo type="num" val="0.5"/>
        <cfvo type="num" val="1"/>
        <color rgb="FFF8696B"/>
        <color rgb="FFFFEB84"/>
        <color rgb="FF63BE7B"/>
      </colorScale>
    </cfRule>
  </conditionalFormatting>
  <conditionalFormatting sqref="D24">
    <cfRule type="colorScale" priority="4">
      <colorScale>
        <cfvo type="num" val="0"/>
        <cfvo type="num" val="0.5"/>
        <cfvo type="num" val="1"/>
        <color rgb="FFF8696B"/>
        <color rgb="FFFFEB84"/>
        <color rgb="FF63BE7B"/>
      </colorScale>
    </cfRule>
  </conditionalFormatting>
  <conditionalFormatting sqref="F24">
    <cfRule type="colorScale" priority="3">
      <colorScale>
        <cfvo type="num" val="0"/>
        <cfvo type="num" val="0.5"/>
        <cfvo type="num" val="1"/>
        <color rgb="FFF8696B"/>
        <color rgb="FFFFEB84"/>
        <color rgb="FF63BE7B"/>
      </colorScale>
    </cfRule>
  </conditionalFormatting>
  <conditionalFormatting sqref="H24 J24 L24">
    <cfRule type="colorScale" priority="2">
      <colorScale>
        <cfvo type="num" val="0"/>
        <cfvo type="num" val="0.5"/>
        <cfvo type="num" val="1"/>
        <color rgb="FFF8696B"/>
        <color rgb="FFFFEB84"/>
        <color rgb="FF63BE7B"/>
      </colorScale>
    </cfRule>
  </conditionalFormatting>
  <conditionalFormatting sqref="F18">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HR41"/>
  <sheetViews>
    <sheetView topLeftCell="B10" zoomScaleNormal="100" workbookViewId="0">
      <selection activeCell="F24" sqref="F24"/>
    </sheetView>
  </sheetViews>
  <sheetFormatPr defaultColWidth="8.85546875" defaultRowHeight="15" x14ac:dyDescent="0.25"/>
  <cols>
    <col min="1" max="1" width="27.28515625" style="66" customWidth="1"/>
    <col min="2" max="2" width="21.85546875" style="69" customWidth="1"/>
    <col min="3" max="252" width="20.7109375" style="73" customWidth="1"/>
    <col min="253" max="16384" width="8.85546875" style="73"/>
  </cols>
  <sheetData>
    <row r="1" spans="1:226" s="67" customFormat="1" x14ac:dyDescent="0.25">
      <c r="A1" s="68">
        <f ca="1">TODAY()</f>
        <v>43279</v>
      </c>
    </row>
    <row r="2" spans="1:226" s="96" customFormat="1" ht="66.75" customHeight="1" x14ac:dyDescent="0.25">
      <c r="A2" s="95">
        <f ca="1">NOW()</f>
        <v>43279.765410763888</v>
      </c>
      <c r="B2" s="97">
        <v>43157</v>
      </c>
    </row>
    <row r="3" spans="1:226" s="125" customFormat="1" ht="33" customHeight="1" x14ac:dyDescent="0.25">
      <c r="A3" s="217">
        <f ca="1">HOUR(A2)</f>
        <v>18</v>
      </c>
      <c r="B3" s="124"/>
      <c r="C3" s="125" t="s">
        <v>72</v>
      </c>
      <c r="D3" s="125" t="s">
        <v>73</v>
      </c>
      <c r="E3" s="125" t="s">
        <v>74</v>
      </c>
      <c r="F3" s="125" t="s">
        <v>75</v>
      </c>
      <c r="G3" s="125" t="s">
        <v>76</v>
      </c>
      <c r="H3" s="125" t="s">
        <v>77</v>
      </c>
      <c r="I3" s="125" t="s">
        <v>78</v>
      </c>
      <c r="J3" s="125" t="s">
        <v>79</v>
      </c>
      <c r="K3" s="125" t="s">
        <v>80</v>
      </c>
      <c r="L3" s="125" t="s">
        <v>81</v>
      </c>
      <c r="M3" s="125" t="s">
        <v>82</v>
      </c>
      <c r="N3" s="125" t="s">
        <v>83</v>
      </c>
      <c r="O3" s="125" t="s">
        <v>84</v>
      </c>
      <c r="P3" s="125" t="s">
        <v>85</v>
      </c>
      <c r="Q3" s="125" t="s">
        <v>86</v>
      </c>
      <c r="R3" s="125" t="s">
        <v>87</v>
      </c>
      <c r="S3" s="125" t="s">
        <v>88</v>
      </c>
      <c r="T3" s="125" t="s">
        <v>89</v>
      </c>
      <c r="U3" s="125" t="s">
        <v>90</v>
      </c>
      <c r="V3" s="125" t="s">
        <v>91</v>
      </c>
      <c r="W3" s="125" t="s">
        <v>92</v>
      </c>
      <c r="X3" s="125" t="s">
        <v>93</v>
      </c>
      <c r="Y3" s="125" t="s">
        <v>94</v>
      </c>
      <c r="Z3" s="125" t="s">
        <v>95</v>
      </c>
      <c r="AA3" s="125" t="s">
        <v>96</v>
      </c>
      <c r="AB3" s="125" t="s">
        <v>97</v>
      </c>
      <c r="AC3" s="125" t="s">
        <v>98</v>
      </c>
      <c r="AD3" s="125" t="s">
        <v>99</v>
      </c>
      <c r="AE3" s="125" t="s">
        <v>100</v>
      </c>
      <c r="AF3" s="125" t="s">
        <v>101</v>
      </c>
      <c r="AG3" s="125" t="s">
        <v>102</v>
      </c>
      <c r="AH3" s="125" t="s">
        <v>103</v>
      </c>
      <c r="AI3" s="125" t="s">
        <v>104</v>
      </c>
      <c r="AJ3" s="125" t="s">
        <v>105</v>
      </c>
      <c r="AK3" s="125" t="s">
        <v>106</v>
      </c>
      <c r="AL3" s="125" t="s">
        <v>107</v>
      </c>
      <c r="AM3" s="125" t="s">
        <v>108</v>
      </c>
      <c r="AN3" s="125" t="s">
        <v>109</v>
      </c>
      <c r="AO3" s="125" t="s">
        <v>110</v>
      </c>
      <c r="AP3" s="125" t="s">
        <v>111</v>
      </c>
      <c r="AQ3" s="125" t="s">
        <v>112</v>
      </c>
      <c r="AR3" s="125" t="s">
        <v>113</v>
      </c>
      <c r="AS3" s="125" t="s">
        <v>114</v>
      </c>
      <c r="AT3" s="125" t="s">
        <v>115</v>
      </c>
      <c r="AU3" s="125" t="s">
        <v>116</v>
      </c>
      <c r="AV3" s="125" t="s">
        <v>117</v>
      </c>
      <c r="AW3" s="125" t="s">
        <v>118</v>
      </c>
      <c r="AX3" s="125" t="s">
        <v>119</v>
      </c>
      <c r="AY3" s="125" t="s">
        <v>120</v>
      </c>
      <c r="AZ3" s="125" t="s">
        <v>121</v>
      </c>
      <c r="BA3" s="125" t="s">
        <v>122</v>
      </c>
      <c r="BB3" s="125" t="s">
        <v>123</v>
      </c>
      <c r="BC3" s="125" t="s">
        <v>124</v>
      </c>
      <c r="BD3" s="125" t="s">
        <v>125</v>
      </c>
      <c r="BE3" s="125" t="s">
        <v>126</v>
      </c>
      <c r="BF3" s="125" t="s">
        <v>127</v>
      </c>
      <c r="BG3" s="125" t="s">
        <v>128</v>
      </c>
      <c r="BH3" s="125" t="s">
        <v>129</v>
      </c>
      <c r="BI3" s="125" t="s">
        <v>130</v>
      </c>
      <c r="BJ3" s="125" t="s">
        <v>131</v>
      </c>
      <c r="BK3" s="125" t="s">
        <v>132</v>
      </c>
      <c r="BL3" s="125" t="s">
        <v>133</v>
      </c>
      <c r="BM3" s="125" t="s">
        <v>134</v>
      </c>
      <c r="BN3" s="125" t="s">
        <v>135</v>
      </c>
      <c r="BO3" s="125" t="s">
        <v>136</v>
      </c>
      <c r="BP3" s="125" t="s">
        <v>137</v>
      </c>
      <c r="BQ3" s="125" t="s">
        <v>138</v>
      </c>
      <c r="BR3" s="125" t="s">
        <v>139</v>
      </c>
      <c r="BS3" s="125" t="s">
        <v>140</v>
      </c>
      <c r="BT3" s="125" t="s">
        <v>141</v>
      </c>
      <c r="BU3" s="125" t="s">
        <v>142</v>
      </c>
      <c r="BV3" s="125" t="s">
        <v>143</v>
      </c>
      <c r="BW3" s="125" t="s">
        <v>144</v>
      </c>
      <c r="BX3" s="125" t="s">
        <v>145</v>
      </c>
      <c r="BY3" s="125" t="s">
        <v>146</v>
      </c>
      <c r="BZ3" s="125" t="s">
        <v>147</v>
      </c>
      <c r="CA3" s="125" t="s">
        <v>148</v>
      </c>
      <c r="CB3" s="125" t="s">
        <v>149</v>
      </c>
      <c r="CC3" s="125" t="s">
        <v>150</v>
      </c>
      <c r="CD3" s="125" t="s">
        <v>151</v>
      </c>
      <c r="CE3" s="125" t="s">
        <v>152</v>
      </c>
      <c r="CF3" s="125" t="s">
        <v>153</v>
      </c>
      <c r="CG3" s="125" t="s">
        <v>154</v>
      </c>
      <c r="CH3" s="125" t="s">
        <v>155</v>
      </c>
      <c r="CI3" s="125" t="s">
        <v>156</v>
      </c>
      <c r="CJ3" s="125" t="s">
        <v>157</v>
      </c>
      <c r="CK3" s="125" t="s">
        <v>158</v>
      </c>
      <c r="CL3" s="125" t="s">
        <v>159</v>
      </c>
      <c r="CM3" s="125" t="s">
        <v>160</v>
      </c>
      <c r="CN3" s="125" t="s">
        <v>161</v>
      </c>
      <c r="CO3" s="125" t="s">
        <v>162</v>
      </c>
      <c r="CP3" s="125" t="s">
        <v>163</v>
      </c>
      <c r="CQ3" s="125" t="s">
        <v>164</v>
      </c>
      <c r="CR3" s="125" t="s">
        <v>165</v>
      </c>
      <c r="CS3" s="125" t="s">
        <v>166</v>
      </c>
      <c r="CT3" s="125" t="s">
        <v>167</v>
      </c>
      <c r="CU3" s="125" t="s">
        <v>168</v>
      </c>
      <c r="CV3" s="125" t="s">
        <v>169</v>
      </c>
      <c r="CW3" s="125" t="s">
        <v>170</v>
      </c>
      <c r="CX3" s="125" t="s">
        <v>171</v>
      </c>
      <c r="CY3" s="125" t="s">
        <v>172</v>
      </c>
      <c r="CZ3" s="125" t="s">
        <v>173</v>
      </c>
      <c r="DA3" s="125" t="s">
        <v>174</v>
      </c>
      <c r="DB3" s="125" t="s">
        <v>175</v>
      </c>
      <c r="DC3" s="125" t="s">
        <v>176</v>
      </c>
      <c r="DD3" s="125" t="s">
        <v>177</v>
      </c>
      <c r="DE3" s="125" t="s">
        <v>178</v>
      </c>
      <c r="DF3" s="125" t="s">
        <v>179</v>
      </c>
      <c r="DG3" s="125" t="s">
        <v>180</v>
      </c>
      <c r="DH3" s="125" t="s">
        <v>181</v>
      </c>
      <c r="DI3" s="125" t="s">
        <v>182</v>
      </c>
      <c r="DJ3" s="125" t="s">
        <v>183</v>
      </c>
      <c r="DK3" s="125" t="s">
        <v>184</v>
      </c>
      <c r="DL3" s="125" t="s">
        <v>185</v>
      </c>
      <c r="DM3" s="125" t="s">
        <v>186</v>
      </c>
      <c r="DN3" s="125" t="s">
        <v>187</v>
      </c>
      <c r="DO3" s="125" t="s">
        <v>188</v>
      </c>
      <c r="DP3" s="125" t="s">
        <v>189</v>
      </c>
      <c r="DQ3" s="125" t="s">
        <v>190</v>
      </c>
      <c r="DR3" s="125" t="s">
        <v>191</v>
      </c>
      <c r="DS3" s="125" t="s">
        <v>192</v>
      </c>
      <c r="DT3" s="125" t="s">
        <v>193</v>
      </c>
      <c r="DU3" s="125" t="s">
        <v>194</v>
      </c>
      <c r="DV3" s="125" t="s">
        <v>195</v>
      </c>
      <c r="DW3" s="125" t="s">
        <v>196</v>
      </c>
      <c r="DX3" s="125" t="s">
        <v>197</v>
      </c>
      <c r="DY3" s="125" t="s">
        <v>198</v>
      </c>
      <c r="DZ3" s="125" t="s">
        <v>199</v>
      </c>
      <c r="EA3" s="125" t="s">
        <v>200</v>
      </c>
      <c r="EB3" s="125" t="s">
        <v>201</v>
      </c>
      <c r="EC3" s="125" t="s">
        <v>202</v>
      </c>
      <c r="ED3" s="125" t="s">
        <v>203</v>
      </c>
      <c r="EE3" s="125" t="s">
        <v>204</v>
      </c>
      <c r="EF3" s="125" t="s">
        <v>205</v>
      </c>
      <c r="EG3" s="125" t="s">
        <v>206</v>
      </c>
      <c r="EH3" s="125" t="s">
        <v>207</v>
      </c>
      <c r="EI3" s="125" t="s">
        <v>208</v>
      </c>
      <c r="EJ3" s="125" t="s">
        <v>209</v>
      </c>
      <c r="EK3" s="125" t="s">
        <v>210</v>
      </c>
      <c r="EL3" s="125" t="s">
        <v>211</v>
      </c>
      <c r="EM3" s="125" t="s">
        <v>212</v>
      </c>
      <c r="EN3" s="125" t="s">
        <v>213</v>
      </c>
      <c r="EO3" s="125" t="s">
        <v>214</v>
      </c>
      <c r="EP3" s="125" t="s">
        <v>215</v>
      </c>
      <c r="EQ3" s="125" t="s">
        <v>216</v>
      </c>
      <c r="ER3" s="125" t="s">
        <v>217</v>
      </c>
      <c r="ES3" s="125" t="s">
        <v>218</v>
      </c>
      <c r="ET3" s="125" t="s">
        <v>219</v>
      </c>
      <c r="EU3" s="125" t="s">
        <v>220</v>
      </c>
      <c r="EV3" s="125" t="s">
        <v>221</v>
      </c>
      <c r="EW3" s="125" t="s">
        <v>222</v>
      </c>
      <c r="EX3" s="125" t="s">
        <v>223</v>
      </c>
      <c r="EY3" s="125" t="s">
        <v>224</v>
      </c>
      <c r="EZ3" s="125" t="s">
        <v>225</v>
      </c>
      <c r="FA3" s="125" t="s">
        <v>226</v>
      </c>
      <c r="FB3" s="125" t="s">
        <v>227</v>
      </c>
      <c r="FC3" s="125" t="s">
        <v>228</v>
      </c>
      <c r="FD3" s="125" t="s">
        <v>229</v>
      </c>
      <c r="FE3" s="125" t="s">
        <v>230</v>
      </c>
      <c r="FF3" s="125" t="s">
        <v>231</v>
      </c>
      <c r="FG3" s="125" t="s">
        <v>232</v>
      </c>
      <c r="FH3" s="125" t="s">
        <v>233</v>
      </c>
      <c r="FI3" s="125" t="s">
        <v>234</v>
      </c>
      <c r="FJ3" s="125" t="s">
        <v>235</v>
      </c>
      <c r="FK3" s="125" t="s">
        <v>236</v>
      </c>
      <c r="FL3" s="125" t="s">
        <v>237</v>
      </c>
      <c r="FM3" s="125" t="s">
        <v>238</v>
      </c>
      <c r="FN3" s="125" t="s">
        <v>239</v>
      </c>
      <c r="FO3" s="125" t="s">
        <v>240</v>
      </c>
      <c r="FP3" s="125" t="s">
        <v>241</v>
      </c>
      <c r="FQ3" s="125" t="s">
        <v>242</v>
      </c>
      <c r="FR3" s="125" t="s">
        <v>243</v>
      </c>
      <c r="FS3" s="125" t="s">
        <v>244</v>
      </c>
      <c r="FT3" s="125" t="s">
        <v>245</v>
      </c>
      <c r="FU3" s="125" t="s">
        <v>246</v>
      </c>
      <c r="FV3" s="125" t="s">
        <v>247</v>
      </c>
      <c r="FW3" s="125" t="s">
        <v>248</v>
      </c>
      <c r="FX3" s="125" t="s">
        <v>249</v>
      </c>
      <c r="FY3" s="125" t="s">
        <v>250</v>
      </c>
      <c r="FZ3" s="125" t="s">
        <v>251</v>
      </c>
      <c r="GA3" s="125" t="s">
        <v>252</v>
      </c>
      <c r="GB3" s="125" t="s">
        <v>253</v>
      </c>
      <c r="GC3" s="125" t="s">
        <v>254</v>
      </c>
      <c r="GD3" s="125" t="s">
        <v>255</v>
      </c>
      <c r="GE3" s="125" t="s">
        <v>256</v>
      </c>
      <c r="GF3" s="125" t="s">
        <v>257</v>
      </c>
      <c r="GG3" s="125" t="s">
        <v>258</v>
      </c>
      <c r="GH3" s="125" t="s">
        <v>259</v>
      </c>
      <c r="GI3" s="125" t="s">
        <v>260</v>
      </c>
      <c r="GJ3" s="125" t="s">
        <v>261</v>
      </c>
      <c r="GK3" s="125" t="s">
        <v>262</v>
      </c>
      <c r="GL3" s="125" t="s">
        <v>263</v>
      </c>
      <c r="GM3" s="125" t="s">
        <v>264</v>
      </c>
      <c r="GN3" s="125" t="s">
        <v>265</v>
      </c>
      <c r="GO3" s="125" t="s">
        <v>266</v>
      </c>
      <c r="GP3" s="125" t="s">
        <v>267</v>
      </c>
      <c r="GQ3" s="125" t="s">
        <v>268</v>
      </c>
      <c r="GR3" s="125" t="s">
        <v>269</v>
      </c>
      <c r="GS3" s="125" t="s">
        <v>270</v>
      </c>
      <c r="GT3" s="125" t="s">
        <v>271</v>
      </c>
      <c r="GU3" s="125" t="s">
        <v>272</v>
      </c>
      <c r="GV3" s="125" t="s">
        <v>273</v>
      </c>
      <c r="GW3" s="125" t="s">
        <v>274</v>
      </c>
      <c r="GX3" s="125" t="s">
        <v>275</v>
      </c>
      <c r="GY3" s="125" t="s">
        <v>276</v>
      </c>
      <c r="GZ3" s="125" t="s">
        <v>277</v>
      </c>
      <c r="HA3" s="125" t="s">
        <v>278</v>
      </c>
      <c r="HB3" s="125" t="s">
        <v>279</v>
      </c>
      <c r="HC3" s="125" t="s">
        <v>280</v>
      </c>
      <c r="HD3" s="125" t="s">
        <v>281</v>
      </c>
      <c r="HE3" s="125" t="s">
        <v>282</v>
      </c>
      <c r="HF3" s="125" t="s">
        <v>283</v>
      </c>
      <c r="HG3" s="125" t="s">
        <v>284</v>
      </c>
      <c r="HH3" s="125" t="s">
        <v>285</v>
      </c>
      <c r="HI3" s="125" t="s">
        <v>286</v>
      </c>
      <c r="HJ3" s="125" t="s">
        <v>287</v>
      </c>
      <c r="HK3" s="125" t="s">
        <v>288</v>
      </c>
      <c r="HL3" s="125" t="s">
        <v>289</v>
      </c>
      <c r="HM3" s="125" t="s">
        <v>290</v>
      </c>
      <c r="HN3" s="125" t="s">
        <v>291</v>
      </c>
      <c r="HO3" s="125" t="s">
        <v>292</v>
      </c>
      <c r="HP3" s="125" t="s">
        <v>293</v>
      </c>
      <c r="HQ3" s="125" t="s">
        <v>294</v>
      </c>
      <c r="HR3" s="125" t="s">
        <v>295</v>
      </c>
    </row>
    <row r="4" spans="1:226" s="71" customFormat="1" ht="32.25" customHeight="1" x14ac:dyDescent="0.25">
      <c r="A4" s="70"/>
      <c r="C4" s="72">
        <v>43279</v>
      </c>
      <c r="D4" s="72">
        <v>43280</v>
      </c>
      <c r="E4" s="72">
        <v>43281</v>
      </c>
      <c r="F4" s="72">
        <v>43282</v>
      </c>
      <c r="G4" s="72">
        <v>43283</v>
      </c>
      <c r="H4" s="72">
        <v>43284</v>
      </c>
      <c r="I4" s="72">
        <v>43285</v>
      </c>
      <c r="J4" s="72">
        <v>43286</v>
      </c>
      <c r="K4" s="72">
        <v>43287</v>
      </c>
      <c r="L4" s="72">
        <v>43288</v>
      </c>
      <c r="M4" s="72">
        <v>43289</v>
      </c>
      <c r="N4" s="72">
        <v>43290</v>
      </c>
      <c r="O4" s="72">
        <v>43291</v>
      </c>
      <c r="P4" s="72">
        <v>43292</v>
      </c>
      <c r="Q4" s="72">
        <v>43293</v>
      </c>
      <c r="R4" s="72">
        <v>43294</v>
      </c>
      <c r="S4" s="72">
        <v>43295</v>
      </c>
      <c r="T4" s="72">
        <v>43296</v>
      </c>
      <c r="U4" s="72">
        <v>43297</v>
      </c>
      <c r="V4" s="72">
        <v>43298</v>
      </c>
      <c r="W4" s="72">
        <v>43299</v>
      </c>
      <c r="X4" s="72">
        <v>43300</v>
      </c>
      <c r="Y4" s="72">
        <v>43301</v>
      </c>
      <c r="Z4" s="72">
        <v>43302</v>
      </c>
      <c r="AA4" s="72">
        <v>43303</v>
      </c>
      <c r="AB4" s="72">
        <v>43304</v>
      </c>
      <c r="AC4" s="72">
        <v>43305</v>
      </c>
      <c r="AD4" s="72">
        <v>43306</v>
      </c>
      <c r="AE4" s="72">
        <v>43307</v>
      </c>
      <c r="AF4" s="72">
        <v>43308</v>
      </c>
      <c r="AG4" s="72">
        <v>43309</v>
      </c>
      <c r="AH4" s="72">
        <v>43310</v>
      </c>
      <c r="AI4" s="72">
        <v>43311</v>
      </c>
      <c r="AJ4" s="72">
        <v>43312</v>
      </c>
      <c r="AK4" s="72">
        <v>43313</v>
      </c>
      <c r="AL4" s="72">
        <v>43314</v>
      </c>
      <c r="AM4" s="72">
        <v>43315</v>
      </c>
      <c r="AN4" s="72">
        <v>43316</v>
      </c>
      <c r="AO4" s="72">
        <v>43317</v>
      </c>
      <c r="AP4" s="72">
        <v>43318</v>
      </c>
      <c r="AQ4" s="72">
        <v>43319</v>
      </c>
      <c r="AR4" s="72">
        <v>43320</v>
      </c>
      <c r="AS4" s="72">
        <v>43321</v>
      </c>
      <c r="AT4" s="72">
        <v>43322</v>
      </c>
      <c r="AU4" s="72">
        <v>43323</v>
      </c>
      <c r="AV4" s="72">
        <v>43324</v>
      </c>
      <c r="AW4" s="72">
        <v>43325</v>
      </c>
      <c r="AX4" s="72">
        <v>43326</v>
      </c>
      <c r="AY4" s="72">
        <v>43327</v>
      </c>
      <c r="AZ4" s="72">
        <v>43328</v>
      </c>
      <c r="BA4" s="72">
        <v>43329</v>
      </c>
      <c r="BB4" s="72">
        <v>43330</v>
      </c>
      <c r="BC4" s="72">
        <v>43331</v>
      </c>
      <c r="BD4" s="72">
        <v>43332</v>
      </c>
      <c r="BE4" s="72">
        <v>43333</v>
      </c>
      <c r="BF4" s="72">
        <v>43334</v>
      </c>
      <c r="BG4" s="72">
        <v>43335</v>
      </c>
      <c r="BH4" s="72">
        <v>43336</v>
      </c>
      <c r="BI4" s="72">
        <v>43337</v>
      </c>
      <c r="BJ4" s="72">
        <v>43338</v>
      </c>
      <c r="BK4" s="72">
        <v>43339</v>
      </c>
      <c r="BL4" s="72">
        <v>43340</v>
      </c>
      <c r="BM4" s="72">
        <v>43341</v>
      </c>
      <c r="BN4" s="72">
        <v>43342</v>
      </c>
      <c r="BO4" s="72">
        <v>43343</v>
      </c>
      <c r="BP4" s="72">
        <v>43344</v>
      </c>
      <c r="BQ4" s="72">
        <v>43345</v>
      </c>
      <c r="BR4" s="72">
        <v>43346</v>
      </c>
      <c r="BS4" s="72">
        <v>43347</v>
      </c>
      <c r="BT4" s="72">
        <v>43348</v>
      </c>
      <c r="BU4" s="72">
        <v>43349</v>
      </c>
      <c r="BV4" s="72">
        <v>43350</v>
      </c>
      <c r="BW4" s="72">
        <v>43351</v>
      </c>
      <c r="BX4" s="72">
        <v>43352</v>
      </c>
      <c r="BY4" s="72">
        <v>43353</v>
      </c>
      <c r="BZ4" s="72">
        <v>43354</v>
      </c>
      <c r="CA4" s="72">
        <v>43355</v>
      </c>
      <c r="CB4" s="72">
        <v>43356</v>
      </c>
      <c r="CC4" s="72">
        <v>43357</v>
      </c>
      <c r="CD4" s="72">
        <v>43358</v>
      </c>
      <c r="CE4" s="72">
        <v>43359</v>
      </c>
      <c r="CF4" s="72">
        <v>43360</v>
      </c>
      <c r="CG4" s="72">
        <v>43361</v>
      </c>
      <c r="CH4" s="72">
        <v>43362</v>
      </c>
      <c r="CI4" s="72">
        <v>43363</v>
      </c>
      <c r="CJ4" s="72">
        <v>43364</v>
      </c>
      <c r="CK4" s="72">
        <v>43365</v>
      </c>
      <c r="CL4" s="72">
        <v>43366</v>
      </c>
      <c r="CM4" s="72">
        <v>43367</v>
      </c>
      <c r="CN4" s="72">
        <v>43368</v>
      </c>
      <c r="CO4" s="72">
        <v>43369</v>
      </c>
      <c r="CP4" s="72">
        <v>43370</v>
      </c>
      <c r="CQ4" s="72">
        <v>43371</v>
      </c>
      <c r="CR4" s="72">
        <v>43372</v>
      </c>
      <c r="CS4" s="72">
        <v>43373</v>
      </c>
      <c r="CT4" s="72">
        <v>43374</v>
      </c>
      <c r="CU4" s="72">
        <v>43375</v>
      </c>
      <c r="CV4" s="72">
        <v>43376</v>
      </c>
      <c r="CW4" s="72">
        <v>43377</v>
      </c>
      <c r="CX4" s="72">
        <v>43378</v>
      </c>
      <c r="CY4" s="72">
        <v>43379</v>
      </c>
      <c r="CZ4" s="72">
        <v>43380</v>
      </c>
      <c r="DA4" s="72">
        <v>43381</v>
      </c>
      <c r="DB4" s="72">
        <v>43382</v>
      </c>
      <c r="DC4" s="72">
        <v>43383</v>
      </c>
      <c r="DD4" s="72">
        <v>43384</v>
      </c>
      <c r="DE4" s="72">
        <v>43385</v>
      </c>
      <c r="DF4" s="72">
        <v>43386</v>
      </c>
      <c r="DG4" s="72">
        <v>43387</v>
      </c>
      <c r="DH4" s="72">
        <v>43388</v>
      </c>
      <c r="DI4" s="72">
        <v>43389</v>
      </c>
      <c r="DJ4" s="72">
        <v>43390</v>
      </c>
      <c r="DK4" s="72">
        <v>43391</v>
      </c>
      <c r="DL4" s="72">
        <v>43392</v>
      </c>
      <c r="DM4" s="72">
        <v>43393</v>
      </c>
      <c r="DN4" s="72">
        <v>43394</v>
      </c>
      <c r="DO4" s="72">
        <v>43395</v>
      </c>
      <c r="DP4" s="72">
        <v>43396</v>
      </c>
      <c r="DQ4" s="72">
        <v>43397</v>
      </c>
      <c r="DR4" s="72">
        <v>43398</v>
      </c>
      <c r="DS4" s="72">
        <v>43399</v>
      </c>
      <c r="DT4" s="72">
        <v>43400</v>
      </c>
      <c r="DU4" s="72">
        <v>43401</v>
      </c>
      <c r="DV4" s="72">
        <v>43402</v>
      </c>
      <c r="DW4" s="72">
        <v>43403</v>
      </c>
      <c r="DX4" s="72">
        <v>43404</v>
      </c>
      <c r="DY4" s="72">
        <v>43405</v>
      </c>
      <c r="DZ4" s="72">
        <v>43406</v>
      </c>
      <c r="EA4" s="72">
        <v>43407</v>
      </c>
      <c r="EB4" s="72">
        <v>43408</v>
      </c>
      <c r="EC4" s="72">
        <v>43409</v>
      </c>
      <c r="ED4" s="72">
        <v>43410</v>
      </c>
      <c r="EE4" s="72">
        <v>43411</v>
      </c>
      <c r="EF4" s="72">
        <v>43412</v>
      </c>
      <c r="EG4" s="72">
        <v>43413</v>
      </c>
      <c r="EH4" s="72">
        <v>43414</v>
      </c>
      <c r="EI4" s="72">
        <v>43415</v>
      </c>
      <c r="EJ4" s="72">
        <v>43416</v>
      </c>
      <c r="EK4" s="72">
        <v>43417</v>
      </c>
      <c r="EL4" s="72">
        <v>43418</v>
      </c>
      <c r="EM4" s="72">
        <v>43419</v>
      </c>
      <c r="EN4" s="72">
        <v>43420</v>
      </c>
      <c r="EO4" s="72">
        <v>43421</v>
      </c>
      <c r="EP4" s="72">
        <v>43422</v>
      </c>
      <c r="EQ4" s="72">
        <v>43423</v>
      </c>
      <c r="ER4" s="72">
        <v>43424</v>
      </c>
      <c r="ES4" s="72">
        <v>43425</v>
      </c>
      <c r="ET4" s="72">
        <v>43426</v>
      </c>
      <c r="EU4" s="72">
        <v>43427</v>
      </c>
      <c r="EV4" s="72">
        <v>43428</v>
      </c>
      <c r="EW4" s="72">
        <v>43429</v>
      </c>
      <c r="EX4" s="72">
        <v>43430</v>
      </c>
      <c r="EY4" s="72">
        <v>43431</v>
      </c>
      <c r="EZ4" s="72">
        <v>43432</v>
      </c>
      <c r="FA4" s="72">
        <v>43433</v>
      </c>
      <c r="FB4" s="72">
        <v>43434</v>
      </c>
      <c r="FC4" s="72">
        <v>43435</v>
      </c>
      <c r="FD4" s="72">
        <v>43436</v>
      </c>
      <c r="FE4" s="72">
        <v>43437</v>
      </c>
      <c r="FF4" s="72">
        <v>43438</v>
      </c>
      <c r="FG4" s="72">
        <v>43439</v>
      </c>
      <c r="FH4" s="72">
        <v>43440</v>
      </c>
      <c r="FI4" s="72">
        <v>43441</v>
      </c>
      <c r="FJ4" s="72">
        <v>43442</v>
      </c>
      <c r="FK4" s="72">
        <v>43443</v>
      </c>
      <c r="FL4" s="72">
        <v>43444</v>
      </c>
      <c r="FM4" s="72">
        <v>43445</v>
      </c>
      <c r="FN4" s="72">
        <v>43446</v>
      </c>
      <c r="FO4" s="72">
        <v>43447</v>
      </c>
      <c r="FP4" s="72">
        <v>43448</v>
      </c>
      <c r="FQ4" s="72">
        <v>43449</v>
      </c>
      <c r="FR4" s="72">
        <v>43450</v>
      </c>
      <c r="FS4" s="72">
        <v>43451</v>
      </c>
      <c r="FT4" s="72">
        <v>43452</v>
      </c>
      <c r="FU4" s="72">
        <v>43453</v>
      </c>
      <c r="FV4" s="72">
        <v>43454</v>
      </c>
      <c r="FW4" s="72">
        <v>43455</v>
      </c>
      <c r="FX4" s="72">
        <v>43456</v>
      </c>
      <c r="FY4" s="72">
        <v>43457</v>
      </c>
      <c r="FZ4" s="72">
        <v>43458</v>
      </c>
      <c r="GA4" s="72">
        <v>43459</v>
      </c>
      <c r="GB4" s="72">
        <v>43460</v>
      </c>
      <c r="GC4" s="72">
        <v>43461</v>
      </c>
      <c r="GD4" s="72">
        <v>43462</v>
      </c>
      <c r="GE4" s="72">
        <v>43463</v>
      </c>
      <c r="GF4" s="72">
        <v>43464</v>
      </c>
      <c r="GG4" s="72">
        <v>43465</v>
      </c>
      <c r="GH4" s="72">
        <v>43466</v>
      </c>
      <c r="GI4" s="72">
        <v>43467</v>
      </c>
      <c r="GJ4" s="72">
        <v>43468</v>
      </c>
      <c r="GK4" s="72">
        <v>43469</v>
      </c>
      <c r="GL4" s="72">
        <v>43470</v>
      </c>
      <c r="GM4" s="72">
        <v>43471</v>
      </c>
      <c r="GN4" s="72">
        <v>43472</v>
      </c>
      <c r="GO4" s="72">
        <v>43473</v>
      </c>
      <c r="GP4" s="72">
        <v>43474</v>
      </c>
      <c r="GQ4" s="72">
        <v>43475</v>
      </c>
      <c r="GR4" s="72">
        <v>43476</v>
      </c>
      <c r="GS4" s="72">
        <v>43477</v>
      </c>
      <c r="GT4" s="72">
        <v>43478</v>
      </c>
      <c r="GU4" s="72">
        <v>43479</v>
      </c>
      <c r="GV4" s="72">
        <v>43480</v>
      </c>
      <c r="GW4" s="72">
        <v>43481</v>
      </c>
      <c r="GX4" s="72">
        <v>43482</v>
      </c>
      <c r="GY4" s="72">
        <v>43483</v>
      </c>
      <c r="GZ4" s="72">
        <v>43484</v>
      </c>
      <c r="HA4" s="72">
        <v>43485</v>
      </c>
      <c r="HB4" s="72">
        <v>43486</v>
      </c>
      <c r="HC4" s="72">
        <v>43487</v>
      </c>
      <c r="HD4" s="72">
        <v>43488</v>
      </c>
      <c r="HE4" s="72">
        <v>43489</v>
      </c>
      <c r="HF4" s="72">
        <v>43490</v>
      </c>
      <c r="HG4" s="72">
        <v>43491</v>
      </c>
      <c r="HH4" s="72">
        <v>43492</v>
      </c>
      <c r="HI4" s="72">
        <v>43493</v>
      </c>
      <c r="HJ4" s="72">
        <v>43494</v>
      </c>
      <c r="HK4" s="72">
        <v>43495</v>
      </c>
      <c r="HL4" s="72">
        <v>43496</v>
      </c>
      <c r="HM4" s="72">
        <v>43497</v>
      </c>
      <c r="HN4" s="72">
        <v>43498</v>
      </c>
      <c r="HO4" s="72">
        <v>43499</v>
      </c>
      <c r="HP4" s="72">
        <v>43500</v>
      </c>
      <c r="HQ4" s="72">
        <v>43501</v>
      </c>
      <c r="HR4" s="72">
        <v>43502</v>
      </c>
    </row>
    <row r="5" spans="1:226" s="71" customFormat="1" ht="32.25" customHeight="1" x14ac:dyDescent="0.25">
      <c r="A5" s="216">
        <f ca="1">NOW()</f>
        <v>43279.765410763888</v>
      </c>
      <c r="B5" s="139" t="s">
        <v>357</v>
      </c>
      <c r="C5" s="140"/>
      <c r="D5" s="140"/>
      <c r="E5" s="140"/>
      <c r="F5" s="140"/>
      <c r="G5" s="140"/>
      <c r="H5" s="140"/>
      <c r="I5" s="140"/>
      <c r="J5" s="140"/>
      <c r="K5" s="140"/>
      <c r="L5" s="140"/>
      <c r="M5" s="140"/>
      <c r="N5" s="140"/>
      <c r="O5" s="140"/>
      <c r="P5" s="140"/>
      <c r="Q5" s="140"/>
      <c r="R5" s="140"/>
      <c r="S5" s="140"/>
      <c r="T5" s="140"/>
      <c r="U5" s="140"/>
      <c r="V5" s="140"/>
      <c r="W5" s="140"/>
      <c r="X5" s="140"/>
      <c r="Y5" s="140"/>
      <c r="Z5" s="140"/>
      <c r="AA5" s="140"/>
      <c r="AB5" s="140"/>
      <c r="AC5" s="140"/>
      <c r="AD5" s="140"/>
      <c r="AE5" s="140"/>
      <c r="AF5" s="140"/>
      <c r="AG5" s="140"/>
      <c r="AH5" s="140"/>
      <c r="AI5" s="140"/>
      <c r="AJ5" s="140"/>
      <c r="AK5" s="140"/>
      <c r="AL5" s="140"/>
      <c r="AM5" s="140"/>
      <c r="AN5" s="140"/>
      <c r="AO5" s="140"/>
      <c r="AP5" s="140"/>
      <c r="AQ5" s="140"/>
      <c r="AR5" s="140"/>
      <c r="AS5" s="140"/>
      <c r="AT5" s="140"/>
      <c r="AU5" s="140"/>
      <c r="AV5" s="140"/>
      <c r="AW5" s="140"/>
      <c r="AX5" s="140"/>
      <c r="AY5" s="140"/>
      <c r="AZ5" s="140"/>
      <c r="BA5" s="140"/>
      <c r="BB5" s="140"/>
      <c r="BC5" s="140"/>
      <c r="BD5" s="140"/>
      <c r="BE5" s="140"/>
      <c r="BF5" s="140"/>
      <c r="BG5" s="140"/>
      <c r="BH5" s="140"/>
      <c r="BI5" s="140"/>
      <c r="BJ5" s="140"/>
      <c r="BK5" s="140"/>
      <c r="BL5" s="140"/>
      <c r="BM5" s="140"/>
      <c r="BN5" s="140"/>
      <c r="BO5" s="140"/>
      <c r="BP5" s="140"/>
      <c r="BQ5" s="140"/>
      <c r="BR5" s="140"/>
      <c r="BS5" s="140"/>
      <c r="BT5" s="140"/>
      <c r="BU5" s="140"/>
      <c r="BV5" s="140"/>
      <c r="BW5" s="140"/>
      <c r="BX5" s="140"/>
      <c r="BY5" s="140"/>
      <c r="BZ5" s="140"/>
      <c r="CA5" s="140"/>
      <c r="CB5" s="140"/>
      <c r="CC5" s="140"/>
      <c r="CD5" s="140"/>
      <c r="CE5" s="140"/>
      <c r="CF5" s="140"/>
      <c r="CG5" s="140"/>
      <c r="CH5" s="140"/>
      <c r="CI5" s="140"/>
      <c r="CJ5" s="140"/>
      <c r="CK5" s="140"/>
      <c r="CL5" s="140"/>
      <c r="CM5" s="140"/>
      <c r="CN5" s="140"/>
      <c r="CO5" s="140"/>
      <c r="CP5" s="140"/>
      <c r="CQ5" s="140"/>
      <c r="CR5" s="140"/>
      <c r="CS5" s="140"/>
      <c r="CT5" s="140"/>
      <c r="CU5" s="140"/>
      <c r="CV5" s="140"/>
      <c r="CW5" s="140"/>
      <c r="CX5" s="140"/>
      <c r="CY5" s="140"/>
      <c r="CZ5" s="140"/>
      <c r="DA5" s="140"/>
      <c r="DB5" s="140"/>
      <c r="DC5" s="140"/>
      <c r="DD5" s="140"/>
      <c r="DE5" s="140"/>
      <c r="DF5" s="140"/>
      <c r="DG5" s="140"/>
      <c r="DH5" s="140"/>
      <c r="DI5" s="140"/>
      <c r="DJ5" s="140"/>
      <c r="DK5" s="140"/>
      <c r="DL5" s="140"/>
      <c r="DM5" s="140"/>
      <c r="DN5" s="140"/>
      <c r="DO5" s="140"/>
      <c r="DP5" s="140"/>
      <c r="DQ5" s="140"/>
      <c r="DR5" s="140"/>
      <c r="DS5" s="140"/>
      <c r="DT5" s="140"/>
      <c r="DU5" s="140"/>
      <c r="DV5" s="140"/>
      <c r="DW5" s="140"/>
      <c r="DX5" s="140"/>
      <c r="DY5" s="140"/>
      <c r="DZ5" s="140"/>
      <c r="EA5" s="140"/>
      <c r="EB5" s="140"/>
      <c r="EC5" s="140"/>
      <c r="ED5" s="140"/>
      <c r="EE5" s="140"/>
      <c r="EF5" s="140"/>
      <c r="EG5" s="140"/>
      <c r="EH5" s="140"/>
      <c r="EI5" s="140"/>
      <c r="EJ5" s="140"/>
      <c r="EK5" s="140"/>
      <c r="EL5" s="140"/>
      <c r="EM5" s="140"/>
      <c r="EN5" s="140"/>
      <c r="EO5" s="140"/>
      <c r="EP5" s="140"/>
      <c r="EQ5" s="140"/>
      <c r="ER5" s="140"/>
      <c r="ES5" s="140"/>
      <c r="ET5" s="140"/>
      <c r="EU5" s="140"/>
      <c r="EV5" s="140"/>
      <c r="EW5" s="140"/>
      <c r="EX5" s="140"/>
      <c r="EY5" s="140"/>
      <c r="EZ5" s="140"/>
      <c r="FA5" s="140"/>
      <c r="FB5" s="140"/>
      <c r="FC5" s="140"/>
      <c r="FD5" s="140"/>
      <c r="FE5" s="140"/>
      <c r="FF5" s="140"/>
      <c r="FG5" s="140"/>
      <c r="FH5" s="140"/>
      <c r="FI5" s="140"/>
      <c r="FJ5" s="140"/>
      <c r="FK5" s="140"/>
      <c r="FL5" s="140"/>
      <c r="FM5" s="140"/>
      <c r="FN5" s="140"/>
      <c r="FO5" s="140"/>
      <c r="FP5" s="140"/>
      <c r="FQ5" s="140"/>
      <c r="FR5" s="140"/>
      <c r="FS5" s="140"/>
      <c r="FT5" s="140"/>
      <c r="FU5" s="140"/>
      <c r="FV5" s="140"/>
      <c r="FW5" s="140"/>
      <c r="FX5" s="140"/>
      <c r="FY5" s="140"/>
      <c r="FZ5" s="140"/>
      <c r="GA5" s="140"/>
      <c r="GB5" s="140"/>
      <c r="GC5" s="140"/>
      <c r="GD5" s="140"/>
      <c r="GE5" s="140"/>
      <c r="GF5" s="140"/>
      <c r="GG5" s="140"/>
      <c r="GH5" s="140"/>
      <c r="GI5" s="140"/>
      <c r="GJ5" s="140"/>
      <c r="GK5" s="140"/>
      <c r="GL5" s="140"/>
      <c r="GM5" s="140"/>
      <c r="GN5" s="140"/>
      <c r="GO5" s="140"/>
      <c r="GP5" s="140"/>
      <c r="GQ5" s="140"/>
      <c r="GR5" s="140"/>
      <c r="GS5" s="140"/>
      <c r="GT5" s="140"/>
      <c r="GU5" s="140"/>
      <c r="GV5" s="140"/>
      <c r="GW5" s="140"/>
      <c r="GX5" s="140"/>
      <c r="GY5" s="140"/>
      <c r="GZ5" s="140"/>
      <c r="HA5" s="140"/>
      <c r="HB5" s="140"/>
      <c r="HC5" s="140"/>
      <c r="HD5" s="140"/>
      <c r="HE5" s="140"/>
      <c r="HF5" s="140"/>
      <c r="HG5" s="140"/>
      <c r="HH5" s="140"/>
      <c r="HI5" s="140"/>
      <c r="HJ5" s="140"/>
      <c r="HK5" s="140"/>
      <c r="HL5" s="140"/>
      <c r="HM5" s="140"/>
      <c r="HN5" s="140"/>
      <c r="HO5" s="140"/>
      <c r="HP5" s="140"/>
      <c r="HQ5" s="140"/>
      <c r="HR5" s="140"/>
    </row>
    <row r="6" spans="1:226" s="143" customFormat="1" ht="186" customHeight="1" thickBot="1" x14ac:dyDescent="0.3">
      <c r="A6" s="141"/>
      <c r="B6" s="139" t="s">
        <v>589</v>
      </c>
      <c r="C6" s="142"/>
      <c r="D6" s="142" t="s">
        <v>679</v>
      </c>
      <c r="E6" s="142" t="s">
        <v>664</v>
      </c>
      <c r="F6" s="142"/>
      <c r="G6" s="142" t="s">
        <v>686</v>
      </c>
      <c r="H6" s="142"/>
      <c r="I6" s="142" t="s">
        <v>690</v>
      </c>
      <c r="J6" s="142"/>
      <c r="K6" s="142" t="s">
        <v>687</v>
      </c>
      <c r="L6" s="142"/>
      <c r="M6" s="142"/>
      <c r="N6" s="142"/>
      <c r="O6" s="142" t="s">
        <v>688</v>
      </c>
      <c r="P6" s="142"/>
      <c r="Q6" s="142"/>
      <c r="R6" s="142"/>
      <c r="S6" s="142" t="s">
        <v>689</v>
      </c>
      <c r="T6" s="142"/>
      <c r="U6" s="142"/>
      <c r="V6" s="142"/>
      <c r="W6" s="142"/>
      <c r="X6" s="142"/>
      <c r="Y6" s="142"/>
      <c r="Z6" s="142"/>
      <c r="AA6" s="142"/>
      <c r="AB6" s="142"/>
      <c r="AC6" s="142"/>
      <c r="AD6" s="142"/>
      <c r="AE6" s="142"/>
      <c r="AF6" s="142"/>
      <c r="AG6" s="142"/>
      <c r="AH6" s="142"/>
      <c r="AI6" s="142"/>
      <c r="AJ6" s="142"/>
      <c r="AK6" s="142"/>
      <c r="AL6" s="142"/>
      <c r="AM6" s="142"/>
      <c r="AN6" s="142"/>
      <c r="AO6" s="142"/>
      <c r="AP6" s="142"/>
      <c r="AQ6" s="142"/>
      <c r="AR6" s="142"/>
      <c r="AS6" s="142"/>
      <c r="AT6" s="142"/>
      <c r="AU6" s="142"/>
      <c r="AV6" s="142"/>
      <c r="AW6" s="142"/>
      <c r="AX6" s="142"/>
      <c r="AY6" s="142"/>
      <c r="AZ6" s="142"/>
      <c r="BA6" s="142"/>
      <c r="BB6" s="142"/>
      <c r="BC6" s="142"/>
      <c r="BD6" s="142"/>
      <c r="BE6" s="142"/>
      <c r="BF6" s="142"/>
      <c r="BG6" s="142"/>
      <c r="BH6" s="142"/>
      <c r="BI6" s="142"/>
      <c r="BJ6" s="142"/>
      <c r="BK6" s="142"/>
      <c r="BL6" s="142"/>
      <c r="BM6" s="142"/>
      <c r="BN6" s="142"/>
      <c r="BO6" s="142"/>
      <c r="BP6" s="142"/>
      <c r="BQ6" s="142"/>
      <c r="BR6" s="142"/>
      <c r="BS6" s="142"/>
      <c r="BT6" s="142"/>
      <c r="BU6" s="142"/>
      <c r="BV6" s="142"/>
      <c r="BW6" s="142"/>
      <c r="BX6" s="142"/>
      <c r="BY6" s="142"/>
      <c r="BZ6" s="142"/>
      <c r="CA6" s="142"/>
      <c r="CB6" s="142"/>
      <c r="CC6" s="142"/>
      <c r="CD6" s="142"/>
      <c r="CE6" s="142"/>
      <c r="CF6" s="142"/>
      <c r="CG6" s="142"/>
      <c r="CH6" s="142"/>
      <c r="CI6" s="142"/>
      <c r="CJ6" s="142"/>
      <c r="CK6" s="142"/>
      <c r="CL6" s="142"/>
      <c r="CM6" s="142"/>
      <c r="CN6" s="142"/>
      <c r="CO6" s="142"/>
      <c r="CP6" s="142"/>
      <c r="CQ6" s="142"/>
      <c r="CR6" s="142"/>
      <c r="CS6" s="142"/>
      <c r="CT6" s="142"/>
      <c r="CU6" s="142"/>
      <c r="CV6" s="142"/>
      <c r="CW6" s="142"/>
      <c r="CX6" s="142"/>
      <c r="CY6" s="142"/>
      <c r="CZ6" s="142"/>
      <c r="DA6" s="142"/>
      <c r="DB6" s="142"/>
      <c r="DC6" s="142"/>
      <c r="DD6" s="142"/>
      <c r="DE6" s="142"/>
      <c r="DF6" s="142"/>
      <c r="DG6" s="142"/>
      <c r="DH6" s="142"/>
      <c r="DI6" s="142"/>
      <c r="DJ6" s="142"/>
      <c r="DK6" s="142"/>
      <c r="DL6" s="142"/>
      <c r="DM6" s="142"/>
      <c r="DN6" s="142"/>
      <c r="DO6" s="142"/>
      <c r="DP6" s="142"/>
      <c r="DQ6" s="142"/>
      <c r="DR6" s="142"/>
      <c r="DS6" s="142"/>
      <c r="DT6" s="142"/>
      <c r="DU6" s="142"/>
      <c r="DV6" s="142"/>
      <c r="DW6" s="142"/>
      <c r="DX6" s="142"/>
      <c r="DY6" s="142"/>
      <c r="DZ6" s="142"/>
      <c r="EA6" s="142"/>
      <c r="EB6" s="142"/>
      <c r="EC6" s="142"/>
      <c r="ED6" s="142"/>
      <c r="EE6" s="142"/>
      <c r="EF6" s="142"/>
      <c r="EG6" s="142"/>
      <c r="EH6" s="142"/>
      <c r="EI6" s="142"/>
      <c r="EJ6" s="142"/>
      <c r="EK6" s="142"/>
      <c r="EL6" s="142"/>
      <c r="EM6" s="142"/>
      <c r="EN6" s="142"/>
      <c r="EO6" s="142"/>
      <c r="EP6" s="142"/>
      <c r="EQ6" s="142"/>
      <c r="ER6" s="142"/>
      <c r="ES6" s="142"/>
      <c r="ET6" s="142"/>
      <c r="EU6" s="142"/>
      <c r="EV6" s="142"/>
      <c r="EW6" s="142"/>
      <c r="EX6" s="142"/>
      <c r="EY6" s="142"/>
      <c r="EZ6" s="142"/>
      <c r="FA6" s="142"/>
      <c r="FB6" s="142"/>
      <c r="FC6" s="142"/>
      <c r="FD6" s="142"/>
      <c r="FE6" s="142"/>
      <c r="FF6" s="142"/>
      <c r="FG6" s="142"/>
      <c r="FH6" s="142"/>
      <c r="FI6" s="142"/>
      <c r="FJ6" s="142"/>
      <c r="FK6" s="142"/>
      <c r="FL6" s="142"/>
      <c r="FM6" s="142"/>
      <c r="FN6" s="142"/>
      <c r="FO6" s="142"/>
      <c r="FP6" s="142"/>
      <c r="FQ6" s="142"/>
      <c r="FR6" s="142"/>
      <c r="FS6" s="142"/>
      <c r="FT6" s="142"/>
      <c r="FU6" s="142"/>
      <c r="FV6" s="142"/>
      <c r="FW6" s="142"/>
      <c r="FX6" s="142"/>
      <c r="FY6" s="142"/>
      <c r="FZ6" s="142"/>
      <c r="GA6" s="142"/>
      <c r="GB6" s="142"/>
      <c r="GC6" s="142"/>
      <c r="GD6" s="142"/>
      <c r="GE6" s="142"/>
      <c r="GF6" s="142"/>
      <c r="GG6" s="142"/>
      <c r="GH6" s="142"/>
      <c r="GI6" s="142"/>
      <c r="GJ6" s="142"/>
      <c r="GK6" s="142"/>
      <c r="GL6" s="142"/>
      <c r="GM6" s="142"/>
      <c r="GN6" s="142"/>
      <c r="GO6" s="142"/>
      <c r="GP6" s="142"/>
      <c r="GQ6" s="142"/>
      <c r="GR6" s="142"/>
      <c r="GS6" s="142"/>
      <c r="GT6" s="142"/>
      <c r="GU6" s="142"/>
      <c r="GV6" s="142"/>
      <c r="GW6" s="142"/>
      <c r="GX6" s="142"/>
      <c r="GY6" s="142"/>
      <c r="GZ6" s="142"/>
      <c r="HA6" s="142"/>
      <c r="HB6" s="142"/>
      <c r="HC6" s="142"/>
      <c r="HD6" s="142"/>
      <c r="HE6" s="142"/>
      <c r="HF6" s="142"/>
      <c r="HG6" s="142"/>
      <c r="HH6" s="142"/>
      <c r="HI6" s="142"/>
      <c r="HJ6" s="142"/>
      <c r="HK6" s="142"/>
      <c r="HL6" s="142"/>
      <c r="HM6" s="142"/>
      <c r="HN6" s="142"/>
      <c r="HO6" s="142"/>
      <c r="HP6" s="142"/>
      <c r="HQ6" s="142"/>
      <c r="HR6" s="142"/>
    </row>
    <row r="7" spans="1:226" s="205" customFormat="1" ht="15.95" customHeight="1" thickTop="1" x14ac:dyDescent="0.25">
      <c r="A7" s="202">
        <f>HOUR(B7)</f>
        <v>0</v>
      </c>
      <c r="B7" s="203">
        <v>0</v>
      </c>
      <c r="C7" s="215"/>
      <c r="D7" s="215"/>
      <c r="E7" s="215"/>
      <c r="F7" s="215"/>
      <c r="G7" s="215"/>
      <c r="H7" s="215"/>
      <c r="I7" s="215"/>
      <c r="J7" s="215"/>
      <c r="K7" s="215"/>
      <c r="L7" s="215"/>
      <c r="M7" s="215"/>
      <c r="N7" s="215"/>
      <c r="O7" s="215"/>
      <c r="P7" s="215"/>
      <c r="Q7" s="215"/>
      <c r="R7" s="215"/>
      <c r="S7" s="215"/>
      <c r="T7" s="215"/>
      <c r="U7" s="215"/>
      <c r="V7" s="215"/>
      <c r="W7" s="215"/>
      <c r="X7" s="215"/>
      <c r="Y7" s="215"/>
      <c r="Z7" s="215"/>
      <c r="AA7" s="215"/>
      <c r="AB7" s="215"/>
      <c r="AC7" s="215"/>
      <c r="AD7" s="215"/>
      <c r="AE7" s="215"/>
      <c r="AF7" s="215"/>
      <c r="AG7" s="215"/>
      <c r="AH7" s="215"/>
      <c r="AI7" s="215"/>
      <c r="AJ7" s="215"/>
      <c r="AK7" s="215"/>
      <c r="AL7" s="215"/>
      <c r="AM7" s="215"/>
      <c r="AN7" s="215"/>
      <c r="AO7" s="215"/>
      <c r="AP7" s="215"/>
      <c r="AQ7" s="215"/>
      <c r="AR7" s="215"/>
      <c r="AS7" s="215"/>
      <c r="AT7" s="215"/>
      <c r="AU7" s="215"/>
      <c r="AV7" s="215"/>
      <c r="AW7" s="215"/>
      <c r="AX7" s="215"/>
      <c r="AY7" s="215"/>
      <c r="AZ7" s="215"/>
      <c r="BA7" s="215"/>
      <c r="BB7" s="215"/>
      <c r="BC7" s="215"/>
      <c r="BD7" s="215"/>
      <c r="BE7" s="215"/>
      <c r="BF7" s="215"/>
      <c r="BG7" s="215"/>
      <c r="BH7" s="215"/>
      <c r="BI7" s="215"/>
      <c r="BJ7" s="215"/>
      <c r="BK7" s="215"/>
      <c r="BL7" s="215"/>
      <c r="BM7" s="215"/>
      <c r="BN7" s="215"/>
      <c r="BO7" s="215"/>
      <c r="BP7" s="215"/>
      <c r="BQ7" s="215"/>
      <c r="BR7" s="215"/>
      <c r="BS7" s="215"/>
      <c r="BT7" s="215"/>
      <c r="BU7" s="215"/>
      <c r="BV7" s="215"/>
      <c r="BW7" s="215"/>
      <c r="BX7" s="215"/>
      <c r="BY7" s="215"/>
      <c r="BZ7" s="215"/>
      <c r="CA7" s="215"/>
      <c r="CB7" s="215"/>
      <c r="CC7" s="215"/>
      <c r="CD7" s="215"/>
      <c r="CE7" s="215"/>
      <c r="CF7" s="215"/>
      <c r="CG7" s="215"/>
      <c r="CH7" s="215"/>
      <c r="CI7" s="215"/>
      <c r="CJ7" s="215"/>
      <c r="CK7" s="215"/>
      <c r="CL7" s="215"/>
      <c r="CM7" s="215"/>
      <c r="CN7" s="215"/>
      <c r="CO7" s="215"/>
      <c r="CP7" s="215"/>
      <c r="CQ7" s="215"/>
      <c r="CR7" s="215"/>
      <c r="CS7" s="215"/>
      <c r="CT7" s="215"/>
      <c r="CU7" s="215"/>
      <c r="CV7" s="215"/>
      <c r="CW7" s="215"/>
      <c r="CX7" s="215"/>
      <c r="CY7" s="215"/>
      <c r="CZ7" s="215"/>
      <c r="DA7" s="215"/>
      <c r="DB7" s="215"/>
      <c r="DC7" s="215"/>
      <c r="DD7" s="215"/>
      <c r="DE7" s="215"/>
      <c r="DF7" s="215"/>
      <c r="DG7" s="215"/>
      <c r="DH7" s="215"/>
      <c r="DI7" s="215"/>
      <c r="DJ7" s="215"/>
      <c r="DK7" s="215"/>
      <c r="DL7" s="215"/>
      <c r="DM7" s="215"/>
      <c r="DN7" s="215"/>
      <c r="DO7" s="215"/>
      <c r="DP7" s="215"/>
      <c r="DQ7" s="215"/>
      <c r="DR7" s="215"/>
      <c r="DS7" s="215"/>
      <c r="DT7" s="215"/>
      <c r="DU7" s="215"/>
      <c r="DV7" s="215"/>
      <c r="DW7" s="215"/>
      <c r="DX7" s="215"/>
      <c r="DY7" s="215"/>
      <c r="DZ7" s="215"/>
      <c r="EA7" s="215"/>
      <c r="EB7" s="215"/>
      <c r="EC7" s="215"/>
      <c r="ED7" s="215"/>
      <c r="EE7" s="215"/>
      <c r="EF7" s="215"/>
      <c r="EG7" s="215"/>
      <c r="EH7" s="215"/>
      <c r="EI7" s="215"/>
      <c r="EJ7" s="215"/>
      <c r="EK7" s="215"/>
      <c r="EL7" s="215"/>
      <c r="EM7" s="215"/>
      <c r="EN7" s="215"/>
      <c r="EO7" s="215"/>
      <c r="EP7" s="215"/>
      <c r="EQ7" s="215"/>
      <c r="ER7" s="215"/>
      <c r="ES7" s="215"/>
      <c r="ET7" s="215"/>
      <c r="EU7" s="215"/>
      <c r="EV7" s="215"/>
      <c r="EW7" s="215"/>
      <c r="EX7" s="215"/>
      <c r="EY7" s="215"/>
      <c r="EZ7" s="215"/>
      <c r="FA7" s="215"/>
      <c r="FB7" s="215"/>
      <c r="FC7" s="215"/>
      <c r="FD7" s="215"/>
      <c r="FE7" s="215"/>
      <c r="FF7" s="215"/>
      <c r="FG7" s="215"/>
      <c r="FH7" s="215"/>
      <c r="FI7" s="215"/>
      <c r="FJ7" s="215"/>
      <c r="FK7" s="215"/>
      <c r="FL7" s="215"/>
      <c r="FM7" s="215"/>
      <c r="FN7" s="215"/>
      <c r="FO7" s="215"/>
      <c r="FP7" s="215"/>
      <c r="FQ7" s="215"/>
      <c r="FR7" s="215"/>
      <c r="FS7" s="215"/>
      <c r="FT7" s="215"/>
      <c r="FU7" s="215"/>
      <c r="FV7" s="215"/>
      <c r="FW7" s="215"/>
      <c r="FX7" s="215"/>
      <c r="FY7" s="215"/>
      <c r="FZ7" s="215"/>
      <c r="GA7" s="215"/>
      <c r="GB7" s="215"/>
      <c r="GC7" s="215"/>
      <c r="GD7" s="215"/>
      <c r="GE7" s="215"/>
      <c r="GF7" s="215"/>
      <c r="GG7" s="215"/>
      <c r="GH7" s="215"/>
      <c r="GI7" s="215"/>
      <c r="GJ7" s="215"/>
      <c r="GK7" s="215"/>
      <c r="GL7" s="215"/>
      <c r="GM7" s="215"/>
      <c r="GN7" s="215"/>
      <c r="GO7" s="215"/>
      <c r="GP7" s="215"/>
      <c r="GQ7" s="215"/>
      <c r="GR7" s="215"/>
      <c r="GS7" s="215"/>
      <c r="GT7" s="215"/>
      <c r="GU7" s="215"/>
      <c r="GV7" s="215"/>
      <c r="GW7" s="215"/>
      <c r="GX7" s="215"/>
      <c r="GY7" s="215"/>
      <c r="GZ7" s="215"/>
      <c r="HA7" s="215"/>
      <c r="HB7" s="215"/>
      <c r="HC7" s="215"/>
      <c r="HD7" s="215"/>
      <c r="HE7" s="215"/>
      <c r="HF7" s="215"/>
      <c r="HG7" s="215"/>
      <c r="HH7" s="215"/>
      <c r="HI7" s="204"/>
      <c r="HJ7" s="204"/>
      <c r="HK7" s="204"/>
      <c r="HL7" s="204"/>
      <c r="HM7" s="204"/>
      <c r="HN7" s="204"/>
      <c r="HO7" s="204"/>
      <c r="HP7" s="204"/>
      <c r="HQ7" s="204"/>
      <c r="HR7" s="204"/>
    </row>
    <row r="8" spans="1:226" s="205" customFormat="1" ht="15.95" customHeight="1" x14ac:dyDescent="0.25">
      <c r="A8" s="202">
        <f>HOUR(B8)</f>
        <v>1</v>
      </c>
      <c r="B8" s="203">
        <v>4.1666666666666699E-2</v>
      </c>
      <c r="C8" s="215"/>
      <c r="D8" s="215"/>
      <c r="E8" s="215"/>
      <c r="F8" s="215"/>
      <c r="G8" s="215"/>
      <c r="H8" s="215"/>
      <c r="I8" s="215"/>
      <c r="J8" s="215"/>
      <c r="K8" s="215"/>
      <c r="L8" s="215"/>
      <c r="M8" s="215"/>
      <c r="N8" s="215"/>
      <c r="O8" s="215"/>
      <c r="P8" s="215"/>
      <c r="Q8" s="215"/>
      <c r="R8" s="215"/>
      <c r="S8" s="215"/>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U8" s="215"/>
      <c r="AV8" s="215"/>
      <c r="AW8" s="215"/>
      <c r="AX8" s="215"/>
      <c r="AY8" s="215"/>
      <c r="AZ8" s="215"/>
      <c r="BA8" s="215"/>
      <c r="BB8" s="215"/>
      <c r="BC8" s="215"/>
      <c r="BD8" s="215"/>
      <c r="BE8" s="215"/>
      <c r="BF8" s="215"/>
      <c r="BG8" s="215"/>
      <c r="BH8" s="215"/>
      <c r="BI8" s="215"/>
      <c r="BJ8" s="215"/>
      <c r="BK8" s="215"/>
      <c r="BL8" s="215"/>
      <c r="BM8" s="215"/>
      <c r="BN8" s="215"/>
      <c r="BO8" s="215"/>
      <c r="BP8" s="215"/>
      <c r="BQ8" s="215"/>
      <c r="BR8" s="215"/>
      <c r="BS8" s="215"/>
      <c r="BT8" s="215"/>
      <c r="BU8" s="215"/>
      <c r="BV8" s="215"/>
      <c r="BW8" s="215"/>
      <c r="BX8" s="215"/>
      <c r="BY8" s="215"/>
      <c r="BZ8" s="215"/>
      <c r="CA8" s="215"/>
      <c r="CB8" s="215"/>
      <c r="CC8" s="215"/>
      <c r="CD8" s="215"/>
      <c r="CE8" s="215"/>
      <c r="CF8" s="215"/>
      <c r="CG8" s="215"/>
      <c r="CH8" s="215"/>
      <c r="CI8" s="215"/>
      <c r="CJ8" s="215"/>
      <c r="CK8" s="215"/>
      <c r="CL8" s="215"/>
      <c r="CM8" s="215"/>
      <c r="CN8" s="215"/>
      <c r="CO8" s="215"/>
      <c r="CP8" s="215"/>
      <c r="CQ8" s="215"/>
      <c r="CR8" s="215"/>
      <c r="CS8" s="215"/>
      <c r="CT8" s="215"/>
      <c r="CU8" s="215"/>
      <c r="CV8" s="215"/>
      <c r="CW8" s="215"/>
      <c r="CX8" s="215"/>
      <c r="CY8" s="215"/>
      <c r="CZ8" s="215"/>
      <c r="DA8" s="215"/>
      <c r="DB8" s="215"/>
      <c r="DC8" s="215"/>
      <c r="DD8" s="215"/>
      <c r="DE8" s="215"/>
      <c r="DF8" s="215"/>
      <c r="DG8" s="215"/>
      <c r="DH8" s="215"/>
      <c r="DI8" s="215"/>
      <c r="DJ8" s="215"/>
      <c r="DK8" s="215"/>
      <c r="DL8" s="215"/>
      <c r="DM8" s="215"/>
      <c r="DN8" s="215"/>
      <c r="DO8" s="215"/>
      <c r="DP8" s="215"/>
      <c r="DQ8" s="215"/>
      <c r="DR8" s="215"/>
      <c r="DS8" s="215"/>
      <c r="DT8" s="215"/>
      <c r="DU8" s="215"/>
      <c r="DV8" s="215"/>
      <c r="DW8" s="215"/>
      <c r="DX8" s="215"/>
      <c r="DY8" s="215"/>
      <c r="DZ8" s="215"/>
      <c r="EA8" s="215"/>
      <c r="EB8" s="215"/>
      <c r="EC8" s="215"/>
      <c r="ED8" s="215"/>
      <c r="EE8" s="215"/>
      <c r="EF8" s="215"/>
      <c r="EG8" s="215"/>
      <c r="EH8" s="215"/>
      <c r="EI8" s="215"/>
      <c r="EJ8" s="215"/>
      <c r="EK8" s="215"/>
      <c r="EL8" s="215"/>
      <c r="EM8" s="215"/>
      <c r="EN8" s="215"/>
      <c r="EO8" s="215"/>
      <c r="EP8" s="215"/>
      <c r="EQ8" s="215"/>
      <c r="ER8" s="215"/>
      <c r="ES8" s="215"/>
      <c r="ET8" s="215"/>
      <c r="EU8" s="215"/>
      <c r="EV8" s="215"/>
      <c r="EW8" s="215"/>
      <c r="EX8" s="215"/>
      <c r="EY8" s="215"/>
      <c r="EZ8" s="215"/>
      <c r="FA8" s="215"/>
      <c r="FB8" s="215"/>
      <c r="FC8" s="215"/>
      <c r="FD8" s="215"/>
      <c r="FE8" s="215"/>
      <c r="FF8" s="215"/>
      <c r="FG8" s="215"/>
      <c r="FH8" s="215"/>
      <c r="FI8" s="215"/>
      <c r="FJ8" s="215"/>
      <c r="FK8" s="215"/>
      <c r="FL8" s="215"/>
      <c r="FM8" s="215"/>
      <c r="FN8" s="215"/>
      <c r="FO8" s="215"/>
      <c r="FP8" s="215"/>
      <c r="FQ8" s="215"/>
      <c r="FR8" s="215"/>
      <c r="FS8" s="215"/>
      <c r="FT8" s="215"/>
      <c r="FU8" s="215"/>
      <c r="FV8" s="215"/>
      <c r="FW8" s="215"/>
      <c r="FX8" s="215"/>
      <c r="FY8" s="215"/>
      <c r="FZ8" s="215"/>
      <c r="GA8" s="215"/>
      <c r="GB8" s="215"/>
      <c r="GC8" s="215"/>
      <c r="GD8" s="215"/>
      <c r="GE8" s="215"/>
      <c r="GF8" s="215"/>
      <c r="GG8" s="215"/>
      <c r="GH8" s="215"/>
      <c r="GI8" s="215"/>
      <c r="GJ8" s="215"/>
      <c r="GK8" s="215"/>
      <c r="GL8" s="215"/>
      <c r="GM8" s="215"/>
      <c r="GN8" s="215"/>
      <c r="GO8" s="215"/>
      <c r="GP8" s="215"/>
      <c r="GQ8" s="215"/>
      <c r="GR8" s="215"/>
      <c r="GS8" s="215"/>
      <c r="GT8" s="215"/>
      <c r="GU8" s="215"/>
      <c r="GV8" s="215"/>
      <c r="GW8" s="215"/>
      <c r="GX8" s="215"/>
      <c r="GY8" s="215"/>
      <c r="GZ8" s="215"/>
      <c r="HA8" s="215"/>
      <c r="HB8" s="215"/>
      <c r="HC8" s="215"/>
      <c r="HD8" s="215"/>
      <c r="HE8" s="215"/>
      <c r="HF8" s="215"/>
      <c r="HG8" s="215"/>
      <c r="HH8" s="215"/>
      <c r="HI8" s="204"/>
      <c r="HJ8" s="204"/>
      <c r="HK8" s="204"/>
      <c r="HL8" s="204"/>
      <c r="HM8" s="204"/>
      <c r="HN8" s="204"/>
      <c r="HO8" s="204"/>
      <c r="HP8" s="204"/>
      <c r="HQ8" s="204"/>
      <c r="HR8" s="204"/>
    </row>
    <row r="9" spans="1:226" s="205" customFormat="1" ht="15.95" customHeight="1" x14ac:dyDescent="0.25">
      <c r="A9" s="202">
        <f t="shared" ref="A9:A30" si="0">HOUR(B9)</f>
        <v>2</v>
      </c>
      <c r="B9" s="203">
        <v>8.3333333333333301E-2</v>
      </c>
      <c r="C9" s="215"/>
      <c r="D9" s="237" t="s">
        <v>675</v>
      </c>
      <c r="E9" s="237" t="s">
        <v>675</v>
      </c>
      <c r="F9" s="237" t="s">
        <v>675</v>
      </c>
      <c r="G9" s="237" t="s">
        <v>675</v>
      </c>
      <c r="H9" s="237" t="s">
        <v>675</v>
      </c>
      <c r="I9" s="237" t="s">
        <v>675</v>
      </c>
      <c r="J9" s="237" t="s">
        <v>675</v>
      </c>
      <c r="K9" s="237" t="s">
        <v>675</v>
      </c>
      <c r="L9" s="237" t="s">
        <v>675</v>
      </c>
      <c r="M9" s="237" t="s">
        <v>675</v>
      </c>
      <c r="N9" s="237" t="s">
        <v>675</v>
      </c>
      <c r="O9" s="237" t="s">
        <v>675</v>
      </c>
      <c r="P9" s="237" t="s">
        <v>675</v>
      </c>
      <c r="Q9" s="237" t="s">
        <v>675</v>
      </c>
      <c r="R9" s="237" t="s">
        <v>675</v>
      </c>
      <c r="S9" s="237" t="s">
        <v>675</v>
      </c>
      <c r="T9" s="237" t="s">
        <v>675</v>
      </c>
      <c r="U9" s="215"/>
      <c r="V9" s="215"/>
      <c r="W9" s="215"/>
      <c r="X9" s="215"/>
      <c r="Y9" s="215"/>
      <c r="Z9" s="215"/>
      <c r="AA9" s="215"/>
      <c r="AB9" s="215"/>
      <c r="AC9" s="215"/>
      <c r="AD9" s="215"/>
      <c r="AE9" s="215"/>
      <c r="AF9" s="215"/>
      <c r="AG9" s="215"/>
      <c r="AH9" s="215"/>
      <c r="AI9" s="215"/>
      <c r="AJ9" s="215"/>
      <c r="AK9" s="215"/>
      <c r="AL9" s="215"/>
      <c r="AM9" s="215"/>
      <c r="AN9" s="215"/>
      <c r="AO9" s="215"/>
      <c r="AP9" s="215"/>
      <c r="AQ9" s="215"/>
      <c r="AR9" s="215"/>
      <c r="AS9" s="215"/>
      <c r="AT9" s="215"/>
      <c r="AU9" s="215"/>
      <c r="AV9" s="215"/>
      <c r="AW9" s="215"/>
      <c r="AX9" s="215"/>
      <c r="AY9" s="215"/>
      <c r="AZ9" s="215"/>
      <c r="BA9" s="215"/>
      <c r="BB9" s="215"/>
      <c r="BC9" s="215"/>
      <c r="BD9" s="215"/>
      <c r="BE9" s="215"/>
      <c r="BF9" s="215"/>
      <c r="BG9" s="215"/>
      <c r="BH9" s="215"/>
      <c r="BI9" s="215"/>
      <c r="BJ9" s="215"/>
      <c r="BK9" s="215"/>
      <c r="BL9" s="215"/>
      <c r="BM9" s="215"/>
      <c r="BN9" s="215"/>
      <c r="BO9" s="215"/>
      <c r="BP9" s="215"/>
      <c r="BQ9" s="215"/>
      <c r="BR9" s="215"/>
      <c r="BS9" s="215"/>
      <c r="BT9" s="215"/>
      <c r="BU9" s="215"/>
      <c r="BV9" s="215"/>
      <c r="BW9" s="215"/>
      <c r="BX9" s="215"/>
      <c r="BY9" s="215"/>
      <c r="BZ9" s="215"/>
      <c r="CA9" s="215"/>
      <c r="CB9" s="215"/>
      <c r="CC9" s="215"/>
      <c r="CD9" s="215"/>
      <c r="CE9" s="215"/>
      <c r="CF9" s="215"/>
      <c r="CG9" s="215"/>
      <c r="CH9" s="215"/>
      <c r="CI9" s="215"/>
      <c r="CJ9" s="215"/>
      <c r="CK9" s="215"/>
      <c r="CL9" s="215"/>
      <c r="CM9" s="215"/>
      <c r="CN9" s="215"/>
      <c r="CO9" s="215"/>
      <c r="CP9" s="215"/>
      <c r="CQ9" s="215"/>
      <c r="CR9" s="215"/>
      <c r="CS9" s="215"/>
      <c r="CT9" s="215"/>
      <c r="CU9" s="215"/>
      <c r="CV9" s="215"/>
      <c r="CW9" s="215"/>
      <c r="CX9" s="215"/>
      <c r="CY9" s="215"/>
      <c r="CZ9" s="215"/>
      <c r="DA9" s="215"/>
      <c r="DB9" s="215"/>
      <c r="DC9" s="215"/>
      <c r="DD9" s="215"/>
      <c r="DE9" s="215"/>
      <c r="DF9" s="215"/>
      <c r="DG9" s="215"/>
      <c r="DH9" s="215"/>
      <c r="DI9" s="215"/>
      <c r="DJ9" s="215"/>
      <c r="DK9" s="215"/>
      <c r="DL9" s="215"/>
      <c r="DM9" s="215"/>
      <c r="DN9" s="215"/>
      <c r="DO9" s="215"/>
      <c r="DP9" s="215"/>
      <c r="DQ9" s="215"/>
      <c r="DR9" s="215"/>
      <c r="DS9" s="215"/>
      <c r="DT9" s="215"/>
      <c r="DU9" s="215"/>
      <c r="DV9" s="215"/>
      <c r="DW9" s="215"/>
      <c r="DX9" s="215"/>
      <c r="DY9" s="215"/>
      <c r="DZ9" s="215"/>
      <c r="EA9" s="215"/>
      <c r="EB9" s="215"/>
      <c r="EC9" s="215"/>
      <c r="ED9" s="215"/>
      <c r="EE9" s="215"/>
      <c r="EF9" s="215"/>
      <c r="EG9" s="215"/>
      <c r="EH9" s="215"/>
      <c r="EI9" s="215"/>
      <c r="EJ9" s="215"/>
      <c r="EK9" s="215"/>
      <c r="EL9" s="215"/>
      <c r="EM9" s="215"/>
      <c r="EN9" s="215"/>
      <c r="EO9" s="215"/>
      <c r="EP9" s="215"/>
      <c r="EQ9" s="215"/>
      <c r="ER9" s="215"/>
      <c r="ES9" s="215"/>
      <c r="ET9" s="215"/>
      <c r="EU9" s="215"/>
      <c r="EV9" s="215"/>
      <c r="EW9" s="215"/>
      <c r="EX9" s="215"/>
      <c r="EY9" s="215"/>
      <c r="EZ9" s="215"/>
      <c r="FA9" s="215"/>
      <c r="FB9" s="215"/>
      <c r="FC9" s="215"/>
      <c r="FD9" s="215"/>
      <c r="FE9" s="215"/>
      <c r="FF9" s="215"/>
      <c r="FG9" s="215"/>
      <c r="FH9" s="215"/>
      <c r="FI9" s="215"/>
      <c r="FJ9" s="215"/>
      <c r="FK9" s="215"/>
      <c r="FL9" s="215"/>
      <c r="FM9" s="215"/>
      <c r="FN9" s="215"/>
      <c r="FO9" s="215"/>
      <c r="FP9" s="215"/>
      <c r="FQ9" s="215"/>
      <c r="FR9" s="215"/>
      <c r="FS9" s="215"/>
      <c r="FT9" s="215"/>
      <c r="FU9" s="215"/>
      <c r="FV9" s="215"/>
      <c r="FW9" s="215"/>
      <c r="FX9" s="215"/>
      <c r="FY9" s="215"/>
      <c r="FZ9" s="215"/>
      <c r="GA9" s="215"/>
      <c r="GB9" s="215"/>
      <c r="GC9" s="215"/>
      <c r="GD9" s="215"/>
      <c r="GE9" s="215"/>
      <c r="GF9" s="215"/>
      <c r="GG9" s="215"/>
      <c r="GH9" s="215"/>
      <c r="GI9" s="215"/>
      <c r="GJ9" s="215"/>
      <c r="GK9" s="215"/>
      <c r="GL9" s="215"/>
      <c r="GM9" s="215"/>
      <c r="GN9" s="215"/>
      <c r="GO9" s="215"/>
      <c r="GP9" s="215"/>
      <c r="GQ9" s="215"/>
      <c r="GR9" s="215"/>
      <c r="GS9" s="215"/>
      <c r="GT9" s="215"/>
      <c r="GU9" s="215"/>
      <c r="GV9" s="215"/>
      <c r="GW9" s="215"/>
      <c r="GX9" s="215"/>
      <c r="GY9" s="215"/>
      <c r="GZ9" s="215"/>
      <c r="HA9" s="215"/>
      <c r="HB9" s="215"/>
      <c r="HC9" s="215"/>
      <c r="HD9" s="215"/>
      <c r="HE9" s="215"/>
      <c r="HF9" s="215"/>
      <c r="HG9" s="215"/>
      <c r="HH9" s="215"/>
      <c r="HI9" s="204"/>
      <c r="HJ9" s="204"/>
      <c r="HK9" s="204"/>
      <c r="HL9" s="204"/>
      <c r="HM9" s="204"/>
      <c r="HN9" s="204"/>
      <c r="HO9" s="204"/>
      <c r="HP9" s="204"/>
      <c r="HQ9" s="204"/>
      <c r="HR9" s="204"/>
    </row>
    <row r="10" spans="1:226" s="207" customFormat="1" ht="15.95" customHeight="1" x14ac:dyDescent="0.25">
      <c r="A10" s="202">
        <f t="shared" si="0"/>
        <v>3</v>
      </c>
      <c r="B10" s="203">
        <v>0.125</v>
      </c>
      <c r="C10" s="215"/>
      <c r="D10" s="228" t="s">
        <v>677</v>
      </c>
      <c r="E10" s="215"/>
      <c r="F10" s="215"/>
      <c r="G10" s="215"/>
      <c r="H10" s="215"/>
      <c r="I10" s="215"/>
      <c r="J10" s="215"/>
      <c r="K10" s="215"/>
      <c r="L10" s="215"/>
      <c r="M10" s="215"/>
      <c r="N10" s="215"/>
      <c r="O10" s="215"/>
      <c r="P10" s="215"/>
      <c r="Q10" s="215"/>
      <c r="R10" s="215"/>
      <c r="S10" s="215"/>
      <c r="T10" s="215"/>
      <c r="U10" s="215"/>
      <c r="V10" s="215"/>
      <c r="W10" s="215"/>
      <c r="X10" s="215"/>
      <c r="Y10" s="215"/>
      <c r="Z10" s="215"/>
      <c r="AA10" s="215"/>
      <c r="AB10" s="215"/>
      <c r="AC10" s="215"/>
      <c r="AD10" s="215"/>
      <c r="AE10" s="215"/>
      <c r="AF10" s="215"/>
      <c r="AG10" s="215"/>
      <c r="AH10" s="215"/>
      <c r="AI10" s="215"/>
      <c r="AJ10" s="215"/>
      <c r="AK10" s="215"/>
      <c r="AL10" s="215"/>
      <c r="AM10" s="215"/>
      <c r="AN10" s="215"/>
      <c r="AO10" s="215"/>
      <c r="AP10" s="215"/>
      <c r="AQ10" s="215"/>
      <c r="AR10" s="215"/>
      <c r="AS10" s="215"/>
      <c r="AT10" s="215"/>
      <c r="AU10" s="215"/>
      <c r="AV10" s="215"/>
      <c r="AW10" s="215"/>
      <c r="AX10" s="215"/>
      <c r="AY10" s="215"/>
      <c r="AZ10" s="215"/>
      <c r="BA10" s="215"/>
      <c r="BB10" s="215"/>
      <c r="BC10" s="215"/>
      <c r="BD10" s="215"/>
      <c r="BE10" s="215"/>
      <c r="BF10" s="215"/>
      <c r="BG10" s="215"/>
      <c r="BH10" s="215"/>
      <c r="BI10" s="215"/>
      <c r="BJ10" s="215"/>
      <c r="BK10" s="215"/>
      <c r="BL10" s="215"/>
      <c r="BM10" s="215"/>
      <c r="BN10" s="215"/>
      <c r="BO10" s="215"/>
      <c r="BP10" s="215"/>
      <c r="BQ10" s="215"/>
      <c r="BR10" s="215"/>
      <c r="BS10" s="215"/>
      <c r="BT10" s="215"/>
      <c r="BU10" s="215"/>
      <c r="BV10" s="215"/>
      <c r="BW10" s="215"/>
      <c r="BX10" s="215"/>
      <c r="BY10" s="215"/>
      <c r="BZ10" s="215"/>
      <c r="CA10" s="215"/>
      <c r="CB10" s="215"/>
      <c r="CC10" s="215"/>
      <c r="CD10" s="215"/>
      <c r="CE10" s="215"/>
      <c r="CF10" s="215"/>
      <c r="CG10" s="215"/>
      <c r="CH10" s="215"/>
      <c r="CI10" s="215"/>
      <c r="CJ10" s="215"/>
      <c r="CK10" s="215"/>
      <c r="CL10" s="215"/>
      <c r="CM10" s="215"/>
      <c r="CN10" s="215"/>
      <c r="CO10" s="215"/>
      <c r="CP10" s="215"/>
      <c r="CQ10" s="215"/>
      <c r="CR10" s="215"/>
      <c r="CS10" s="215"/>
      <c r="CT10" s="215"/>
      <c r="CU10" s="215"/>
      <c r="CV10" s="215"/>
      <c r="CW10" s="215"/>
      <c r="CX10" s="215"/>
      <c r="CY10" s="215"/>
      <c r="CZ10" s="215"/>
      <c r="DA10" s="215"/>
      <c r="DB10" s="215"/>
      <c r="DC10" s="215"/>
      <c r="DD10" s="215"/>
      <c r="DE10" s="215"/>
      <c r="DF10" s="215"/>
      <c r="DG10" s="215"/>
      <c r="DH10" s="215"/>
      <c r="DI10" s="215"/>
      <c r="DJ10" s="215"/>
      <c r="DK10" s="215"/>
      <c r="DL10" s="215"/>
      <c r="DM10" s="215"/>
      <c r="DN10" s="215"/>
      <c r="DO10" s="215"/>
      <c r="DP10" s="215"/>
      <c r="DQ10" s="215"/>
      <c r="DR10" s="215"/>
      <c r="DS10" s="215"/>
      <c r="DT10" s="215"/>
      <c r="DU10" s="215"/>
      <c r="DV10" s="215"/>
      <c r="DW10" s="215"/>
      <c r="DX10" s="215"/>
      <c r="DY10" s="215"/>
      <c r="DZ10" s="215"/>
      <c r="EA10" s="215"/>
      <c r="EB10" s="215"/>
      <c r="EC10" s="215"/>
      <c r="ED10" s="215"/>
      <c r="EE10" s="215"/>
      <c r="EF10" s="215"/>
      <c r="EG10" s="215"/>
      <c r="EH10" s="215"/>
      <c r="EI10" s="215"/>
      <c r="EJ10" s="215"/>
      <c r="EK10" s="215"/>
      <c r="EL10" s="215"/>
      <c r="EM10" s="215"/>
      <c r="EN10" s="215"/>
      <c r="EO10" s="215"/>
      <c r="EP10" s="215"/>
      <c r="EQ10" s="215"/>
      <c r="ER10" s="215"/>
      <c r="ES10" s="215"/>
      <c r="ET10" s="215"/>
      <c r="EU10" s="215"/>
      <c r="EV10" s="215"/>
      <c r="EW10" s="215"/>
      <c r="EX10" s="215"/>
      <c r="EY10" s="215"/>
      <c r="EZ10" s="215"/>
      <c r="FA10" s="215"/>
      <c r="FB10" s="215"/>
      <c r="FC10" s="215"/>
      <c r="FD10" s="215"/>
      <c r="FE10" s="215"/>
      <c r="FF10" s="215"/>
      <c r="FG10" s="215"/>
      <c r="FH10" s="215"/>
      <c r="FI10" s="215"/>
      <c r="FJ10" s="215"/>
      <c r="FK10" s="215"/>
      <c r="FL10" s="215"/>
      <c r="FM10" s="215"/>
      <c r="FN10" s="215"/>
      <c r="FO10" s="215"/>
      <c r="FP10" s="215"/>
      <c r="FQ10" s="215"/>
      <c r="FR10" s="215"/>
      <c r="FS10" s="215"/>
      <c r="FT10" s="215"/>
      <c r="FU10" s="215"/>
      <c r="FV10" s="215"/>
      <c r="FW10" s="215"/>
      <c r="FX10" s="215"/>
      <c r="FY10" s="215"/>
      <c r="FZ10" s="215"/>
      <c r="GA10" s="215"/>
      <c r="GB10" s="215"/>
      <c r="GC10" s="215"/>
      <c r="GD10" s="215"/>
      <c r="GE10" s="215"/>
      <c r="GF10" s="215"/>
      <c r="GG10" s="215"/>
      <c r="GH10" s="215"/>
      <c r="GI10" s="215"/>
      <c r="GJ10" s="215"/>
      <c r="GK10" s="215"/>
      <c r="GL10" s="215"/>
      <c r="GM10" s="215"/>
      <c r="GN10" s="215"/>
      <c r="GO10" s="215"/>
      <c r="GP10" s="215"/>
      <c r="GQ10" s="215"/>
      <c r="GR10" s="215"/>
      <c r="GS10" s="215"/>
      <c r="GT10" s="215"/>
      <c r="GU10" s="215"/>
      <c r="GV10" s="215"/>
      <c r="GW10" s="215"/>
      <c r="GX10" s="215"/>
      <c r="GY10" s="215"/>
      <c r="GZ10" s="215"/>
      <c r="HA10" s="215"/>
      <c r="HB10" s="215"/>
      <c r="HC10" s="215"/>
      <c r="HD10" s="215"/>
      <c r="HE10" s="215"/>
      <c r="HF10" s="215"/>
      <c r="HG10" s="215"/>
      <c r="HH10" s="215"/>
      <c r="HI10" s="206"/>
      <c r="HJ10" s="206"/>
      <c r="HK10" s="206"/>
      <c r="HL10" s="206"/>
      <c r="HM10" s="206"/>
      <c r="HN10" s="206"/>
      <c r="HO10" s="206"/>
      <c r="HP10" s="206"/>
      <c r="HQ10" s="206"/>
      <c r="HR10" s="206"/>
    </row>
    <row r="11" spans="1:226" s="205" customFormat="1" ht="15.95" customHeight="1" x14ac:dyDescent="0.25">
      <c r="A11" s="202">
        <f t="shared" si="0"/>
        <v>4</v>
      </c>
      <c r="B11" s="203">
        <v>0.16666666666666699</v>
      </c>
      <c r="C11" s="232"/>
      <c r="D11" s="232" t="s">
        <v>676</v>
      </c>
      <c r="E11" s="232" t="s">
        <v>676</v>
      </c>
      <c r="F11" s="232" t="s">
        <v>676</v>
      </c>
      <c r="G11" s="232" t="s">
        <v>676</v>
      </c>
      <c r="H11" s="232" t="s">
        <v>676</v>
      </c>
      <c r="I11" s="232" t="s">
        <v>676</v>
      </c>
      <c r="J11" s="232" t="s">
        <v>676</v>
      </c>
      <c r="K11" s="232" t="s">
        <v>676</v>
      </c>
      <c r="L11" s="232" t="s">
        <v>676</v>
      </c>
      <c r="M11" s="232" t="s">
        <v>676</v>
      </c>
      <c r="N11" s="232" t="s">
        <v>676</v>
      </c>
      <c r="O11" s="232" t="s">
        <v>676</v>
      </c>
      <c r="P11" s="232" t="s">
        <v>676</v>
      </c>
      <c r="Q11" s="232" t="s">
        <v>676</v>
      </c>
      <c r="R11" s="232" t="s">
        <v>676</v>
      </c>
      <c r="S11" s="232" t="s">
        <v>676</v>
      </c>
      <c r="T11" s="232" t="s">
        <v>676</v>
      </c>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215"/>
      <c r="BJ11" s="215"/>
      <c r="BK11" s="215"/>
      <c r="BL11" s="215"/>
      <c r="BM11" s="215"/>
      <c r="BN11" s="215"/>
      <c r="BO11" s="215"/>
      <c r="BP11" s="215"/>
      <c r="BQ11" s="215"/>
      <c r="BR11" s="215"/>
      <c r="BS11" s="215"/>
      <c r="BT11" s="215"/>
      <c r="BU11" s="215"/>
      <c r="BV11" s="215"/>
      <c r="BW11" s="215"/>
      <c r="BX11" s="215"/>
      <c r="BY11" s="215"/>
      <c r="BZ11" s="215"/>
      <c r="CA11" s="215"/>
      <c r="CB11" s="215"/>
      <c r="CC11" s="215"/>
      <c r="CD11" s="215"/>
      <c r="CE11" s="215"/>
      <c r="CF11" s="215"/>
      <c r="CG11" s="215"/>
      <c r="CH11" s="215"/>
      <c r="CI11" s="215"/>
      <c r="CJ11" s="215"/>
      <c r="CK11" s="215"/>
      <c r="CL11" s="215"/>
      <c r="CM11" s="215"/>
      <c r="CN11" s="215"/>
      <c r="CO11" s="215"/>
      <c r="CP11" s="215"/>
      <c r="CQ11" s="215"/>
      <c r="CR11" s="215"/>
      <c r="CS11" s="215"/>
      <c r="CT11" s="215"/>
      <c r="CU11" s="215"/>
      <c r="CV11" s="215"/>
      <c r="CW11" s="215"/>
      <c r="CX11" s="215"/>
      <c r="CY11" s="215"/>
      <c r="CZ11" s="215"/>
      <c r="DA11" s="215"/>
      <c r="DB11" s="215"/>
      <c r="DC11" s="215"/>
      <c r="DD11" s="215"/>
      <c r="DE11" s="215"/>
      <c r="DF11" s="215"/>
      <c r="DG11" s="215"/>
      <c r="DH11" s="215"/>
      <c r="DI11" s="215"/>
      <c r="DJ11" s="215"/>
      <c r="DK11" s="215"/>
      <c r="DL11" s="215"/>
      <c r="DM11" s="215"/>
      <c r="DN11" s="215"/>
      <c r="DO11" s="215"/>
      <c r="DP11" s="215"/>
      <c r="DQ11" s="215"/>
      <c r="DR11" s="215"/>
      <c r="DS11" s="215"/>
      <c r="DT11" s="215"/>
      <c r="DU11" s="215"/>
      <c r="DV11" s="215"/>
      <c r="DW11" s="215"/>
      <c r="DX11" s="215"/>
      <c r="DY11" s="215"/>
      <c r="DZ11" s="215"/>
      <c r="EA11" s="215"/>
      <c r="EB11" s="215"/>
      <c r="EC11" s="215"/>
      <c r="ED11" s="215"/>
      <c r="EE11" s="215"/>
      <c r="EF11" s="215"/>
      <c r="EG11" s="215"/>
      <c r="EH11" s="215"/>
      <c r="EI11" s="215"/>
      <c r="EJ11" s="215"/>
      <c r="EK11" s="215"/>
      <c r="EL11" s="215"/>
      <c r="EM11" s="215"/>
      <c r="EN11" s="215"/>
      <c r="EO11" s="215"/>
      <c r="EP11" s="215"/>
      <c r="EQ11" s="215"/>
      <c r="ER11" s="215"/>
      <c r="ES11" s="215"/>
      <c r="ET11" s="215"/>
      <c r="EU11" s="215"/>
      <c r="EV11" s="215"/>
      <c r="EW11" s="215"/>
      <c r="EX11" s="215"/>
      <c r="EY11" s="215"/>
      <c r="EZ11" s="215"/>
      <c r="FA11" s="215"/>
      <c r="FB11" s="215"/>
      <c r="FC11" s="215"/>
      <c r="FD11" s="215"/>
      <c r="FE11" s="215"/>
      <c r="FF11" s="215"/>
      <c r="FG11" s="215"/>
      <c r="FH11" s="215"/>
      <c r="FI11" s="215"/>
      <c r="FJ11" s="215"/>
      <c r="FK11" s="215"/>
      <c r="FL11" s="215"/>
      <c r="FM11" s="215"/>
      <c r="FN11" s="215"/>
      <c r="FO11" s="215"/>
      <c r="FP11" s="215"/>
      <c r="FQ11" s="215"/>
      <c r="FR11" s="215"/>
      <c r="FS11" s="215"/>
      <c r="FT11" s="215"/>
      <c r="FU11" s="215"/>
      <c r="FV11" s="215"/>
      <c r="FW11" s="215"/>
      <c r="FX11" s="215"/>
      <c r="FY11" s="215"/>
      <c r="FZ11" s="215"/>
      <c r="GA11" s="215"/>
      <c r="GB11" s="215"/>
      <c r="GC11" s="215"/>
      <c r="GD11" s="215"/>
      <c r="GE11" s="215"/>
      <c r="GF11" s="215"/>
      <c r="GG11" s="215"/>
      <c r="GH11" s="215"/>
      <c r="GI11" s="215"/>
      <c r="GJ11" s="215"/>
      <c r="GK11" s="215"/>
      <c r="GL11" s="215"/>
      <c r="GM11" s="215"/>
      <c r="GN11" s="215"/>
      <c r="GO11" s="215"/>
      <c r="GP11" s="215"/>
      <c r="GQ11" s="215"/>
      <c r="GR11" s="215"/>
      <c r="GS11" s="215"/>
      <c r="GT11" s="215"/>
      <c r="GU11" s="215"/>
      <c r="GV11" s="215"/>
      <c r="GW11" s="215"/>
      <c r="GX11" s="215"/>
      <c r="GY11" s="215"/>
      <c r="GZ11" s="215"/>
      <c r="HA11" s="215"/>
      <c r="HB11" s="215"/>
      <c r="HC11" s="215"/>
      <c r="HD11" s="215"/>
      <c r="HE11" s="215"/>
      <c r="HF11" s="215"/>
      <c r="HG11" s="215"/>
      <c r="HH11" s="215"/>
      <c r="HI11" s="204"/>
      <c r="HJ11" s="204"/>
      <c r="HK11" s="204"/>
      <c r="HL11" s="204"/>
      <c r="HM11" s="204"/>
      <c r="HN11" s="204"/>
      <c r="HO11" s="204"/>
      <c r="HP11" s="204"/>
      <c r="HQ11" s="204"/>
      <c r="HR11" s="204"/>
    </row>
    <row r="12" spans="1:226" s="205" customFormat="1" ht="30" x14ac:dyDescent="0.25">
      <c r="A12" s="202">
        <f t="shared" si="0"/>
        <v>5</v>
      </c>
      <c r="B12" s="203">
        <v>0.20833333333333301</v>
      </c>
      <c r="C12" s="228"/>
      <c r="D12" s="218" t="s">
        <v>678</v>
      </c>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5"/>
      <c r="AI12" s="215"/>
      <c r="AJ12" s="215"/>
      <c r="AK12" s="215"/>
      <c r="AL12" s="215"/>
      <c r="AM12" s="215"/>
      <c r="AN12" s="215"/>
      <c r="AO12" s="215"/>
      <c r="AP12" s="215"/>
      <c r="AQ12" s="215"/>
      <c r="AR12" s="215"/>
      <c r="AS12" s="215"/>
      <c r="AT12" s="215"/>
      <c r="AU12" s="215"/>
      <c r="AV12" s="215"/>
      <c r="AW12" s="215"/>
      <c r="AX12" s="215"/>
      <c r="AY12" s="215"/>
      <c r="AZ12" s="215"/>
      <c r="BA12" s="215"/>
      <c r="BB12" s="215"/>
      <c r="BC12" s="215"/>
      <c r="BD12" s="215"/>
      <c r="BE12" s="215"/>
      <c r="BF12" s="215"/>
      <c r="BG12" s="215"/>
      <c r="BH12" s="215"/>
      <c r="BI12" s="215"/>
      <c r="BJ12" s="215"/>
      <c r="BK12" s="215"/>
      <c r="BL12" s="215"/>
      <c r="BM12" s="215"/>
      <c r="BN12" s="215"/>
      <c r="BO12" s="215"/>
      <c r="BP12" s="215"/>
      <c r="BQ12" s="215"/>
      <c r="BR12" s="215"/>
      <c r="BS12" s="215"/>
      <c r="BT12" s="215"/>
      <c r="BU12" s="215"/>
      <c r="BV12" s="215"/>
      <c r="BW12" s="215"/>
      <c r="BX12" s="215"/>
      <c r="BY12" s="215"/>
      <c r="BZ12" s="215"/>
      <c r="CA12" s="215"/>
      <c r="CB12" s="215"/>
      <c r="CC12" s="215"/>
      <c r="CD12" s="215"/>
      <c r="CE12" s="215"/>
      <c r="CF12" s="215"/>
      <c r="CG12" s="215"/>
      <c r="CH12" s="215"/>
      <c r="CI12" s="215"/>
      <c r="CJ12" s="215"/>
      <c r="CK12" s="215"/>
      <c r="CL12" s="215"/>
      <c r="CM12" s="215"/>
      <c r="CN12" s="215"/>
      <c r="CO12" s="215"/>
      <c r="CP12" s="215"/>
      <c r="CQ12" s="215"/>
      <c r="CR12" s="215"/>
      <c r="CS12" s="215"/>
      <c r="CT12" s="215"/>
      <c r="CU12" s="215"/>
      <c r="CV12" s="215"/>
      <c r="CW12" s="215"/>
      <c r="CX12" s="215"/>
      <c r="CY12" s="215"/>
      <c r="CZ12" s="215"/>
      <c r="DA12" s="215"/>
      <c r="DB12" s="215"/>
      <c r="DC12" s="215"/>
      <c r="DD12" s="215"/>
      <c r="DE12" s="215"/>
      <c r="DF12" s="215"/>
      <c r="DG12" s="215"/>
      <c r="DH12" s="215"/>
      <c r="DI12" s="215"/>
      <c r="DJ12" s="215"/>
      <c r="DK12" s="215"/>
      <c r="DL12" s="215"/>
      <c r="DM12" s="215"/>
      <c r="DN12" s="215"/>
      <c r="DO12" s="215"/>
      <c r="DP12" s="215"/>
      <c r="DQ12" s="215"/>
      <c r="DR12" s="215"/>
      <c r="DS12" s="215"/>
      <c r="DT12" s="215"/>
      <c r="DU12" s="215"/>
      <c r="DV12" s="215"/>
      <c r="DW12" s="215"/>
      <c r="DX12" s="215"/>
      <c r="DY12" s="215"/>
      <c r="DZ12" s="215"/>
      <c r="EA12" s="215"/>
      <c r="EB12" s="215"/>
      <c r="EC12" s="215"/>
      <c r="ED12" s="215"/>
      <c r="EE12" s="215"/>
      <c r="EF12" s="215"/>
      <c r="EG12" s="215"/>
      <c r="EH12" s="215"/>
      <c r="EI12" s="215"/>
      <c r="EJ12" s="215"/>
      <c r="EK12" s="215"/>
      <c r="EL12" s="215"/>
      <c r="EM12" s="215"/>
      <c r="EN12" s="215"/>
      <c r="EO12" s="215"/>
      <c r="EP12" s="215"/>
      <c r="EQ12" s="215"/>
      <c r="ER12" s="215"/>
      <c r="ES12" s="215"/>
      <c r="ET12" s="215"/>
      <c r="EU12" s="215"/>
      <c r="EV12" s="215"/>
      <c r="EW12" s="215"/>
      <c r="EX12" s="215"/>
      <c r="EY12" s="215"/>
      <c r="EZ12" s="215"/>
      <c r="FA12" s="215"/>
      <c r="FB12" s="215"/>
      <c r="FC12" s="215"/>
      <c r="FD12" s="215"/>
      <c r="FE12" s="215"/>
      <c r="FF12" s="215"/>
      <c r="FG12" s="215"/>
      <c r="FH12" s="215"/>
      <c r="FI12" s="215"/>
      <c r="FJ12" s="215"/>
      <c r="FK12" s="215"/>
      <c r="FL12" s="215"/>
      <c r="FM12" s="215"/>
      <c r="FN12" s="215"/>
      <c r="FO12" s="215"/>
      <c r="FP12" s="215"/>
      <c r="FQ12" s="215"/>
      <c r="FR12" s="215"/>
      <c r="FS12" s="215"/>
      <c r="FT12" s="215"/>
      <c r="FU12" s="215"/>
      <c r="FV12" s="215"/>
      <c r="FW12" s="215"/>
      <c r="FX12" s="215"/>
      <c r="FY12" s="215"/>
      <c r="FZ12" s="215"/>
      <c r="GA12" s="215"/>
      <c r="GB12" s="215"/>
      <c r="GC12" s="215"/>
      <c r="GD12" s="215"/>
      <c r="GE12" s="215"/>
      <c r="GF12" s="215"/>
      <c r="GG12" s="215"/>
      <c r="GH12" s="215"/>
      <c r="GI12" s="215"/>
      <c r="GJ12" s="215"/>
      <c r="GK12" s="215"/>
      <c r="GL12" s="215"/>
      <c r="GM12" s="215"/>
      <c r="GN12" s="215"/>
      <c r="GO12" s="215"/>
      <c r="GP12" s="215"/>
      <c r="GQ12" s="215"/>
      <c r="GR12" s="215"/>
      <c r="GS12" s="215"/>
      <c r="GT12" s="215"/>
      <c r="GU12" s="215"/>
      <c r="GV12" s="215"/>
      <c r="GW12" s="215"/>
      <c r="GX12" s="215"/>
      <c r="GY12" s="215"/>
      <c r="GZ12" s="215"/>
      <c r="HA12" s="215"/>
      <c r="HB12" s="215"/>
      <c r="HC12" s="215"/>
      <c r="HD12" s="215"/>
      <c r="HE12" s="215"/>
      <c r="HF12" s="215"/>
      <c r="HG12" s="215"/>
      <c r="HH12" s="215"/>
      <c r="HI12" s="204"/>
      <c r="HJ12" s="204"/>
      <c r="HK12" s="204"/>
      <c r="HL12" s="204"/>
      <c r="HM12" s="204"/>
      <c r="HN12" s="204"/>
      <c r="HO12" s="204"/>
      <c r="HP12" s="204"/>
      <c r="HQ12" s="204"/>
      <c r="HR12" s="204"/>
    </row>
    <row r="13" spans="1:226" s="205" customFormat="1" ht="35.25" customHeight="1" x14ac:dyDescent="0.25">
      <c r="A13" s="202">
        <f t="shared" si="0"/>
        <v>6</v>
      </c>
      <c r="B13" s="203">
        <v>0.25</v>
      </c>
      <c r="C13" s="228"/>
      <c r="D13" s="218" t="s">
        <v>678</v>
      </c>
      <c r="E13" s="215"/>
      <c r="F13" s="215"/>
      <c r="G13" s="215"/>
      <c r="H13" s="215"/>
      <c r="I13" s="215"/>
      <c r="J13" s="215"/>
      <c r="K13" s="215"/>
      <c r="L13" s="215"/>
      <c r="M13" s="215"/>
      <c r="N13" s="215"/>
      <c r="O13" s="215"/>
      <c r="P13" s="215"/>
      <c r="Q13" s="215"/>
      <c r="R13" s="215"/>
      <c r="S13" s="215"/>
      <c r="T13" s="215"/>
      <c r="U13" s="215"/>
      <c r="V13" s="215"/>
      <c r="W13" s="215"/>
      <c r="X13" s="215"/>
      <c r="Y13" s="215"/>
      <c r="Z13" s="215"/>
      <c r="AA13" s="215"/>
      <c r="AB13" s="215"/>
      <c r="AC13" s="215"/>
      <c r="AD13" s="215"/>
      <c r="AE13" s="215"/>
      <c r="AF13" s="215"/>
      <c r="AG13" s="215"/>
      <c r="AH13" s="215"/>
      <c r="AI13" s="215"/>
      <c r="AJ13" s="215"/>
      <c r="AK13" s="215"/>
      <c r="AL13" s="215"/>
      <c r="AM13" s="215"/>
      <c r="AN13" s="215"/>
      <c r="AO13" s="215"/>
      <c r="AP13" s="215"/>
      <c r="AQ13" s="215"/>
      <c r="AR13" s="215"/>
      <c r="AS13" s="215"/>
      <c r="AT13" s="215"/>
      <c r="AU13" s="215"/>
      <c r="AV13" s="215"/>
      <c r="AW13" s="215"/>
      <c r="AX13" s="215"/>
      <c r="AY13" s="215"/>
      <c r="AZ13" s="215"/>
      <c r="BA13" s="215"/>
      <c r="BB13" s="215"/>
      <c r="BC13" s="215"/>
      <c r="BD13" s="215"/>
      <c r="BE13" s="215"/>
      <c r="BF13" s="215"/>
      <c r="BG13" s="215"/>
      <c r="BH13" s="215"/>
      <c r="BI13" s="215"/>
      <c r="BJ13" s="215"/>
      <c r="BK13" s="215"/>
      <c r="BL13" s="215"/>
      <c r="BM13" s="215"/>
      <c r="BN13" s="215"/>
      <c r="BO13" s="215"/>
      <c r="BP13" s="215"/>
      <c r="BQ13" s="215"/>
      <c r="BR13" s="215"/>
      <c r="BS13" s="215"/>
      <c r="BT13" s="215"/>
      <c r="BU13" s="215"/>
      <c r="BV13" s="215"/>
      <c r="BW13" s="215"/>
      <c r="BX13" s="215"/>
      <c r="BY13" s="215"/>
      <c r="BZ13" s="215"/>
      <c r="CA13" s="215"/>
      <c r="CB13" s="215"/>
      <c r="CC13" s="215"/>
      <c r="CD13" s="215"/>
      <c r="CE13" s="215"/>
      <c r="CF13" s="215"/>
      <c r="CG13" s="215"/>
      <c r="CH13" s="215"/>
      <c r="CI13" s="215"/>
      <c r="CJ13" s="215"/>
      <c r="CK13" s="215"/>
      <c r="CL13" s="215"/>
      <c r="CM13" s="215"/>
      <c r="CN13" s="215"/>
      <c r="CO13" s="215"/>
      <c r="CP13" s="215"/>
      <c r="CQ13" s="215"/>
      <c r="CR13" s="215"/>
      <c r="CS13" s="215"/>
      <c r="CT13" s="215"/>
      <c r="CU13" s="215"/>
      <c r="CV13" s="215"/>
      <c r="CW13" s="215"/>
      <c r="CX13" s="215"/>
      <c r="CY13" s="215"/>
      <c r="CZ13" s="215"/>
      <c r="DA13" s="215"/>
      <c r="DB13" s="215"/>
      <c r="DC13" s="215"/>
      <c r="DD13" s="215"/>
      <c r="DE13" s="215"/>
      <c r="DF13" s="215"/>
      <c r="DG13" s="215"/>
      <c r="DH13" s="215"/>
      <c r="DI13" s="215"/>
      <c r="DJ13" s="215"/>
      <c r="DK13" s="215"/>
      <c r="DL13" s="215"/>
      <c r="DM13" s="215"/>
      <c r="DN13" s="215"/>
      <c r="DO13" s="215"/>
      <c r="DP13" s="215"/>
      <c r="DQ13" s="215"/>
      <c r="DR13" s="215"/>
      <c r="DS13" s="215"/>
      <c r="DT13" s="215"/>
      <c r="DU13" s="215"/>
      <c r="DV13" s="215"/>
      <c r="DW13" s="215"/>
      <c r="DX13" s="215"/>
      <c r="DY13" s="215"/>
      <c r="DZ13" s="215"/>
      <c r="EA13" s="215"/>
      <c r="EB13" s="215"/>
      <c r="EC13" s="215"/>
      <c r="ED13" s="215"/>
      <c r="EE13" s="215"/>
      <c r="EF13" s="215"/>
      <c r="EG13" s="215"/>
      <c r="EH13" s="215"/>
      <c r="EI13" s="215"/>
      <c r="EJ13" s="215"/>
      <c r="EK13" s="215"/>
      <c r="EL13" s="215"/>
      <c r="EM13" s="215"/>
      <c r="EN13" s="215"/>
      <c r="EO13" s="215"/>
      <c r="EP13" s="215"/>
      <c r="EQ13" s="215"/>
      <c r="ER13" s="215"/>
      <c r="ES13" s="215"/>
      <c r="ET13" s="215"/>
      <c r="EU13" s="215"/>
      <c r="EV13" s="215"/>
      <c r="EW13" s="215"/>
      <c r="EX13" s="215"/>
      <c r="EY13" s="215"/>
      <c r="EZ13" s="215"/>
      <c r="FA13" s="215"/>
      <c r="FB13" s="215"/>
      <c r="FC13" s="215"/>
      <c r="FD13" s="215"/>
      <c r="FE13" s="215"/>
      <c r="FF13" s="215"/>
      <c r="FG13" s="215"/>
      <c r="FH13" s="215"/>
      <c r="FI13" s="215"/>
      <c r="FJ13" s="215"/>
      <c r="FK13" s="215"/>
      <c r="FL13" s="215"/>
      <c r="FM13" s="215"/>
      <c r="FN13" s="215"/>
      <c r="FO13" s="215"/>
      <c r="FP13" s="215"/>
      <c r="FQ13" s="215"/>
      <c r="FR13" s="215"/>
      <c r="FS13" s="215"/>
      <c r="FT13" s="215"/>
      <c r="FU13" s="215"/>
      <c r="FV13" s="215"/>
      <c r="FW13" s="215"/>
      <c r="FX13" s="215"/>
      <c r="FY13" s="215"/>
      <c r="FZ13" s="215"/>
      <c r="GA13" s="215"/>
      <c r="GB13" s="215"/>
      <c r="GC13" s="215"/>
      <c r="GD13" s="215"/>
      <c r="GE13" s="215"/>
      <c r="GF13" s="215"/>
      <c r="GG13" s="215"/>
      <c r="GH13" s="215"/>
      <c r="GI13" s="215"/>
      <c r="GJ13" s="215"/>
      <c r="GK13" s="215"/>
      <c r="GL13" s="215"/>
      <c r="GM13" s="215"/>
      <c r="GN13" s="215"/>
      <c r="GO13" s="215"/>
      <c r="GP13" s="215"/>
      <c r="GQ13" s="215"/>
      <c r="GR13" s="215"/>
      <c r="GS13" s="215"/>
      <c r="GT13" s="215"/>
      <c r="GU13" s="215"/>
      <c r="GV13" s="215"/>
      <c r="GW13" s="215"/>
      <c r="GX13" s="215"/>
      <c r="GY13" s="215"/>
      <c r="GZ13" s="215"/>
      <c r="HA13" s="215"/>
      <c r="HB13" s="215"/>
      <c r="HC13" s="215"/>
      <c r="HD13" s="215"/>
      <c r="HE13" s="215"/>
      <c r="HF13" s="215"/>
      <c r="HG13" s="215"/>
      <c r="HH13" s="215"/>
      <c r="HI13" s="204"/>
      <c r="HJ13" s="204"/>
      <c r="HK13" s="204"/>
      <c r="HL13" s="204"/>
      <c r="HM13" s="204"/>
      <c r="HN13" s="204"/>
      <c r="HO13" s="204"/>
      <c r="HP13" s="204"/>
      <c r="HQ13" s="204"/>
      <c r="HR13" s="204"/>
    </row>
    <row r="14" spans="1:226" s="205" customFormat="1" ht="15.95" customHeight="1" x14ac:dyDescent="0.25">
      <c r="A14" s="202">
        <f t="shared" si="0"/>
        <v>7</v>
      </c>
      <c r="B14" s="203">
        <v>0.29166666666666702</v>
      </c>
      <c r="C14" s="215"/>
      <c r="D14" s="228" t="s">
        <v>677</v>
      </c>
      <c r="E14" s="215"/>
      <c r="F14" s="215"/>
      <c r="G14" s="215"/>
      <c r="H14" s="215"/>
      <c r="I14" s="215"/>
      <c r="J14" s="215"/>
      <c r="K14" s="215"/>
      <c r="L14" s="215"/>
      <c r="M14" s="215"/>
      <c r="N14" s="215"/>
      <c r="O14" s="215"/>
      <c r="P14" s="215"/>
      <c r="Q14" s="215"/>
      <c r="R14" s="215"/>
      <c r="S14" s="215"/>
      <c r="T14" s="215"/>
      <c r="U14" s="215"/>
      <c r="V14" s="215"/>
      <c r="W14" s="215"/>
      <c r="X14" s="215"/>
      <c r="Y14" s="215"/>
      <c r="Z14" s="215"/>
      <c r="AA14" s="215"/>
      <c r="AB14" s="215"/>
      <c r="AC14" s="215"/>
      <c r="AD14" s="215"/>
      <c r="AE14" s="215"/>
      <c r="AF14" s="215"/>
      <c r="AG14" s="215"/>
      <c r="AH14" s="215"/>
      <c r="AI14" s="215"/>
      <c r="AJ14" s="215"/>
      <c r="AK14" s="215"/>
      <c r="AL14" s="215"/>
      <c r="AM14" s="215"/>
      <c r="AN14" s="215"/>
      <c r="AO14" s="215"/>
      <c r="AP14" s="215"/>
      <c r="AQ14" s="215"/>
      <c r="AR14" s="215"/>
      <c r="AS14" s="215"/>
      <c r="AT14" s="215"/>
      <c r="AU14" s="215"/>
      <c r="AV14" s="215"/>
      <c r="AW14" s="215"/>
      <c r="AX14" s="215"/>
      <c r="AY14" s="215"/>
      <c r="AZ14" s="215"/>
      <c r="BA14" s="215"/>
      <c r="BB14" s="215"/>
      <c r="BC14" s="215"/>
      <c r="BD14" s="215"/>
      <c r="BE14" s="215"/>
      <c r="BF14" s="215"/>
      <c r="BG14" s="215"/>
      <c r="BH14" s="215"/>
      <c r="BI14" s="215"/>
      <c r="BJ14" s="215"/>
      <c r="BK14" s="215"/>
      <c r="BL14" s="215"/>
      <c r="BM14" s="215"/>
      <c r="BN14" s="215"/>
      <c r="BO14" s="215"/>
      <c r="BP14" s="215"/>
      <c r="BQ14" s="215"/>
      <c r="BR14" s="215"/>
      <c r="BS14" s="215"/>
      <c r="BT14" s="215"/>
      <c r="BU14" s="215"/>
      <c r="BV14" s="215"/>
      <c r="BW14" s="215"/>
      <c r="BX14" s="215"/>
      <c r="BY14" s="215"/>
      <c r="BZ14" s="215"/>
      <c r="CA14" s="215"/>
      <c r="CB14" s="215"/>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c r="DA14" s="215"/>
      <c r="DB14" s="215"/>
      <c r="DC14" s="215"/>
      <c r="DD14" s="215"/>
      <c r="DE14" s="215"/>
      <c r="DF14" s="215"/>
      <c r="DG14" s="215"/>
      <c r="DH14" s="215"/>
      <c r="DI14" s="215"/>
      <c r="DJ14" s="215"/>
      <c r="DK14" s="215"/>
      <c r="DL14" s="215"/>
      <c r="DM14" s="215"/>
      <c r="DN14" s="215"/>
      <c r="DO14" s="215"/>
      <c r="DP14" s="215"/>
      <c r="DQ14" s="215"/>
      <c r="DR14" s="215"/>
      <c r="DS14" s="215"/>
      <c r="DT14" s="215"/>
      <c r="DU14" s="215"/>
      <c r="DV14" s="215"/>
      <c r="DW14" s="215"/>
      <c r="DX14" s="215"/>
      <c r="DY14" s="215"/>
      <c r="DZ14" s="215"/>
      <c r="EA14" s="215"/>
      <c r="EB14" s="215"/>
      <c r="EC14" s="215"/>
      <c r="ED14" s="215"/>
      <c r="EE14" s="215"/>
      <c r="EF14" s="215"/>
      <c r="EG14" s="215"/>
      <c r="EH14" s="215"/>
      <c r="EI14" s="215"/>
      <c r="EJ14" s="215"/>
      <c r="EK14" s="215"/>
      <c r="EL14" s="215"/>
      <c r="EM14" s="215"/>
      <c r="EN14" s="215"/>
      <c r="EO14" s="215"/>
      <c r="EP14" s="215"/>
      <c r="EQ14" s="215"/>
      <c r="ER14" s="215"/>
      <c r="ES14" s="215"/>
      <c r="ET14" s="215"/>
      <c r="EU14" s="215"/>
      <c r="EV14" s="215"/>
      <c r="EW14" s="215"/>
      <c r="EX14" s="215"/>
      <c r="EY14" s="215"/>
      <c r="EZ14" s="215"/>
      <c r="FA14" s="215"/>
      <c r="FB14" s="215"/>
      <c r="FC14" s="215"/>
      <c r="FD14" s="215"/>
      <c r="FE14" s="215"/>
      <c r="FF14" s="215"/>
      <c r="FG14" s="215"/>
      <c r="FH14" s="215"/>
      <c r="FI14" s="215"/>
      <c r="FJ14" s="215"/>
      <c r="FK14" s="215"/>
      <c r="FL14" s="215"/>
      <c r="FM14" s="215"/>
      <c r="FN14" s="215"/>
      <c r="FO14" s="215"/>
      <c r="FP14" s="215"/>
      <c r="FQ14" s="215"/>
      <c r="FR14" s="215"/>
      <c r="FS14" s="215"/>
      <c r="FT14" s="215"/>
      <c r="FU14" s="215"/>
      <c r="FV14" s="215"/>
      <c r="FW14" s="215"/>
      <c r="FX14" s="215"/>
      <c r="FY14" s="215"/>
      <c r="FZ14" s="215"/>
      <c r="GA14" s="215"/>
      <c r="GB14" s="215"/>
      <c r="GC14" s="215"/>
      <c r="GD14" s="215"/>
      <c r="GE14" s="215"/>
      <c r="GF14" s="215"/>
      <c r="GG14" s="215"/>
      <c r="GH14" s="215"/>
      <c r="GI14" s="215"/>
      <c r="GJ14" s="215"/>
      <c r="GK14" s="215"/>
      <c r="GL14" s="215"/>
      <c r="GM14" s="215"/>
      <c r="GN14" s="215"/>
      <c r="GO14" s="215"/>
      <c r="GP14" s="215"/>
      <c r="GQ14" s="215"/>
      <c r="GR14" s="215"/>
      <c r="GS14" s="215"/>
      <c r="GT14" s="215"/>
      <c r="GU14" s="215"/>
      <c r="GV14" s="215"/>
      <c r="GW14" s="215"/>
      <c r="GX14" s="215"/>
      <c r="GY14" s="215"/>
      <c r="GZ14" s="215"/>
      <c r="HA14" s="215"/>
      <c r="HB14" s="215"/>
      <c r="HC14" s="215"/>
      <c r="HD14" s="215"/>
      <c r="HE14" s="215"/>
      <c r="HF14" s="215"/>
      <c r="HG14" s="215"/>
      <c r="HH14" s="215"/>
      <c r="HI14" s="204"/>
      <c r="HJ14" s="204"/>
      <c r="HK14" s="204"/>
      <c r="HL14" s="204"/>
      <c r="HM14" s="204"/>
      <c r="HN14" s="204"/>
      <c r="HO14" s="204"/>
      <c r="HP14" s="204"/>
      <c r="HQ14" s="204"/>
      <c r="HR14" s="204"/>
    </row>
    <row r="15" spans="1:226" s="205" customFormat="1" ht="15.95" customHeight="1" x14ac:dyDescent="0.25">
      <c r="A15" s="202">
        <f t="shared" si="0"/>
        <v>8</v>
      </c>
      <c r="B15" s="203">
        <v>0.33333333333333298</v>
      </c>
      <c r="C15" s="230"/>
      <c r="D15" s="228" t="s">
        <v>677</v>
      </c>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c r="DO15" s="215"/>
      <c r="DP15" s="215"/>
      <c r="DQ15" s="215"/>
      <c r="DR15" s="215"/>
      <c r="DS15" s="215"/>
      <c r="DT15" s="215"/>
      <c r="DU15" s="215"/>
      <c r="DV15" s="215"/>
      <c r="DW15" s="215"/>
      <c r="DX15" s="215"/>
      <c r="DY15" s="215"/>
      <c r="DZ15" s="215"/>
      <c r="EA15" s="215"/>
      <c r="EB15" s="215"/>
      <c r="EC15" s="215"/>
      <c r="ED15" s="215"/>
      <c r="EE15" s="215"/>
      <c r="EF15" s="215"/>
      <c r="EG15" s="215"/>
      <c r="EH15" s="215"/>
      <c r="EI15" s="215"/>
      <c r="EJ15" s="215"/>
      <c r="EK15" s="215"/>
      <c r="EL15" s="215"/>
      <c r="EM15" s="215"/>
      <c r="EN15" s="215"/>
      <c r="EO15" s="215"/>
      <c r="EP15" s="215"/>
      <c r="EQ15" s="215"/>
      <c r="ER15" s="215"/>
      <c r="ES15" s="215"/>
      <c r="ET15" s="215"/>
      <c r="EU15" s="215"/>
      <c r="EV15" s="215"/>
      <c r="EW15" s="215"/>
      <c r="EX15" s="215"/>
      <c r="EY15" s="215"/>
      <c r="EZ15" s="215"/>
      <c r="FA15" s="215"/>
      <c r="FB15" s="215"/>
      <c r="FC15" s="215"/>
      <c r="FD15" s="215"/>
      <c r="FE15" s="215"/>
      <c r="FF15" s="215"/>
      <c r="FG15" s="215"/>
      <c r="FH15" s="215"/>
      <c r="FI15" s="215"/>
      <c r="FJ15" s="215"/>
      <c r="FK15" s="215"/>
      <c r="FL15" s="215"/>
      <c r="FM15" s="215"/>
      <c r="FN15" s="215"/>
      <c r="FO15" s="215"/>
      <c r="FP15" s="215"/>
      <c r="FQ15" s="215"/>
      <c r="FR15" s="215"/>
      <c r="FS15" s="215"/>
      <c r="FT15" s="215"/>
      <c r="FU15" s="215"/>
      <c r="FV15" s="215"/>
      <c r="FW15" s="215"/>
      <c r="FX15" s="215"/>
      <c r="FY15" s="215"/>
      <c r="FZ15" s="215"/>
      <c r="GA15" s="215"/>
      <c r="GB15" s="215"/>
      <c r="GC15" s="215"/>
      <c r="GD15" s="215"/>
      <c r="GE15" s="215"/>
      <c r="GF15" s="215"/>
      <c r="GG15" s="215"/>
      <c r="GH15" s="215"/>
      <c r="GI15" s="215"/>
      <c r="GJ15" s="215"/>
      <c r="GK15" s="215"/>
      <c r="GL15" s="215"/>
      <c r="GM15" s="215"/>
      <c r="GN15" s="215"/>
      <c r="GO15" s="215"/>
      <c r="GP15" s="215"/>
      <c r="GQ15" s="215"/>
      <c r="GR15" s="215"/>
      <c r="GS15" s="215"/>
      <c r="GT15" s="215"/>
      <c r="GU15" s="215"/>
      <c r="GV15" s="215"/>
      <c r="GW15" s="215"/>
      <c r="GX15" s="215"/>
      <c r="GY15" s="215"/>
      <c r="GZ15" s="215"/>
      <c r="HA15" s="215"/>
      <c r="HB15" s="215"/>
      <c r="HC15" s="215"/>
      <c r="HD15" s="215"/>
      <c r="HE15" s="215"/>
      <c r="HF15" s="215"/>
      <c r="HG15" s="215"/>
      <c r="HH15" s="215"/>
      <c r="HI15" s="204"/>
      <c r="HJ15" s="204"/>
      <c r="HK15" s="204"/>
      <c r="HL15" s="204"/>
      <c r="HM15" s="204"/>
      <c r="HN15" s="204"/>
      <c r="HO15" s="204"/>
      <c r="HP15" s="204"/>
      <c r="HQ15" s="204"/>
      <c r="HR15" s="204"/>
    </row>
    <row r="16" spans="1:226" s="205" customFormat="1" ht="30" x14ac:dyDescent="0.25">
      <c r="A16" s="202">
        <f t="shared" si="0"/>
        <v>9</v>
      </c>
      <c r="B16" s="203">
        <v>0.375</v>
      </c>
      <c r="C16" s="236"/>
      <c r="D16" s="218" t="s">
        <v>680</v>
      </c>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c r="DO16" s="215"/>
      <c r="DP16" s="215"/>
      <c r="DQ16" s="215"/>
      <c r="DR16" s="215"/>
      <c r="DS16" s="215"/>
      <c r="DT16" s="215"/>
      <c r="DU16" s="215"/>
      <c r="DV16" s="215"/>
      <c r="DW16" s="215"/>
      <c r="DX16" s="215"/>
      <c r="DY16" s="215"/>
      <c r="DZ16" s="215"/>
      <c r="EA16" s="215"/>
      <c r="EB16" s="215"/>
      <c r="EC16" s="215"/>
      <c r="ED16" s="215"/>
      <c r="EE16" s="215"/>
      <c r="EF16" s="215"/>
      <c r="EG16" s="215"/>
      <c r="EH16" s="215"/>
      <c r="EI16" s="215"/>
      <c r="EJ16" s="215"/>
      <c r="EK16" s="215"/>
      <c r="EL16" s="215"/>
      <c r="EM16" s="215"/>
      <c r="EN16" s="215"/>
      <c r="EO16" s="215"/>
      <c r="EP16" s="215"/>
      <c r="EQ16" s="215"/>
      <c r="ER16" s="215"/>
      <c r="ES16" s="215"/>
      <c r="ET16" s="215"/>
      <c r="EU16" s="215"/>
      <c r="EV16" s="215"/>
      <c r="EW16" s="215"/>
      <c r="EX16" s="215"/>
      <c r="EY16" s="215"/>
      <c r="EZ16" s="215"/>
      <c r="FA16" s="215"/>
      <c r="FB16" s="215"/>
      <c r="FC16" s="215"/>
      <c r="FD16" s="215"/>
      <c r="FE16" s="215"/>
      <c r="FF16" s="215"/>
      <c r="FG16" s="215"/>
      <c r="FH16" s="215"/>
      <c r="FI16" s="215"/>
      <c r="FJ16" s="215"/>
      <c r="FK16" s="215"/>
      <c r="FL16" s="215"/>
      <c r="FM16" s="215"/>
      <c r="FN16" s="215"/>
      <c r="FO16" s="215"/>
      <c r="FP16" s="215"/>
      <c r="FQ16" s="215"/>
      <c r="FR16" s="215"/>
      <c r="FS16" s="215"/>
      <c r="FT16" s="215"/>
      <c r="FU16" s="215"/>
      <c r="FV16" s="215"/>
      <c r="FW16" s="215"/>
      <c r="FX16" s="215"/>
      <c r="FY16" s="215"/>
      <c r="FZ16" s="215"/>
      <c r="GA16" s="215"/>
      <c r="GB16" s="215"/>
      <c r="GC16" s="215"/>
      <c r="GD16" s="215"/>
      <c r="GE16" s="215"/>
      <c r="GF16" s="215"/>
      <c r="GG16" s="215"/>
      <c r="GH16" s="215"/>
      <c r="GI16" s="215"/>
      <c r="GJ16" s="215"/>
      <c r="GK16" s="215"/>
      <c r="GL16" s="215"/>
      <c r="GM16" s="215"/>
      <c r="GN16" s="215"/>
      <c r="GO16" s="215"/>
      <c r="GP16" s="215"/>
      <c r="GQ16" s="215"/>
      <c r="GR16" s="215"/>
      <c r="GS16" s="215"/>
      <c r="GT16" s="215"/>
      <c r="GU16" s="215"/>
      <c r="GV16" s="215"/>
      <c r="GW16" s="215"/>
      <c r="GX16" s="215"/>
      <c r="GY16" s="215"/>
      <c r="GZ16" s="215"/>
      <c r="HA16" s="215"/>
      <c r="HB16" s="215"/>
      <c r="HC16" s="215"/>
      <c r="HD16" s="215"/>
      <c r="HE16" s="215"/>
      <c r="HF16" s="215"/>
      <c r="HG16" s="215"/>
      <c r="HH16" s="215"/>
      <c r="HI16" s="204"/>
      <c r="HJ16" s="204"/>
      <c r="HK16" s="204"/>
      <c r="HL16" s="204"/>
      <c r="HM16" s="204"/>
      <c r="HN16" s="204"/>
      <c r="HO16" s="204"/>
      <c r="HP16" s="204"/>
      <c r="HQ16" s="204"/>
      <c r="HR16" s="204"/>
    </row>
    <row r="17" spans="1:226" s="205" customFormat="1" ht="30" x14ac:dyDescent="0.25">
      <c r="A17" s="202">
        <f t="shared" si="0"/>
        <v>10</v>
      </c>
      <c r="B17" s="203">
        <v>0.41666666666666702</v>
      </c>
      <c r="C17" s="236"/>
      <c r="D17" s="218" t="s">
        <v>680</v>
      </c>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c r="DO17" s="215"/>
      <c r="DP17" s="215"/>
      <c r="DQ17" s="215"/>
      <c r="DR17" s="215"/>
      <c r="DS17" s="215"/>
      <c r="DT17" s="215"/>
      <c r="DU17" s="215"/>
      <c r="DV17" s="215"/>
      <c r="DW17" s="215"/>
      <c r="DX17" s="215"/>
      <c r="DY17" s="215"/>
      <c r="DZ17" s="215"/>
      <c r="EA17" s="215"/>
      <c r="EB17" s="215"/>
      <c r="EC17" s="215"/>
      <c r="ED17" s="215"/>
      <c r="EE17" s="215"/>
      <c r="EF17" s="215"/>
      <c r="EG17" s="215"/>
      <c r="EH17" s="215"/>
      <c r="EI17" s="215"/>
      <c r="EJ17" s="215"/>
      <c r="EK17" s="215"/>
      <c r="EL17" s="215"/>
      <c r="EM17" s="215"/>
      <c r="EN17" s="215"/>
      <c r="EO17" s="215"/>
      <c r="EP17" s="215"/>
      <c r="EQ17" s="215"/>
      <c r="ER17" s="215"/>
      <c r="ES17" s="215"/>
      <c r="ET17" s="215"/>
      <c r="EU17" s="215"/>
      <c r="EV17" s="215"/>
      <c r="EW17" s="215"/>
      <c r="EX17" s="215"/>
      <c r="EY17" s="215"/>
      <c r="EZ17" s="215"/>
      <c r="FA17" s="215"/>
      <c r="FB17" s="215"/>
      <c r="FC17" s="215"/>
      <c r="FD17" s="215"/>
      <c r="FE17" s="215"/>
      <c r="FF17" s="215"/>
      <c r="FG17" s="215"/>
      <c r="FH17" s="215"/>
      <c r="FI17" s="215"/>
      <c r="FJ17" s="215"/>
      <c r="FK17" s="215"/>
      <c r="FL17" s="215"/>
      <c r="FM17" s="215"/>
      <c r="FN17" s="215"/>
      <c r="FO17" s="215"/>
      <c r="FP17" s="215"/>
      <c r="FQ17" s="215"/>
      <c r="FR17" s="215"/>
      <c r="FS17" s="215"/>
      <c r="FT17" s="215"/>
      <c r="FU17" s="215"/>
      <c r="FV17" s="215"/>
      <c r="FW17" s="215"/>
      <c r="FX17" s="215"/>
      <c r="FY17" s="215"/>
      <c r="FZ17" s="215"/>
      <c r="GA17" s="215"/>
      <c r="GB17" s="215"/>
      <c r="GC17" s="215"/>
      <c r="GD17" s="215"/>
      <c r="GE17" s="215"/>
      <c r="GF17" s="215"/>
      <c r="GG17" s="215"/>
      <c r="GH17" s="215"/>
      <c r="GI17" s="215"/>
      <c r="GJ17" s="215"/>
      <c r="GK17" s="215"/>
      <c r="GL17" s="215"/>
      <c r="GM17" s="215"/>
      <c r="GN17" s="215"/>
      <c r="GO17" s="215"/>
      <c r="GP17" s="215"/>
      <c r="GQ17" s="215"/>
      <c r="GR17" s="215"/>
      <c r="GS17" s="215"/>
      <c r="GT17" s="215"/>
      <c r="GU17" s="215"/>
      <c r="GV17" s="215"/>
      <c r="GW17" s="215"/>
      <c r="GX17" s="215"/>
      <c r="GY17" s="215"/>
      <c r="GZ17" s="215"/>
      <c r="HA17" s="215"/>
      <c r="HB17" s="215"/>
      <c r="HC17" s="215"/>
      <c r="HD17" s="215"/>
      <c r="HE17" s="215"/>
      <c r="HF17" s="215"/>
      <c r="HG17" s="215"/>
      <c r="HH17" s="215"/>
      <c r="HI17" s="204"/>
      <c r="HJ17" s="204"/>
      <c r="HK17" s="204"/>
      <c r="HL17" s="204"/>
      <c r="HM17" s="204"/>
      <c r="HN17" s="204"/>
      <c r="HO17" s="204"/>
      <c r="HP17" s="204"/>
      <c r="HQ17" s="204"/>
      <c r="HR17" s="204"/>
    </row>
    <row r="18" spans="1:226" s="205" customFormat="1" ht="15.95" customHeight="1" x14ac:dyDescent="0.25">
      <c r="A18" s="202">
        <f t="shared" si="0"/>
        <v>11</v>
      </c>
      <c r="B18" s="203">
        <v>0.45833333333333298</v>
      </c>
      <c r="C18" s="236"/>
      <c r="D18" s="231" t="s">
        <v>681</v>
      </c>
      <c r="E18" s="231" t="s">
        <v>681</v>
      </c>
      <c r="F18" s="231" t="s">
        <v>681</v>
      </c>
      <c r="G18" s="231" t="s">
        <v>681</v>
      </c>
      <c r="H18" s="231" t="s">
        <v>681</v>
      </c>
      <c r="I18" s="231" t="s">
        <v>681</v>
      </c>
      <c r="J18" s="231" t="s">
        <v>681</v>
      </c>
      <c r="K18" s="231" t="s">
        <v>681</v>
      </c>
      <c r="L18" s="231" t="s">
        <v>681</v>
      </c>
      <c r="M18" s="231" t="s">
        <v>681</v>
      </c>
      <c r="N18" s="231" t="s">
        <v>681</v>
      </c>
      <c r="O18" s="231" t="s">
        <v>681</v>
      </c>
      <c r="P18" s="231" t="s">
        <v>681</v>
      </c>
      <c r="Q18" s="231" t="s">
        <v>681</v>
      </c>
      <c r="R18" s="231" t="s">
        <v>681</v>
      </c>
      <c r="S18" s="231" t="s">
        <v>681</v>
      </c>
      <c r="T18" s="231" t="s">
        <v>681</v>
      </c>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c r="DO18" s="215"/>
      <c r="DP18" s="215"/>
      <c r="DQ18" s="215"/>
      <c r="DR18" s="215"/>
      <c r="DS18" s="215"/>
      <c r="DT18" s="215"/>
      <c r="DU18" s="215"/>
      <c r="DV18" s="215"/>
      <c r="DW18" s="215"/>
      <c r="DX18" s="215"/>
      <c r="DY18" s="215"/>
      <c r="DZ18" s="215"/>
      <c r="EA18" s="215"/>
      <c r="EB18" s="215"/>
      <c r="EC18" s="215"/>
      <c r="ED18" s="215"/>
      <c r="EE18" s="215"/>
      <c r="EF18" s="215"/>
      <c r="EG18" s="215"/>
      <c r="EH18" s="215"/>
      <c r="EI18" s="215"/>
      <c r="EJ18" s="215"/>
      <c r="EK18" s="215"/>
      <c r="EL18" s="215"/>
      <c r="EM18" s="215"/>
      <c r="EN18" s="215"/>
      <c r="EO18" s="215"/>
      <c r="EP18" s="215"/>
      <c r="EQ18" s="215"/>
      <c r="ER18" s="215"/>
      <c r="ES18" s="215"/>
      <c r="ET18" s="215"/>
      <c r="EU18" s="215"/>
      <c r="EV18" s="215"/>
      <c r="EW18" s="215"/>
      <c r="EX18" s="215"/>
      <c r="EY18" s="215"/>
      <c r="EZ18" s="215"/>
      <c r="FA18" s="215"/>
      <c r="FB18" s="215"/>
      <c r="FC18" s="215"/>
      <c r="FD18" s="215"/>
      <c r="FE18" s="215"/>
      <c r="FF18" s="215"/>
      <c r="FG18" s="215"/>
      <c r="FH18" s="215"/>
      <c r="FI18" s="215"/>
      <c r="FJ18" s="215"/>
      <c r="FK18" s="215"/>
      <c r="FL18" s="215"/>
      <c r="FM18" s="215"/>
      <c r="FN18" s="215"/>
      <c r="FO18" s="215"/>
      <c r="FP18" s="215"/>
      <c r="FQ18" s="215"/>
      <c r="FR18" s="215"/>
      <c r="FS18" s="215"/>
      <c r="FT18" s="215"/>
      <c r="FU18" s="215"/>
      <c r="FV18" s="215"/>
      <c r="FW18" s="215"/>
      <c r="FX18" s="215"/>
      <c r="FY18" s="215"/>
      <c r="FZ18" s="215"/>
      <c r="GA18" s="215"/>
      <c r="GB18" s="215"/>
      <c r="GC18" s="215"/>
      <c r="GD18" s="215"/>
      <c r="GE18" s="215"/>
      <c r="GF18" s="215"/>
      <c r="GG18" s="215"/>
      <c r="GH18" s="215"/>
      <c r="GI18" s="215"/>
      <c r="GJ18" s="215"/>
      <c r="GK18" s="215"/>
      <c r="GL18" s="215"/>
      <c r="GM18" s="215"/>
      <c r="GN18" s="215"/>
      <c r="GO18" s="215"/>
      <c r="GP18" s="215"/>
      <c r="GQ18" s="215"/>
      <c r="GR18" s="215"/>
      <c r="GS18" s="215"/>
      <c r="GT18" s="215"/>
      <c r="GU18" s="215"/>
      <c r="GV18" s="215"/>
      <c r="GW18" s="215"/>
      <c r="GX18" s="215"/>
      <c r="GY18" s="215"/>
      <c r="GZ18" s="215"/>
      <c r="HA18" s="215"/>
      <c r="HB18" s="215"/>
      <c r="HC18" s="215"/>
      <c r="HD18" s="215"/>
      <c r="HE18" s="215"/>
      <c r="HF18" s="215"/>
      <c r="HG18" s="215"/>
      <c r="HH18" s="215"/>
      <c r="HI18" s="204"/>
      <c r="HJ18" s="204"/>
      <c r="HK18" s="204"/>
      <c r="HL18" s="204"/>
      <c r="HM18" s="204"/>
      <c r="HN18" s="204"/>
      <c r="HO18" s="204"/>
      <c r="HP18" s="204"/>
      <c r="HQ18" s="204"/>
      <c r="HR18" s="204"/>
    </row>
    <row r="19" spans="1:226" s="205" customFormat="1" ht="30" x14ac:dyDescent="0.25">
      <c r="A19" s="202">
        <f t="shared" si="0"/>
        <v>12</v>
      </c>
      <c r="B19" s="203">
        <v>0.5</v>
      </c>
      <c r="C19" s="236"/>
      <c r="D19" s="228" t="s">
        <v>682</v>
      </c>
      <c r="E19" s="215"/>
      <c r="F19" s="215"/>
      <c r="G19" s="215"/>
      <c r="H19" s="215"/>
      <c r="I19" s="215"/>
      <c r="J19" s="215"/>
      <c r="K19" s="215"/>
      <c r="L19" s="215"/>
      <c r="M19" s="215"/>
      <c r="N19" s="215"/>
      <c r="O19" s="215"/>
      <c r="P19" s="215"/>
      <c r="Q19" s="215"/>
      <c r="R19" s="215"/>
      <c r="S19" s="215"/>
      <c r="T19" s="215"/>
      <c r="U19" s="215"/>
      <c r="V19" s="215"/>
      <c r="W19" s="215"/>
      <c r="X19" s="215"/>
      <c r="Y19" s="215"/>
      <c r="Z19" s="215"/>
      <c r="AA19" s="215"/>
      <c r="AB19" s="215"/>
      <c r="AC19" s="215"/>
      <c r="AD19" s="215"/>
      <c r="AE19" s="215"/>
      <c r="AF19" s="215"/>
      <c r="AG19" s="215"/>
      <c r="AH19" s="215"/>
      <c r="AI19" s="215"/>
      <c r="AJ19" s="215"/>
      <c r="AK19" s="215"/>
      <c r="AL19" s="215"/>
      <c r="AM19" s="215"/>
      <c r="AN19" s="215"/>
      <c r="AO19" s="215"/>
      <c r="AP19" s="215"/>
      <c r="AQ19" s="215"/>
      <c r="AR19" s="215"/>
      <c r="AS19" s="215"/>
      <c r="AT19" s="215"/>
      <c r="AU19" s="215"/>
      <c r="AV19" s="215"/>
      <c r="AW19" s="215"/>
      <c r="AX19" s="215"/>
      <c r="AY19" s="215"/>
      <c r="AZ19" s="215"/>
      <c r="BA19" s="215"/>
      <c r="BB19" s="215"/>
      <c r="BC19" s="215"/>
      <c r="BD19" s="215"/>
      <c r="BE19" s="215"/>
      <c r="BF19" s="215"/>
      <c r="BG19" s="215"/>
      <c r="BH19" s="215"/>
      <c r="BI19" s="215"/>
      <c r="BJ19" s="215"/>
      <c r="BK19" s="215"/>
      <c r="BL19" s="215"/>
      <c r="BM19" s="215"/>
      <c r="BN19" s="215"/>
      <c r="BO19" s="215"/>
      <c r="BP19" s="215"/>
      <c r="BQ19" s="215"/>
      <c r="BR19" s="215"/>
      <c r="BS19" s="215"/>
      <c r="BT19" s="215"/>
      <c r="BU19" s="215"/>
      <c r="BV19" s="215"/>
      <c r="BW19" s="215"/>
      <c r="BX19" s="215"/>
      <c r="BY19" s="215"/>
      <c r="BZ19" s="215"/>
      <c r="CA19" s="215"/>
      <c r="CB19" s="215"/>
      <c r="CC19" s="215"/>
      <c r="CD19" s="215"/>
      <c r="CE19" s="215"/>
      <c r="CF19" s="215"/>
      <c r="CG19" s="215"/>
      <c r="CH19" s="215"/>
      <c r="CI19" s="215"/>
      <c r="CJ19" s="215"/>
      <c r="CK19" s="215"/>
      <c r="CL19" s="215"/>
      <c r="CM19" s="215"/>
      <c r="CN19" s="215"/>
      <c r="CO19" s="215"/>
      <c r="CP19" s="215"/>
      <c r="CQ19" s="215"/>
      <c r="CR19" s="215"/>
      <c r="CS19" s="215"/>
      <c r="CT19" s="215"/>
      <c r="CU19" s="215"/>
      <c r="CV19" s="215"/>
      <c r="CW19" s="215"/>
      <c r="CX19" s="215"/>
      <c r="CY19" s="215"/>
      <c r="CZ19" s="215"/>
      <c r="DA19" s="215"/>
      <c r="DB19" s="215"/>
      <c r="DC19" s="215"/>
      <c r="DD19" s="215"/>
      <c r="DE19" s="215"/>
      <c r="DF19" s="215"/>
      <c r="DG19" s="215"/>
      <c r="DH19" s="215"/>
      <c r="DI19" s="215"/>
      <c r="DJ19" s="215"/>
      <c r="DK19" s="215"/>
      <c r="DL19" s="215"/>
      <c r="DM19" s="215"/>
      <c r="DN19" s="215"/>
      <c r="DO19" s="215"/>
      <c r="DP19" s="215"/>
      <c r="DQ19" s="215"/>
      <c r="DR19" s="215"/>
      <c r="DS19" s="215"/>
      <c r="DT19" s="215"/>
      <c r="DU19" s="215"/>
      <c r="DV19" s="215"/>
      <c r="DW19" s="215"/>
      <c r="DX19" s="215"/>
      <c r="DY19" s="215"/>
      <c r="DZ19" s="215"/>
      <c r="EA19" s="215"/>
      <c r="EB19" s="215"/>
      <c r="EC19" s="215"/>
      <c r="ED19" s="215"/>
      <c r="EE19" s="215"/>
      <c r="EF19" s="215"/>
      <c r="EG19" s="215"/>
      <c r="EH19" s="215"/>
      <c r="EI19" s="215"/>
      <c r="EJ19" s="215"/>
      <c r="EK19" s="215"/>
      <c r="EL19" s="215"/>
      <c r="EM19" s="215"/>
      <c r="EN19" s="215"/>
      <c r="EO19" s="215"/>
      <c r="EP19" s="215"/>
      <c r="EQ19" s="215"/>
      <c r="ER19" s="215"/>
      <c r="ES19" s="215"/>
      <c r="ET19" s="215"/>
      <c r="EU19" s="215"/>
      <c r="EV19" s="215"/>
      <c r="EW19" s="215"/>
      <c r="EX19" s="215"/>
      <c r="EY19" s="215"/>
      <c r="EZ19" s="215"/>
      <c r="FA19" s="215"/>
      <c r="FB19" s="215"/>
      <c r="FC19" s="215"/>
      <c r="FD19" s="215"/>
      <c r="FE19" s="215"/>
      <c r="FF19" s="215"/>
      <c r="FG19" s="215"/>
      <c r="FH19" s="215"/>
      <c r="FI19" s="215"/>
      <c r="FJ19" s="215"/>
      <c r="FK19" s="215"/>
      <c r="FL19" s="215"/>
      <c r="FM19" s="215"/>
      <c r="FN19" s="215"/>
      <c r="FO19" s="215"/>
      <c r="FP19" s="215"/>
      <c r="FQ19" s="215"/>
      <c r="FR19" s="215"/>
      <c r="FS19" s="215"/>
      <c r="FT19" s="215"/>
      <c r="FU19" s="215"/>
      <c r="FV19" s="215"/>
      <c r="FW19" s="215"/>
      <c r="FX19" s="215"/>
      <c r="FY19" s="215"/>
      <c r="FZ19" s="215"/>
      <c r="GA19" s="215"/>
      <c r="GB19" s="215"/>
      <c r="GC19" s="215"/>
      <c r="GD19" s="215"/>
      <c r="GE19" s="215"/>
      <c r="GF19" s="215"/>
      <c r="GG19" s="215"/>
      <c r="GH19" s="215"/>
      <c r="GI19" s="215"/>
      <c r="GJ19" s="215"/>
      <c r="GK19" s="215"/>
      <c r="GL19" s="215"/>
      <c r="GM19" s="215"/>
      <c r="GN19" s="215"/>
      <c r="GO19" s="215"/>
      <c r="GP19" s="215"/>
      <c r="GQ19" s="215"/>
      <c r="GR19" s="215"/>
      <c r="GS19" s="215"/>
      <c r="GT19" s="215"/>
      <c r="GU19" s="215"/>
      <c r="GV19" s="215"/>
      <c r="GW19" s="215"/>
      <c r="GX19" s="215"/>
      <c r="GY19" s="215"/>
      <c r="GZ19" s="215"/>
      <c r="HA19" s="215"/>
      <c r="HB19" s="215"/>
      <c r="HC19" s="215"/>
      <c r="HD19" s="215"/>
      <c r="HE19" s="215"/>
      <c r="HF19" s="215"/>
      <c r="HG19" s="215"/>
      <c r="HH19" s="215"/>
      <c r="HI19" s="204"/>
      <c r="HJ19" s="204"/>
      <c r="HK19" s="204"/>
      <c r="HL19" s="204"/>
      <c r="HM19" s="204"/>
      <c r="HN19" s="204"/>
      <c r="HO19" s="204"/>
      <c r="HP19" s="204"/>
      <c r="HQ19" s="204"/>
      <c r="HR19" s="204"/>
    </row>
    <row r="20" spans="1:226" s="205" customFormat="1" ht="15.95" customHeight="1" x14ac:dyDescent="0.25">
      <c r="A20" s="202">
        <f t="shared" si="0"/>
        <v>13</v>
      </c>
      <c r="B20" s="203">
        <v>0.54166666666666696</v>
      </c>
      <c r="C20" s="230"/>
      <c r="D20" s="228" t="s">
        <v>683</v>
      </c>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c r="DO20" s="215"/>
      <c r="DP20" s="215"/>
      <c r="DQ20" s="215"/>
      <c r="DR20" s="215"/>
      <c r="DS20" s="215"/>
      <c r="DT20" s="215"/>
      <c r="DU20" s="215"/>
      <c r="DV20" s="215"/>
      <c r="DW20" s="215"/>
      <c r="DX20" s="215"/>
      <c r="DY20" s="215"/>
      <c r="DZ20" s="215"/>
      <c r="EA20" s="215"/>
      <c r="EB20" s="215"/>
      <c r="EC20" s="215"/>
      <c r="ED20" s="215"/>
      <c r="EE20" s="215"/>
      <c r="EF20" s="215"/>
      <c r="EG20" s="215"/>
      <c r="EH20" s="215"/>
      <c r="EI20" s="215"/>
      <c r="EJ20" s="215"/>
      <c r="EK20" s="215"/>
      <c r="EL20" s="215"/>
      <c r="EM20" s="215"/>
      <c r="EN20" s="215"/>
      <c r="EO20" s="215"/>
      <c r="EP20" s="215"/>
      <c r="EQ20" s="215"/>
      <c r="ER20" s="215"/>
      <c r="ES20" s="215"/>
      <c r="ET20" s="215"/>
      <c r="EU20" s="215"/>
      <c r="EV20" s="215"/>
      <c r="EW20" s="215"/>
      <c r="EX20" s="215"/>
      <c r="EY20" s="215"/>
      <c r="EZ20" s="215"/>
      <c r="FA20" s="215"/>
      <c r="FB20" s="215"/>
      <c r="FC20" s="215"/>
      <c r="FD20" s="215"/>
      <c r="FE20" s="215"/>
      <c r="FF20" s="215"/>
      <c r="FG20" s="215"/>
      <c r="FH20" s="215"/>
      <c r="FI20" s="215"/>
      <c r="FJ20" s="215"/>
      <c r="FK20" s="215"/>
      <c r="FL20" s="215"/>
      <c r="FM20" s="215"/>
      <c r="FN20" s="215"/>
      <c r="FO20" s="215"/>
      <c r="FP20" s="215"/>
      <c r="FQ20" s="215"/>
      <c r="FR20" s="215"/>
      <c r="FS20" s="215"/>
      <c r="FT20" s="215"/>
      <c r="FU20" s="215"/>
      <c r="FV20" s="215"/>
      <c r="FW20" s="215"/>
      <c r="FX20" s="215"/>
      <c r="FY20" s="215"/>
      <c r="FZ20" s="215"/>
      <c r="GA20" s="215"/>
      <c r="GB20" s="215"/>
      <c r="GC20" s="215"/>
      <c r="GD20" s="215"/>
      <c r="GE20" s="215"/>
      <c r="GF20" s="215"/>
      <c r="GG20" s="215"/>
      <c r="GH20" s="215"/>
      <c r="GI20" s="215"/>
      <c r="GJ20" s="215"/>
      <c r="GK20" s="215"/>
      <c r="GL20" s="215"/>
      <c r="GM20" s="215"/>
      <c r="GN20" s="215"/>
      <c r="GO20" s="215"/>
      <c r="GP20" s="215"/>
      <c r="GQ20" s="215"/>
      <c r="GR20" s="215"/>
      <c r="GS20" s="215"/>
      <c r="GT20" s="215"/>
      <c r="GU20" s="215"/>
      <c r="GV20" s="215"/>
      <c r="GW20" s="215"/>
      <c r="GX20" s="215"/>
      <c r="GY20" s="215"/>
      <c r="GZ20" s="215"/>
      <c r="HA20" s="215"/>
      <c r="HB20" s="215"/>
      <c r="HC20" s="215"/>
      <c r="HD20" s="215"/>
      <c r="HE20" s="215"/>
      <c r="HF20" s="215"/>
      <c r="HG20" s="215"/>
      <c r="HH20" s="215"/>
      <c r="HI20" s="204"/>
      <c r="HJ20" s="204"/>
      <c r="HK20" s="204"/>
      <c r="HL20" s="204"/>
      <c r="HM20" s="204"/>
      <c r="HN20" s="204"/>
      <c r="HO20" s="204"/>
      <c r="HP20" s="204"/>
      <c r="HQ20" s="204"/>
      <c r="HR20" s="204"/>
    </row>
    <row r="21" spans="1:226" s="205" customFormat="1" x14ac:dyDescent="0.25">
      <c r="A21" s="202">
        <f t="shared" si="0"/>
        <v>14</v>
      </c>
      <c r="B21" s="203">
        <v>0.58333333333333304</v>
      </c>
      <c r="C21" s="231"/>
      <c r="D21" s="238" t="s">
        <v>684</v>
      </c>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c r="DO21" s="215"/>
      <c r="DP21" s="215"/>
      <c r="DQ21" s="215"/>
      <c r="DR21" s="215"/>
      <c r="DS21" s="215"/>
      <c r="DT21" s="215"/>
      <c r="DU21" s="215"/>
      <c r="DV21" s="215"/>
      <c r="DW21" s="215"/>
      <c r="DX21" s="215"/>
      <c r="DY21" s="215"/>
      <c r="DZ21" s="215"/>
      <c r="EA21" s="215"/>
      <c r="EB21" s="215"/>
      <c r="EC21" s="215"/>
      <c r="ED21" s="215"/>
      <c r="EE21" s="215"/>
      <c r="EF21" s="215"/>
      <c r="EG21" s="215"/>
      <c r="EH21" s="215"/>
      <c r="EI21" s="215"/>
      <c r="EJ21" s="215"/>
      <c r="EK21" s="215"/>
      <c r="EL21" s="215"/>
      <c r="EM21" s="215"/>
      <c r="EN21" s="215"/>
      <c r="EO21" s="215"/>
      <c r="EP21" s="215"/>
      <c r="EQ21" s="215"/>
      <c r="ER21" s="215"/>
      <c r="ES21" s="215"/>
      <c r="ET21" s="215"/>
      <c r="EU21" s="215"/>
      <c r="EV21" s="215"/>
      <c r="EW21" s="215"/>
      <c r="EX21" s="215"/>
      <c r="EY21" s="215"/>
      <c r="EZ21" s="215"/>
      <c r="FA21" s="215"/>
      <c r="FB21" s="215"/>
      <c r="FC21" s="215"/>
      <c r="FD21" s="215"/>
      <c r="FE21" s="215"/>
      <c r="FF21" s="215"/>
      <c r="FG21" s="215"/>
      <c r="FH21" s="215"/>
      <c r="FI21" s="215"/>
      <c r="FJ21" s="215"/>
      <c r="FK21" s="215"/>
      <c r="FL21" s="215"/>
      <c r="FM21" s="215"/>
      <c r="FN21" s="215"/>
      <c r="FO21" s="215"/>
      <c r="FP21" s="215"/>
      <c r="FQ21" s="215"/>
      <c r="FR21" s="215"/>
      <c r="FS21" s="215"/>
      <c r="FT21" s="215"/>
      <c r="FU21" s="215"/>
      <c r="FV21" s="215"/>
      <c r="FW21" s="215"/>
      <c r="FX21" s="215"/>
      <c r="FY21" s="215"/>
      <c r="FZ21" s="215"/>
      <c r="GA21" s="215"/>
      <c r="GB21" s="215"/>
      <c r="GC21" s="215"/>
      <c r="GD21" s="215"/>
      <c r="GE21" s="215"/>
      <c r="GF21" s="215"/>
      <c r="GG21" s="215"/>
      <c r="GH21" s="215"/>
      <c r="GI21" s="215"/>
      <c r="GJ21" s="215"/>
      <c r="GK21" s="215"/>
      <c r="GL21" s="215"/>
      <c r="GM21" s="215"/>
      <c r="GN21" s="215"/>
      <c r="GO21" s="215"/>
      <c r="GP21" s="215"/>
      <c r="GQ21" s="215"/>
      <c r="GR21" s="215"/>
      <c r="GS21" s="215"/>
      <c r="GT21" s="215"/>
      <c r="GU21" s="215"/>
      <c r="GV21" s="215"/>
      <c r="GW21" s="215"/>
      <c r="GX21" s="215"/>
      <c r="GY21" s="215"/>
      <c r="GZ21" s="215"/>
      <c r="HA21" s="215"/>
      <c r="HB21" s="215"/>
      <c r="HC21" s="215"/>
      <c r="HD21" s="215"/>
      <c r="HE21" s="215"/>
      <c r="HF21" s="215"/>
      <c r="HG21" s="215"/>
      <c r="HH21" s="215"/>
      <c r="HI21" s="204"/>
      <c r="HJ21" s="204"/>
      <c r="HK21" s="204"/>
      <c r="HL21" s="204"/>
      <c r="HM21" s="204"/>
      <c r="HN21" s="204"/>
      <c r="HO21" s="204"/>
      <c r="HP21" s="204"/>
      <c r="HQ21" s="204"/>
      <c r="HR21" s="204"/>
    </row>
    <row r="22" spans="1:226" s="205" customFormat="1" x14ac:dyDescent="0.25">
      <c r="A22" s="202">
        <f t="shared" si="0"/>
        <v>15</v>
      </c>
      <c r="B22" s="203">
        <v>0.625</v>
      </c>
      <c r="C22" s="235"/>
      <c r="D22" s="238" t="s">
        <v>684</v>
      </c>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c r="DO22" s="215"/>
      <c r="DP22" s="215"/>
      <c r="DQ22" s="215"/>
      <c r="DR22" s="215"/>
      <c r="DS22" s="215"/>
      <c r="DT22" s="215"/>
      <c r="DU22" s="215"/>
      <c r="DV22" s="215"/>
      <c r="DW22" s="215"/>
      <c r="DX22" s="215"/>
      <c r="DY22" s="215"/>
      <c r="DZ22" s="215"/>
      <c r="EA22" s="215"/>
      <c r="EB22" s="215"/>
      <c r="EC22" s="215"/>
      <c r="ED22" s="215"/>
      <c r="EE22" s="215"/>
      <c r="EF22" s="215"/>
      <c r="EG22" s="215"/>
      <c r="EH22" s="215"/>
      <c r="EI22" s="215"/>
      <c r="EJ22" s="215"/>
      <c r="EK22" s="215"/>
      <c r="EL22" s="215"/>
      <c r="EM22" s="215"/>
      <c r="EN22" s="215"/>
      <c r="EO22" s="215"/>
      <c r="EP22" s="215"/>
      <c r="EQ22" s="215"/>
      <c r="ER22" s="215"/>
      <c r="ES22" s="215"/>
      <c r="ET22" s="215"/>
      <c r="EU22" s="215"/>
      <c r="EV22" s="215"/>
      <c r="EW22" s="215"/>
      <c r="EX22" s="215"/>
      <c r="EY22" s="215"/>
      <c r="EZ22" s="215"/>
      <c r="FA22" s="215"/>
      <c r="FB22" s="215"/>
      <c r="FC22" s="215"/>
      <c r="FD22" s="215"/>
      <c r="FE22" s="215"/>
      <c r="FF22" s="215"/>
      <c r="FG22" s="215"/>
      <c r="FH22" s="215"/>
      <c r="FI22" s="215"/>
      <c r="FJ22" s="215"/>
      <c r="FK22" s="215"/>
      <c r="FL22" s="215"/>
      <c r="FM22" s="215"/>
      <c r="FN22" s="215"/>
      <c r="FO22" s="215"/>
      <c r="FP22" s="215"/>
      <c r="FQ22" s="215"/>
      <c r="FR22" s="215"/>
      <c r="FS22" s="215"/>
      <c r="FT22" s="215"/>
      <c r="FU22" s="215"/>
      <c r="FV22" s="215"/>
      <c r="FW22" s="215"/>
      <c r="FX22" s="215"/>
      <c r="FY22" s="215"/>
      <c r="FZ22" s="215"/>
      <c r="GA22" s="215"/>
      <c r="GB22" s="215"/>
      <c r="GC22" s="215"/>
      <c r="GD22" s="215"/>
      <c r="GE22" s="215"/>
      <c r="GF22" s="215"/>
      <c r="GG22" s="215"/>
      <c r="GH22" s="215"/>
      <c r="GI22" s="215"/>
      <c r="GJ22" s="215"/>
      <c r="GK22" s="215"/>
      <c r="GL22" s="215"/>
      <c r="GM22" s="215"/>
      <c r="GN22" s="215"/>
      <c r="GO22" s="215"/>
      <c r="GP22" s="215"/>
      <c r="GQ22" s="215"/>
      <c r="GR22" s="215"/>
      <c r="GS22" s="215"/>
      <c r="GT22" s="215"/>
      <c r="GU22" s="215"/>
      <c r="GV22" s="215"/>
      <c r="GW22" s="215"/>
      <c r="GX22" s="215"/>
      <c r="GY22" s="215"/>
      <c r="GZ22" s="215"/>
      <c r="HA22" s="215"/>
      <c r="HB22" s="215"/>
      <c r="HC22" s="215"/>
      <c r="HD22" s="215"/>
      <c r="HE22" s="215"/>
      <c r="HF22" s="215"/>
      <c r="HG22" s="215"/>
      <c r="HH22" s="215"/>
      <c r="HI22" s="204"/>
      <c r="HJ22" s="204"/>
      <c r="HK22" s="204"/>
      <c r="HL22" s="204"/>
      <c r="HM22" s="204"/>
      <c r="HN22" s="204"/>
      <c r="HO22" s="204"/>
      <c r="HP22" s="204"/>
      <c r="HQ22" s="204"/>
      <c r="HR22" s="204"/>
    </row>
    <row r="23" spans="1:226" s="205" customFormat="1" x14ac:dyDescent="0.25">
      <c r="A23" s="202">
        <f t="shared" si="0"/>
        <v>16</v>
      </c>
      <c r="B23" s="203">
        <v>0.66666666666666696</v>
      </c>
      <c r="C23" s="235"/>
      <c r="D23" s="228" t="s">
        <v>683</v>
      </c>
      <c r="E23" s="215"/>
      <c r="F23" s="215"/>
      <c r="G23" s="215"/>
      <c r="H23" s="215"/>
      <c r="I23" s="215"/>
      <c r="J23" s="215"/>
      <c r="K23" s="215"/>
      <c r="L23" s="215"/>
      <c r="M23" s="215"/>
      <c r="N23" s="215"/>
      <c r="O23" s="215"/>
      <c r="P23" s="215"/>
      <c r="Q23" s="215"/>
      <c r="R23" s="215"/>
      <c r="S23" s="215"/>
      <c r="T23" s="215"/>
      <c r="U23" s="215"/>
      <c r="V23" s="215"/>
      <c r="W23" s="215"/>
      <c r="X23" s="215"/>
      <c r="Y23" s="215"/>
      <c r="Z23" s="215"/>
      <c r="AA23" s="215"/>
      <c r="AB23" s="215"/>
      <c r="AC23" s="215"/>
      <c r="AD23" s="215"/>
      <c r="AE23" s="215"/>
      <c r="AF23" s="215"/>
      <c r="AG23" s="215"/>
      <c r="AH23" s="215"/>
      <c r="AI23" s="215"/>
      <c r="AJ23" s="215"/>
      <c r="AK23" s="215"/>
      <c r="AL23" s="215"/>
      <c r="AM23" s="215"/>
      <c r="AN23" s="215"/>
      <c r="AO23" s="215"/>
      <c r="AP23" s="215"/>
      <c r="AQ23" s="215"/>
      <c r="AR23" s="215"/>
      <c r="AS23" s="215"/>
      <c r="AT23" s="215"/>
      <c r="AU23" s="215"/>
      <c r="AV23" s="215"/>
      <c r="AW23" s="215"/>
      <c r="AX23" s="215"/>
      <c r="AY23" s="215"/>
      <c r="AZ23" s="215"/>
      <c r="BA23" s="215"/>
      <c r="BB23" s="215"/>
      <c r="BC23" s="215"/>
      <c r="BD23" s="215"/>
      <c r="BE23" s="215"/>
      <c r="BF23" s="215"/>
      <c r="BG23" s="215"/>
      <c r="BH23" s="215"/>
      <c r="BI23" s="215"/>
      <c r="BJ23" s="215"/>
      <c r="BK23" s="215"/>
      <c r="BL23" s="215"/>
      <c r="BM23" s="215"/>
      <c r="BN23" s="215"/>
      <c r="BO23" s="215"/>
      <c r="BP23" s="215"/>
      <c r="BQ23" s="215"/>
      <c r="BR23" s="215"/>
      <c r="BS23" s="215"/>
      <c r="BT23" s="215"/>
      <c r="BU23" s="215"/>
      <c r="BV23" s="215"/>
      <c r="BW23" s="215"/>
      <c r="BX23" s="215"/>
      <c r="BY23" s="215"/>
      <c r="BZ23" s="215"/>
      <c r="CA23" s="215"/>
      <c r="CB23" s="215"/>
      <c r="CC23" s="215"/>
      <c r="CD23" s="215"/>
      <c r="CE23" s="215"/>
      <c r="CF23" s="215"/>
      <c r="CG23" s="215"/>
      <c r="CH23" s="215"/>
      <c r="CI23" s="215"/>
      <c r="CJ23" s="215"/>
      <c r="CK23" s="215"/>
      <c r="CL23" s="215"/>
      <c r="CM23" s="215"/>
      <c r="CN23" s="215"/>
      <c r="CO23" s="215"/>
      <c r="CP23" s="215"/>
      <c r="CQ23" s="215"/>
      <c r="CR23" s="215"/>
      <c r="CS23" s="215"/>
      <c r="CT23" s="215"/>
      <c r="CU23" s="215"/>
      <c r="CV23" s="215"/>
      <c r="CW23" s="215"/>
      <c r="CX23" s="215"/>
      <c r="CY23" s="215"/>
      <c r="CZ23" s="215"/>
      <c r="DA23" s="215"/>
      <c r="DB23" s="215"/>
      <c r="DC23" s="215"/>
      <c r="DD23" s="215"/>
      <c r="DE23" s="215"/>
      <c r="DF23" s="215"/>
      <c r="DG23" s="215"/>
      <c r="DH23" s="215"/>
      <c r="DI23" s="215"/>
      <c r="DJ23" s="215"/>
      <c r="DK23" s="215"/>
      <c r="DL23" s="215"/>
      <c r="DM23" s="215"/>
      <c r="DN23" s="215"/>
      <c r="DO23" s="215"/>
      <c r="DP23" s="215"/>
      <c r="DQ23" s="215"/>
      <c r="DR23" s="215"/>
      <c r="DS23" s="215"/>
      <c r="DT23" s="215"/>
      <c r="DU23" s="215"/>
      <c r="DV23" s="215"/>
      <c r="DW23" s="215"/>
      <c r="DX23" s="215"/>
      <c r="DY23" s="215"/>
      <c r="DZ23" s="215"/>
      <c r="EA23" s="215"/>
      <c r="EB23" s="215"/>
      <c r="EC23" s="215"/>
      <c r="ED23" s="215"/>
      <c r="EE23" s="215"/>
      <c r="EF23" s="215"/>
      <c r="EG23" s="215"/>
      <c r="EH23" s="215"/>
      <c r="EI23" s="215"/>
      <c r="EJ23" s="215"/>
      <c r="EK23" s="215"/>
      <c r="EL23" s="215"/>
      <c r="EM23" s="215"/>
      <c r="EN23" s="215"/>
      <c r="EO23" s="215"/>
      <c r="EP23" s="215"/>
      <c r="EQ23" s="215"/>
      <c r="ER23" s="215"/>
      <c r="ES23" s="215"/>
      <c r="ET23" s="215"/>
      <c r="EU23" s="215"/>
      <c r="EV23" s="215"/>
      <c r="EW23" s="215"/>
      <c r="EX23" s="215"/>
      <c r="EY23" s="215"/>
      <c r="EZ23" s="215"/>
      <c r="FA23" s="215"/>
      <c r="FB23" s="215"/>
      <c r="FC23" s="215"/>
      <c r="FD23" s="215"/>
      <c r="FE23" s="215"/>
      <c r="FF23" s="215"/>
      <c r="FG23" s="215"/>
      <c r="FH23" s="215"/>
      <c r="FI23" s="215"/>
      <c r="FJ23" s="215"/>
      <c r="FK23" s="215"/>
      <c r="FL23" s="215"/>
      <c r="FM23" s="215"/>
      <c r="FN23" s="215"/>
      <c r="FO23" s="215"/>
      <c r="FP23" s="215"/>
      <c r="FQ23" s="215"/>
      <c r="FR23" s="215"/>
      <c r="FS23" s="215"/>
      <c r="FT23" s="215"/>
      <c r="FU23" s="215"/>
      <c r="FV23" s="215"/>
      <c r="FW23" s="215"/>
      <c r="FX23" s="215"/>
      <c r="FY23" s="215"/>
      <c r="FZ23" s="215"/>
      <c r="GA23" s="215"/>
      <c r="GB23" s="215"/>
      <c r="GC23" s="215"/>
      <c r="GD23" s="215"/>
      <c r="GE23" s="215"/>
      <c r="GF23" s="215"/>
      <c r="GG23" s="215"/>
      <c r="GH23" s="215"/>
      <c r="GI23" s="215"/>
      <c r="GJ23" s="215"/>
      <c r="GK23" s="215"/>
      <c r="GL23" s="215"/>
      <c r="GM23" s="215"/>
      <c r="GN23" s="215"/>
      <c r="GO23" s="215"/>
      <c r="GP23" s="215"/>
      <c r="GQ23" s="215"/>
      <c r="GR23" s="215"/>
      <c r="GS23" s="215"/>
      <c r="GT23" s="215"/>
      <c r="GU23" s="215"/>
      <c r="GV23" s="215"/>
      <c r="GW23" s="215"/>
      <c r="GX23" s="215"/>
      <c r="GY23" s="215"/>
      <c r="GZ23" s="215"/>
      <c r="HA23" s="215"/>
      <c r="HB23" s="215"/>
      <c r="HC23" s="215"/>
      <c r="HD23" s="215"/>
      <c r="HE23" s="215"/>
      <c r="HF23" s="215"/>
      <c r="HG23" s="215"/>
      <c r="HH23" s="215"/>
      <c r="HI23" s="204"/>
      <c r="HJ23" s="204"/>
      <c r="HK23" s="204"/>
      <c r="HL23" s="204"/>
      <c r="HM23" s="204"/>
      <c r="HN23" s="204"/>
      <c r="HO23" s="204"/>
      <c r="HP23" s="204"/>
      <c r="HQ23" s="204"/>
      <c r="HR23" s="204"/>
    </row>
    <row r="24" spans="1:226" s="205" customFormat="1" ht="75" x14ac:dyDescent="0.25">
      <c r="A24" s="202">
        <f t="shared" si="0"/>
        <v>17</v>
      </c>
      <c r="B24" s="203">
        <v>0.70833333333333304</v>
      </c>
      <c r="C24" s="215" t="s">
        <v>671</v>
      </c>
      <c r="D24" s="228" t="s">
        <v>683</v>
      </c>
      <c r="E24" s="215"/>
      <c r="F24" s="215"/>
      <c r="G24" s="215"/>
      <c r="H24" s="215"/>
      <c r="I24" s="215"/>
      <c r="J24" s="215"/>
      <c r="K24" s="215"/>
      <c r="L24" s="215"/>
      <c r="M24" s="215"/>
      <c r="N24" s="215"/>
      <c r="O24" s="215"/>
      <c r="P24" s="215"/>
      <c r="Q24" s="215"/>
      <c r="R24" s="215"/>
      <c r="S24" s="215"/>
      <c r="T24" s="215"/>
      <c r="U24" s="215"/>
      <c r="V24" s="215"/>
      <c r="W24" s="215"/>
      <c r="X24" s="215"/>
      <c r="Y24" s="215"/>
      <c r="Z24" s="215"/>
      <c r="AA24" s="215"/>
      <c r="AB24" s="215"/>
      <c r="AC24" s="215"/>
      <c r="AD24" s="215"/>
      <c r="AE24" s="215"/>
      <c r="AF24" s="215"/>
      <c r="AG24" s="215"/>
      <c r="AH24" s="215"/>
      <c r="AI24" s="215"/>
      <c r="AJ24" s="215"/>
      <c r="AK24" s="215"/>
      <c r="AL24" s="215"/>
      <c r="AM24" s="215"/>
      <c r="AN24" s="215"/>
      <c r="AO24" s="215"/>
      <c r="AP24" s="215"/>
      <c r="AQ24" s="215"/>
      <c r="AR24" s="215"/>
      <c r="AS24" s="215"/>
      <c r="AT24" s="215"/>
      <c r="AU24" s="215"/>
      <c r="AV24" s="215"/>
      <c r="AW24" s="215"/>
      <c r="AX24" s="215"/>
      <c r="AY24" s="215"/>
      <c r="AZ24" s="215"/>
      <c r="BA24" s="215"/>
      <c r="BB24" s="215"/>
      <c r="BC24" s="215"/>
      <c r="BD24" s="215"/>
      <c r="BE24" s="215"/>
      <c r="BF24" s="215"/>
      <c r="BG24" s="215"/>
      <c r="BH24" s="215"/>
      <c r="BI24" s="215"/>
      <c r="BJ24" s="215"/>
      <c r="BK24" s="215"/>
      <c r="BL24" s="215"/>
      <c r="BM24" s="215"/>
      <c r="BN24" s="215"/>
      <c r="BO24" s="215"/>
      <c r="BP24" s="215"/>
      <c r="BQ24" s="215"/>
      <c r="BR24" s="215"/>
      <c r="BS24" s="215"/>
      <c r="BT24" s="215"/>
      <c r="BU24" s="215"/>
      <c r="BV24" s="215"/>
      <c r="BW24" s="215"/>
      <c r="BX24" s="215"/>
      <c r="BY24" s="215"/>
      <c r="BZ24" s="215"/>
      <c r="CA24" s="215"/>
      <c r="CB24" s="215"/>
      <c r="CC24" s="215"/>
      <c r="CD24" s="215"/>
      <c r="CE24" s="215"/>
      <c r="CF24" s="215"/>
      <c r="CG24" s="215"/>
      <c r="CH24" s="215"/>
      <c r="CI24" s="215"/>
      <c r="CJ24" s="215"/>
      <c r="CK24" s="215"/>
      <c r="CL24" s="215"/>
      <c r="CM24" s="215"/>
      <c r="CN24" s="215"/>
      <c r="CO24" s="215"/>
      <c r="CP24" s="215"/>
      <c r="CQ24" s="215"/>
      <c r="CR24" s="215"/>
      <c r="CS24" s="215"/>
      <c r="CT24" s="215"/>
      <c r="CU24" s="215"/>
      <c r="CV24" s="215"/>
      <c r="CW24" s="215"/>
      <c r="CX24" s="215"/>
      <c r="CY24" s="215"/>
      <c r="CZ24" s="215"/>
      <c r="DA24" s="215"/>
      <c r="DB24" s="215"/>
      <c r="DC24" s="215"/>
      <c r="DD24" s="215"/>
      <c r="DE24" s="215"/>
      <c r="DF24" s="215"/>
      <c r="DG24" s="215"/>
      <c r="DH24" s="215"/>
      <c r="DI24" s="215"/>
      <c r="DJ24" s="215"/>
      <c r="DK24" s="215"/>
      <c r="DL24" s="215"/>
      <c r="DM24" s="215"/>
      <c r="DN24" s="215"/>
      <c r="DO24" s="215"/>
      <c r="DP24" s="215"/>
      <c r="DQ24" s="215"/>
      <c r="DR24" s="215"/>
      <c r="DS24" s="215"/>
      <c r="DT24" s="215"/>
      <c r="DU24" s="215"/>
      <c r="DV24" s="215"/>
      <c r="DW24" s="215"/>
      <c r="DX24" s="215"/>
      <c r="DY24" s="215"/>
      <c r="DZ24" s="215"/>
      <c r="EA24" s="215"/>
      <c r="EB24" s="215"/>
      <c r="EC24" s="215"/>
      <c r="ED24" s="215"/>
      <c r="EE24" s="215"/>
      <c r="EF24" s="215"/>
      <c r="EG24" s="215"/>
      <c r="EH24" s="215"/>
      <c r="EI24" s="215"/>
      <c r="EJ24" s="215"/>
      <c r="EK24" s="215"/>
      <c r="EL24" s="215"/>
      <c r="EM24" s="215"/>
      <c r="EN24" s="215"/>
      <c r="EO24" s="215"/>
      <c r="EP24" s="215"/>
      <c r="EQ24" s="215"/>
      <c r="ER24" s="215"/>
      <c r="ES24" s="215"/>
      <c r="ET24" s="215"/>
      <c r="EU24" s="215"/>
      <c r="EV24" s="215"/>
      <c r="EW24" s="215"/>
      <c r="EX24" s="215"/>
      <c r="EY24" s="215"/>
      <c r="EZ24" s="215"/>
      <c r="FA24" s="215"/>
      <c r="FB24" s="215"/>
      <c r="FC24" s="215"/>
      <c r="FD24" s="215"/>
      <c r="FE24" s="215"/>
      <c r="FF24" s="215"/>
      <c r="FG24" s="215"/>
      <c r="FH24" s="215"/>
      <c r="FI24" s="215"/>
      <c r="FJ24" s="215"/>
      <c r="FK24" s="215"/>
      <c r="FL24" s="215"/>
      <c r="FM24" s="215"/>
      <c r="FN24" s="215"/>
      <c r="FO24" s="215"/>
      <c r="FP24" s="215"/>
      <c r="FQ24" s="215"/>
      <c r="FR24" s="215"/>
      <c r="FS24" s="215"/>
      <c r="FT24" s="215"/>
      <c r="FU24" s="215"/>
      <c r="FV24" s="215"/>
      <c r="FW24" s="215"/>
      <c r="FX24" s="215"/>
      <c r="FY24" s="215"/>
      <c r="FZ24" s="215"/>
      <c r="GA24" s="215"/>
      <c r="GB24" s="215"/>
      <c r="GC24" s="215"/>
      <c r="GD24" s="215"/>
      <c r="GE24" s="215"/>
      <c r="GF24" s="215"/>
      <c r="GG24" s="215"/>
      <c r="GH24" s="215"/>
      <c r="GI24" s="215"/>
      <c r="GJ24" s="215"/>
      <c r="GK24" s="215"/>
      <c r="GL24" s="215"/>
      <c r="GM24" s="215"/>
      <c r="GN24" s="215"/>
      <c r="GO24" s="215"/>
      <c r="GP24" s="215"/>
      <c r="GQ24" s="215"/>
      <c r="GR24" s="215"/>
      <c r="GS24" s="215"/>
      <c r="GT24" s="215"/>
      <c r="GU24" s="215"/>
      <c r="GV24" s="215"/>
      <c r="GW24" s="215"/>
      <c r="GX24" s="215"/>
      <c r="GY24" s="215"/>
      <c r="GZ24" s="215"/>
      <c r="HA24" s="215"/>
      <c r="HB24" s="215"/>
      <c r="HC24" s="215"/>
      <c r="HD24" s="215"/>
      <c r="HE24" s="215"/>
      <c r="HF24" s="215"/>
      <c r="HG24" s="215"/>
      <c r="HH24" s="215"/>
      <c r="HI24" s="204"/>
      <c r="HJ24" s="204"/>
      <c r="HK24" s="204"/>
      <c r="HL24" s="204"/>
      <c r="HM24" s="204"/>
      <c r="HN24" s="204"/>
      <c r="HO24" s="204"/>
      <c r="HP24" s="204"/>
      <c r="HQ24" s="204"/>
      <c r="HR24" s="204"/>
    </row>
    <row r="25" spans="1:226" s="205" customFormat="1" ht="30" x14ac:dyDescent="0.25">
      <c r="A25" s="202">
        <f t="shared" si="0"/>
        <v>18</v>
      </c>
      <c r="B25" s="203">
        <v>0.75</v>
      </c>
      <c r="C25" s="215" t="s">
        <v>672</v>
      </c>
      <c r="D25" s="238" t="s">
        <v>684</v>
      </c>
      <c r="E25" s="215"/>
      <c r="F25" s="215"/>
      <c r="G25" s="215"/>
      <c r="H25" s="215"/>
      <c r="I25" s="215"/>
      <c r="J25" s="215"/>
      <c r="K25" s="215"/>
      <c r="L25" s="215"/>
      <c r="M25" s="215"/>
      <c r="N25" s="215"/>
      <c r="O25" s="215"/>
      <c r="P25" s="215"/>
      <c r="Q25" s="215"/>
      <c r="R25" s="215"/>
      <c r="S25" s="215"/>
      <c r="T25" s="215"/>
      <c r="U25" s="215"/>
      <c r="V25" s="215"/>
      <c r="W25" s="215"/>
      <c r="X25" s="215"/>
      <c r="Y25" s="215"/>
      <c r="Z25" s="215"/>
      <c r="AA25" s="215"/>
      <c r="AB25" s="215"/>
      <c r="AC25" s="215"/>
      <c r="AD25" s="215"/>
      <c r="AE25" s="215"/>
      <c r="AF25" s="215"/>
      <c r="AG25" s="215"/>
      <c r="AH25" s="215"/>
      <c r="AI25" s="215"/>
      <c r="AJ25" s="215"/>
      <c r="AK25" s="215"/>
      <c r="AL25" s="215"/>
      <c r="AM25" s="215"/>
      <c r="AN25" s="215"/>
      <c r="AO25" s="215"/>
      <c r="AP25" s="215"/>
      <c r="AQ25" s="215"/>
      <c r="AR25" s="215"/>
      <c r="AS25" s="215"/>
      <c r="AT25" s="215"/>
      <c r="AU25" s="215"/>
      <c r="AV25" s="215"/>
      <c r="AW25" s="215"/>
      <c r="AX25" s="215"/>
      <c r="AY25" s="215"/>
      <c r="AZ25" s="215"/>
      <c r="BA25" s="215"/>
      <c r="BB25" s="215"/>
      <c r="BC25" s="215"/>
      <c r="BD25" s="215"/>
      <c r="BE25" s="215"/>
      <c r="BF25" s="215"/>
      <c r="BG25" s="215"/>
      <c r="BH25" s="215"/>
      <c r="BI25" s="215"/>
      <c r="BJ25" s="215"/>
      <c r="BK25" s="215"/>
      <c r="BL25" s="215"/>
      <c r="BM25" s="215"/>
      <c r="BN25" s="215"/>
      <c r="BO25" s="215"/>
      <c r="BP25" s="215"/>
      <c r="BQ25" s="215"/>
      <c r="BR25" s="215"/>
      <c r="BS25" s="215"/>
      <c r="BT25" s="215"/>
      <c r="BU25" s="215"/>
      <c r="BV25" s="215"/>
      <c r="BW25" s="215"/>
      <c r="BX25" s="215"/>
      <c r="BY25" s="215"/>
      <c r="BZ25" s="215"/>
      <c r="CA25" s="215"/>
      <c r="CB25" s="215"/>
      <c r="CC25" s="215"/>
      <c r="CD25" s="215"/>
      <c r="CE25" s="215"/>
      <c r="CF25" s="215"/>
      <c r="CG25" s="215"/>
      <c r="CH25" s="215"/>
      <c r="CI25" s="215"/>
      <c r="CJ25" s="215"/>
      <c r="CK25" s="215"/>
      <c r="CL25" s="215"/>
      <c r="CM25" s="215"/>
      <c r="CN25" s="215"/>
      <c r="CO25" s="215"/>
      <c r="CP25" s="215"/>
      <c r="CQ25" s="215"/>
      <c r="CR25" s="215"/>
      <c r="CS25" s="215"/>
      <c r="CT25" s="215"/>
      <c r="CU25" s="215"/>
      <c r="CV25" s="215"/>
      <c r="CW25" s="215"/>
      <c r="CX25" s="215"/>
      <c r="CY25" s="215"/>
      <c r="CZ25" s="215"/>
      <c r="DA25" s="215"/>
      <c r="DB25" s="215"/>
      <c r="DC25" s="215"/>
      <c r="DD25" s="215"/>
      <c r="DE25" s="215"/>
      <c r="DF25" s="215"/>
      <c r="DG25" s="215"/>
      <c r="DH25" s="215"/>
      <c r="DI25" s="215"/>
      <c r="DJ25" s="215"/>
      <c r="DK25" s="215"/>
      <c r="DL25" s="215"/>
      <c r="DM25" s="215"/>
      <c r="DN25" s="215"/>
      <c r="DO25" s="215"/>
      <c r="DP25" s="215"/>
      <c r="DQ25" s="215"/>
      <c r="DR25" s="215"/>
      <c r="DS25" s="215"/>
      <c r="DT25" s="215"/>
      <c r="DU25" s="215"/>
      <c r="DV25" s="204"/>
      <c r="DW25" s="204"/>
      <c r="DX25" s="204"/>
      <c r="DY25" s="204"/>
      <c r="DZ25" s="204"/>
      <c r="EA25" s="204"/>
      <c r="EB25" s="204"/>
      <c r="EC25" s="204"/>
      <c r="ED25" s="204"/>
      <c r="EE25" s="204"/>
      <c r="EF25" s="204"/>
      <c r="EG25" s="204"/>
      <c r="EH25" s="204"/>
      <c r="EI25" s="204"/>
      <c r="EJ25" s="204"/>
      <c r="EK25" s="204"/>
      <c r="EL25" s="204"/>
      <c r="EM25" s="204"/>
      <c r="EN25" s="204"/>
      <c r="EO25" s="204"/>
      <c r="EP25" s="204"/>
      <c r="EQ25" s="204"/>
      <c r="ER25" s="204"/>
      <c r="ES25" s="204"/>
      <c r="ET25" s="204"/>
      <c r="EU25" s="204"/>
      <c r="EV25" s="204"/>
      <c r="EW25" s="204"/>
      <c r="EX25" s="204"/>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c r="GC25" s="204"/>
      <c r="GD25" s="204"/>
      <c r="GE25" s="204"/>
      <c r="GF25" s="204"/>
      <c r="GG25" s="204"/>
      <c r="GH25" s="204"/>
      <c r="GI25" s="204"/>
      <c r="GJ25" s="204"/>
      <c r="GK25" s="204"/>
      <c r="GL25" s="204"/>
      <c r="GM25" s="204"/>
      <c r="GN25" s="204"/>
      <c r="GO25" s="204"/>
      <c r="GP25" s="204"/>
      <c r="GQ25" s="204"/>
      <c r="GR25" s="204"/>
      <c r="GS25" s="204"/>
      <c r="GT25" s="204"/>
      <c r="GU25" s="204"/>
      <c r="GV25" s="204"/>
      <c r="GW25" s="204"/>
      <c r="GX25" s="204"/>
      <c r="GY25" s="204"/>
      <c r="GZ25" s="204"/>
      <c r="HA25" s="204"/>
      <c r="HB25" s="204"/>
      <c r="HC25" s="204"/>
      <c r="HD25" s="204"/>
      <c r="HE25" s="204"/>
      <c r="HF25" s="204"/>
      <c r="HG25" s="204"/>
      <c r="HH25" s="204"/>
      <c r="HI25" s="204"/>
      <c r="HJ25" s="204"/>
      <c r="HK25" s="204"/>
      <c r="HL25" s="204"/>
      <c r="HM25" s="204"/>
      <c r="HN25" s="204"/>
      <c r="HO25" s="204"/>
      <c r="HP25" s="204"/>
      <c r="HQ25" s="204"/>
      <c r="HR25" s="204"/>
    </row>
    <row r="26" spans="1:226" s="205" customFormat="1" ht="30" x14ac:dyDescent="0.25">
      <c r="A26" s="202">
        <f t="shared" si="0"/>
        <v>19</v>
      </c>
      <c r="B26" s="203">
        <v>0.79166666666666696</v>
      </c>
      <c r="C26" s="215" t="s">
        <v>672</v>
      </c>
      <c r="D26" s="238" t="s">
        <v>684</v>
      </c>
      <c r="E26" s="215"/>
      <c r="F26" s="215"/>
      <c r="G26" s="215"/>
      <c r="H26" s="215"/>
      <c r="I26" s="215"/>
      <c r="J26" s="215"/>
      <c r="K26" s="215"/>
      <c r="L26" s="215"/>
      <c r="M26" s="215"/>
      <c r="N26" s="215"/>
      <c r="O26" s="215"/>
      <c r="P26" s="215"/>
      <c r="Q26" s="215"/>
      <c r="R26" s="215"/>
      <c r="S26" s="215"/>
      <c r="T26" s="215"/>
      <c r="U26" s="215"/>
      <c r="V26" s="215"/>
      <c r="W26" s="215"/>
      <c r="X26" s="215"/>
      <c r="Y26" s="215"/>
      <c r="Z26" s="215"/>
      <c r="AA26" s="215"/>
      <c r="AB26" s="215"/>
      <c r="AC26" s="215"/>
      <c r="AD26" s="215"/>
      <c r="AE26" s="215"/>
      <c r="AF26" s="215"/>
      <c r="AG26" s="215"/>
      <c r="AH26" s="215"/>
      <c r="AI26" s="215"/>
      <c r="AJ26" s="215"/>
      <c r="AK26" s="215"/>
      <c r="AL26" s="215"/>
      <c r="AM26" s="215"/>
      <c r="AN26" s="215"/>
      <c r="AO26" s="215"/>
      <c r="AP26" s="215"/>
      <c r="AQ26" s="215"/>
      <c r="AR26" s="215"/>
      <c r="AS26" s="215"/>
      <c r="AT26" s="215"/>
      <c r="AU26" s="215"/>
      <c r="AV26" s="215"/>
      <c r="AW26" s="215"/>
      <c r="AX26" s="215"/>
      <c r="AY26" s="215"/>
      <c r="AZ26" s="215"/>
      <c r="BA26" s="215"/>
      <c r="BB26" s="215"/>
      <c r="BC26" s="215"/>
      <c r="BD26" s="215"/>
      <c r="BE26" s="215"/>
      <c r="BF26" s="215"/>
      <c r="BG26" s="215"/>
      <c r="BH26" s="215"/>
      <c r="BI26" s="215"/>
      <c r="BJ26" s="215"/>
      <c r="BK26" s="215"/>
      <c r="BL26" s="215"/>
      <c r="BM26" s="215"/>
      <c r="BN26" s="215"/>
      <c r="BO26" s="215"/>
      <c r="BP26" s="215"/>
      <c r="BQ26" s="215"/>
      <c r="BR26" s="215"/>
      <c r="BS26" s="215"/>
      <c r="BT26" s="215"/>
      <c r="BU26" s="215"/>
      <c r="BV26" s="215"/>
      <c r="BW26" s="215"/>
      <c r="BX26" s="215"/>
      <c r="BY26" s="215"/>
      <c r="BZ26" s="215"/>
      <c r="CA26" s="215"/>
      <c r="CB26" s="215"/>
      <c r="CC26" s="215"/>
      <c r="CD26" s="215"/>
      <c r="CE26" s="215"/>
      <c r="CF26" s="215"/>
      <c r="CG26" s="215"/>
      <c r="CH26" s="215"/>
      <c r="CI26" s="215"/>
      <c r="CJ26" s="215"/>
      <c r="CK26" s="215"/>
      <c r="CL26" s="215"/>
      <c r="CM26" s="215"/>
      <c r="CN26" s="215"/>
      <c r="CO26" s="215"/>
      <c r="CP26" s="215"/>
      <c r="CQ26" s="215"/>
      <c r="CR26" s="215"/>
      <c r="CS26" s="215"/>
      <c r="CT26" s="215"/>
      <c r="CU26" s="215"/>
      <c r="CV26" s="215"/>
      <c r="CW26" s="215"/>
      <c r="CX26" s="215"/>
      <c r="CY26" s="215"/>
      <c r="CZ26" s="215"/>
      <c r="DA26" s="215"/>
      <c r="DB26" s="215"/>
      <c r="DC26" s="215"/>
      <c r="DD26" s="215"/>
      <c r="DE26" s="215"/>
      <c r="DF26" s="215"/>
      <c r="DG26" s="215"/>
      <c r="DH26" s="215"/>
      <c r="DI26" s="215"/>
      <c r="DJ26" s="215"/>
      <c r="DK26" s="215"/>
      <c r="DL26" s="215"/>
      <c r="DM26" s="215"/>
      <c r="DN26" s="215"/>
      <c r="DO26" s="215"/>
      <c r="DP26" s="215"/>
      <c r="DQ26" s="215"/>
      <c r="DR26" s="215"/>
      <c r="DS26" s="215"/>
      <c r="DT26" s="215"/>
      <c r="DU26" s="215"/>
      <c r="DV26" s="204"/>
      <c r="DW26" s="204"/>
      <c r="DX26" s="204"/>
      <c r="DY26" s="204"/>
      <c r="DZ26" s="204"/>
      <c r="EA26" s="204"/>
      <c r="EB26" s="204"/>
      <c r="EC26" s="204"/>
      <c r="ED26" s="204"/>
      <c r="EE26" s="204"/>
      <c r="EF26" s="204"/>
      <c r="EG26" s="204"/>
      <c r="EH26" s="204"/>
      <c r="EI26" s="204"/>
      <c r="EJ26" s="204"/>
      <c r="EK26" s="204"/>
      <c r="EL26" s="204"/>
      <c r="EM26" s="204"/>
      <c r="EN26" s="204"/>
      <c r="EO26" s="204"/>
      <c r="EP26" s="204"/>
      <c r="EQ26" s="204"/>
      <c r="ER26" s="204"/>
      <c r="ES26" s="204"/>
      <c r="ET26" s="204"/>
      <c r="EU26" s="204"/>
      <c r="EV26" s="204"/>
      <c r="EW26" s="204"/>
      <c r="EX26" s="204"/>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c r="GC26" s="204"/>
      <c r="GD26" s="204"/>
      <c r="GE26" s="204"/>
      <c r="GF26" s="204"/>
      <c r="GG26" s="204"/>
      <c r="GH26" s="204"/>
      <c r="GI26" s="204"/>
      <c r="GJ26" s="204"/>
      <c r="GK26" s="204"/>
      <c r="GL26" s="204"/>
      <c r="GM26" s="204"/>
      <c r="GN26" s="204"/>
      <c r="GO26" s="204"/>
      <c r="GP26" s="204"/>
      <c r="GQ26" s="204"/>
      <c r="GR26" s="204"/>
      <c r="GS26" s="204"/>
      <c r="GT26" s="204"/>
      <c r="GU26" s="204"/>
      <c r="GV26" s="204"/>
      <c r="GW26" s="204"/>
      <c r="GX26" s="204"/>
      <c r="GY26" s="204"/>
      <c r="GZ26" s="204"/>
      <c r="HA26" s="204"/>
      <c r="HB26" s="204"/>
      <c r="HC26" s="204"/>
      <c r="HD26" s="204"/>
      <c r="HE26" s="204"/>
      <c r="HF26" s="204"/>
      <c r="HG26" s="204"/>
      <c r="HH26" s="204"/>
      <c r="HI26" s="204"/>
      <c r="HJ26" s="204"/>
      <c r="HK26" s="204"/>
      <c r="HL26" s="204"/>
      <c r="HM26" s="204"/>
      <c r="HN26" s="204"/>
      <c r="HO26" s="204"/>
      <c r="HP26" s="204"/>
      <c r="HQ26" s="204"/>
      <c r="HR26" s="204"/>
    </row>
    <row r="27" spans="1:226" s="205" customFormat="1" ht="75" x14ac:dyDescent="0.25">
      <c r="A27" s="202">
        <f t="shared" si="0"/>
        <v>20</v>
      </c>
      <c r="B27" s="203">
        <v>0.83333333333333304</v>
      </c>
      <c r="C27" s="215" t="s">
        <v>673</v>
      </c>
      <c r="D27" s="238" t="s">
        <v>685</v>
      </c>
      <c r="E27" s="215"/>
      <c r="F27" s="215"/>
      <c r="G27" s="215"/>
      <c r="H27" s="215"/>
      <c r="I27" s="215"/>
      <c r="J27" s="215"/>
      <c r="K27" s="215"/>
      <c r="L27" s="215"/>
      <c r="M27" s="215"/>
      <c r="N27" s="215"/>
      <c r="O27" s="215"/>
      <c r="P27" s="215"/>
      <c r="Q27" s="215"/>
      <c r="R27" s="215"/>
      <c r="S27" s="215"/>
      <c r="T27" s="215"/>
      <c r="U27" s="215"/>
      <c r="V27" s="215"/>
      <c r="W27" s="215"/>
      <c r="X27" s="215"/>
      <c r="Y27" s="215"/>
      <c r="Z27" s="215"/>
      <c r="AA27" s="215"/>
      <c r="AB27" s="215"/>
      <c r="AC27" s="215"/>
      <c r="AD27" s="215"/>
      <c r="AE27" s="215"/>
      <c r="AF27" s="215"/>
      <c r="AG27" s="215"/>
      <c r="AH27" s="215"/>
      <c r="AI27" s="215"/>
      <c r="AJ27" s="215"/>
      <c r="AK27" s="215"/>
      <c r="AL27" s="215"/>
      <c r="AM27" s="215"/>
      <c r="AN27" s="215"/>
      <c r="AO27" s="215"/>
      <c r="AP27" s="215"/>
      <c r="AQ27" s="215"/>
      <c r="AR27" s="215"/>
      <c r="AS27" s="215"/>
      <c r="AT27" s="215"/>
      <c r="AU27" s="215"/>
      <c r="AV27" s="215"/>
      <c r="AW27" s="215"/>
      <c r="AX27" s="215"/>
      <c r="AY27" s="215"/>
      <c r="AZ27" s="215"/>
      <c r="BA27" s="215"/>
      <c r="BB27" s="215"/>
      <c r="BC27" s="215"/>
      <c r="BD27" s="215"/>
      <c r="BE27" s="215"/>
      <c r="BF27" s="215"/>
      <c r="BG27" s="215"/>
      <c r="BH27" s="215"/>
      <c r="BI27" s="215"/>
      <c r="BJ27" s="215"/>
      <c r="BK27" s="215"/>
      <c r="BL27" s="215"/>
      <c r="BM27" s="215"/>
      <c r="BN27" s="215"/>
      <c r="BO27" s="215"/>
      <c r="BP27" s="215"/>
      <c r="BQ27" s="215"/>
      <c r="BR27" s="215"/>
      <c r="BS27" s="215"/>
      <c r="BT27" s="215"/>
      <c r="BU27" s="215"/>
      <c r="BV27" s="215"/>
      <c r="BW27" s="215"/>
      <c r="BX27" s="215"/>
      <c r="BY27" s="215"/>
      <c r="BZ27" s="215"/>
      <c r="CA27" s="215"/>
      <c r="CB27" s="215"/>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c r="DA27" s="215"/>
      <c r="DB27" s="215"/>
      <c r="DC27" s="215"/>
      <c r="DD27" s="215"/>
      <c r="DE27" s="215"/>
      <c r="DF27" s="215"/>
      <c r="DG27" s="215"/>
      <c r="DH27" s="215"/>
      <c r="DI27" s="215"/>
      <c r="DJ27" s="215"/>
      <c r="DK27" s="215"/>
      <c r="DL27" s="215"/>
      <c r="DM27" s="215"/>
      <c r="DN27" s="215"/>
      <c r="DO27" s="215"/>
      <c r="DP27" s="215"/>
      <c r="DQ27" s="215"/>
      <c r="DR27" s="215"/>
      <c r="DS27" s="215"/>
      <c r="DT27" s="215"/>
      <c r="DU27" s="215"/>
      <c r="DV27" s="204"/>
      <c r="DW27" s="204"/>
      <c r="DX27" s="204"/>
      <c r="DY27" s="204"/>
      <c r="DZ27" s="204"/>
      <c r="EA27" s="204"/>
      <c r="EB27" s="204"/>
      <c r="EC27" s="204"/>
      <c r="ED27" s="204"/>
      <c r="EE27" s="204"/>
      <c r="EF27" s="204"/>
      <c r="EG27" s="204"/>
      <c r="EH27" s="204"/>
      <c r="EI27" s="204"/>
      <c r="EJ27" s="204"/>
      <c r="EK27" s="204"/>
      <c r="EL27" s="204"/>
      <c r="EM27" s="204"/>
      <c r="EN27" s="204"/>
      <c r="EO27" s="204"/>
      <c r="EP27" s="204"/>
      <c r="EQ27" s="204"/>
      <c r="ER27" s="204"/>
      <c r="ES27" s="204"/>
      <c r="ET27" s="204"/>
      <c r="EU27" s="204"/>
      <c r="EV27" s="204"/>
      <c r="EW27" s="204"/>
      <c r="EX27" s="204"/>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c r="GC27" s="204"/>
      <c r="GD27" s="204"/>
      <c r="GE27" s="204"/>
      <c r="GF27" s="204"/>
      <c r="GG27" s="204"/>
      <c r="GH27" s="204"/>
      <c r="GI27" s="204"/>
      <c r="GJ27" s="204"/>
      <c r="GK27" s="204"/>
      <c r="GL27" s="204"/>
      <c r="GM27" s="204"/>
      <c r="GN27" s="204"/>
      <c r="GO27" s="204"/>
      <c r="GP27" s="204"/>
      <c r="GQ27" s="204"/>
      <c r="GR27" s="204"/>
      <c r="GS27" s="204"/>
      <c r="GT27" s="204"/>
      <c r="GU27" s="204"/>
      <c r="GV27" s="204"/>
      <c r="GW27" s="204"/>
      <c r="GX27" s="204"/>
      <c r="GY27" s="204"/>
      <c r="GZ27" s="204"/>
      <c r="HA27" s="204"/>
      <c r="HB27" s="204"/>
      <c r="HC27" s="204"/>
      <c r="HD27" s="204"/>
      <c r="HE27" s="204"/>
      <c r="HF27" s="204"/>
      <c r="HG27" s="204"/>
      <c r="HH27" s="204"/>
      <c r="HI27" s="204"/>
      <c r="HJ27" s="204"/>
      <c r="HK27" s="204"/>
      <c r="HL27" s="204"/>
      <c r="HM27" s="204"/>
      <c r="HN27" s="204"/>
      <c r="HO27" s="204"/>
      <c r="HP27" s="204"/>
      <c r="HQ27" s="204"/>
      <c r="HR27" s="204"/>
    </row>
    <row r="28" spans="1:226" s="207" customFormat="1" ht="15.95" customHeight="1" x14ac:dyDescent="0.25">
      <c r="A28" s="202">
        <f t="shared" si="0"/>
        <v>21</v>
      </c>
      <c r="B28" s="203">
        <v>0.875</v>
      </c>
      <c r="C28" s="237" t="s">
        <v>674</v>
      </c>
      <c r="D28" s="237" t="s">
        <v>674</v>
      </c>
      <c r="E28" s="237" t="s">
        <v>674</v>
      </c>
      <c r="F28" s="237" t="s">
        <v>674</v>
      </c>
      <c r="G28" s="237" t="s">
        <v>674</v>
      </c>
      <c r="H28" s="237" t="s">
        <v>674</v>
      </c>
      <c r="I28" s="237" t="s">
        <v>674</v>
      </c>
      <c r="J28" s="237" t="s">
        <v>674</v>
      </c>
      <c r="K28" s="237" t="s">
        <v>674</v>
      </c>
      <c r="L28" s="237" t="s">
        <v>674</v>
      </c>
      <c r="M28" s="237" t="s">
        <v>674</v>
      </c>
      <c r="N28" s="237" t="s">
        <v>674</v>
      </c>
      <c r="O28" s="237" t="s">
        <v>674</v>
      </c>
      <c r="P28" s="237" t="s">
        <v>674</v>
      </c>
      <c r="Q28" s="237" t="s">
        <v>674</v>
      </c>
      <c r="R28" s="237" t="s">
        <v>674</v>
      </c>
      <c r="S28" s="237" t="s">
        <v>674</v>
      </c>
      <c r="T28" s="237" t="s">
        <v>674</v>
      </c>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c r="DO28" s="215"/>
      <c r="DP28" s="215"/>
      <c r="DQ28" s="215"/>
      <c r="DR28" s="215"/>
      <c r="DS28" s="215"/>
      <c r="DT28" s="215"/>
      <c r="DU28" s="215"/>
      <c r="DV28" s="206"/>
      <c r="DW28" s="206"/>
      <c r="DX28" s="206"/>
      <c r="DY28" s="206"/>
      <c r="DZ28" s="206"/>
      <c r="EA28" s="206"/>
      <c r="EB28" s="206"/>
      <c r="EC28" s="206"/>
      <c r="ED28" s="206"/>
      <c r="EE28" s="206"/>
      <c r="EF28" s="206"/>
      <c r="EG28" s="206"/>
      <c r="EH28" s="206"/>
      <c r="EI28" s="206"/>
      <c r="EJ28" s="206"/>
      <c r="EK28" s="206"/>
      <c r="EL28" s="206"/>
      <c r="EM28" s="206"/>
      <c r="EN28" s="206"/>
      <c r="EO28" s="206"/>
      <c r="EP28" s="206"/>
      <c r="EQ28" s="206"/>
      <c r="ER28" s="206"/>
      <c r="ES28" s="206"/>
      <c r="ET28" s="206"/>
      <c r="EU28" s="206"/>
      <c r="EV28" s="206"/>
      <c r="EW28" s="206"/>
      <c r="EX28" s="206"/>
      <c r="EY28" s="206"/>
      <c r="EZ28" s="206"/>
      <c r="FA28" s="206"/>
      <c r="FB28" s="206"/>
      <c r="FC28" s="206"/>
      <c r="FD28" s="206"/>
      <c r="FE28" s="206"/>
      <c r="FF28" s="206"/>
      <c r="FG28" s="206"/>
      <c r="FH28" s="206"/>
      <c r="FI28" s="206"/>
      <c r="FJ28" s="206"/>
      <c r="FK28" s="206"/>
      <c r="FL28" s="206"/>
      <c r="FM28" s="206"/>
      <c r="FN28" s="206"/>
      <c r="FO28" s="206"/>
      <c r="FP28" s="206"/>
      <c r="FQ28" s="206"/>
      <c r="FR28" s="206"/>
      <c r="FS28" s="206"/>
      <c r="FT28" s="206"/>
      <c r="FU28" s="206"/>
      <c r="FV28" s="206"/>
      <c r="FW28" s="206"/>
      <c r="FX28" s="206"/>
      <c r="FY28" s="206"/>
      <c r="FZ28" s="206"/>
      <c r="GA28" s="206"/>
      <c r="GB28" s="206"/>
      <c r="GC28" s="206"/>
      <c r="GD28" s="206"/>
      <c r="GE28" s="206"/>
      <c r="GF28" s="206"/>
      <c r="GG28" s="206"/>
      <c r="GH28" s="206"/>
      <c r="GI28" s="206"/>
      <c r="GJ28" s="206"/>
      <c r="GK28" s="206"/>
      <c r="GL28" s="206"/>
      <c r="GM28" s="206"/>
      <c r="GN28" s="206"/>
      <c r="GO28" s="206"/>
      <c r="GP28" s="206"/>
      <c r="GQ28" s="206"/>
      <c r="GR28" s="206"/>
      <c r="GS28" s="206"/>
      <c r="GT28" s="206"/>
      <c r="GU28" s="206"/>
      <c r="GV28" s="206"/>
      <c r="GW28" s="206"/>
      <c r="GX28" s="206"/>
      <c r="GY28" s="206"/>
      <c r="GZ28" s="206"/>
      <c r="HA28" s="206"/>
      <c r="HB28" s="206"/>
      <c r="HC28" s="206"/>
      <c r="HD28" s="206"/>
      <c r="HE28" s="206"/>
      <c r="HF28" s="206"/>
      <c r="HG28" s="206"/>
      <c r="HH28" s="206"/>
      <c r="HI28" s="206"/>
      <c r="HJ28" s="206"/>
      <c r="HK28" s="206"/>
      <c r="HL28" s="206"/>
      <c r="HM28" s="206"/>
      <c r="HN28" s="206"/>
      <c r="HO28" s="206"/>
      <c r="HP28" s="206"/>
      <c r="HQ28" s="206"/>
      <c r="HR28" s="206"/>
    </row>
    <row r="29" spans="1:226" s="205" customFormat="1" ht="15.95" customHeight="1" x14ac:dyDescent="0.25">
      <c r="A29" s="202">
        <f t="shared" si="0"/>
        <v>22</v>
      </c>
      <c r="B29" s="203">
        <v>0.91666666666666696</v>
      </c>
      <c r="C29" s="215"/>
      <c r="D29" s="229"/>
      <c r="E29" s="215"/>
      <c r="F29" s="215"/>
      <c r="G29" s="215"/>
      <c r="H29" s="215"/>
      <c r="I29" s="215"/>
      <c r="J29" s="215"/>
      <c r="K29" s="215"/>
      <c r="L29" s="215"/>
      <c r="M29" s="215"/>
      <c r="N29" s="215"/>
      <c r="O29" s="215"/>
      <c r="P29" s="215"/>
      <c r="Q29" s="215"/>
      <c r="R29" s="215"/>
      <c r="S29" s="215"/>
      <c r="T29" s="215"/>
      <c r="U29" s="215"/>
      <c r="V29" s="215"/>
      <c r="W29" s="215"/>
      <c r="X29" s="215"/>
      <c r="Y29" s="215"/>
      <c r="Z29" s="215"/>
      <c r="AA29" s="215"/>
      <c r="AB29" s="215"/>
      <c r="AC29" s="215"/>
      <c r="AD29" s="215"/>
      <c r="AE29" s="215"/>
      <c r="AF29" s="215"/>
      <c r="AG29" s="215"/>
      <c r="AH29" s="215"/>
      <c r="AI29" s="215"/>
      <c r="AJ29" s="215"/>
      <c r="AK29" s="215"/>
      <c r="AL29" s="215"/>
      <c r="AM29" s="215"/>
      <c r="AN29" s="215"/>
      <c r="AO29" s="215"/>
      <c r="AP29" s="215"/>
      <c r="AQ29" s="215"/>
      <c r="AR29" s="215"/>
      <c r="AS29" s="215"/>
      <c r="AT29" s="215"/>
      <c r="AU29" s="215"/>
      <c r="AV29" s="215"/>
      <c r="AW29" s="215"/>
      <c r="AX29" s="215"/>
      <c r="AY29" s="215"/>
      <c r="AZ29" s="215"/>
      <c r="BA29" s="215"/>
      <c r="BB29" s="215"/>
      <c r="BC29" s="215"/>
      <c r="BD29" s="215"/>
      <c r="BE29" s="215"/>
      <c r="BF29" s="215"/>
      <c r="BG29" s="215"/>
      <c r="BH29" s="215"/>
      <c r="BI29" s="215"/>
      <c r="BJ29" s="215"/>
      <c r="BK29" s="215"/>
      <c r="BL29" s="215"/>
      <c r="BM29" s="215"/>
      <c r="BN29" s="215"/>
      <c r="BO29" s="215"/>
      <c r="BP29" s="215"/>
      <c r="BQ29" s="215"/>
      <c r="BR29" s="215"/>
      <c r="BS29" s="215"/>
      <c r="BT29" s="215"/>
      <c r="BU29" s="215"/>
      <c r="BV29" s="215"/>
      <c r="BW29" s="215"/>
      <c r="BX29" s="215"/>
      <c r="BY29" s="215"/>
      <c r="BZ29" s="215"/>
      <c r="CA29" s="215"/>
      <c r="CB29" s="215"/>
      <c r="CC29" s="215"/>
      <c r="CD29" s="215"/>
      <c r="CE29" s="215"/>
      <c r="CF29" s="215"/>
      <c r="CG29" s="215"/>
      <c r="CH29" s="215"/>
      <c r="CI29" s="215"/>
      <c r="CJ29" s="215"/>
      <c r="CK29" s="215"/>
      <c r="CL29" s="215"/>
      <c r="CM29" s="215"/>
      <c r="CN29" s="215"/>
      <c r="CO29" s="215"/>
      <c r="CP29" s="215"/>
      <c r="CQ29" s="215"/>
      <c r="CR29" s="215"/>
      <c r="CS29" s="215"/>
      <c r="CT29" s="215"/>
      <c r="CU29" s="215"/>
      <c r="CV29" s="215"/>
      <c r="CW29" s="215"/>
      <c r="CX29" s="215"/>
      <c r="CY29" s="215"/>
      <c r="CZ29" s="215"/>
      <c r="DA29" s="215"/>
      <c r="DB29" s="215"/>
      <c r="DC29" s="215"/>
      <c r="DD29" s="215"/>
      <c r="DE29" s="215"/>
      <c r="DF29" s="215"/>
      <c r="DG29" s="215"/>
      <c r="DH29" s="215"/>
      <c r="DI29" s="215"/>
      <c r="DJ29" s="215"/>
      <c r="DK29" s="215"/>
      <c r="DL29" s="215"/>
      <c r="DM29" s="215"/>
      <c r="DN29" s="215"/>
      <c r="DO29" s="215"/>
      <c r="DP29" s="215"/>
      <c r="DQ29" s="215"/>
      <c r="DR29" s="215"/>
      <c r="DS29" s="215"/>
      <c r="DT29" s="215"/>
      <c r="DU29" s="215"/>
      <c r="DV29" s="204"/>
      <c r="DW29" s="204"/>
      <c r="DX29" s="204"/>
      <c r="DY29" s="204"/>
      <c r="DZ29" s="204"/>
      <c r="EA29" s="204"/>
      <c r="EB29" s="204"/>
      <c r="EC29" s="204"/>
      <c r="ED29" s="204"/>
      <c r="EE29" s="204"/>
      <c r="EF29" s="204"/>
      <c r="EG29" s="204"/>
      <c r="EH29" s="204"/>
      <c r="EI29" s="204"/>
      <c r="EJ29" s="204"/>
      <c r="EK29" s="204"/>
      <c r="EL29" s="204"/>
      <c r="EM29" s="204"/>
      <c r="EN29" s="204"/>
      <c r="EO29" s="204"/>
      <c r="EP29" s="204"/>
      <c r="EQ29" s="204"/>
      <c r="ER29" s="204"/>
      <c r="ES29" s="204"/>
      <c r="ET29" s="204"/>
      <c r="EU29" s="204"/>
      <c r="EV29" s="204"/>
      <c r="EW29" s="204"/>
      <c r="EX29" s="204"/>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c r="GC29" s="204"/>
      <c r="GD29" s="204"/>
      <c r="GE29" s="204"/>
      <c r="GF29" s="204"/>
      <c r="GG29" s="204"/>
      <c r="GH29" s="204"/>
      <c r="GI29" s="204"/>
      <c r="GJ29" s="204"/>
      <c r="GK29" s="204"/>
      <c r="GL29" s="204"/>
      <c r="GM29" s="204"/>
      <c r="GN29" s="204"/>
      <c r="GO29" s="204"/>
      <c r="GP29" s="204"/>
      <c r="GQ29" s="204"/>
      <c r="GR29" s="204"/>
      <c r="GS29" s="204"/>
      <c r="GT29" s="204"/>
      <c r="GU29" s="204"/>
      <c r="GV29" s="204"/>
      <c r="GW29" s="204"/>
      <c r="GX29" s="204"/>
      <c r="GY29" s="204"/>
      <c r="GZ29" s="204"/>
      <c r="HA29" s="204"/>
      <c r="HB29" s="204"/>
      <c r="HC29" s="204"/>
      <c r="HD29" s="204"/>
      <c r="HE29" s="204"/>
      <c r="HF29" s="204"/>
      <c r="HG29" s="204"/>
      <c r="HH29" s="204"/>
      <c r="HI29" s="204"/>
      <c r="HJ29" s="204"/>
      <c r="HK29" s="204"/>
      <c r="HL29" s="204"/>
      <c r="HM29" s="204"/>
      <c r="HN29" s="204"/>
      <c r="HO29" s="204"/>
      <c r="HP29" s="204"/>
      <c r="HQ29" s="204"/>
      <c r="HR29" s="204"/>
    </row>
    <row r="30" spans="1:226" s="205" customFormat="1" ht="15.95" customHeight="1" x14ac:dyDescent="0.25">
      <c r="A30" s="202">
        <f t="shared" si="0"/>
        <v>23</v>
      </c>
      <c r="B30" s="203">
        <v>0.95833333333333304</v>
      </c>
      <c r="C30" s="215"/>
      <c r="D30" s="215"/>
      <c r="E30" s="215"/>
      <c r="F30" s="215"/>
      <c r="G30" s="215"/>
      <c r="H30" s="215"/>
      <c r="I30" s="215"/>
      <c r="J30" s="215"/>
      <c r="K30" s="215"/>
      <c r="L30" s="215"/>
      <c r="M30" s="215"/>
      <c r="N30" s="215"/>
      <c r="O30" s="215"/>
      <c r="P30" s="215"/>
      <c r="Q30" s="215"/>
      <c r="R30" s="215"/>
      <c r="S30" s="215"/>
      <c r="T30" s="215"/>
      <c r="U30" s="215"/>
      <c r="V30" s="215"/>
      <c r="W30" s="215"/>
      <c r="X30" s="215"/>
      <c r="Y30" s="215"/>
      <c r="Z30" s="215"/>
      <c r="AA30" s="215"/>
      <c r="AB30" s="215"/>
      <c r="AC30" s="215"/>
      <c r="AD30" s="215"/>
      <c r="AE30" s="215"/>
      <c r="AF30" s="215"/>
      <c r="AG30" s="215"/>
      <c r="AH30" s="215"/>
      <c r="AI30" s="215"/>
      <c r="AJ30" s="215"/>
      <c r="AK30" s="215"/>
      <c r="AL30" s="215"/>
      <c r="AM30" s="215"/>
      <c r="AN30" s="215"/>
      <c r="AO30" s="215"/>
      <c r="AP30" s="215"/>
      <c r="AQ30" s="215"/>
      <c r="AR30" s="215"/>
      <c r="AS30" s="215"/>
      <c r="AT30" s="215"/>
      <c r="AU30" s="215"/>
      <c r="AV30" s="215"/>
      <c r="AW30" s="215"/>
      <c r="AX30" s="215"/>
      <c r="AY30" s="215"/>
      <c r="AZ30" s="215"/>
      <c r="BA30" s="215"/>
      <c r="BB30" s="215"/>
      <c r="BC30" s="215"/>
      <c r="BD30" s="215"/>
      <c r="BE30" s="215"/>
      <c r="BF30" s="215"/>
      <c r="BG30" s="215"/>
      <c r="BH30" s="215"/>
      <c r="BI30" s="215"/>
      <c r="BJ30" s="215"/>
      <c r="BK30" s="215"/>
      <c r="BL30" s="215"/>
      <c r="BM30" s="215"/>
      <c r="BN30" s="215"/>
      <c r="BO30" s="215"/>
      <c r="BP30" s="215"/>
      <c r="BQ30" s="215"/>
      <c r="BR30" s="215"/>
      <c r="BS30" s="215"/>
      <c r="BT30" s="215"/>
      <c r="BU30" s="215"/>
      <c r="BV30" s="215"/>
      <c r="BW30" s="215"/>
      <c r="BX30" s="215"/>
      <c r="BY30" s="215"/>
      <c r="BZ30" s="215"/>
      <c r="CA30" s="215"/>
      <c r="CB30" s="215"/>
      <c r="CC30" s="215"/>
      <c r="CD30" s="215"/>
      <c r="CE30" s="215"/>
      <c r="CF30" s="215"/>
      <c r="CG30" s="215"/>
      <c r="CH30" s="215"/>
      <c r="CI30" s="215"/>
      <c r="CJ30" s="215"/>
      <c r="CK30" s="215"/>
      <c r="CL30" s="215"/>
      <c r="CM30" s="215"/>
      <c r="CN30" s="215"/>
      <c r="CO30" s="215"/>
      <c r="CP30" s="215"/>
      <c r="CQ30" s="215"/>
      <c r="CR30" s="215"/>
      <c r="CS30" s="215"/>
      <c r="CT30" s="215"/>
      <c r="CU30" s="215"/>
      <c r="CV30" s="215"/>
      <c r="CW30" s="215"/>
      <c r="CX30" s="215"/>
      <c r="CY30" s="215"/>
      <c r="CZ30" s="215"/>
      <c r="DA30" s="215"/>
      <c r="DB30" s="215"/>
      <c r="DC30" s="215"/>
      <c r="DD30" s="215"/>
      <c r="DE30" s="215"/>
      <c r="DF30" s="215"/>
      <c r="DG30" s="215"/>
      <c r="DH30" s="215"/>
      <c r="DI30" s="215"/>
      <c r="DJ30" s="215"/>
      <c r="DK30" s="215"/>
      <c r="DL30" s="215"/>
      <c r="DM30" s="215"/>
      <c r="DN30" s="215"/>
      <c r="DO30" s="215"/>
      <c r="DP30" s="215"/>
      <c r="DQ30" s="215"/>
      <c r="DR30" s="215"/>
      <c r="DS30" s="215"/>
      <c r="DT30" s="215"/>
      <c r="DU30" s="215"/>
      <c r="DV30" s="204"/>
      <c r="DW30" s="204"/>
      <c r="DX30" s="204"/>
      <c r="DY30" s="204"/>
      <c r="DZ30" s="204"/>
      <c r="EA30" s="204"/>
      <c r="EB30" s="204"/>
      <c r="EC30" s="204"/>
      <c r="ED30" s="204"/>
      <c r="EE30" s="204"/>
      <c r="EF30" s="204"/>
      <c r="EG30" s="204"/>
      <c r="EH30" s="204"/>
      <c r="EI30" s="204"/>
      <c r="EJ30" s="204"/>
      <c r="EK30" s="204"/>
      <c r="EL30" s="204"/>
      <c r="EM30" s="204"/>
      <c r="EN30" s="204"/>
      <c r="EO30" s="204"/>
      <c r="EP30" s="204"/>
      <c r="EQ30" s="204"/>
      <c r="ER30" s="204"/>
      <c r="ES30" s="204"/>
      <c r="ET30" s="204"/>
      <c r="EU30" s="204"/>
      <c r="EV30" s="204"/>
      <c r="EW30" s="204"/>
      <c r="EX30" s="204"/>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c r="GC30" s="204"/>
      <c r="GD30" s="204"/>
      <c r="GE30" s="204"/>
      <c r="GF30" s="204"/>
      <c r="GG30" s="204"/>
      <c r="GH30" s="204"/>
      <c r="GI30" s="204"/>
      <c r="GJ30" s="204"/>
      <c r="GK30" s="204"/>
      <c r="GL30" s="204"/>
      <c r="GM30" s="204"/>
      <c r="GN30" s="204"/>
      <c r="GO30" s="204"/>
      <c r="GP30" s="204"/>
      <c r="GQ30" s="204"/>
      <c r="GR30" s="204"/>
      <c r="GS30" s="204"/>
      <c r="GT30" s="204"/>
      <c r="GU30" s="204"/>
      <c r="GV30" s="204"/>
      <c r="GW30" s="204"/>
      <c r="GX30" s="204"/>
      <c r="GY30" s="204"/>
      <c r="GZ30" s="204"/>
      <c r="HA30" s="204"/>
      <c r="HB30" s="204"/>
      <c r="HC30" s="204"/>
      <c r="HD30" s="204"/>
      <c r="HE30" s="204"/>
      <c r="HF30" s="204"/>
      <c r="HG30" s="204"/>
      <c r="HH30" s="204"/>
      <c r="HI30" s="204"/>
      <c r="HJ30" s="204"/>
      <c r="HK30" s="204"/>
      <c r="HL30" s="204"/>
      <c r="HM30" s="204"/>
      <c r="HN30" s="204"/>
      <c r="HO30" s="204"/>
      <c r="HP30" s="204"/>
      <c r="HQ30" s="204"/>
      <c r="HR30" s="204"/>
    </row>
    <row r="31" spans="1:226" s="75" customFormat="1" ht="37.5" customHeight="1" x14ac:dyDescent="0.25">
      <c r="B31" s="144" t="s">
        <v>363</v>
      </c>
      <c r="C31" s="75">
        <f t="shared" ref="C31:X31" si="1">SUM(C7:C30)</f>
        <v>0</v>
      </c>
      <c r="D31" s="75">
        <f t="shared" si="1"/>
        <v>0</v>
      </c>
      <c r="E31" s="75">
        <f t="shared" si="1"/>
        <v>0</v>
      </c>
      <c r="F31" s="75">
        <f t="shared" si="1"/>
        <v>0</v>
      </c>
      <c r="G31" s="75">
        <f t="shared" si="1"/>
        <v>0</v>
      </c>
      <c r="H31" s="75">
        <f t="shared" si="1"/>
        <v>0</v>
      </c>
      <c r="I31" s="75">
        <f t="shared" si="1"/>
        <v>0</v>
      </c>
      <c r="J31" s="75">
        <f t="shared" si="1"/>
        <v>0</v>
      </c>
      <c r="K31" s="75">
        <f t="shared" si="1"/>
        <v>0</v>
      </c>
      <c r="L31" s="75">
        <f t="shared" si="1"/>
        <v>0</v>
      </c>
      <c r="M31" s="75">
        <f t="shared" si="1"/>
        <v>0</v>
      </c>
      <c r="N31" s="75">
        <f t="shared" si="1"/>
        <v>0</v>
      </c>
      <c r="O31" s="75">
        <f t="shared" si="1"/>
        <v>0</v>
      </c>
      <c r="P31" s="75">
        <f t="shared" si="1"/>
        <v>0</v>
      </c>
      <c r="Q31" s="75">
        <f t="shared" si="1"/>
        <v>0</v>
      </c>
      <c r="R31" s="75">
        <f t="shared" si="1"/>
        <v>0</v>
      </c>
      <c r="S31" s="75">
        <f t="shared" si="1"/>
        <v>0</v>
      </c>
      <c r="T31" s="75">
        <f t="shared" si="1"/>
        <v>0</v>
      </c>
      <c r="U31" s="75">
        <f t="shared" si="1"/>
        <v>0</v>
      </c>
      <c r="V31" s="75">
        <f t="shared" si="1"/>
        <v>0</v>
      </c>
      <c r="W31" s="75">
        <f t="shared" si="1"/>
        <v>0</v>
      </c>
      <c r="X31" s="75">
        <f t="shared" si="1"/>
        <v>0</v>
      </c>
      <c r="Y31" s="75">
        <f t="shared" ref="Y31:BD31" si="2">SUM(Y7:Y30)</f>
        <v>0</v>
      </c>
      <c r="Z31" s="75">
        <f t="shared" si="2"/>
        <v>0</v>
      </c>
      <c r="AA31" s="75">
        <f t="shared" si="2"/>
        <v>0</v>
      </c>
      <c r="AB31" s="75">
        <f t="shared" si="2"/>
        <v>0</v>
      </c>
      <c r="AC31" s="75">
        <f t="shared" si="2"/>
        <v>0</v>
      </c>
      <c r="AD31" s="75">
        <f t="shared" si="2"/>
        <v>0</v>
      </c>
      <c r="AE31" s="75">
        <f t="shared" si="2"/>
        <v>0</v>
      </c>
      <c r="AF31" s="75">
        <f t="shared" si="2"/>
        <v>0</v>
      </c>
      <c r="AG31" s="75">
        <f t="shared" si="2"/>
        <v>0</v>
      </c>
      <c r="AH31" s="75">
        <f t="shared" si="2"/>
        <v>0</v>
      </c>
      <c r="AI31" s="75">
        <f t="shared" si="2"/>
        <v>0</v>
      </c>
      <c r="AJ31" s="75">
        <f t="shared" si="2"/>
        <v>0</v>
      </c>
      <c r="AK31" s="75">
        <f t="shared" si="2"/>
        <v>0</v>
      </c>
      <c r="AL31" s="75">
        <f t="shared" si="2"/>
        <v>0</v>
      </c>
      <c r="AM31" s="75">
        <f t="shared" si="2"/>
        <v>0</v>
      </c>
      <c r="AN31" s="75">
        <f t="shared" si="2"/>
        <v>0</v>
      </c>
      <c r="AO31" s="75">
        <f t="shared" si="2"/>
        <v>0</v>
      </c>
      <c r="AP31" s="75">
        <f t="shared" si="2"/>
        <v>0</v>
      </c>
      <c r="AQ31" s="75">
        <f t="shared" si="2"/>
        <v>0</v>
      </c>
      <c r="AR31" s="75">
        <f t="shared" si="2"/>
        <v>0</v>
      </c>
      <c r="AS31" s="75">
        <f t="shared" si="2"/>
        <v>0</v>
      </c>
      <c r="AT31" s="75">
        <f t="shared" si="2"/>
        <v>0</v>
      </c>
      <c r="AU31" s="75">
        <f t="shared" si="2"/>
        <v>0</v>
      </c>
      <c r="AV31" s="75">
        <f t="shared" si="2"/>
        <v>0</v>
      </c>
      <c r="AW31" s="75">
        <f t="shared" si="2"/>
        <v>0</v>
      </c>
      <c r="AX31" s="75">
        <f t="shared" si="2"/>
        <v>0</v>
      </c>
      <c r="AY31" s="75">
        <f t="shared" si="2"/>
        <v>0</v>
      </c>
      <c r="AZ31" s="75">
        <f t="shared" si="2"/>
        <v>0</v>
      </c>
      <c r="BA31" s="75">
        <f t="shared" si="2"/>
        <v>0</v>
      </c>
      <c r="BB31" s="75">
        <f t="shared" si="2"/>
        <v>0</v>
      </c>
      <c r="BC31" s="75">
        <f t="shared" si="2"/>
        <v>0</v>
      </c>
      <c r="BD31" s="75">
        <f t="shared" si="2"/>
        <v>0</v>
      </c>
      <c r="BE31" s="75">
        <f t="shared" ref="BE31:CJ31" si="3">SUM(BE7:BE30)</f>
        <v>0</v>
      </c>
      <c r="BF31" s="75">
        <f t="shared" si="3"/>
        <v>0</v>
      </c>
      <c r="BG31" s="75">
        <f t="shared" si="3"/>
        <v>0</v>
      </c>
      <c r="BH31" s="75">
        <f t="shared" si="3"/>
        <v>0</v>
      </c>
      <c r="BI31" s="75">
        <f t="shared" si="3"/>
        <v>0</v>
      </c>
      <c r="BJ31" s="75">
        <f t="shared" si="3"/>
        <v>0</v>
      </c>
      <c r="BK31" s="75">
        <f t="shared" si="3"/>
        <v>0</v>
      </c>
      <c r="BL31" s="75">
        <f t="shared" si="3"/>
        <v>0</v>
      </c>
      <c r="BM31" s="75">
        <f t="shared" si="3"/>
        <v>0</v>
      </c>
      <c r="BN31" s="75">
        <f t="shared" si="3"/>
        <v>0</v>
      </c>
      <c r="BO31" s="75">
        <f t="shared" si="3"/>
        <v>0</v>
      </c>
      <c r="BP31" s="75">
        <f t="shared" si="3"/>
        <v>0</v>
      </c>
      <c r="BQ31" s="75">
        <f t="shared" si="3"/>
        <v>0</v>
      </c>
      <c r="BR31" s="75">
        <f t="shared" si="3"/>
        <v>0</v>
      </c>
      <c r="BS31" s="75">
        <f t="shared" si="3"/>
        <v>0</v>
      </c>
      <c r="BT31" s="75">
        <f t="shared" si="3"/>
        <v>0</v>
      </c>
      <c r="BU31" s="75">
        <f t="shared" si="3"/>
        <v>0</v>
      </c>
      <c r="BV31" s="75">
        <f t="shared" si="3"/>
        <v>0</v>
      </c>
      <c r="BW31" s="75">
        <f t="shared" si="3"/>
        <v>0</v>
      </c>
      <c r="BX31" s="75">
        <f t="shared" si="3"/>
        <v>0</v>
      </c>
      <c r="BY31" s="75">
        <f t="shared" si="3"/>
        <v>0</v>
      </c>
      <c r="BZ31" s="75">
        <f t="shared" si="3"/>
        <v>0</v>
      </c>
      <c r="CA31" s="75">
        <f t="shared" si="3"/>
        <v>0</v>
      </c>
      <c r="CB31" s="75">
        <f t="shared" si="3"/>
        <v>0</v>
      </c>
      <c r="CC31" s="75">
        <f t="shared" si="3"/>
        <v>0</v>
      </c>
      <c r="CD31" s="75">
        <f t="shared" si="3"/>
        <v>0</v>
      </c>
      <c r="CE31" s="75">
        <f t="shared" si="3"/>
        <v>0</v>
      </c>
      <c r="CF31" s="75">
        <f t="shared" si="3"/>
        <v>0</v>
      </c>
      <c r="CG31" s="75">
        <f t="shared" si="3"/>
        <v>0</v>
      </c>
      <c r="CH31" s="75">
        <f t="shared" si="3"/>
        <v>0</v>
      </c>
      <c r="CI31" s="75">
        <f t="shared" si="3"/>
        <v>0</v>
      </c>
      <c r="CJ31" s="75">
        <f t="shared" si="3"/>
        <v>0</v>
      </c>
      <c r="CK31" s="75">
        <f t="shared" ref="CK31:DP31" si="4">SUM(CK7:CK30)</f>
        <v>0</v>
      </c>
      <c r="CL31" s="75">
        <f t="shared" si="4"/>
        <v>0</v>
      </c>
      <c r="CM31" s="75">
        <f t="shared" si="4"/>
        <v>0</v>
      </c>
      <c r="CN31" s="75">
        <f t="shared" si="4"/>
        <v>0</v>
      </c>
      <c r="CO31" s="75">
        <f t="shared" si="4"/>
        <v>0</v>
      </c>
      <c r="CP31" s="75">
        <f t="shared" si="4"/>
        <v>0</v>
      </c>
      <c r="CQ31" s="75">
        <f t="shared" si="4"/>
        <v>0</v>
      </c>
      <c r="CR31" s="75">
        <f t="shared" si="4"/>
        <v>0</v>
      </c>
      <c r="CS31" s="75">
        <f t="shared" si="4"/>
        <v>0</v>
      </c>
      <c r="CT31" s="75">
        <f t="shared" si="4"/>
        <v>0</v>
      </c>
      <c r="CU31" s="75">
        <f t="shared" si="4"/>
        <v>0</v>
      </c>
      <c r="CV31" s="75">
        <f t="shared" si="4"/>
        <v>0</v>
      </c>
      <c r="CW31" s="75">
        <f t="shared" si="4"/>
        <v>0</v>
      </c>
      <c r="CX31" s="75">
        <f t="shared" si="4"/>
        <v>0</v>
      </c>
      <c r="CY31" s="75">
        <f t="shared" si="4"/>
        <v>0</v>
      </c>
      <c r="CZ31" s="75">
        <f t="shared" si="4"/>
        <v>0</v>
      </c>
      <c r="DA31" s="75">
        <f t="shared" si="4"/>
        <v>0</v>
      </c>
      <c r="DB31" s="75">
        <f t="shared" si="4"/>
        <v>0</v>
      </c>
      <c r="DC31" s="75">
        <f t="shared" si="4"/>
        <v>0</v>
      </c>
      <c r="DD31" s="75">
        <f t="shared" si="4"/>
        <v>0</v>
      </c>
      <c r="DE31" s="75">
        <f t="shared" si="4"/>
        <v>0</v>
      </c>
      <c r="DF31" s="75">
        <f t="shared" si="4"/>
        <v>0</v>
      </c>
      <c r="DG31" s="75">
        <f t="shared" si="4"/>
        <v>0</v>
      </c>
      <c r="DH31" s="75">
        <f t="shared" si="4"/>
        <v>0</v>
      </c>
      <c r="DI31" s="75">
        <f t="shared" si="4"/>
        <v>0</v>
      </c>
      <c r="DJ31" s="75">
        <f t="shared" si="4"/>
        <v>0</v>
      </c>
      <c r="DK31" s="75">
        <f t="shared" si="4"/>
        <v>0</v>
      </c>
      <c r="DL31" s="75">
        <f t="shared" si="4"/>
        <v>0</v>
      </c>
      <c r="DM31" s="75">
        <f t="shared" si="4"/>
        <v>0</v>
      </c>
      <c r="DN31" s="75">
        <f t="shared" si="4"/>
        <v>0</v>
      </c>
      <c r="DO31" s="75">
        <f t="shared" si="4"/>
        <v>0</v>
      </c>
      <c r="DP31" s="75">
        <f t="shared" si="4"/>
        <v>0</v>
      </c>
      <c r="DQ31" s="75">
        <f t="shared" ref="DQ31:DU31" si="5">SUM(DQ7:DQ30)</f>
        <v>0</v>
      </c>
      <c r="DR31" s="75">
        <f t="shared" si="5"/>
        <v>0</v>
      </c>
      <c r="DS31" s="75">
        <f t="shared" si="5"/>
        <v>0</v>
      </c>
      <c r="DT31" s="75">
        <f t="shared" si="5"/>
        <v>0</v>
      </c>
      <c r="DU31" s="75">
        <f t="shared" si="5"/>
        <v>0</v>
      </c>
    </row>
    <row r="32" spans="1:226" s="74" customFormat="1" x14ac:dyDescent="0.25">
      <c r="A32" s="75"/>
    </row>
    <row r="34" ht="39.950000000000003" customHeight="1" x14ac:dyDescent="0.25"/>
    <row r="38" ht="53.1" customHeight="1" x14ac:dyDescent="0.25"/>
    <row r="39" ht="50.1" customHeight="1" x14ac:dyDescent="0.25"/>
    <row r="40" ht="57" customHeight="1" x14ac:dyDescent="0.25"/>
    <row r="41" ht="60.95" customHeight="1" x14ac:dyDescent="0.25"/>
  </sheetData>
  <conditionalFormatting sqref="C11 C7:HH8 U9:HH11 D10:T11 C9:T9 D12:HH13 C28:DU30 C25:DU26 D25:D27 C14:HH24">
    <cfRule type="expression" dxfId="543" priority="1420">
      <formula xml:space="preserve"> INDIRECT(CHAR(COLUMN()+96) &amp; 4) = TODAY() * NOT(ISBLANK(INDIRECT(CHAR(COLUMN()+96) &amp; ROW())))</formula>
    </cfRule>
    <cfRule type="expression" dxfId="542" priority="1423">
      <formula xml:space="preserve"> INDIRECT(CHAR(COLUMN()+96) &amp; 4) = TODAY() * ISBLANK(INDIRECT(CHAR(COLUMN()+96) &amp; ROW()))</formula>
    </cfRule>
  </conditionalFormatting>
  <conditionalFormatting sqref="A4:XFD6">
    <cfRule type="timePeriod" dxfId="541" priority="1426" timePeriod="today">
      <formula>FLOOR(A4,1)=TODAY()</formula>
    </cfRule>
    <cfRule type="timePeriod" dxfId="540" priority="1427" timePeriod="tomorrow">
      <formula>FLOOR(A4,1)=TODAY()+1</formula>
    </cfRule>
    <cfRule type="timePeriod" dxfId="539" priority="1428" timePeriod="yesterday">
      <formula>FLOOR(A4,1)=TODAY()-1</formula>
    </cfRule>
  </conditionalFormatting>
  <conditionalFormatting sqref="A10:B13 C11 A7:HR8 U9:HR11 D10:T11 A9:T9 D12:HR13 A14:HR30">
    <cfRule type="expression" dxfId="538" priority="1399">
      <formula>INDIRECT("A"&amp;3) = INDIRECT("A"&amp;ROW())</formula>
    </cfRule>
  </conditionalFormatting>
  <conditionalFormatting sqref="A2:A3 A1:XFD1 B2:XFD2">
    <cfRule type="expression" dxfId="537" priority="1400">
      <formula xml:space="preserve"> INDIRECT(CHAR(COLUMN()+96) &amp; 4) = TODAY() * ISBLANK(INDIRECT(CHAR(COLUMN()+96) &amp; ROW()))</formula>
    </cfRule>
  </conditionalFormatting>
  <conditionalFormatting sqref="A31:B31 DV28:HQ30 DV31:XFD31 C11 C7:HQ8 U9:HQ11 D10:T11 C9:T9 D12:HQ13 C28:DU31 C14:HQ27">
    <cfRule type="colorScale" priority="1411">
      <colorScale>
        <cfvo type="num" val="0"/>
        <cfvo type="num" val="0.5"/>
        <cfvo type="num" val="1"/>
        <color rgb="FFF8696B"/>
        <color rgb="FFFFEB84"/>
        <color rgb="FF63BE7B"/>
      </colorScale>
    </cfRule>
  </conditionalFormatting>
  <conditionalFormatting sqref="C10">
    <cfRule type="expression" dxfId="536" priority="21">
      <formula xml:space="preserve"> INDIRECT(CHAR(COLUMN()+96) &amp; 4) = TODAY() * NOT(ISBLANK(INDIRECT(CHAR(COLUMN()+96) &amp; ROW())))</formula>
    </cfRule>
    <cfRule type="expression" dxfId="535" priority="22">
      <formula xml:space="preserve"> INDIRECT(CHAR(COLUMN()+96) &amp; 4) = TODAY() * ISBLANK(INDIRECT(CHAR(COLUMN()+96) &amp; ROW()))</formula>
    </cfRule>
  </conditionalFormatting>
  <conditionalFormatting sqref="C10">
    <cfRule type="expression" dxfId="534" priority="19">
      <formula>INDIRECT("A"&amp;3) = INDIRECT("A"&amp;ROW())</formula>
    </cfRule>
  </conditionalFormatting>
  <conditionalFormatting sqref="C10">
    <cfRule type="colorScale" priority="20">
      <colorScale>
        <cfvo type="num" val="0"/>
        <cfvo type="num" val="0.5"/>
        <cfvo type="num" val="1"/>
        <color rgb="FFF8696B"/>
        <color rgb="FFFFEB84"/>
        <color rgb="FF63BE7B"/>
      </colorScale>
    </cfRule>
  </conditionalFormatting>
  <conditionalFormatting sqref="C12:C13">
    <cfRule type="expression" dxfId="533" priority="3">
      <formula xml:space="preserve"> INDIRECT(CHAR(COLUMN()+96) &amp; 4) = TODAY() * NOT(ISBLANK(INDIRECT(CHAR(COLUMN()+96) &amp; ROW())))</formula>
    </cfRule>
    <cfRule type="expression" dxfId="532" priority="4">
      <formula xml:space="preserve"> INDIRECT(CHAR(COLUMN()+96) &amp; 4) = TODAY() * ISBLANK(INDIRECT(CHAR(COLUMN()+96) &amp; ROW()))</formula>
    </cfRule>
  </conditionalFormatting>
  <conditionalFormatting sqref="C12:C13">
    <cfRule type="expression" dxfId="531" priority="1">
      <formula>INDIRECT("A"&amp;3) = INDIRECT("A"&amp;ROW())</formula>
    </cfRule>
  </conditionalFormatting>
  <conditionalFormatting sqref="C12:C13">
    <cfRule type="colorScale" priority="2">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abSelected="1" topLeftCell="D151" zoomScale="115" zoomScaleNormal="115" workbookViewId="0">
      <selection activeCell="E156" sqref="E156"/>
    </sheetView>
  </sheetViews>
  <sheetFormatPr defaultColWidth="9.140625" defaultRowHeight="15" x14ac:dyDescent="0.25"/>
  <cols>
    <col min="1" max="1" width="9.140625" style="42"/>
    <col min="2" max="2" width="28.85546875" style="51" customWidth="1"/>
    <col min="3" max="3" width="81.140625" style="59" customWidth="1"/>
    <col min="4" max="4" width="77.5703125" style="59" customWidth="1"/>
    <col min="5" max="5" width="84.28515625" style="59" customWidth="1"/>
    <col min="6" max="6" width="18.85546875" style="64" customWidth="1"/>
    <col min="7" max="9" width="9.140625" style="1"/>
    <col min="10" max="10" width="255.57031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7"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95" customHeight="1" x14ac:dyDescent="0.25">
      <c r="B8" s="78" t="s">
        <v>13</v>
      </c>
      <c r="C8" s="86" t="s">
        <v>9</v>
      </c>
      <c r="D8" s="86" t="s">
        <v>11</v>
      </c>
      <c r="E8" s="86" t="s">
        <v>8</v>
      </c>
      <c r="F8" s="87" t="s">
        <v>10</v>
      </c>
      <c r="G8" s="88"/>
      <c r="H8" s="88"/>
      <c r="I8" s="88"/>
      <c r="J8" s="45"/>
    </row>
    <row r="9" spans="1:10" ht="208.7" customHeight="1" x14ac:dyDescent="0.25">
      <c r="A9" s="42">
        <v>1</v>
      </c>
      <c r="B9" s="79">
        <v>43128</v>
      </c>
      <c r="C9" s="89" t="s">
        <v>16</v>
      </c>
      <c r="D9" s="85" t="s">
        <v>17</v>
      </c>
      <c r="E9" s="85" t="s">
        <v>18</v>
      </c>
      <c r="F9" s="90">
        <v>12.8</v>
      </c>
      <c r="G9" s="91"/>
      <c r="H9" s="91"/>
      <c r="I9" s="91"/>
      <c r="J9" s="92"/>
    </row>
    <row r="10" spans="1:10" ht="206.25" customHeight="1" x14ac:dyDescent="0.25">
      <c r="A10" s="42">
        <v>2</v>
      </c>
      <c r="B10" s="79">
        <v>43129</v>
      </c>
      <c r="C10" s="89" t="s">
        <v>19</v>
      </c>
      <c r="D10" s="85" t="s">
        <v>22</v>
      </c>
      <c r="E10" s="85" t="s">
        <v>20</v>
      </c>
      <c r="F10" s="90">
        <v>7.6</v>
      </c>
      <c r="G10" s="91"/>
      <c r="H10" s="91"/>
      <c r="I10" s="91"/>
      <c r="J10" s="92"/>
    </row>
    <row r="11" spans="1:10" ht="156.19999999999999" customHeight="1" x14ac:dyDescent="0.25">
      <c r="A11" s="42">
        <v>3</v>
      </c>
      <c r="B11" s="79">
        <v>43130</v>
      </c>
      <c r="C11" s="89" t="s">
        <v>23</v>
      </c>
      <c r="D11" s="85" t="s">
        <v>26</v>
      </c>
      <c r="E11" s="85"/>
      <c r="F11" s="90">
        <v>8</v>
      </c>
      <c r="G11" s="91"/>
      <c r="H11" s="91"/>
      <c r="I11" s="91"/>
      <c r="J11" s="92"/>
    </row>
    <row r="12" spans="1:10" ht="48" x14ac:dyDescent="0.25">
      <c r="A12" s="42">
        <v>4</v>
      </c>
      <c r="B12" s="79">
        <v>43131</v>
      </c>
      <c r="C12" s="89"/>
      <c r="D12" s="85" t="s">
        <v>24</v>
      </c>
      <c r="E12" s="85" t="s">
        <v>25</v>
      </c>
      <c r="F12" s="90">
        <v>14.5</v>
      </c>
      <c r="G12" s="91"/>
      <c r="H12" s="91"/>
      <c r="I12" s="91"/>
      <c r="J12" s="92"/>
    </row>
    <row r="13" spans="1:10" ht="323.25" customHeight="1" x14ac:dyDescent="0.25">
      <c r="A13" s="42">
        <v>5</v>
      </c>
      <c r="B13" s="79">
        <v>43132</v>
      </c>
      <c r="C13" s="89" t="s">
        <v>27</v>
      </c>
      <c r="D13" s="85" t="s">
        <v>29</v>
      </c>
      <c r="E13" s="85" t="s">
        <v>28</v>
      </c>
      <c r="F13" s="90">
        <v>15</v>
      </c>
      <c r="G13" s="91"/>
      <c r="H13" s="91"/>
      <c r="I13" s="91"/>
      <c r="J13" s="92"/>
    </row>
    <row r="14" spans="1:10" ht="36" x14ac:dyDescent="0.25">
      <c r="A14" s="42">
        <v>6</v>
      </c>
      <c r="B14" s="79">
        <v>43133</v>
      </c>
      <c r="C14" s="89" t="s">
        <v>30</v>
      </c>
      <c r="D14" s="85" t="s">
        <v>31</v>
      </c>
      <c r="E14" s="85"/>
      <c r="F14" s="90">
        <v>14.6</v>
      </c>
      <c r="G14" s="91"/>
      <c r="H14" s="91"/>
      <c r="I14" s="91"/>
      <c r="J14" s="92"/>
    </row>
    <row r="15" spans="1:10" ht="72" x14ac:dyDescent="0.25">
      <c r="A15" s="42">
        <v>7</v>
      </c>
      <c r="B15" s="79">
        <v>43134</v>
      </c>
      <c r="C15" s="93" t="s">
        <v>33</v>
      </c>
      <c r="D15" s="85" t="s">
        <v>32</v>
      </c>
      <c r="E15" s="85" t="s">
        <v>35</v>
      </c>
      <c r="F15" s="90">
        <v>11</v>
      </c>
      <c r="G15" s="91"/>
      <c r="H15" s="91"/>
      <c r="I15" s="91"/>
      <c r="J15" s="92"/>
    </row>
    <row r="16" spans="1:10" ht="60" x14ac:dyDescent="0.25">
      <c r="A16" s="42">
        <v>8</v>
      </c>
      <c r="B16" s="79">
        <v>43135</v>
      </c>
      <c r="C16" s="89" t="s">
        <v>34</v>
      </c>
      <c r="D16" s="85" t="s">
        <v>36</v>
      </c>
      <c r="E16" s="85" t="s">
        <v>37</v>
      </c>
      <c r="F16" s="90">
        <v>18.25</v>
      </c>
      <c r="G16" s="91"/>
      <c r="H16" s="91"/>
      <c r="I16" s="91"/>
      <c r="J16" s="92"/>
    </row>
    <row r="17" spans="1:10" ht="36" x14ac:dyDescent="0.25">
      <c r="A17" s="42">
        <v>9</v>
      </c>
      <c r="B17" s="79">
        <v>43136</v>
      </c>
      <c r="C17" s="89" t="s">
        <v>39</v>
      </c>
      <c r="D17" s="85" t="s">
        <v>38</v>
      </c>
      <c r="E17" s="85" t="s">
        <v>41</v>
      </c>
      <c r="F17" s="90">
        <v>18.25</v>
      </c>
      <c r="G17" s="91"/>
      <c r="H17" s="91"/>
      <c r="I17" s="91"/>
      <c r="J17" s="92"/>
    </row>
    <row r="18" spans="1:10" ht="36" x14ac:dyDescent="0.25">
      <c r="A18" s="42">
        <v>10</v>
      </c>
      <c r="B18" s="79">
        <v>43137</v>
      </c>
      <c r="C18" s="89" t="s">
        <v>42</v>
      </c>
      <c r="D18" s="85" t="s">
        <v>43</v>
      </c>
      <c r="E18" s="85" t="s">
        <v>44</v>
      </c>
      <c r="F18" s="90">
        <v>16</v>
      </c>
      <c r="G18" s="91"/>
      <c r="H18" s="91"/>
      <c r="I18" s="91"/>
      <c r="J18" s="92"/>
    </row>
    <row r="19" spans="1:10" ht="48" x14ac:dyDescent="0.25">
      <c r="A19" s="42">
        <v>11</v>
      </c>
      <c r="B19" s="79">
        <v>43138</v>
      </c>
      <c r="C19" s="89" t="s">
        <v>45</v>
      </c>
      <c r="D19" s="85" t="s">
        <v>46</v>
      </c>
      <c r="E19" s="85"/>
      <c r="F19" s="90">
        <v>15</v>
      </c>
      <c r="G19" s="91"/>
      <c r="H19" s="91"/>
      <c r="I19" s="91"/>
      <c r="J19" s="92"/>
    </row>
    <row r="20" spans="1:10" ht="93.75" customHeight="1" x14ac:dyDescent="0.25">
      <c r="A20" s="42">
        <v>12</v>
      </c>
      <c r="B20" s="79">
        <v>43139</v>
      </c>
      <c r="C20" s="89" t="s">
        <v>47</v>
      </c>
      <c r="D20" s="85" t="s">
        <v>48</v>
      </c>
      <c r="E20" s="85"/>
      <c r="F20" s="90">
        <v>16</v>
      </c>
      <c r="G20" s="91"/>
      <c r="H20" s="91"/>
      <c r="I20" s="91"/>
      <c r="J20" s="92"/>
    </row>
    <row r="21" spans="1:10" x14ac:dyDescent="0.25">
      <c r="A21" s="42">
        <v>13</v>
      </c>
      <c r="B21" s="79">
        <v>43140</v>
      </c>
      <c r="C21" s="89"/>
      <c r="D21" s="85" t="s">
        <v>50</v>
      </c>
      <c r="E21" s="85"/>
      <c r="F21" s="90">
        <v>16</v>
      </c>
      <c r="G21" s="91"/>
      <c r="H21" s="91"/>
      <c r="I21" s="91"/>
      <c r="J21" s="92"/>
    </row>
    <row r="22" spans="1:10" ht="69" customHeight="1" x14ac:dyDescent="0.25">
      <c r="A22" s="42">
        <v>14</v>
      </c>
      <c r="B22" s="79">
        <v>43141</v>
      </c>
      <c r="C22" s="89"/>
      <c r="D22" s="85" t="s">
        <v>49</v>
      </c>
      <c r="E22" s="85"/>
      <c r="F22" s="90">
        <v>19</v>
      </c>
      <c r="G22" s="91"/>
      <c r="H22" s="91"/>
      <c r="I22" s="91"/>
      <c r="J22" s="92"/>
    </row>
    <row r="23" spans="1:10" ht="101.45" customHeight="1" x14ac:dyDescent="0.25">
      <c r="A23" s="42">
        <v>15</v>
      </c>
      <c r="B23" s="79">
        <v>43142</v>
      </c>
      <c r="C23" s="89"/>
      <c r="D23" s="85" t="s">
        <v>51</v>
      </c>
      <c r="E23" s="85"/>
      <c r="F23" s="90">
        <v>11</v>
      </c>
      <c r="G23" s="91"/>
      <c r="H23" s="91"/>
      <c r="I23" s="91"/>
      <c r="J23" s="92"/>
    </row>
    <row r="24" spans="1:10" ht="152.25" customHeight="1" x14ac:dyDescent="0.25">
      <c r="A24" s="42">
        <v>16</v>
      </c>
      <c r="B24" s="79">
        <v>43148</v>
      </c>
      <c r="C24" s="89"/>
      <c r="D24" s="85" t="s">
        <v>56</v>
      </c>
      <c r="E24" s="85" t="s">
        <v>58</v>
      </c>
      <c r="F24" s="90">
        <v>16</v>
      </c>
      <c r="G24" s="91"/>
      <c r="H24" s="91"/>
      <c r="I24" s="91"/>
      <c r="J24" s="92"/>
    </row>
    <row r="25" spans="1:10" ht="138.19999999999999" customHeight="1" x14ac:dyDescent="0.25">
      <c r="A25" s="42">
        <v>17</v>
      </c>
      <c r="B25" s="79">
        <v>43149</v>
      </c>
      <c r="C25" s="89" t="s">
        <v>57</v>
      </c>
      <c r="D25" s="85" t="s">
        <v>60</v>
      </c>
      <c r="E25" s="94" t="s">
        <v>59</v>
      </c>
      <c r="F25" s="90">
        <v>16</v>
      </c>
      <c r="G25" s="91"/>
      <c r="H25" s="91"/>
      <c r="I25" s="91"/>
      <c r="J25" s="92"/>
    </row>
    <row r="26" spans="1:10" ht="168" x14ac:dyDescent="0.25">
      <c r="A26" s="42">
        <v>18</v>
      </c>
      <c r="B26" s="79">
        <v>43150</v>
      </c>
      <c r="C26" s="89" t="s">
        <v>63</v>
      </c>
      <c r="D26" s="85" t="s">
        <v>61</v>
      </c>
      <c r="E26" s="85" t="s">
        <v>62</v>
      </c>
      <c r="F26" s="90">
        <v>16</v>
      </c>
      <c r="G26" s="91"/>
      <c r="H26" s="91"/>
      <c r="I26" s="91"/>
      <c r="J26" s="92"/>
    </row>
    <row r="27" spans="1:10" ht="108" customHeight="1" x14ac:dyDescent="0.25">
      <c r="A27" s="42">
        <v>19</v>
      </c>
      <c r="B27" s="79">
        <v>43151</v>
      </c>
      <c r="C27" s="89" t="s">
        <v>64</v>
      </c>
      <c r="D27" s="85" t="s">
        <v>66</v>
      </c>
      <c r="E27" s="85" t="s">
        <v>65</v>
      </c>
      <c r="F27" s="90">
        <v>16</v>
      </c>
      <c r="G27" s="91"/>
      <c r="H27" s="91"/>
      <c r="I27" s="91"/>
      <c r="J27" s="92"/>
    </row>
    <row r="28" spans="1:10" ht="248.1" customHeight="1" x14ac:dyDescent="0.25">
      <c r="A28" s="42">
        <v>20</v>
      </c>
      <c r="B28" s="79">
        <v>43152</v>
      </c>
      <c r="C28" s="89" t="s">
        <v>68</v>
      </c>
      <c r="D28" s="85" t="s">
        <v>69</v>
      </c>
      <c r="E28" s="85" t="s">
        <v>67</v>
      </c>
      <c r="F28" s="90">
        <v>16</v>
      </c>
      <c r="G28" s="91"/>
      <c r="H28" s="91"/>
      <c r="I28" s="91"/>
      <c r="J28" s="92"/>
    </row>
    <row r="29" spans="1:10" ht="74.099999999999994" customHeight="1" x14ac:dyDescent="0.25">
      <c r="A29" s="42">
        <v>21</v>
      </c>
      <c r="B29" s="79">
        <v>43153</v>
      </c>
      <c r="C29" s="89"/>
      <c r="D29" s="85" t="s">
        <v>70</v>
      </c>
      <c r="E29" s="85"/>
      <c r="F29" s="90">
        <v>16</v>
      </c>
      <c r="G29" s="91"/>
      <c r="H29" s="91"/>
      <c r="I29" s="91"/>
      <c r="J29" s="92"/>
    </row>
    <row r="30" spans="1:10" ht="131.25" customHeight="1" x14ac:dyDescent="0.25">
      <c r="A30" s="42">
        <v>22</v>
      </c>
      <c r="B30" s="79">
        <v>43154</v>
      </c>
      <c r="C30" s="89"/>
      <c r="D30" s="85" t="s">
        <v>71</v>
      </c>
      <c r="E30" s="85"/>
      <c r="F30" s="90">
        <v>16</v>
      </c>
      <c r="G30" s="91"/>
      <c r="H30" s="91"/>
      <c r="I30" s="91"/>
      <c r="J30" s="92"/>
    </row>
    <row r="31" spans="1:10" ht="245.45" customHeight="1" x14ac:dyDescent="0.25">
      <c r="A31" s="42">
        <v>23</v>
      </c>
      <c r="B31" s="79">
        <v>43155</v>
      </c>
      <c r="C31" s="89" t="s">
        <v>297</v>
      </c>
      <c r="D31" s="85" t="s">
        <v>299</v>
      </c>
      <c r="E31" s="85" t="s">
        <v>298</v>
      </c>
      <c r="F31" s="90">
        <v>16</v>
      </c>
      <c r="G31" s="91"/>
      <c r="H31" s="91"/>
      <c r="I31" s="91"/>
      <c r="J31" s="92"/>
    </row>
    <row r="32" spans="1:10" ht="162.75" customHeight="1" x14ac:dyDescent="0.25">
      <c r="A32" s="42">
        <v>24</v>
      </c>
      <c r="B32" s="79">
        <v>43156</v>
      </c>
      <c r="C32" s="89" t="s">
        <v>300</v>
      </c>
      <c r="D32" s="85" t="s">
        <v>302</v>
      </c>
      <c r="E32" s="85" t="s">
        <v>301</v>
      </c>
      <c r="F32" s="90"/>
      <c r="G32" s="91"/>
      <c r="H32" s="91"/>
      <c r="I32" s="91"/>
      <c r="J32" s="92"/>
    </row>
    <row r="33" spans="1:10" ht="108" x14ac:dyDescent="0.25">
      <c r="A33" s="42">
        <v>25</v>
      </c>
      <c r="B33" s="79">
        <v>43157</v>
      </c>
      <c r="C33" s="89"/>
      <c r="D33" s="85" t="s">
        <v>311</v>
      </c>
      <c r="E33" s="85"/>
      <c r="F33" s="90"/>
      <c r="G33" s="91"/>
      <c r="H33" s="91"/>
      <c r="I33" s="91"/>
      <c r="J33" s="92"/>
    </row>
    <row r="34" spans="1:10" ht="161.25" customHeight="1" x14ac:dyDescent="0.25">
      <c r="A34" s="42">
        <v>26</v>
      </c>
      <c r="B34" s="79">
        <v>43158</v>
      </c>
      <c r="C34" s="89"/>
      <c r="D34" s="85" t="s">
        <v>315</v>
      </c>
      <c r="E34" s="85" t="s">
        <v>316</v>
      </c>
      <c r="F34" s="90"/>
      <c r="G34" s="91"/>
      <c r="H34" s="91"/>
      <c r="I34" s="91"/>
      <c r="J34" s="92"/>
    </row>
    <row r="35" spans="1:10" ht="129" customHeight="1" x14ac:dyDescent="0.25">
      <c r="A35" s="42">
        <v>27</v>
      </c>
      <c r="B35" s="79">
        <v>43159</v>
      </c>
      <c r="C35" s="89"/>
      <c r="D35" s="85" t="s">
        <v>317</v>
      </c>
      <c r="E35" s="85" t="s">
        <v>318</v>
      </c>
      <c r="F35" s="90"/>
      <c r="G35" s="91"/>
      <c r="H35" s="91"/>
      <c r="I35" s="91"/>
      <c r="J35" s="92"/>
    </row>
    <row r="36" spans="1:10" ht="171.2" customHeight="1" x14ac:dyDescent="0.25">
      <c r="A36" s="42">
        <v>28</v>
      </c>
      <c r="B36" s="79">
        <v>43160</v>
      </c>
      <c r="C36" s="89"/>
      <c r="D36" s="85" t="s">
        <v>320</v>
      </c>
      <c r="E36" s="85" t="s">
        <v>319</v>
      </c>
      <c r="F36" s="90"/>
      <c r="G36" s="91"/>
      <c r="H36" s="91"/>
      <c r="I36" s="91"/>
      <c r="J36" s="92"/>
    </row>
    <row r="37" spans="1:10" ht="36" x14ac:dyDescent="0.25">
      <c r="A37" s="42">
        <v>29</v>
      </c>
      <c r="B37" s="79">
        <v>43161</v>
      </c>
      <c r="C37" s="89"/>
      <c r="D37" s="85" t="s">
        <v>321</v>
      </c>
      <c r="E37" s="85"/>
      <c r="F37" s="90"/>
      <c r="G37" s="91"/>
      <c r="H37" s="91"/>
      <c r="I37" s="91"/>
      <c r="J37" s="92"/>
    </row>
    <row r="38" spans="1:10" ht="114" customHeight="1" x14ac:dyDescent="0.25">
      <c r="A38" s="42">
        <v>30</v>
      </c>
      <c r="B38" s="79">
        <v>43162</v>
      </c>
      <c r="C38" s="89" t="s">
        <v>324</v>
      </c>
      <c r="D38" s="85" t="s">
        <v>322</v>
      </c>
      <c r="E38" s="94" t="s">
        <v>323</v>
      </c>
      <c r="F38" s="90"/>
      <c r="G38" s="91"/>
      <c r="H38" s="91"/>
      <c r="I38" s="91"/>
      <c r="J38" s="92"/>
    </row>
    <row r="39" spans="1:10" ht="189.95" customHeight="1" x14ac:dyDescent="0.25">
      <c r="A39" s="42">
        <v>31</v>
      </c>
      <c r="B39" s="79">
        <v>43163</v>
      </c>
      <c r="C39" s="89"/>
      <c r="D39" s="85" t="s">
        <v>325</v>
      </c>
      <c r="E39" s="94" t="s">
        <v>326</v>
      </c>
      <c r="F39" s="90"/>
      <c r="G39" s="91"/>
      <c r="H39" s="91"/>
      <c r="I39" s="91"/>
      <c r="J39" s="92"/>
    </row>
    <row r="40" spans="1:10" ht="209.45" customHeight="1" x14ac:dyDescent="0.25">
      <c r="A40" s="42">
        <v>32</v>
      </c>
      <c r="B40" s="79">
        <v>43164</v>
      </c>
      <c r="C40" s="89"/>
      <c r="D40" s="85" t="s">
        <v>327</v>
      </c>
      <c r="E40" s="94" t="s">
        <v>326</v>
      </c>
      <c r="F40" s="90"/>
      <c r="G40" s="91"/>
      <c r="H40" s="91"/>
      <c r="I40" s="91"/>
      <c r="J40" s="92"/>
    </row>
    <row r="41" spans="1:10" ht="123.75" customHeight="1" x14ac:dyDescent="0.25">
      <c r="A41" s="42">
        <v>33</v>
      </c>
      <c r="B41" s="79">
        <v>43165</v>
      </c>
      <c r="C41" s="89"/>
      <c r="D41" s="85" t="s">
        <v>349</v>
      </c>
      <c r="E41" s="94" t="s">
        <v>326</v>
      </c>
      <c r="F41" s="90"/>
      <c r="G41" s="91"/>
      <c r="H41" s="91"/>
      <c r="I41" s="91"/>
      <c r="J41" s="92"/>
    </row>
    <row r="42" spans="1:10" ht="60" customHeight="1" x14ac:dyDescent="0.25">
      <c r="A42" s="42">
        <v>34</v>
      </c>
      <c r="B42" s="79">
        <v>43166</v>
      </c>
      <c r="C42" s="89"/>
      <c r="D42" s="85" t="s">
        <v>350</v>
      </c>
      <c r="E42" s="94" t="s">
        <v>326</v>
      </c>
      <c r="F42" s="90"/>
      <c r="G42" s="91"/>
      <c r="H42" s="91"/>
      <c r="I42" s="91"/>
      <c r="J42" s="92"/>
    </row>
    <row r="43" spans="1:10" x14ac:dyDescent="0.25">
      <c r="A43" s="42">
        <v>35</v>
      </c>
      <c r="B43" s="79">
        <v>43167</v>
      </c>
      <c r="C43" s="89"/>
      <c r="D43" s="85" t="s">
        <v>355</v>
      </c>
      <c r="E43" s="94" t="s">
        <v>326</v>
      </c>
      <c r="F43" s="90"/>
      <c r="G43" s="91"/>
      <c r="H43" s="91"/>
      <c r="I43" s="91"/>
      <c r="J43" s="92"/>
    </row>
    <row r="44" spans="1:10" ht="85.5" customHeight="1" x14ac:dyDescent="0.25">
      <c r="A44" s="42">
        <v>36</v>
      </c>
      <c r="B44" s="79">
        <v>43168</v>
      </c>
      <c r="C44" s="89"/>
      <c r="D44" s="85" t="s">
        <v>356</v>
      </c>
      <c r="E44" s="94" t="s">
        <v>326</v>
      </c>
      <c r="F44" s="90"/>
      <c r="G44" s="91"/>
      <c r="H44" s="91"/>
      <c r="I44" s="91"/>
      <c r="J44" s="92"/>
    </row>
    <row r="45" spans="1:10" ht="120" x14ac:dyDescent="0.25">
      <c r="A45" s="42">
        <v>37</v>
      </c>
      <c r="B45" s="79">
        <v>43169</v>
      </c>
      <c r="C45" s="89"/>
      <c r="D45" s="85" t="s">
        <v>358</v>
      </c>
      <c r="E45" s="94" t="s">
        <v>326</v>
      </c>
      <c r="F45" s="90"/>
      <c r="G45" s="91"/>
      <c r="H45" s="91"/>
      <c r="I45" s="91"/>
      <c r="J45" s="92"/>
    </row>
    <row r="46" spans="1:10" ht="85.5" customHeight="1" x14ac:dyDescent="0.25">
      <c r="A46" s="42">
        <v>38</v>
      </c>
      <c r="B46" s="79">
        <v>43170</v>
      </c>
      <c r="C46" s="89"/>
      <c r="D46" s="85" t="s">
        <v>359</v>
      </c>
      <c r="E46" s="94" t="s">
        <v>360</v>
      </c>
      <c r="F46" s="90"/>
      <c r="G46" s="91"/>
      <c r="H46" s="91"/>
      <c r="I46" s="91"/>
      <c r="J46" s="92"/>
    </row>
    <row r="47" spans="1:10" ht="102.2" customHeight="1" x14ac:dyDescent="0.25">
      <c r="A47" s="42">
        <v>39</v>
      </c>
      <c r="B47" s="79">
        <v>43171</v>
      </c>
      <c r="C47" s="89"/>
      <c r="D47" s="85" t="s">
        <v>361</v>
      </c>
      <c r="E47" s="85"/>
      <c r="F47" s="90"/>
      <c r="G47" s="91"/>
      <c r="H47" s="91"/>
      <c r="I47" s="91"/>
      <c r="J47" s="92"/>
    </row>
    <row r="48" spans="1:10" ht="183" customHeight="1" x14ac:dyDescent="0.25">
      <c r="A48" s="42">
        <v>40</v>
      </c>
      <c r="B48" s="79">
        <v>43172</v>
      </c>
      <c r="C48" s="89"/>
      <c r="D48" s="85" t="s">
        <v>364</v>
      </c>
      <c r="E48" s="85" t="s">
        <v>362</v>
      </c>
      <c r="F48" s="90"/>
      <c r="G48" s="91"/>
      <c r="H48" s="91"/>
      <c r="I48" s="91"/>
      <c r="J48" s="92"/>
    </row>
    <row r="49" spans="1:10" ht="69" customHeight="1" x14ac:dyDescent="0.25">
      <c r="A49" s="42">
        <v>41</v>
      </c>
      <c r="B49" s="79">
        <v>43173</v>
      </c>
      <c r="C49" s="89"/>
      <c r="D49" s="85" t="s">
        <v>365</v>
      </c>
      <c r="E49" s="85"/>
      <c r="F49" s="90"/>
      <c r="G49" s="91"/>
      <c r="H49" s="91"/>
      <c r="I49" s="91"/>
      <c r="J49" s="92"/>
    </row>
    <row r="50" spans="1:10" s="193" customFormat="1" ht="174.75" customHeight="1" x14ac:dyDescent="0.25">
      <c r="A50" s="42">
        <v>42</v>
      </c>
      <c r="B50" s="194">
        <v>43174</v>
      </c>
      <c r="C50" s="195"/>
      <c r="D50" s="196" t="s">
        <v>366</v>
      </c>
      <c r="E50" s="200" t="s">
        <v>486</v>
      </c>
      <c r="F50" s="197"/>
      <c r="G50" s="198"/>
      <c r="H50" s="198"/>
      <c r="I50" s="198"/>
      <c r="J50" s="199"/>
    </row>
    <row r="51" spans="1:10" ht="108" customHeight="1" x14ac:dyDescent="0.25">
      <c r="A51" s="42">
        <v>43</v>
      </c>
      <c r="B51" s="79">
        <v>43175</v>
      </c>
      <c r="C51" s="89"/>
      <c r="D51" s="85" t="s">
        <v>367</v>
      </c>
      <c r="E51" s="85"/>
      <c r="F51" s="90"/>
      <c r="G51" s="91"/>
      <c r="H51" s="91"/>
      <c r="I51" s="91"/>
      <c r="J51" s="92"/>
    </row>
    <row r="52" spans="1:10" ht="120.2" customHeight="1" x14ac:dyDescent="0.25">
      <c r="A52" s="42">
        <v>44</v>
      </c>
      <c r="B52" s="79">
        <v>43176</v>
      </c>
      <c r="C52" s="89"/>
      <c r="D52" s="85" t="s">
        <v>390</v>
      </c>
      <c r="E52" s="85"/>
      <c r="F52" s="90"/>
      <c r="G52" s="91"/>
      <c r="H52" s="91"/>
      <c r="I52" s="91"/>
      <c r="J52" s="92"/>
    </row>
    <row r="53" spans="1:10" ht="139.5" customHeight="1" x14ac:dyDescent="0.25">
      <c r="A53" s="42">
        <v>45</v>
      </c>
      <c r="B53" s="79">
        <v>43177</v>
      </c>
      <c r="C53" s="89"/>
      <c r="D53" s="85" t="s">
        <v>391</v>
      </c>
      <c r="E53" s="85"/>
      <c r="F53" s="90"/>
      <c r="G53" s="91"/>
      <c r="H53" s="91"/>
      <c r="I53" s="91"/>
      <c r="J53" s="92"/>
    </row>
    <row r="54" spans="1:10" ht="24" x14ac:dyDescent="0.25">
      <c r="A54" s="42">
        <v>46</v>
      </c>
      <c r="B54" s="79">
        <v>43178</v>
      </c>
      <c r="C54" s="89"/>
      <c r="D54" s="85" t="s">
        <v>400</v>
      </c>
      <c r="E54" s="85"/>
      <c r="F54" s="90"/>
      <c r="G54" s="91"/>
      <c r="H54" s="91"/>
      <c r="I54" s="91"/>
      <c r="J54" s="92"/>
    </row>
    <row r="55" spans="1:10" ht="132" x14ac:dyDescent="0.25">
      <c r="A55" s="42">
        <v>47</v>
      </c>
      <c r="B55" s="79">
        <v>43179</v>
      </c>
      <c r="C55" s="89"/>
      <c r="D55" s="85" t="s">
        <v>401</v>
      </c>
      <c r="E55" s="85" t="s">
        <v>402</v>
      </c>
      <c r="F55" s="90"/>
      <c r="G55" s="91"/>
      <c r="H55" s="91"/>
      <c r="I55" s="91"/>
      <c r="J55" s="92"/>
    </row>
    <row r="56" spans="1:10" ht="227.45" customHeight="1" x14ac:dyDescent="0.25">
      <c r="A56" s="42">
        <v>48</v>
      </c>
      <c r="B56" s="79">
        <v>43180</v>
      </c>
      <c r="C56" s="89"/>
      <c r="D56" s="85" t="s">
        <v>403</v>
      </c>
      <c r="E56" s="85" t="s">
        <v>404</v>
      </c>
      <c r="F56" s="90"/>
      <c r="G56" s="91"/>
      <c r="H56" s="91"/>
      <c r="I56" s="91"/>
      <c r="J56" s="92"/>
    </row>
    <row r="57" spans="1:10" ht="151.5" customHeight="1" x14ac:dyDescent="0.25">
      <c r="A57" s="42">
        <v>49</v>
      </c>
      <c r="B57" s="79">
        <v>43181</v>
      </c>
      <c r="C57" s="89"/>
      <c r="D57" s="85" t="s">
        <v>405</v>
      </c>
      <c r="E57" s="85" t="s">
        <v>406</v>
      </c>
      <c r="F57" s="90"/>
      <c r="G57" s="91"/>
      <c r="H57" s="91"/>
      <c r="I57" s="91"/>
      <c r="J57" s="92"/>
    </row>
    <row r="58" spans="1:10" ht="409.5" customHeight="1" x14ac:dyDescent="0.25">
      <c r="A58" s="42">
        <v>50</v>
      </c>
      <c r="B58" s="79">
        <v>43182</v>
      </c>
      <c r="C58" s="89"/>
      <c r="D58" s="85" t="s">
        <v>407</v>
      </c>
      <c r="E58" s="85" t="s">
        <v>408</v>
      </c>
      <c r="F58" s="90"/>
      <c r="G58" s="91"/>
      <c r="H58" s="91"/>
      <c r="I58" s="91"/>
      <c r="J58" s="92"/>
    </row>
    <row r="59" spans="1:10" ht="146.25" customHeight="1" x14ac:dyDescent="0.25">
      <c r="A59" s="42">
        <v>51</v>
      </c>
      <c r="B59" s="79">
        <v>43183</v>
      </c>
      <c r="C59" s="89"/>
      <c r="D59" s="85" t="s">
        <v>420</v>
      </c>
      <c r="E59" s="85" t="s">
        <v>421</v>
      </c>
      <c r="F59" s="90"/>
      <c r="G59" s="91"/>
      <c r="H59" s="91"/>
      <c r="I59" s="91"/>
      <c r="J59" s="92"/>
    </row>
    <row r="60" spans="1:10" ht="147.75" customHeight="1" x14ac:dyDescent="0.25">
      <c r="A60" s="42">
        <v>52</v>
      </c>
      <c r="B60" s="79">
        <v>43184</v>
      </c>
      <c r="C60" s="89"/>
      <c r="D60" s="85" t="s">
        <v>430</v>
      </c>
      <c r="E60" s="85" t="s">
        <v>422</v>
      </c>
      <c r="F60" s="90"/>
      <c r="G60" s="91"/>
      <c r="H60" s="91"/>
      <c r="I60" s="91"/>
      <c r="J60" s="92"/>
    </row>
    <row r="61" spans="1:10" ht="63.2" customHeight="1" x14ac:dyDescent="0.25">
      <c r="A61" s="42">
        <v>53</v>
      </c>
      <c r="B61" s="79">
        <v>43185</v>
      </c>
      <c r="C61" s="89"/>
      <c r="D61" s="85" t="s">
        <v>423</v>
      </c>
      <c r="E61" s="85"/>
      <c r="F61" s="90"/>
      <c r="G61" s="91"/>
      <c r="H61" s="91"/>
      <c r="I61" s="91"/>
      <c r="J61" s="92"/>
    </row>
    <row r="62" spans="1:10" x14ac:dyDescent="0.25">
      <c r="A62" s="42">
        <v>54</v>
      </c>
      <c r="B62" s="79">
        <v>43186</v>
      </c>
      <c r="C62" s="189"/>
      <c r="D62" s="190"/>
      <c r="E62" s="190"/>
      <c r="F62" s="191"/>
      <c r="G62" s="91"/>
      <c r="H62" s="91"/>
      <c r="I62" s="91"/>
      <c r="J62" s="92"/>
    </row>
    <row r="63" spans="1:10" x14ac:dyDescent="0.25">
      <c r="A63" s="42">
        <v>55</v>
      </c>
      <c r="B63" s="79">
        <v>43187</v>
      </c>
      <c r="C63" s="189"/>
      <c r="D63" s="190" t="s">
        <v>432</v>
      </c>
      <c r="E63" s="190"/>
      <c r="F63" s="191"/>
      <c r="G63" s="91"/>
      <c r="H63" s="91"/>
      <c r="I63" s="91"/>
      <c r="J63" s="92"/>
    </row>
    <row r="64" spans="1:10" x14ac:dyDescent="0.25">
      <c r="A64" s="42">
        <v>56</v>
      </c>
      <c r="B64" s="79">
        <v>43188</v>
      </c>
      <c r="C64" s="189"/>
      <c r="D64" s="190"/>
      <c r="E64" s="190"/>
      <c r="F64" s="191"/>
      <c r="G64" s="91"/>
      <c r="H64" s="91"/>
      <c r="I64" s="91"/>
      <c r="J64" s="92"/>
    </row>
    <row r="65" spans="1:10" ht="204" customHeight="1" x14ac:dyDescent="0.25">
      <c r="A65" s="42">
        <v>57</v>
      </c>
      <c r="B65" s="79">
        <v>43189</v>
      </c>
      <c r="C65" s="89"/>
      <c r="D65" s="85" t="s">
        <v>424</v>
      </c>
      <c r="E65" s="85"/>
      <c r="F65" s="90"/>
      <c r="G65" s="91"/>
      <c r="H65" s="91"/>
      <c r="I65" s="91"/>
      <c r="J65" s="92"/>
    </row>
    <row r="66" spans="1:10" ht="181.5" customHeight="1" x14ac:dyDescent="0.25">
      <c r="A66" s="42">
        <v>58</v>
      </c>
      <c r="B66" s="79">
        <v>43190</v>
      </c>
      <c r="C66" s="89" t="s">
        <v>427</v>
      </c>
      <c r="D66" s="85" t="s">
        <v>425</v>
      </c>
      <c r="E66" s="85" t="s">
        <v>426</v>
      </c>
      <c r="F66" s="90"/>
      <c r="G66" s="91"/>
      <c r="H66" s="91"/>
      <c r="I66" s="91"/>
      <c r="J66" s="92"/>
    </row>
    <row r="67" spans="1:10" ht="299.45" customHeight="1" x14ac:dyDescent="0.25">
      <c r="A67" s="42">
        <v>59</v>
      </c>
      <c r="B67" s="79">
        <v>43191</v>
      </c>
      <c r="C67" s="89" t="s">
        <v>428</v>
      </c>
      <c r="D67" s="85" t="s">
        <v>429</v>
      </c>
      <c r="E67" s="85" t="s">
        <v>431</v>
      </c>
      <c r="F67" s="90"/>
      <c r="G67" s="91"/>
      <c r="H67" s="91"/>
      <c r="I67" s="91"/>
      <c r="J67" s="92"/>
    </row>
    <row r="68" spans="1:10" ht="24" x14ac:dyDescent="0.25">
      <c r="A68" s="42">
        <v>60</v>
      </c>
      <c r="B68" s="79">
        <v>43192</v>
      </c>
      <c r="C68" s="89"/>
      <c r="D68" s="85" t="s">
        <v>433</v>
      </c>
      <c r="E68" s="85"/>
      <c r="F68" s="90"/>
      <c r="G68" s="91"/>
      <c r="H68" s="91"/>
      <c r="I68" s="91"/>
      <c r="J68" s="92"/>
    </row>
    <row r="69" spans="1:10" ht="201.75" customHeight="1" x14ac:dyDescent="0.25">
      <c r="A69" s="42">
        <v>61</v>
      </c>
      <c r="B69" s="79">
        <v>43193</v>
      </c>
      <c r="C69" s="89" t="s">
        <v>436</v>
      </c>
      <c r="D69" s="85" t="s">
        <v>434</v>
      </c>
      <c r="E69" s="85" t="s">
        <v>435</v>
      </c>
      <c r="F69" s="90"/>
      <c r="G69" s="91"/>
      <c r="H69" s="91"/>
      <c r="I69" s="91"/>
      <c r="J69" s="92"/>
    </row>
    <row r="70" spans="1:10" ht="96" x14ac:dyDescent="0.25">
      <c r="A70" s="42">
        <v>62</v>
      </c>
      <c r="B70" s="79">
        <v>43194</v>
      </c>
      <c r="C70" s="89"/>
      <c r="D70" s="85"/>
      <c r="E70" s="85" t="s">
        <v>437</v>
      </c>
      <c r="F70" s="90"/>
      <c r="G70" s="91"/>
      <c r="H70" s="91"/>
      <c r="I70" s="91"/>
      <c r="J70" s="92"/>
    </row>
    <row r="71" spans="1:10" ht="48" x14ac:dyDescent="0.25">
      <c r="A71" s="42">
        <v>63</v>
      </c>
      <c r="B71" s="79">
        <v>43195</v>
      </c>
      <c r="C71" s="89"/>
      <c r="D71" s="85" t="s">
        <v>438</v>
      </c>
      <c r="E71" s="85"/>
      <c r="F71" s="90"/>
      <c r="G71" s="91"/>
      <c r="H71" s="91"/>
      <c r="I71" s="91"/>
      <c r="J71" s="92"/>
    </row>
    <row r="72" spans="1:10" ht="24" x14ac:dyDescent="0.25">
      <c r="A72" s="42">
        <v>64</v>
      </c>
      <c r="B72" s="79">
        <v>43196</v>
      </c>
      <c r="C72" s="89"/>
      <c r="D72" s="85" t="s">
        <v>439</v>
      </c>
      <c r="E72" s="85"/>
      <c r="F72" s="90"/>
      <c r="G72" s="91"/>
      <c r="H72" s="91"/>
      <c r="I72" s="91"/>
      <c r="J72" s="92"/>
    </row>
    <row r="73" spans="1:10" ht="36" x14ac:dyDescent="0.25">
      <c r="A73" s="42">
        <v>65</v>
      </c>
      <c r="B73" s="79">
        <v>43197</v>
      </c>
      <c r="C73" s="89"/>
      <c r="D73" s="85" t="s">
        <v>440</v>
      </c>
      <c r="E73" s="85"/>
      <c r="F73" s="90"/>
      <c r="G73" s="91"/>
      <c r="H73" s="91"/>
      <c r="I73" s="91"/>
      <c r="J73" s="92"/>
    </row>
    <row r="74" spans="1:10" ht="96" x14ac:dyDescent="0.25">
      <c r="A74" s="42">
        <v>66</v>
      </c>
      <c r="B74" s="79">
        <v>43198</v>
      </c>
      <c r="C74" s="89"/>
      <c r="D74" s="85" t="s">
        <v>441</v>
      </c>
      <c r="E74" s="85"/>
      <c r="F74" s="90"/>
      <c r="G74" s="91"/>
      <c r="H74" s="91"/>
      <c r="I74" s="91"/>
      <c r="J74" s="92"/>
    </row>
    <row r="75" spans="1:10" ht="408" x14ac:dyDescent="0.25">
      <c r="A75" s="42">
        <v>67</v>
      </c>
      <c r="B75" s="79">
        <v>43199</v>
      </c>
      <c r="C75" s="89" t="s">
        <v>442</v>
      </c>
      <c r="D75" s="85" t="s">
        <v>443</v>
      </c>
      <c r="E75" s="85" t="s">
        <v>444</v>
      </c>
      <c r="F75" s="90"/>
      <c r="G75" s="91"/>
      <c r="H75" s="91"/>
      <c r="I75" s="91"/>
      <c r="J75" s="92"/>
    </row>
    <row r="76" spans="1:10" ht="48" x14ac:dyDescent="0.25">
      <c r="A76" s="42">
        <v>68</v>
      </c>
      <c r="B76" s="79">
        <v>43200</v>
      </c>
      <c r="C76" s="89"/>
      <c r="D76" s="85" t="s">
        <v>445</v>
      </c>
      <c r="E76" s="85"/>
      <c r="F76" s="90"/>
      <c r="G76" s="91"/>
      <c r="H76" s="91"/>
      <c r="I76" s="91"/>
      <c r="J76" s="92"/>
    </row>
    <row r="77" spans="1:10" ht="132" x14ac:dyDescent="0.25">
      <c r="A77" s="42">
        <v>69</v>
      </c>
      <c r="B77" s="79">
        <v>43201</v>
      </c>
      <c r="C77" s="89"/>
      <c r="D77" s="85" t="s">
        <v>446</v>
      </c>
      <c r="E77" s="85" t="s">
        <v>447</v>
      </c>
      <c r="F77" s="90"/>
      <c r="G77" s="91"/>
      <c r="H77" s="91"/>
      <c r="I77" s="91"/>
      <c r="J77" s="92"/>
    </row>
    <row r="78" spans="1:10" ht="72" x14ac:dyDescent="0.25">
      <c r="A78" s="42">
        <v>70</v>
      </c>
      <c r="B78" s="79">
        <v>43202</v>
      </c>
      <c r="C78" s="89"/>
      <c r="D78" s="85" t="s">
        <v>448</v>
      </c>
      <c r="E78" s="85" t="s">
        <v>449</v>
      </c>
      <c r="F78" s="90"/>
      <c r="G78" s="91"/>
      <c r="H78" s="91"/>
      <c r="I78" s="91"/>
      <c r="J78" s="92"/>
    </row>
    <row r="79" spans="1:10" x14ac:dyDescent="0.25">
      <c r="A79" s="42">
        <v>71</v>
      </c>
      <c r="B79" s="79">
        <v>43203</v>
      </c>
      <c r="C79" s="89"/>
      <c r="D79" s="85"/>
      <c r="E79" s="85" t="s">
        <v>450</v>
      </c>
      <c r="F79" s="90"/>
      <c r="G79" s="91"/>
      <c r="H79" s="91"/>
      <c r="I79" s="91"/>
      <c r="J79" s="92"/>
    </row>
    <row r="80" spans="1:10" x14ac:dyDescent="0.25">
      <c r="A80" s="42">
        <v>72</v>
      </c>
      <c r="B80" s="79">
        <v>43204</v>
      </c>
      <c r="C80" s="89"/>
      <c r="D80" s="85"/>
      <c r="E80" s="85"/>
      <c r="F80" s="90"/>
      <c r="G80" s="91"/>
      <c r="H80" s="91"/>
      <c r="I80" s="91"/>
      <c r="J80" s="92"/>
    </row>
    <row r="81" spans="1:10" ht="96" x14ac:dyDescent="0.25">
      <c r="A81" s="42">
        <v>73</v>
      </c>
      <c r="B81" s="79">
        <v>43205</v>
      </c>
      <c r="C81" s="89"/>
      <c r="D81" s="85"/>
      <c r="E81" s="85" t="s">
        <v>451</v>
      </c>
      <c r="F81" s="90"/>
      <c r="G81" s="91"/>
      <c r="H81" s="91"/>
      <c r="I81" s="91"/>
      <c r="J81" s="92"/>
    </row>
    <row r="82" spans="1:10" ht="24" x14ac:dyDescent="0.25">
      <c r="A82" s="42">
        <v>74</v>
      </c>
      <c r="B82" s="79">
        <v>43206</v>
      </c>
      <c r="C82" s="89"/>
      <c r="D82" s="85"/>
      <c r="E82" s="85" t="s">
        <v>452</v>
      </c>
      <c r="F82" s="90"/>
      <c r="G82" s="91"/>
      <c r="H82" s="91"/>
      <c r="I82" s="91"/>
      <c r="J82" s="92"/>
    </row>
    <row r="83" spans="1:10" ht="162.6" customHeight="1" x14ac:dyDescent="0.25">
      <c r="A83" s="42">
        <v>75</v>
      </c>
      <c r="B83" s="79">
        <v>43207</v>
      </c>
      <c r="C83" s="89" t="s">
        <v>457</v>
      </c>
      <c r="D83" s="85" t="s">
        <v>455</v>
      </c>
      <c r="E83" s="85"/>
      <c r="F83" s="90"/>
      <c r="G83" s="91"/>
      <c r="H83" s="91"/>
      <c r="I83" s="91"/>
      <c r="J83" s="92"/>
    </row>
    <row r="84" spans="1:10" x14ac:dyDescent="0.25">
      <c r="A84" s="42">
        <v>76</v>
      </c>
      <c r="B84" s="79">
        <v>43208</v>
      </c>
      <c r="C84" s="89"/>
      <c r="D84" s="85" t="s">
        <v>462</v>
      </c>
      <c r="E84" s="85"/>
      <c r="F84" s="90"/>
      <c r="G84" s="91"/>
      <c r="H84" s="91"/>
      <c r="I84" s="91"/>
      <c r="J84" s="92"/>
    </row>
    <row r="85" spans="1:10" ht="96" x14ac:dyDescent="0.25">
      <c r="A85" s="42">
        <v>77</v>
      </c>
      <c r="B85" s="79">
        <v>43209</v>
      </c>
      <c r="C85" s="89" t="s">
        <v>464</v>
      </c>
      <c r="D85" s="85" t="s">
        <v>466</v>
      </c>
      <c r="E85" s="85" t="s">
        <v>465</v>
      </c>
      <c r="F85" s="90"/>
      <c r="G85" s="91"/>
      <c r="H85" s="91"/>
      <c r="I85" s="91"/>
      <c r="J85" s="92"/>
    </row>
    <row r="86" spans="1:10" ht="144" x14ac:dyDescent="0.25">
      <c r="A86" s="42">
        <v>78</v>
      </c>
      <c r="B86" s="79">
        <v>43210</v>
      </c>
      <c r="C86" s="89" t="s">
        <v>469</v>
      </c>
      <c r="D86" s="85" t="s">
        <v>467</v>
      </c>
      <c r="E86" s="85" t="s">
        <v>468</v>
      </c>
      <c r="F86" s="90"/>
      <c r="G86" s="91"/>
      <c r="H86" s="91"/>
      <c r="I86" s="91"/>
      <c r="J86" s="92"/>
    </row>
    <row r="87" spans="1:10" x14ac:dyDescent="0.25">
      <c r="A87" s="42">
        <v>79</v>
      </c>
      <c r="B87" s="79">
        <v>43211</v>
      </c>
      <c r="C87" s="89"/>
      <c r="D87" s="85"/>
      <c r="E87" s="85"/>
      <c r="F87" s="90"/>
      <c r="G87" s="91"/>
      <c r="H87" s="91"/>
      <c r="I87" s="91"/>
      <c r="J87" s="92"/>
    </row>
    <row r="88" spans="1:10" x14ac:dyDescent="0.25">
      <c r="A88" s="42">
        <v>80</v>
      </c>
      <c r="B88" s="79">
        <v>43212</v>
      </c>
      <c r="C88" s="89"/>
      <c r="D88" s="85"/>
      <c r="E88" s="85"/>
      <c r="F88" s="90"/>
      <c r="G88" s="91"/>
      <c r="H88" s="91"/>
      <c r="I88" s="91"/>
      <c r="J88" s="92"/>
    </row>
    <row r="89" spans="1:10" ht="60" x14ac:dyDescent="0.25">
      <c r="A89" s="42">
        <v>81</v>
      </c>
      <c r="B89" s="79">
        <v>43213</v>
      </c>
      <c r="C89" s="89"/>
      <c r="D89" s="85"/>
      <c r="E89" s="192" t="s">
        <v>470</v>
      </c>
      <c r="F89" s="90"/>
      <c r="G89" s="91"/>
      <c r="H89" s="91"/>
      <c r="I89" s="91"/>
      <c r="J89" s="92"/>
    </row>
    <row r="90" spans="1:10" ht="409.5" x14ac:dyDescent="0.25">
      <c r="A90" s="42">
        <v>82</v>
      </c>
      <c r="B90" s="79">
        <v>43214</v>
      </c>
      <c r="C90" s="89" t="s">
        <v>472</v>
      </c>
      <c r="D90" s="85" t="s">
        <v>471</v>
      </c>
      <c r="E90" s="85" t="s">
        <v>473</v>
      </c>
      <c r="F90" s="90"/>
      <c r="G90" s="91"/>
      <c r="H90" s="91"/>
      <c r="I90" s="91"/>
      <c r="J90" s="92"/>
    </row>
    <row r="91" spans="1:10" ht="36" x14ac:dyDescent="0.25">
      <c r="A91" s="42">
        <v>83</v>
      </c>
      <c r="B91" s="79">
        <v>43215</v>
      </c>
      <c r="C91" s="89"/>
      <c r="D91" s="85"/>
      <c r="E91" s="85" t="s">
        <v>481</v>
      </c>
      <c r="F91" s="90"/>
      <c r="G91" s="91"/>
      <c r="H91" s="91"/>
      <c r="I91" s="91"/>
      <c r="J91" s="92"/>
    </row>
    <row r="92" spans="1:10" ht="74.25" customHeight="1" x14ac:dyDescent="0.25">
      <c r="A92" s="42">
        <v>84</v>
      </c>
      <c r="B92" s="79">
        <v>43216</v>
      </c>
      <c r="C92" s="89" t="s">
        <v>484</v>
      </c>
      <c r="D92" s="85" t="s">
        <v>483</v>
      </c>
      <c r="E92" s="85" t="s">
        <v>482</v>
      </c>
      <c r="F92" s="90"/>
      <c r="G92" s="91"/>
      <c r="H92" s="91"/>
      <c r="I92" s="91"/>
      <c r="J92" s="92"/>
    </row>
    <row r="93" spans="1:10" x14ac:dyDescent="0.25">
      <c r="A93" s="42">
        <v>85</v>
      </c>
      <c r="B93" s="79">
        <v>43217</v>
      </c>
      <c r="C93" s="89"/>
      <c r="D93" s="85"/>
      <c r="E93" s="85"/>
      <c r="F93" s="90"/>
      <c r="G93" s="91"/>
      <c r="H93" s="91"/>
      <c r="I93" s="91"/>
      <c r="J93" s="92"/>
    </row>
    <row r="94" spans="1:10" ht="132" x14ac:dyDescent="0.25">
      <c r="A94" s="42">
        <v>86</v>
      </c>
      <c r="B94" s="79">
        <v>43218</v>
      </c>
      <c r="C94" s="89"/>
      <c r="D94" s="85" t="s">
        <v>485</v>
      </c>
      <c r="E94" s="85"/>
      <c r="F94" s="90"/>
      <c r="G94" s="91"/>
      <c r="H94" s="91"/>
      <c r="I94" s="91"/>
      <c r="J94" s="92"/>
    </row>
    <row r="95" spans="1:10" ht="144" x14ac:dyDescent="0.25">
      <c r="A95" s="42">
        <v>87</v>
      </c>
      <c r="B95" s="79">
        <v>43219</v>
      </c>
      <c r="C95" s="89"/>
      <c r="D95" s="85" t="s">
        <v>487</v>
      </c>
      <c r="E95" s="85" t="s">
        <v>488</v>
      </c>
      <c r="F95" s="90"/>
      <c r="G95" s="91"/>
      <c r="H95" s="91"/>
      <c r="I95" s="91"/>
      <c r="J95" s="92"/>
    </row>
    <row r="96" spans="1:10" ht="60" x14ac:dyDescent="0.25">
      <c r="A96" s="42">
        <v>88</v>
      </c>
      <c r="B96" s="79">
        <v>43220</v>
      </c>
      <c r="C96" s="89"/>
      <c r="D96" s="85" t="s">
        <v>489</v>
      </c>
      <c r="E96" s="85"/>
      <c r="F96" s="90"/>
      <c r="G96" s="91"/>
      <c r="H96" s="91"/>
      <c r="I96" s="91"/>
      <c r="J96" s="92"/>
    </row>
    <row r="97" spans="1:10" ht="48" x14ac:dyDescent="0.25">
      <c r="A97" s="42">
        <v>89</v>
      </c>
      <c r="B97" s="79">
        <v>43221</v>
      </c>
      <c r="C97" s="89"/>
      <c r="D97" s="85" t="s">
        <v>490</v>
      </c>
      <c r="E97" s="201" t="s">
        <v>491</v>
      </c>
      <c r="F97" s="90"/>
      <c r="G97" s="91"/>
      <c r="H97" s="91"/>
      <c r="I97" s="91"/>
      <c r="J97" s="92"/>
    </row>
    <row r="98" spans="1:10" ht="36" x14ac:dyDescent="0.25">
      <c r="A98" s="42">
        <v>90</v>
      </c>
      <c r="B98" s="79">
        <v>43222</v>
      </c>
      <c r="C98" s="89"/>
      <c r="D98" s="85" t="s">
        <v>492</v>
      </c>
      <c r="E98" s="85" t="s">
        <v>493</v>
      </c>
      <c r="F98" s="90"/>
      <c r="G98" s="91"/>
      <c r="H98" s="91"/>
      <c r="I98" s="91"/>
      <c r="J98" s="92"/>
    </row>
    <row r="99" spans="1:10" x14ac:dyDescent="0.25">
      <c r="A99" s="42">
        <v>91</v>
      </c>
      <c r="B99" s="79">
        <v>43223</v>
      </c>
      <c r="C99" s="89"/>
      <c r="D99" s="85" t="s">
        <v>494</v>
      </c>
      <c r="E99" s="85"/>
      <c r="F99" s="90"/>
      <c r="G99" s="91"/>
      <c r="H99" s="91"/>
      <c r="I99" s="91"/>
      <c r="J99" s="92"/>
    </row>
    <row r="100" spans="1:10" ht="36" x14ac:dyDescent="0.25">
      <c r="A100" s="42">
        <v>92</v>
      </c>
      <c r="B100" s="79">
        <v>43224</v>
      </c>
      <c r="C100" s="89"/>
      <c r="D100" s="85" t="s">
        <v>495</v>
      </c>
      <c r="E100" s="85"/>
      <c r="F100" s="90"/>
      <c r="G100" s="91"/>
      <c r="H100" s="91"/>
      <c r="I100" s="91"/>
      <c r="J100" s="92"/>
    </row>
    <row r="101" spans="1:10" ht="36" x14ac:dyDescent="0.25">
      <c r="A101" s="42">
        <v>93</v>
      </c>
      <c r="B101" s="79">
        <v>43225</v>
      </c>
      <c r="C101" s="89"/>
      <c r="D101" s="85" t="s">
        <v>496</v>
      </c>
      <c r="E101" s="85"/>
      <c r="F101" s="90"/>
      <c r="G101" s="91"/>
      <c r="H101" s="91"/>
      <c r="I101" s="91"/>
      <c r="J101" s="92"/>
    </row>
    <row r="102" spans="1:10" ht="252" x14ac:dyDescent="0.25">
      <c r="A102" s="42">
        <v>94</v>
      </c>
      <c r="B102" s="79">
        <v>43226</v>
      </c>
      <c r="C102" s="89" t="s">
        <v>499</v>
      </c>
      <c r="D102" s="85" t="s">
        <v>497</v>
      </c>
      <c r="E102" s="85" t="s">
        <v>498</v>
      </c>
      <c r="F102" s="90"/>
      <c r="G102" s="91"/>
      <c r="H102" s="91"/>
      <c r="I102" s="91"/>
      <c r="J102" s="92"/>
    </row>
    <row r="103" spans="1:10" x14ac:dyDescent="0.25">
      <c r="A103" s="42">
        <v>95</v>
      </c>
      <c r="B103" s="79">
        <v>43227</v>
      </c>
      <c r="C103" s="89"/>
      <c r="D103" s="85"/>
      <c r="E103" s="85"/>
      <c r="F103" s="90"/>
      <c r="G103" s="91"/>
      <c r="H103" s="91"/>
      <c r="I103" s="91"/>
      <c r="J103" s="92"/>
    </row>
    <row r="104" spans="1:10" x14ac:dyDescent="0.25">
      <c r="A104" s="42">
        <v>96</v>
      </c>
      <c r="B104" s="79">
        <v>43228</v>
      </c>
      <c r="C104" s="89"/>
      <c r="D104" s="85"/>
      <c r="E104" s="85"/>
      <c r="F104" s="90"/>
      <c r="G104" s="91"/>
      <c r="H104" s="91"/>
      <c r="I104" s="91"/>
      <c r="J104" s="92"/>
    </row>
    <row r="105" spans="1:10" x14ac:dyDescent="0.25">
      <c r="A105" s="42">
        <v>97</v>
      </c>
      <c r="B105" s="79">
        <v>43229</v>
      </c>
      <c r="C105" s="89"/>
      <c r="D105" s="85"/>
      <c r="E105" s="85"/>
      <c r="F105" s="90"/>
      <c r="G105" s="91"/>
      <c r="H105" s="91"/>
      <c r="I105" s="91"/>
      <c r="J105" s="92"/>
    </row>
    <row r="106" spans="1:10" ht="36" x14ac:dyDescent="0.25">
      <c r="A106" s="42">
        <v>98</v>
      </c>
      <c r="B106" s="79">
        <v>43230</v>
      </c>
      <c r="C106" s="89"/>
      <c r="D106" s="85" t="s">
        <v>501</v>
      </c>
      <c r="E106" s="85"/>
      <c r="F106" s="90"/>
      <c r="G106" s="91"/>
      <c r="H106" s="91"/>
      <c r="I106" s="91"/>
      <c r="J106" s="92"/>
    </row>
    <row r="107" spans="1:10" x14ac:dyDescent="0.25">
      <c r="A107" s="42">
        <v>99</v>
      </c>
      <c r="B107" s="79">
        <v>43231</v>
      </c>
      <c r="C107" s="89"/>
      <c r="D107" s="85"/>
      <c r="E107" s="85"/>
      <c r="F107" s="90"/>
      <c r="G107" s="91"/>
      <c r="H107" s="91"/>
      <c r="I107" s="91"/>
      <c r="J107" s="92"/>
    </row>
    <row r="108" spans="1:10" ht="108" x14ac:dyDescent="0.25">
      <c r="A108" s="42">
        <v>100</v>
      </c>
      <c r="B108" s="79">
        <v>43232</v>
      </c>
      <c r="C108" s="89"/>
      <c r="D108" s="85" t="s">
        <v>502</v>
      </c>
      <c r="E108" s="85" t="s">
        <v>503</v>
      </c>
      <c r="F108" s="90"/>
      <c r="G108" s="91"/>
      <c r="H108" s="91"/>
      <c r="I108" s="91"/>
      <c r="J108" s="92"/>
    </row>
    <row r="109" spans="1:10" ht="240" x14ac:dyDescent="0.25">
      <c r="A109" s="42">
        <v>101</v>
      </c>
      <c r="B109" s="79">
        <v>43233</v>
      </c>
      <c r="C109" s="89" t="s">
        <v>505</v>
      </c>
      <c r="D109" s="85" t="s">
        <v>504</v>
      </c>
      <c r="E109" s="85" t="s">
        <v>506</v>
      </c>
      <c r="F109" s="90"/>
      <c r="G109" s="91"/>
      <c r="H109" s="91"/>
      <c r="I109" s="91"/>
      <c r="J109" s="92"/>
    </row>
    <row r="110" spans="1:10" ht="36" x14ac:dyDescent="0.25">
      <c r="A110" s="42">
        <v>102</v>
      </c>
      <c r="B110" s="79">
        <v>43234</v>
      </c>
      <c r="C110" s="89"/>
      <c r="D110" s="85" t="s">
        <v>507</v>
      </c>
      <c r="E110" s="85"/>
      <c r="F110" s="90"/>
      <c r="G110" s="91"/>
      <c r="H110" s="91"/>
      <c r="I110" s="91"/>
      <c r="J110" s="92"/>
    </row>
    <row r="111" spans="1:10" x14ac:dyDescent="0.25">
      <c r="A111" s="42">
        <v>103</v>
      </c>
      <c r="B111" s="79">
        <v>43235</v>
      </c>
      <c r="C111" s="89"/>
      <c r="D111" s="85"/>
      <c r="E111" s="85"/>
      <c r="F111" s="90"/>
      <c r="G111" s="91"/>
      <c r="H111" s="91"/>
      <c r="I111" s="91"/>
      <c r="J111" s="92"/>
    </row>
    <row r="112" spans="1:10" ht="72" x14ac:dyDescent="0.25">
      <c r="A112" s="42">
        <v>104</v>
      </c>
      <c r="B112" s="79">
        <v>43236</v>
      </c>
      <c r="C112" s="89" t="s">
        <v>509</v>
      </c>
      <c r="D112" s="85" t="s">
        <v>508</v>
      </c>
      <c r="E112" s="85"/>
      <c r="F112" s="90"/>
      <c r="G112" s="91"/>
      <c r="H112" s="91"/>
      <c r="I112" s="91"/>
      <c r="J112" s="92"/>
    </row>
    <row r="113" spans="1:10" ht="72" x14ac:dyDescent="0.25">
      <c r="A113" s="42">
        <v>105</v>
      </c>
      <c r="B113" s="79">
        <v>43237</v>
      </c>
      <c r="C113" s="89"/>
      <c r="D113" s="85" t="s">
        <v>510</v>
      </c>
      <c r="E113" s="85" t="s">
        <v>511</v>
      </c>
      <c r="F113" s="90"/>
      <c r="G113" s="91"/>
      <c r="H113" s="91"/>
      <c r="I113" s="91"/>
      <c r="J113" s="92"/>
    </row>
    <row r="114" spans="1:10" ht="144" x14ac:dyDescent="0.25">
      <c r="A114" s="42">
        <v>106</v>
      </c>
      <c r="B114" s="79">
        <v>43238</v>
      </c>
      <c r="C114" s="89" t="s">
        <v>513</v>
      </c>
      <c r="D114" s="85" t="s">
        <v>512</v>
      </c>
      <c r="E114" s="85" t="s">
        <v>514</v>
      </c>
      <c r="F114" s="90" t="s">
        <v>515</v>
      </c>
      <c r="G114" s="91"/>
      <c r="H114" s="91"/>
      <c r="I114" s="91"/>
      <c r="J114" s="92"/>
    </row>
    <row r="115" spans="1:10" ht="132" x14ac:dyDescent="0.25">
      <c r="A115" s="42">
        <v>107</v>
      </c>
      <c r="B115" s="79">
        <v>43239</v>
      </c>
      <c r="C115" s="89"/>
      <c r="D115" s="85" t="s">
        <v>516</v>
      </c>
      <c r="E115" s="85" t="s">
        <v>517</v>
      </c>
      <c r="F115" s="90"/>
      <c r="G115" s="91"/>
      <c r="H115" s="91"/>
      <c r="I115" s="91"/>
      <c r="J115" s="92"/>
    </row>
    <row r="116" spans="1:10" ht="409.5" customHeight="1" x14ac:dyDescent="0.25">
      <c r="A116" s="42">
        <v>108</v>
      </c>
      <c r="B116" s="79">
        <v>43240</v>
      </c>
      <c r="C116" s="89" t="s">
        <v>520</v>
      </c>
      <c r="D116" s="85" t="s">
        <v>519</v>
      </c>
      <c r="E116" s="85" t="s">
        <v>518</v>
      </c>
      <c r="F116" s="90"/>
      <c r="G116" s="91"/>
      <c r="H116" s="91"/>
      <c r="I116" s="91"/>
      <c r="J116" s="92"/>
    </row>
    <row r="117" spans="1:10" x14ac:dyDescent="0.25">
      <c r="A117" s="42">
        <v>109</v>
      </c>
      <c r="B117" s="79">
        <v>43241</v>
      </c>
      <c r="C117" s="89"/>
      <c r="D117" s="85" t="s">
        <v>521</v>
      </c>
      <c r="E117" s="85"/>
      <c r="F117" s="90"/>
      <c r="G117" s="91"/>
      <c r="H117" s="91"/>
      <c r="I117" s="91"/>
      <c r="J117" s="92"/>
    </row>
    <row r="118" spans="1:10" ht="60" x14ac:dyDescent="0.25">
      <c r="A118" s="42">
        <v>110</v>
      </c>
      <c r="B118" s="79">
        <v>43242</v>
      </c>
      <c r="C118" s="89"/>
      <c r="D118" s="85" t="s">
        <v>522</v>
      </c>
      <c r="E118" s="85"/>
      <c r="F118" s="90"/>
      <c r="G118" s="91"/>
      <c r="H118" s="91"/>
      <c r="I118" s="91"/>
      <c r="J118" s="92"/>
    </row>
    <row r="119" spans="1:10" ht="24" x14ac:dyDescent="0.25">
      <c r="A119" s="42">
        <v>111</v>
      </c>
      <c r="B119" s="79">
        <v>43243</v>
      </c>
      <c r="C119" s="89"/>
      <c r="D119" s="85" t="s">
        <v>523</v>
      </c>
      <c r="E119" s="85" t="s">
        <v>524</v>
      </c>
      <c r="F119" s="90"/>
      <c r="G119" s="91"/>
      <c r="H119" s="91"/>
      <c r="I119" s="91"/>
      <c r="J119" s="92"/>
    </row>
    <row r="120" spans="1:10" ht="36" x14ac:dyDescent="0.25">
      <c r="A120" s="42">
        <v>112</v>
      </c>
      <c r="B120" s="79">
        <v>43244</v>
      </c>
      <c r="C120" s="89"/>
      <c r="D120" s="85"/>
      <c r="E120" s="85" t="s">
        <v>532</v>
      </c>
      <c r="F120" s="90"/>
      <c r="G120" s="91"/>
      <c r="H120" s="91"/>
      <c r="I120" s="91"/>
      <c r="J120" s="92"/>
    </row>
    <row r="121" spans="1:10" x14ac:dyDescent="0.25">
      <c r="A121" s="42">
        <v>113</v>
      </c>
      <c r="B121" s="79">
        <v>43245</v>
      </c>
      <c r="C121" s="89"/>
      <c r="D121" s="85"/>
      <c r="E121" s="85"/>
      <c r="F121" s="90"/>
      <c r="G121" s="91"/>
      <c r="H121" s="91"/>
      <c r="I121" s="91"/>
      <c r="J121" s="92"/>
    </row>
    <row r="122" spans="1:10" ht="120" x14ac:dyDescent="0.25">
      <c r="A122" s="42">
        <v>114</v>
      </c>
      <c r="B122" s="79">
        <v>43246</v>
      </c>
      <c r="C122" s="89" t="s">
        <v>535</v>
      </c>
      <c r="D122" s="85" t="s">
        <v>534</v>
      </c>
      <c r="E122" s="85" t="s">
        <v>533</v>
      </c>
      <c r="F122" s="90"/>
      <c r="G122" s="91"/>
      <c r="H122" s="91"/>
      <c r="I122" s="91"/>
      <c r="J122" s="92"/>
    </row>
    <row r="123" spans="1:10" ht="24" x14ac:dyDescent="0.25">
      <c r="A123" s="42">
        <v>115</v>
      </c>
      <c r="B123" s="79">
        <v>43247</v>
      </c>
      <c r="C123" s="89" t="s">
        <v>536</v>
      </c>
      <c r="D123" s="85" t="s">
        <v>537</v>
      </c>
      <c r="E123" s="85"/>
      <c r="F123" s="90"/>
      <c r="G123" s="91"/>
      <c r="H123" s="91"/>
      <c r="I123" s="91"/>
      <c r="J123" s="92"/>
    </row>
    <row r="124" spans="1:10" x14ac:dyDescent="0.25">
      <c r="A124" s="42">
        <v>116</v>
      </c>
      <c r="B124" s="79">
        <v>43248</v>
      </c>
      <c r="C124" s="89"/>
      <c r="D124" s="85"/>
      <c r="E124" s="85"/>
      <c r="F124" s="90"/>
      <c r="G124" s="91"/>
      <c r="H124" s="91"/>
      <c r="I124" s="91"/>
      <c r="J124" s="92"/>
    </row>
    <row r="125" spans="1:10" ht="48" x14ac:dyDescent="0.25">
      <c r="A125" s="42">
        <v>117</v>
      </c>
      <c r="B125" s="79">
        <v>43249</v>
      </c>
      <c r="C125" s="89"/>
      <c r="D125" s="85" t="s">
        <v>538</v>
      </c>
      <c r="E125" s="85" t="s">
        <v>539</v>
      </c>
      <c r="F125" s="90"/>
      <c r="G125" s="91"/>
      <c r="H125" s="91"/>
      <c r="I125" s="91"/>
      <c r="J125" s="92"/>
    </row>
    <row r="126" spans="1:10" x14ac:dyDescent="0.25">
      <c r="A126" s="42">
        <v>118</v>
      </c>
      <c r="B126" s="79">
        <v>43250</v>
      </c>
      <c r="C126" s="89"/>
      <c r="D126" s="85"/>
      <c r="E126" s="85"/>
      <c r="F126" s="90"/>
      <c r="G126" s="91"/>
      <c r="H126" s="91"/>
      <c r="I126" s="91"/>
      <c r="J126" s="92"/>
    </row>
    <row r="127" spans="1:10" ht="36" x14ac:dyDescent="0.25">
      <c r="A127" s="42">
        <v>119</v>
      </c>
      <c r="B127" s="79">
        <v>43251</v>
      </c>
      <c r="C127" s="89" t="s">
        <v>540</v>
      </c>
      <c r="D127" s="85" t="s">
        <v>541</v>
      </c>
      <c r="E127" s="85"/>
      <c r="F127" s="90"/>
      <c r="G127" s="91"/>
      <c r="H127" s="91"/>
      <c r="I127" s="91"/>
      <c r="J127" s="92"/>
    </row>
    <row r="128" spans="1:10" x14ac:dyDescent="0.25">
      <c r="A128" s="42">
        <v>120</v>
      </c>
      <c r="B128" s="79">
        <v>43252</v>
      </c>
      <c r="C128" s="89"/>
      <c r="D128" s="85"/>
      <c r="E128" s="85"/>
      <c r="F128" s="90"/>
      <c r="G128" s="91"/>
      <c r="H128" s="91"/>
      <c r="I128" s="91"/>
      <c r="J128" s="92"/>
    </row>
    <row r="129" spans="1:10" ht="96" x14ac:dyDescent="0.25">
      <c r="A129" s="42">
        <v>121</v>
      </c>
      <c r="B129" s="79">
        <v>43253</v>
      </c>
      <c r="C129" s="89" t="s">
        <v>543</v>
      </c>
      <c r="D129" s="85" t="s">
        <v>542</v>
      </c>
      <c r="E129" s="85" t="s">
        <v>544</v>
      </c>
      <c r="F129" s="90"/>
      <c r="G129" s="91"/>
      <c r="H129" s="91"/>
      <c r="I129" s="91"/>
      <c r="J129" s="92"/>
    </row>
    <row r="130" spans="1:10" ht="72" x14ac:dyDescent="0.25">
      <c r="A130" s="42">
        <v>122</v>
      </c>
      <c r="B130" s="79">
        <v>43254</v>
      </c>
      <c r="C130" s="89" t="s">
        <v>546</v>
      </c>
      <c r="D130" s="85" t="s">
        <v>545</v>
      </c>
      <c r="E130" s="85" t="s">
        <v>547</v>
      </c>
      <c r="F130" s="90"/>
      <c r="G130" s="91"/>
      <c r="H130" s="91"/>
      <c r="I130" s="91"/>
      <c r="J130" s="92"/>
    </row>
    <row r="131" spans="1:10" ht="36" x14ac:dyDescent="0.25">
      <c r="A131" s="42">
        <v>123</v>
      </c>
      <c r="B131" s="79">
        <v>43255</v>
      </c>
      <c r="C131" s="89"/>
      <c r="D131" s="85" t="s">
        <v>548</v>
      </c>
      <c r="E131" s="85"/>
      <c r="F131" s="90"/>
      <c r="G131" s="91"/>
      <c r="H131" s="91"/>
      <c r="I131" s="91"/>
      <c r="J131" s="92"/>
    </row>
    <row r="132" spans="1:10" ht="36" x14ac:dyDescent="0.25">
      <c r="A132" s="42">
        <v>124</v>
      </c>
      <c r="B132" s="79">
        <v>43256</v>
      </c>
      <c r="C132" s="89" t="s">
        <v>549</v>
      </c>
      <c r="D132" s="85" t="s">
        <v>550</v>
      </c>
      <c r="E132" s="85" t="s">
        <v>551</v>
      </c>
      <c r="F132" s="90"/>
      <c r="G132" s="91"/>
      <c r="H132" s="91"/>
      <c r="I132" s="91"/>
      <c r="J132" s="92"/>
    </row>
    <row r="133" spans="1:10" ht="24" x14ac:dyDescent="0.25">
      <c r="A133" s="42">
        <v>125</v>
      </c>
      <c r="B133" s="79">
        <v>43257</v>
      </c>
      <c r="C133" s="89"/>
      <c r="D133" s="85" t="s">
        <v>553</v>
      </c>
      <c r="E133" s="85" t="s">
        <v>552</v>
      </c>
      <c r="F133" s="90"/>
      <c r="G133" s="91"/>
      <c r="H133" s="91"/>
      <c r="I133" s="91"/>
      <c r="J133" s="92"/>
    </row>
    <row r="134" spans="1:10" x14ac:dyDescent="0.25">
      <c r="A134" s="42">
        <v>126</v>
      </c>
      <c r="B134" s="79">
        <v>43258</v>
      </c>
      <c r="C134" s="89"/>
      <c r="D134" s="85"/>
      <c r="E134" s="85"/>
      <c r="F134" s="90"/>
      <c r="G134" s="91"/>
      <c r="H134" s="91"/>
      <c r="I134" s="91"/>
      <c r="J134" s="92"/>
    </row>
    <row r="135" spans="1:10" ht="120" x14ac:dyDescent="0.25">
      <c r="A135" s="42">
        <v>127</v>
      </c>
      <c r="B135" s="79">
        <v>43259</v>
      </c>
      <c r="C135" s="89"/>
      <c r="D135" s="85" t="s">
        <v>554</v>
      </c>
      <c r="E135" s="85"/>
      <c r="F135" s="90"/>
      <c r="G135" s="91"/>
      <c r="H135" s="91"/>
      <c r="I135" s="91"/>
      <c r="J135" s="92"/>
    </row>
    <row r="136" spans="1:10" x14ac:dyDescent="0.25">
      <c r="A136" s="42">
        <v>128</v>
      </c>
      <c r="B136" s="79">
        <v>43260</v>
      </c>
      <c r="C136" s="89"/>
      <c r="D136" s="85"/>
      <c r="E136" s="85"/>
      <c r="F136" s="90"/>
      <c r="G136" s="91"/>
      <c r="H136" s="91"/>
      <c r="I136" s="91"/>
      <c r="J136" s="92"/>
    </row>
    <row r="137" spans="1:10" ht="276" x14ac:dyDescent="0.25">
      <c r="A137" s="42">
        <v>129</v>
      </c>
      <c r="B137" s="79">
        <v>43261</v>
      </c>
      <c r="C137" s="89" t="s">
        <v>556</v>
      </c>
      <c r="D137" s="94" t="s">
        <v>555</v>
      </c>
      <c r="E137" s="85" t="s">
        <v>580</v>
      </c>
      <c r="F137" s="90"/>
      <c r="G137" s="91"/>
      <c r="H137" s="91"/>
      <c r="I137" s="91"/>
      <c r="J137" s="92"/>
    </row>
    <row r="138" spans="1:10" ht="120" x14ac:dyDescent="0.25">
      <c r="A138" s="42">
        <v>130</v>
      </c>
      <c r="B138" s="79">
        <v>43262</v>
      </c>
      <c r="C138" s="89" t="s">
        <v>582</v>
      </c>
      <c r="D138" s="85" t="s">
        <v>581</v>
      </c>
      <c r="E138" s="94" t="s">
        <v>583</v>
      </c>
      <c r="F138" s="90"/>
      <c r="G138" s="91"/>
      <c r="H138" s="91"/>
      <c r="I138" s="91"/>
      <c r="J138" s="92"/>
    </row>
    <row r="139" spans="1:10" ht="48" x14ac:dyDescent="0.25">
      <c r="A139" s="42">
        <v>131</v>
      </c>
      <c r="B139" s="79">
        <v>43263</v>
      </c>
      <c r="C139" s="89"/>
      <c r="D139" s="85" t="s">
        <v>584</v>
      </c>
      <c r="E139" s="85"/>
      <c r="F139" s="90"/>
      <c r="G139" s="91"/>
      <c r="H139" s="91"/>
      <c r="I139" s="91"/>
      <c r="J139" s="92"/>
    </row>
    <row r="140" spans="1:10" x14ac:dyDescent="0.25">
      <c r="A140" s="42">
        <v>132</v>
      </c>
      <c r="B140" s="79">
        <v>43264</v>
      </c>
      <c r="C140" s="89"/>
      <c r="D140" s="85" t="s">
        <v>586</v>
      </c>
      <c r="E140" s="85"/>
      <c r="F140" s="90"/>
      <c r="G140" s="91"/>
      <c r="H140" s="91"/>
      <c r="I140" s="91"/>
      <c r="J140" s="92"/>
    </row>
    <row r="141" spans="1:10" x14ac:dyDescent="0.25">
      <c r="A141" s="42">
        <v>133</v>
      </c>
      <c r="B141" s="79">
        <v>43265</v>
      </c>
      <c r="C141" s="89"/>
      <c r="D141" s="85" t="s">
        <v>587</v>
      </c>
      <c r="E141" s="85"/>
      <c r="F141" s="90"/>
      <c r="G141" s="91"/>
      <c r="H141" s="91"/>
      <c r="I141" s="91"/>
      <c r="J141" s="92"/>
    </row>
    <row r="142" spans="1:10" ht="132" x14ac:dyDescent="0.25">
      <c r="A142" s="42">
        <v>134</v>
      </c>
      <c r="B142" s="79">
        <v>43266</v>
      </c>
      <c r="C142" s="89" t="s">
        <v>585</v>
      </c>
      <c r="D142" s="85" t="s">
        <v>588</v>
      </c>
      <c r="E142" s="85"/>
      <c r="F142" s="90"/>
      <c r="G142" s="91"/>
      <c r="H142" s="91"/>
      <c r="I142" s="91"/>
      <c r="J142" s="92"/>
    </row>
    <row r="143" spans="1:10" ht="156" x14ac:dyDescent="0.25">
      <c r="A143" s="42">
        <v>135</v>
      </c>
      <c r="B143" s="79">
        <v>43267</v>
      </c>
      <c r="C143" s="89" t="s">
        <v>592</v>
      </c>
      <c r="D143" s="94" t="s">
        <v>591</v>
      </c>
      <c r="E143" s="192" t="s">
        <v>590</v>
      </c>
      <c r="F143" s="90"/>
      <c r="G143" s="91"/>
      <c r="H143" s="91"/>
      <c r="I143" s="91"/>
      <c r="J143" s="92"/>
    </row>
    <row r="144" spans="1:10" x14ac:dyDescent="0.25">
      <c r="A144" s="42">
        <v>136</v>
      </c>
      <c r="B144" s="79">
        <v>43268</v>
      </c>
      <c r="C144" s="89"/>
      <c r="D144" s="94"/>
      <c r="E144" s="85"/>
      <c r="F144" s="90"/>
      <c r="G144" s="91"/>
      <c r="H144" s="91"/>
      <c r="I144" s="91"/>
      <c r="J144" s="92"/>
    </row>
    <row r="145" spans="1:10" ht="96" x14ac:dyDescent="0.25">
      <c r="A145" s="42">
        <v>137</v>
      </c>
      <c r="B145" s="79">
        <v>43269</v>
      </c>
      <c r="C145" s="89" t="s">
        <v>595</v>
      </c>
      <c r="D145" s="85" t="s">
        <v>593</v>
      </c>
      <c r="E145" s="85" t="s">
        <v>594</v>
      </c>
      <c r="F145" s="90"/>
      <c r="G145" s="91"/>
      <c r="H145" s="91"/>
      <c r="I145" s="91"/>
      <c r="J145" s="92"/>
    </row>
    <row r="146" spans="1:10" ht="132" x14ac:dyDescent="0.25">
      <c r="A146" s="42">
        <v>138</v>
      </c>
      <c r="B146" s="79">
        <v>43270</v>
      </c>
      <c r="C146" s="89" t="s">
        <v>598</v>
      </c>
      <c r="D146" s="85" t="s">
        <v>597</v>
      </c>
      <c r="E146" s="94" t="s">
        <v>596</v>
      </c>
      <c r="F146" s="90"/>
      <c r="G146" s="91"/>
      <c r="H146" s="91"/>
      <c r="I146" s="91"/>
      <c r="J146" s="92"/>
    </row>
    <row r="147" spans="1:10" x14ac:dyDescent="0.25">
      <c r="A147" s="42">
        <v>139</v>
      </c>
      <c r="B147" s="79">
        <v>43271</v>
      </c>
      <c r="C147" s="89" t="s">
        <v>650</v>
      </c>
      <c r="D147" s="85"/>
      <c r="E147" s="85"/>
      <c r="F147" s="90"/>
      <c r="G147" s="91"/>
      <c r="H147" s="91"/>
      <c r="I147" s="91"/>
      <c r="J147" s="92"/>
    </row>
    <row r="148" spans="1:10" ht="24" x14ac:dyDescent="0.25">
      <c r="A148" s="42">
        <v>140</v>
      </c>
      <c r="B148" s="79">
        <v>43272</v>
      </c>
      <c r="C148" s="89" t="s">
        <v>650</v>
      </c>
      <c r="D148" s="85" t="s">
        <v>651</v>
      </c>
      <c r="E148" s="85" t="s">
        <v>652</v>
      </c>
      <c r="F148" s="90"/>
      <c r="G148" s="91"/>
      <c r="H148" s="91"/>
      <c r="I148" s="91"/>
      <c r="J148" s="92"/>
    </row>
    <row r="149" spans="1:10" x14ac:dyDescent="0.25">
      <c r="A149" s="42">
        <v>141</v>
      </c>
      <c r="B149" s="79">
        <v>43273</v>
      </c>
      <c r="C149" s="89" t="s">
        <v>657</v>
      </c>
      <c r="D149" s="85"/>
      <c r="E149" s="85"/>
      <c r="F149" s="90"/>
      <c r="G149" s="91"/>
      <c r="H149" s="91"/>
      <c r="I149" s="91"/>
      <c r="J149" s="92"/>
    </row>
    <row r="150" spans="1:10" ht="108" x14ac:dyDescent="0.25">
      <c r="A150" s="42">
        <v>142</v>
      </c>
      <c r="B150" s="79">
        <v>43274</v>
      </c>
      <c r="C150" s="89" t="s">
        <v>657</v>
      </c>
      <c r="D150" s="85" t="s">
        <v>658</v>
      </c>
      <c r="E150" s="85" t="s">
        <v>659</v>
      </c>
      <c r="F150" s="90"/>
      <c r="G150" s="91"/>
      <c r="H150" s="91"/>
      <c r="I150" s="91"/>
      <c r="J150" s="92"/>
    </row>
    <row r="151" spans="1:10" ht="60" x14ac:dyDescent="0.25">
      <c r="A151" s="42">
        <v>143</v>
      </c>
      <c r="B151" s="79">
        <v>43275</v>
      </c>
      <c r="C151" s="89" t="s">
        <v>665</v>
      </c>
      <c r="D151" s="85" t="s">
        <v>666</v>
      </c>
      <c r="E151" s="85"/>
      <c r="F151" s="90"/>
      <c r="G151" s="91"/>
      <c r="H151" s="91"/>
      <c r="I151" s="91"/>
      <c r="J151" s="92"/>
    </row>
    <row r="152" spans="1:10" ht="24" x14ac:dyDescent="0.25">
      <c r="A152" s="42">
        <v>144</v>
      </c>
      <c r="B152" s="79">
        <v>43276</v>
      </c>
      <c r="C152" s="93" t="s">
        <v>667</v>
      </c>
      <c r="D152" s="85"/>
      <c r="E152" s="85"/>
      <c r="F152" s="90"/>
      <c r="G152" s="91"/>
      <c r="H152" s="91"/>
      <c r="I152" s="91"/>
      <c r="J152" s="92"/>
    </row>
    <row r="153" spans="1:10" ht="60" x14ac:dyDescent="0.25">
      <c r="A153" s="42">
        <v>145</v>
      </c>
      <c r="B153" s="79">
        <v>43277</v>
      </c>
      <c r="C153" s="89" t="s">
        <v>668</v>
      </c>
      <c r="D153" s="85" t="s">
        <v>669</v>
      </c>
      <c r="E153" s="85"/>
      <c r="F153" s="90"/>
      <c r="G153" s="91"/>
      <c r="H153" s="91"/>
      <c r="I153" s="91"/>
      <c r="J153" s="92"/>
    </row>
    <row r="154" spans="1:10" x14ac:dyDescent="0.25">
      <c r="A154" s="42">
        <v>146</v>
      </c>
      <c r="B154" s="79">
        <v>43278</v>
      </c>
      <c r="C154" s="89"/>
      <c r="D154" s="85"/>
      <c r="E154" s="85"/>
      <c r="F154" s="90"/>
      <c r="G154" s="91"/>
      <c r="H154" s="91"/>
      <c r="I154" s="91"/>
      <c r="J154" s="92"/>
    </row>
    <row r="155" spans="1:10" ht="120" x14ac:dyDescent="0.25">
      <c r="A155" s="42">
        <v>147</v>
      </c>
      <c r="B155" s="79">
        <v>43279</v>
      </c>
      <c r="C155" s="89"/>
      <c r="D155" s="85" t="s">
        <v>670</v>
      </c>
      <c r="E155" s="85" t="s">
        <v>691</v>
      </c>
      <c r="F155" s="90"/>
      <c r="G155" s="91"/>
      <c r="H155" s="91"/>
      <c r="I155" s="91"/>
      <c r="J155" s="92"/>
    </row>
    <row r="156" spans="1:10" x14ac:dyDescent="0.25">
      <c r="A156" s="42">
        <v>148</v>
      </c>
      <c r="B156" s="79">
        <v>43280</v>
      </c>
      <c r="C156" s="89"/>
      <c r="D156" s="85"/>
      <c r="E156" s="85"/>
      <c r="F156" s="90"/>
      <c r="G156" s="91"/>
      <c r="H156" s="91"/>
      <c r="I156" s="91"/>
      <c r="J156" s="92"/>
    </row>
    <row r="157" spans="1:10" x14ac:dyDescent="0.25">
      <c r="A157" s="42">
        <v>149</v>
      </c>
      <c r="B157" s="79">
        <v>43281</v>
      </c>
      <c r="C157" s="89"/>
      <c r="D157" s="85"/>
      <c r="E157" s="85"/>
      <c r="F157" s="90"/>
      <c r="G157" s="91"/>
      <c r="H157" s="91"/>
      <c r="I157" s="91"/>
      <c r="J157" s="92"/>
    </row>
    <row r="158" spans="1:10" x14ac:dyDescent="0.25">
      <c r="A158" s="42">
        <v>150</v>
      </c>
      <c r="B158" s="79">
        <v>43282</v>
      </c>
      <c r="C158" s="89"/>
      <c r="D158" s="85"/>
      <c r="E158" s="85"/>
      <c r="F158" s="90"/>
      <c r="G158" s="91"/>
      <c r="H158" s="91"/>
      <c r="I158" s="91"/>
      <c r="J158" s="92"/>
    </row>
    <row r="159" spans="1:10" x14ac:dyDescent="0.25">
      <c r="A159" s="42">
        <v>151</v>
      </c>
      <c r="B159" s="79">
        <v>43283</v>
      </c>
      <c r="C159" s="89"/>
      <c r="D159" s="85"/>
      <c r="E159" s="85"/>
      <c r="F159" s="90"/>
      <c r="G159" s="91"/>
      <c r="H159" s="91"/>
      <c r="I159" s="91"/>
      <c r="J159" s="92"/>
    </row>
    <row r="160" spans="1:10" x14ac:dyDescent="0.25">
      <c r="A160" s="42">
        <v>152</v>
      </c>
      <c r="B160" s="79">
        <v>43284</v>
      </c>
      <c r="C160" s="89"/>
      <c r="D160" s="85"/>
      <c r="E160" s="85"/>
      <c r="F160" s="90"/>
      <c r="G160" s="91"/>
      <c r="H160" s="91"/>
      <c r="I160" s="91"/>
      <c r="J160" s="92"/>
    </row>
    <row r="161" spans="1:10" x14ac:dyDescent="0.25">
      <c r="A161" s="42">
        <v>153</v>
      </c>
      <c r="B161" s="79">
        <v>43285</v>
      </c>
      <c r="C161" s="89"/>
      <c r="D161" s="85"/>
      <c r="E161" s="85"/>
      <c r="F161" s="90"/>
      <c r="G161" s="91"/>
      <c r="H161" s="91"/>
      <c r="I161" s="91"/>
      <c r="J161" s="92"/>
    </row>
    <row r="162" spans="1:10" x14ac:dyDescent="0.25">
      <c r="A162" s="42">
        <v>154</v>
      </c>
      <c r="B162" s="79">
        <v>43286</v>
      </c>
      <c r="C162" s="89"/>
      <c r="D162" s="85"/>
      <c r="E162" s="85"/>
      <c r="F162" s="90"/>
      <c r="G162" s="91"/>
      <c r="H162" s="91"/>
      <c r="I162" s="91"/>
      <c r="J162" s="92"/>
    </row>
    <row r="163" spans="1:10" x14ac:dyDescent="0.25">
      <c r="A163" s="42">
        <v>155</v>
      </c>
      <c r="B163" s="79">
        <v>43287</v>
      </c>
      <c r="C163" s="89"/>
      <c r="D163" s="85"/>
      <c r="E163" s="85"/>
      <c r="F163" s="90"/>
      <c r="G163" s="91"/>
      <c r="H163" s="91"/>
      <c r="I163" s="91"/>
      <c r="J163" s="92"/>
    </row>
    <row r="164" spans="1:10" x14ac:dyDescent="0.25">
      <c r="A164" s="42">
        <v>156</v>
      </c>
      <c r="B164" s="79">
        <v>43288</v>
      </c>
      <c r="C164" s="89"/>
      <c r="D164" s="85"/>
      <c r="E164" s="85"/>
      <c r="F164" s="90"/>
      <c r="G164" s="91"/>
      <c r="H164" s="91"/>
      <c r="I164" s="91"/>
      <c r="J164" s="92"/>
    </row>
    <row r="165" spans="1:10" x14ac:dyDescent="0.25">
      <c r="A165" s="42">
        <v>157</v>
      </c>
      <c r="B165" s="79">
        <v>43289</v>
      </c>
      <c r="C165" s="89"/>
      <c r="D165" s="85"/>
      <c r="E165" s="85"/>
      <c r="F165" s="90"/>
      <c r="G165" s="91"/>
      <c r="H165" s="91"/>
      <c r="I165" s="91"/>
      <c r="J165" s="92"/>
    </row>
    <row r="166" spans="1:10" x14ac:dyDescent="0.25">
      <c r="A166" s="42">
        <v>158</v>
      </c>
      <c r="B166" s="79">
        <v>43290</v>
      </c>
      <c r="C166" s="89"/>
      <c r="D166" s="85"/>
      <c r="E166" s="85"/>
      <c r="F166" s="90"/>
      <c r="G166" s="91"/>
      <c r="H166" s="91"/>
      <c r="I166" s="91"/>
      <c r="J166" s="92"/>
    </row>
    <row r="167" spans="1:10" x14ac:dyDescent="0.25">
      <c r="A167" s="42">
        <v>159</v>
      </c>
      <c r="B167" s="79">
        <v>43291</v>
      </c>
      <c r="C167" s="89"/>
      <c r="D167" s="85"/>
      <c r="E167" s="85"/>
      <c r="F167" s="90"/>
      <c r="G167" s="91"/>
      <c r="H167" s="91"/>
      <c r="I167" s="91"/>
      <c r="J167" s="92"/>
    </row>
    <row r="168" spans="1:10" x14ac:dyDescent="0.25">
      <c r="A168" s="42">
        <v>160</v>
      </c>
      <c r="B168" s="79">
        <v>43292</v>
      </c>
      <c r="C168" s="89"/>
      <c r="D168" s="85"/>
      <c r="E168" s="85"/>
      <c r="F168" s="90"/>
      <c r="G168" s="91"/>
      <c r="H168" s="91"/>
      <c r="I168" s="91"/>
      <c r="J168" s="92"/>
    </row>
    <row r="169" spans="1:10" x14ac:dyDescent="0.25">
      <c r="A169" s="42">
        <v>161</v>
      </c>
      <c r="B169" s="79">
        <v>43293</v>
      </c>
      <c r="C169" s="89"/>
      <c r="D169" s="85"/>
      <c r="E169" s="85"/>
      <c r="F169" s="90"/>
      <c r="G169" s="91"/>
      <c r="H169" s="91"/>
      <c r="I169" s="91"/>
      <c r="J169" s="92"/>
    </row>
    <row r="170" spans="1:10" x14ac:dyDescent="0.25">
      <c r="A170" s="42">
        <v>162</v>
      </c>
      <c r="B170" s="79">
        <v>43294</v>
      </c>
      <c r="C170" s="89"/>
      <c r="D170" s="85"/>
      <c r="E170" s="85"/>
      <c r="F170" s="90"/>
      <c r="G170" s="91"/>
      <c r="H170" s="91"/>
      <c r="I170" s="91"/>
      <c r="J170" s="92"/>
    </row>
    <row r="171" spans="1:10" x14ac:dyDescent="0.25">
      <c r="A171" s="42">
        <v>163</v>
      </c>
      <c r="B171" s="79">
        <v>43295</v>
      </c>
      <c r="C171" s="89"/>
      <c r="D171" s="85"/>
      <c r="E171" s="85"/>
      <c r="F171" s="90"/>
      <c r="G171" s="91"/>
      <c r="H171" s="91"/>
      <c r="I171" s="91"/>
      <c r="J171" s="92"/>
    </row>
    <row r="172" spans="1:10" x14ac:dyDescent="0.25">
      <c r="A172" s="42">
        <v>164</v>
      </c>
      <c r="B172" s="79">
        <v>43296</v>
      </c>
      <c r="C172" s="89"/>
      <c r="D172" s="85"/>
      <c r="E172" s="85"/>
      <c r="F172" s="90"/>
      <c r="G172" s="91"/>
      <c r="H172" s="91"/>
      <c r="I172" s="91"/>
      <c r="J172" s="92"/>
    </row>
    <row r="173" spans="1:10" x14ac:dyDescent="0.25">
      <c r="A173" s="42">
        <v>165</v>
      </c>
      <c r="B173" s="79">
        <v>43297</v>
      </c>
      <c r="C173" s="89"/>
      <c r="D173" s="85"/>
      <c r="E173" s="85"/>
      <c r="F173" s="90"/>
      <c r="G173" s="91"/>
      <c r="H173" s="91"/>
      <c r="I173" s="91"/>
      <c r="J173" s="92"/>
    </row>
    <row r="174" spans="1:10" x14ac:dyDescent="0.25">
      <c r="A174" s="42">
        <v>166</v>
      </c>
      <c r="B174" s="79">
        <v>43298</v>
      </c>
      <c r="C174" s="89"/>
      <c r="D174" s="85"/>
      <c r="E174" s="85"/>
      <c r="F174" s="90"/>
      <c r="G174" s="91"/>
      <c r="H174" s="91"/>
      <c r="I174" s="91"/>
      <c r="J174" s="92"/>
    </row>
    <row r="175" spans="1:10" x14ac:dyDescent="0.25">
      <c r="A175" s="42">
        <v>167</v>
      </c>
      <c r="B175" s="79">
        <v>43299</v>
      </c>
      <c r="C175" s="89"/>
      <c r="D175" s="85"/>
      <c r="E175" s="85"/>
      <c r="F175" s="90"/>
      <c r="G175" s="91"/>
      <c r="H175" s="91"/>
      <c r="I175" s="91"/>
      <c r="J175" s="92"/>
    </row>
    <row r="176" spans="1:10" x14ac:dyDescent="0.25">
      <c r="A176" s="42">
        <v>168</v>
      </c>
      <c r="B176" s="79">
        <v>43300</v>
      </c>
      <c r="C176" s="89"/>
      <c r="D176" s="85"/>
      <c r="E176" s="85"/>
      <c r="F176" s="90"/>
      <c r="G176" s="91"/>
      <c r="H176" s="91"/>
      <c r="I176" s="91"/>
      <c r="J176" s="92"/>
    </row>
    <row r="177" spans="1:10" x14ac:dyDescent="0.25">
      <c r="A177" s="42">
        <v>169</v>
      </c>
      <c r="B177" s="79">
        <v>43301</v>
      </c>
      <c r="C177" s="89"/>
      <c r="D177" s="85"/>
      <c r="E177" s="85"/>
      <c r="F177" s="90"/>
      <c r="G177" s="91"/>
      <c r="H177" s="91"/>
      <c r="I177" s="91"/>
      <c r="J177" s="92"/>
    </row>
    <row r="178" spans="1:10" x14ac:dyDescent="0.25">
      <c r="A178" s="42">
        <v>170</v>
      </c>
      <c r="B178" s="79">
        <v>43302</v>
      </c>
      <c r="C178" s="89"/>
      <c r="D178" s="85"/>
      <c r="E178" s="85"/>
      <c r="F178" s="90"/>
      <c r="G178" s="91"/>
      <c r="H178" s="91"/>
      <c r="I178" s="91"/>
      <c r="J178" s="92"/>
    </row>
    <row r="179" spans="1:10" x14ac:dyDescent="0.25">
      <c r="A179" s="42">
        <v>171</v>
      </c>
      <c r="B179" s="79">
        <v>43303</v>
      </c>
      <c r="C179" s="89"/>
      <c r="D179" s="85"/>
      <c r="E179" s="85"/>
      <c r="F179" s="90"/>
      <c r="G179" s="91"/>
      <c r="H179" s="91"/>
      <c r="I179" s="91"/>
      <c r="J179" s="92"/>
    </row>
    <row r="180" spans="1:10" x14ac:dyDescent="0.25">
      <c r="A180" s="42">
        <v>172</v>
      </c>
      <c r="B180" s="79">
        <v>43304</v>
      </c>
      <c r="C180" s="89"/>
      <c r="D180" s="85"/>
      <c r="E180" s="85"/>
      <c r="F180" s="90"/>
      <c r="G180" s="91"/>
      <c r="H180" s="91"/>
      <c r="I180" s="91"/>
      <c r="J180" s="92"/>
    </row>
    <row r="181" spans="1:10" x14ac:dyDescent="0.25">
      <c r="A181" s="42">
        <v>173</v>
      </c>
      <c r="B181" s="79">
        <v>43305</v>
      </c>
      <c r="C181" s="89"/>
      <c r="D181" s="85"/>
      <c r="E181" s="85"/>
      <c r="F181" s="90"/>
      <c r="G181" s="91"/>
      <c r="H181" s="91"/>
      <c r="I181" s="91"/>
      <c r="J181" s="92"/>
    </row>
    <row r="182" spans="1:10" x14ac:dyDescent="0.25">
      <c r="A182" s="42">
        <v>174</v>
      </c>
      <c r="B182" s="79">
        <v>43306</v>
      </c>
      <c r="C182" s="89"/>
      <c r="D182" s="85"/>
      <c r="E182" s="85"/>
      <c r="F182" s="90"/>
      <c r="G182" s="91"/>
      <c r="H182" s="91"/>
      <c r="I182" s="91"/>
      <c r="J182" s="92"/>
    </row>
    <row r="183" spans="1:10" x14ac:dyDescent="0.25">
      <c r="A183" s="42">
        <v>175</v>
      </c>
      <c r="B183" s="79">
        <v>43307</v>
      </c>
      <c r="C183" s="89"/>
      <c r="D183" s="85"/>
      <c r="E183" s="85"/>
      <c r="F183" s="90"/>
      <c r="G183" s="91"/>
      <c r="H183" s="91"/>
      <c r="I183" s="91"/>
      <c r="J183" s="92"/>
    </row>
    <row r="184" spans="1:10" x14ac:dyDescent="0.25">
      <c r="A184" s="42">
        <v>176</v>
      </c>
      <c r="B184" s="79">
        <v>43308</v>
      </c>
      <c r="C184" s="89"/>
      <c r="D184" s="85"/>
      <c r="E184" s="85"/>
      <c r="F184" s="90"/>
      <c r="G184" s="91"/>
      <c r="H184" s="91"/>
      <c r="I184" s="91"/>
      <c r="J184" s="92"/>
    </row>
    <row r="185" spans="1:10" x14ac:dyDescent="0.25">
      <c r="A185" s="42">
        <v>177</v>
      </c>
      <c r="B185" s="79">
        <v>43309</v>
      </c>
      <c r="C185" s="89"/>
      <c r="D185" s="85"/>
      <c r="E185" s="85"/>
      <c r="F185" s="90"/>
      <c r="G185" s="91"/>
      <c r="H185" s="91"/>
      <c r="I185" s="91"/>
      <c r="J185" s="92"/>
    </row>
    <row r="186" spans="1:10" x14ac:dyDescent="0.25">
      <c r="A186" s="42">
        <v>178</v>
      </c>
      <c r="B186" s="79">
        <v>43310</v>
      </c>
      <c r="C186" s="89"/>
      <c r="D186" s="85"/>
      <c r="E186" s="85"/>
      <c r="F186" s="90"/>
      <c r="G186" s="91"/>
      <c r="H186" s="91"/>
      <c r="I186" s="91"/>
      <c r="J186" s="92"/>
    </row>
    <row r="187" spans="1:10" x14ac:dyDescent="0.25">
      <c r="A187" s="42">
        <v>179</v>
      </c>
      <c r="B187" s="79">
        <v>43311</v>
      </c>
      <c r="C187" s="89"/>
      <c r="D187" s="85"/>
      <c r="E187" s="85"/>
      <c r="F187" s="90"/>
      <c r="G187" s="91"/>
      <c r="H187" s="91"/>
      <c r="I187" s="91"/>
      <c r="J187" s="92"/>
    </row>
    <row r="188" spans="1:10" x14ac:dyDescent="0.25">
      <c r="A188" s="42">
        <v>180</v>
      </c>
      <c r="B188" s="79">
        <v>43312</v>
      </c>
      <c r="C188" s="89"/>
      <c r="D188" s="85"/>
      <c r="E188" s="85"/>
      <c r="F188" s="90"/>
      <c r="G188" s="91"/>
      <c r="H188" s="91"/>
      <c r="I188" s="91"/>
      <c r="J188" s="92"/>
    </row>
    <row r="189" spans="1:10" x14ac:dyDescent="0.25">
      <c r="A189" s="42">
        <v>181</v>
      </c>
      <c r="B189" s="79">
        <v>43313</v>
      </c>
      <c r="C189" s="89"/>
      <c r="D189" s="85"/>
      <c r="E189" s="85"/>
      <c r="F189" s="90"/>
      <c r="G189" s="91"/>
      <c r="H189" s="91"/>
      <c r="I189" s="91"/>
      <c r="J189" s="92"/>
    </row>
    <row r="190" spans="1:10" x14ac:dyDescent="0.25">
      <c r="A190" s="42">
        <v>182</v>
      </c>
      <c r="B190" s="79">
        <v>43314</v>
      </c>
      <c r="C190" s="89"/>
      <c r="D190" s="85"/>
      <c r="E190" s="85"/>
      <c r="F190" s="90"/>
      <c r="G190" s="91"/>
      <c r="H190" s="91"/>
      <c r="I190" s="91"/>
      <c r="J190" s="92"/>
    </row>
    <row r="191" spans="1:10" x14ac:dyDescent="0.25">
      <c r="A191" s="42">
        <v>183</v>
      </c>
      <c r="B191" s="79">
        <v>43315</v>
      </c>
      <c r="C191" s="89"/>
      <c r="D191" s="85"/>
      <c r="E191" s="85"/>
      <c r="F191" s="90"/>
      <c r="G191" s="91"/>
      <c r="H191" s="91"/>
      <c r="I191" s="91"/>
      <c r="J191" s="92"/>
    </row>
    <row r="192" spans="1:10" x14ac:dyDescent="0.25">
      <c r="A192" s="42">
        <v>184</v>
      </c>
      <c r="B192" s="79">
        <v>43316</v>
      </c>
      <c r="C192" s="89"/>
      <c r="D192" s="85"/>
      <c r="E192" s="85"/>
      <c r="F192" s="90"/>
      <c r="G192" s="91"/>
      <c r="H192" s="91"/>
      <c r="I192" s="91"/>
      <c r="J192" s="92"/>
    </row>
    <row r="193" spans="1:10" x14ac:dyDescent="0.25">
      <c r="A193" s="42">
        <v>185</v>
      </c>
      <c r="B193" s="79">
        <v>43317</v>
      </c>
      <c r="C193" s="89"/>
      <c r="D193" s="85"/>
      <c r="E193" s="85"/>
      <c r="F193" s="90"/>
      <c r="G193" s="91"/>
      <c r="H193" s="91"/>
      <c r="I193" s="91"/>
      <c r="J193" s="92"/>
    </row>
    <row r="194" spans="1:10" x14ac:dyDescent="0.25">
      <c r="A194" s="42">
        <v>186</v>
      </c>
      <c r="B194" s="79">
        <v>43318</v>
      </c>
      <c r="C194" s="89"/>
      <c r="D194" s="85"/>
      <c r="E194" s="85"/>
      <c r="F194" s="90"/>
      <c r="G194" s="91"/>
      <c r="H194" s="91"/>
      <c r="I194" s="91"/>
      <c r="J194" s="92"/>
    </row>
    <row r="195" spans="1:10" x14ac:dyDescent="0.25">
      <c r="A195" s="42">
        <v>187</v>
      </c>
      <c r="B195" s="79">
        <v>43319</v>
      </c>
      <c r="C195" s="89"/>
      <c r="D195" s="85"/>
      <c r="E195" s="85"/>
      <c r="F195" s="90"/>
      <c r="G195" s="91"/>
      <c r="H195" s="91"/>
      <c r="I195" s="91"/>
      <c r="J195" s="92"/>
    </row>
    <row r="196" spans="1:10" x14ac:dyDescent="0.25">
      <c r="A196" s="42">
        <v>188</v>
      </c>
      <c r="B196" s="79">
        <v>43320</v>
      </c>
      <c r="C196" s="89"/>
      <c r="D196" s="85"/>
      <c r="E196" s="85"/>
      <c r="F196" s="90"/>
      <c r="G196" s="91"/>
      <c r="H196" s="91"/>
      <c r="I196" s="91"/>
      <c r="J196" s="92"/>
    </row>
    <row r="197" spans="1:10" x14ac:dyDescent="0.25">
      <c r="A197" s="42">
        <v>189</v>
      </c>
      <c r="B197" s="79">
        <v>43321</v>
      </c>
      <c r="C197" s="89"/>
      <c r="D197" s="85"/>
      <c r="E197" s="85"/>
      <c r="F197" s="90"/>
      <c r="G197" s="91"/>
      <c r="H197" s="91"/>
      <c r="I197" s="91"/>
      <c r="J197" s="92"/>
    </row>
    <row r="198" spans="1:10" x14ac:dyDescent="0.25">
      <c r="A198" s="42">
        <v>190</v>
      </c>
      <c r="B198" s="79">
        <v>43322</v>
      </c>
      <c r="C198" s="89"/>
      <c r="D198" s="85"/>
      <c r="E198" s="85"/>
      <c r="F198" s="90"/>
      <c r="G198" s="91"/>
      <c r="H198" s="91"/>
      <c r="I198" s="91"/>
      <c r="J198" s="92"/>
    </row>
    <row r="199" spans="1:10" x14ac:dyDescent="0.25">
      <c r="A199" s="42">
        <v>191</v>
      </c>
      <c r="B199" s="79">
        <v>43323</v>
      </c>
      <c r="C199" s="89"/>
      <c r="D199" s="85"/>
      <c r="E199" s="85"/>
      <c r="F199" s="90"/>
      <c r="G199" s="91"/>
      <c r="H199" s="91"/>
      <c r="I199" s="91"/>
      <c r="J199" s="92"/>
    </row>
    <row r="200" spans="1:10" x14ac:dyDescent="0.25">
      <c r="A200" s="42">
        <v>192</v>
      </c>
      <c r="B200" s="79">
        <v>43324</v>
      </c>
      <c r="C200" s="89"/>
      <c r="D200" s="85"/>
      <c r="E200" s="85"/>
      <c r="F200" s="90"/>
      <c r="G200" s="91"/>
      <c r="H200" s="91"/>
      <c r="I200" s="91"/>
      <c r="J200" s="92"/>
    </row>
    <row r="201" spans="1:10" x14ac:dyDescent="0.25">
      <c r="A201" s="42">
        <v>193</v>
      </c>
      <c r="B201" s="79">
        <v>43325</v>
      </c>
      <c r="C201" s="89"/>
      <c r="D201" s="85"/>
      <c r="E201" s="85"/>
      <c r="F201" s="90"/>
      <c r="G201" s="91"/>
      <c r="H201" s="91"/>
      <c r="I201" s="91"/>
      <c r="J201" s="92"/>
    </row>
    <row r="202" spans="1:10" x14ac:dyDescent="0.25">
      <c r="A202" s="42">
        <v>194</v>
      </c>
      <c r="B202" s="79">
        <v>43326</v>
      </c>
      <c r="C202" s="89"/>
      <c r="D202" s="85"/>
      <c r="E202" s="85"/>
      <c r="F202" s="90"/>
      <c r="G202" s="91"/>
      <c r="H202" s="91"/>
      <c r="I202" s="91"/>
      <c r="J202" s="92"/>
    </row>
    <row r="203" spans="1:10" x14ac:dyDescent="0.25">
      <c r="A203" s="42">
        <v>195</v>
      </c>
      <c r="B203" s="79">
        <v>43327</v>
      </c>
      <c r="C203" s="89"/>
      <c r="D203" s="85"/>
      <c r="E203" s="85"/>
      <c r="F203" s="90"/>
      <c r="G203" s="91"/>
      <c r="H203" s="91"/>
      <c r="I203" s="91"/>
      <c r="J203" s="92"/>
    </row>
    <row r="204" spans="1:10" x14ac:dyDescent="0.25">
      <c r="A204" s="42">
        <v>196</v>
      </c>
      <c r="B204" s="79">
        <v>43328</v>
      </c>
      <c r="C204" s="89"/>
      <c r="D204" s="85"/>
      <c r="E204" s="85"/>
      <c r="F204" s="90"/>
      <c r="G204" s="91"/>
      <c r="H204" s="91"/>
      <c r="I204" s="91"/>
      <c r="J204" s="92"/>
    </row>
    <row r="205" spans="1:10" x14ac:dyDescent="0.25">
      <c r="A205" s="42">
        <v>197</v>
      </c>
      <c r="B205" s="79">
        <v>43329</v>
      </c>
      <c r="C205" s="89"/>
      <c r="D205" s="85"/>
      <c r="E205" s="85"/>
      <c r="F205" s="90"/>
      <c r="G205" s="91"/>
      <c r="H205" s="91"/>
      <c r="I205" s="91"/>
      <c r="J205" s="92"/>
    </row>
    <row r="206" spans="1:10" x14ac:dyDescent="0.25">
      <c r="A206" s="42">
        <v>198</v>
      </c>
      <c r="B206" s="79">
        <v>43330</v>
      </c>
      <c r="C206" s="89"/>
      <c r="D206" s="85"/>
      <c r="E206" s="85"/>
      <c r="F206" s="90"/>
      <c r="G206" s="91"/>
      <c r="H206" s="91"/>
      <c r="I206" s="91"/>
      <c r="J206" s="92"/>
    </row>
    <row r="207" spans="1:10" x14ac:dyDescent="0.25">
      <c r="A207" s="42">
        <v>199</v>
      </c>
      <c r="B207" s="79">
        <v>43331</v>
      </c>
      <c r="C207" s="89"/>
      <c r="D207" s="85"/>
      <c r="E207" s="85"/>
      <c r="F207" s="90"/>
      <c r="G207" s="91"/>
      <c r="H207" s="91"/>
      <c r="I207" s="91"/>
      <c r="J207" s="92"/>
    </row>
    <row r="208" spans="1:10" x14ac:dyDescent="0.25">
      <c r="A208" s="42">
        <v>200</v>
      </c>
      <c r="B208" s="79">
        <v>43332</v>
      </c>
      <c r="C208" s="89"/>
      <c r="D208" s="85"/>
      <c r="E208" s="85"/>
      <c r="F208" s="90"/>
      <c r="G208" s="91"/>
      <c r="H208" s="91"/>
      <c r="I208" s="91"/>
      <c r="J208" s="92"/>
    </row>
    <row r="209" spans="1:10" x14ac:dyDescent="0.25">
      <c r="A209" s="42">
        <v>201</v>
      </c>
      <c r="B209" s="79">
        <v>43333</v>
      </c>
      <c r="C209" s="89"/>
      <c r="D209" s="85"/>
      <c r="E209" s="85"/>
      <c r="F209" s="90"/>
      <c r="G209" s="91"/>
      <c r="H209" s="91"/>
      <c r="I209" s="91"/>
      <c r="J209" s="92"/>
    </row>
    <row r="210" spans="1:10" x14ac:dyDescent="0.25">
      <c r="A210" s="42">
        <v>202</v>
      </c>
      <c r="B210" s="79">
        <v>43334</v>
      </c>
      <c r="C210" s="89"/>
      <c r="D210" s="85"/>
      <c r="E210" s="85"/>
      <c r="F210" s="90"/>
      <c r="G210" s="91"/>
      <c r="H210" s="91"/>
      <c r="I210" s="91"/>
      <c r="J210" s="92"/>
    </row>
    <row r="211" spans="1:10" x14ac:dyDescent="0.25">
      <c r="A211" s="42">
        <v>203</v>
      </c>
      <c r="B211" s="79">
        <v>43335</v>
      </c>
      <c r="C211" s="89"/>
      <c r="D211" s="85"/>
      <c r="E211" s="85"/>
      <c r="F211" s="90"/>
      <c r="G211" s="91"/>
      <c r="H211" s="91"/>
      <c r="I211" s="91"/>
      <c r="J211" s="92"/>
    </row>
    <row r="212" spans="1:10" x14ac:dyDescent="0.25">
      <c r="A212" s="42">
        <v>204</v>
      </c>
      <c r="B212" s="79">
        <v>43336</v>
      </c>
      <c r="C212" s="89"/>
      <c r="D212" s="85"/>
      <c r="E212" s="85"/>
      <c r="F212" s="90"/>
      <c r="G212" s="91"/>
      <c r="H212" s="91"/>
      <c r="I212" s="91"/>
      <c r="J212" s="92"/>
    </row>
    <row r="213" spans="1:10" x14ac:dyDescent="0.25">
      <c r="A213" s="42">
        <v>205</v>
      </c>
      <c r="B213" s="79">
        <v>43337</v>
      </c>
      <c r="C213" s="89"/>
      <c r="D213" s="85"/>
      <c r="E213" s="85"/>
      <c r="F213" s="90"/>
      <c r="G213" s="91"/>
      <c r="H213" s="91"/>
      <c r="I213" s="91"/>
      <c r="J213" s="92"/>
    </row>
    <row r="214" spans="1:10" x14ac:dyDescent="0.25">
      <c r="A214" s="42">
        <v>206</v>
      </c>
      <c r="B214" s="79">
        <v>43338</v>
      </c>
      <c r="C214" s="89"/>
      <c r="D214" s="85"/>
      <c r="E214" s="85"/>
      <c r="F214" s="90"/>
      <c r="G214" s="91"/>
      <c r="H214" s="91"/>
      <c r="I214" s="91"/>
      <c r="J214" s="92"/>
    </row>
    <row r="215" spans="1:10" x14ac:dyDescent="0.25">
      <c r="A215" s="42">
        <v>207</v>
      </c>
      <c r="B215" s="79">
        <v>43339</v>
      </c>
      <c r="C215" s="89"/>
      <c r="D215" s="85"/>
      <c r="E215" s="85"/>
      <c r="F215" s="90"/>
      <c r="G215" s="91"/>
      <c r="H215" s="91"/>
      <c r="I215" s="91"/>
      <c r="J215" s="92"/>
    </row>
    <row r="216" spans="1:10" x14ac:dyDescent="0.25">
      <c r="A216" s="42">
        <v>208</v>
      </c>
      <c r="B216" s="79">
        <v>43340</v>
      </c>
      <c r="C216" s="89"/>
      <c r="D216" s="85"/>
      <c r="E216" s="85"/>
      <c r="F216" s="90"/>
      <c r="G216" s="91"/>
      <c r="H216" s="91"/>
      <c r="I216" s="91"/>
      <c r="J216" s="92"/>
    </row>
    <row r="217" spans="1:10" x14ac:dyDescent="0.25">
      <c r="A217" s="42">
        <v>209</v>
      </c>
      <c r="B217" s="79">
        <v>43341</v>
      </c>
      <c r="C217" s="89"/>
      <c r="D217" s="85"/>
      <c r="E217" s="85"/>
      <c r="F217" s="90"/>
      <c r="G217" s="91"/>
      <c r="H217" s="91"/>
      <c r="I217" s="91"/>
      <c r="J217" s="92"/>
    </row>
    <row r="218" spans="1:10" x14ac:dyDescent="0.25">
      <c r="A218" s="42">
        <v>210</v>
      </c>
      <c r="B218" s="79">
        <v>43342</v>
      </c>
      <c r="C218" s="89"/>
      <c r="D218" s="85"/>
      <c r="E218" s="85"/>
      <c r="F218" s="90"/>
      <c r="G218" s="91"/>
      <c r="H218" s="91"/>
      <c r="I218" s="91"/>
      <c r="J218" s="92"/>
    </row>
    <row r="219" spans="1:10" x14ac:dyDescent="0.25">
      <c r="A219" s="42">
        <v>211</v>
      </c>
      <c r="B219" s="79">
        <v>43343</v>
      </c>
      <c r="C219" s="89"/>
      <c r="D219" s="85"/>
      <c r="E219" s="85"/>
      <c r="F219" s="90"/>
      <c r="G219" s="91"/>
      <c r="H219" s="91"/>
      <c r="I219" s="91"/>
      <c r="J219" s="92"/>
    </row>
    <row r="220" spans="1:10" x14ac:dyDescent="0.25">
      <c r="A220" s="42">
        <v>212</v>
      </c>
      <c r="B220" s="79">
        <v>43344</v>
      </c>
      <c r="C220" s="89"/>
      <c r="D220" s="85"/>
      <c r="E220" s="85"/>
      <c r="F220" s="90"/>
      <c r="G220" s="91"/>
      <c r="H220" s="91"/>
      <c r="I220" s="91"/>
      <c r="J220" s="92"/>
    </row>
    <row r="221" spans="1:10" x14ac:dyDescent="0.25">
      <c r="A221" s="42">
        <v>213</v>
      </c>
      <c r="B221" s="79">
        <v>43345</v>
      </c>
      <c r="C221" s="89"/>
      <c r="D221" s="85"/>
      <c r="E221" s="85"/>
      <c r="F221" s="90"/>
      <c r="G221" s="91"/>
      <c r="H221" s="91"/>
      <c r="I221" s="91"/>
      <c r="J221" s="92"/>
    </row>
    <row r="222" spans="1:10" x14ac:dyDescent="0.25">
      <c r="A222" s="42">
        <v>214</v>
      </c>
      <c r="B222" s="79">
        <v>43346</v>
      </c>
      <c r="C222" s="89"/>
      <c r="D222" s="85"/>
      <c r="E222" s="85"/>
      <c r="F222" s="90"/>
      <c r="G222" s="91"/>
      <c r="H222" s="91"/>
      <c r="I222" s="91"/>
      <c r="J222" s="92"/>
    </row>
    <row r="223" spans="1:10" x14ac:dyDescent="0.25">
      <c r="A223" s="42">
        <v>215</v>
      </c>
      <c r="B223" s="79">
        <v>43347</v>
      </c>
      <c r="C223" s="89"/>
      <c r="D223" s="85"/>
      <c r="E223" s="85"/>
      <c r="F223" s="90"/>
      <c r="G223" s="91"/>
      <c r="H223" s="91"/>
      <c r="I223" s="91"/>
      <c r="J223" s="92"/>
    </row>
    <row r="224" spans="1:10" x14ac:dyDescent="0.25">
      <c r="A224" s="42">
        <v>216</v>
      </c>
      <c r="B224" s="79">
        <v>43348</v>
      </c>
      <c r="C224" s="89"/>
      <c r="D224" s="85"/>
      <c r="E224" s="85"/>
      <c r="F224" s="90"/>
      <c r="G224" s="91"/>
      <c r="H224" s="91"/>
      <c r="I224" s="91"/>
      <c r="J224" s="92"/>
    </row>
    <row r="225" spans="1:10" x14ac:dyDescent="0.25">
      <c r="A225" s="42">
        <v>217</v>
      </c>
      <c r="B225" s="79">
        <v>43349</v>
      </c>
      <c r="C225" s="89"/>
      <c r="D225" s="85"/>
      <c r="E225" s="85"/>
      <c r="F225" s="90"/>
      <c r="G225" s="91"/>
      <c r="H225" s="91"/>
      <c r="I225" s="91"/>
      <c r="J225" s="92"/>
    </row>
    <row r="226" spans="1:10" x14ac:dyDescent="0.25">
      <c r="A226" s="42">
        <v>218</v>
      </c>
      <c r="B226" s="79">
        <v>43350</v>
      </c>
      <c r="C226" s="89"/>
      <c r="D226" s="85"/>
      <c r="E226" s="85"/>
      <c r="F226" s="90"/>
      <c r="G226" s="91"/>
      <c r="H226" s="91"/>
      <c r="I226" s="91"/>
      <c r="J226" s="92"/>
    </row>
    <row r="227" spans="1:10" x14ac:dyDescent="0.25">
      <c r="A227" s="42">
        <v>219</v>
      </c>
      <c r="B227" s="79">
        <v>43351</v>
      </c>
      <c r="C227" s="89"/>
      <c r="D227" s="85"/>
      <c r="E227" s="85"/>
      <c r="F227" s="90"/>
      <c r="G227" s="91"/>
      <c r="H227" s="91"/>
      <c r="I227" s="91"/>
      <c r="J227" s="92"/>
    </row>
    <row r="228" spans="1:10" x14ac:dyDescent="0.25">
      <c r="A228" s="42">
        <v>220</v>
      </c>
      <c r="B228" s="79">
        <v>43352</v>
      </c>
      <c r="C228" s="89"/>
      <c r="D228" s="85"/>
      <c r="E228" s="85"/>
      <c r="F228" s="90"/>
      <c r="G228" s="91"/>
      <c r="H228" s="91"/>
      <c r="I228" s="91"/>
      <c r="J228" s="92"/>
    </row>
    <row r="229" spans="1:10" x14ac:dyDescent="0.25">
      <c r="A229" s="42">
        <v>221</v>
      </c>
      <c r="B229" s="79">
        <v>43353</v>
      </c>
      <c r="C229" s="89"/>
      <c r="D229" s="85"/>
      <c r="E229" s="85"/>
      <c r="F229" s="90"/>
      <c r="G229" s="91"/>
      <c r="H229" s="91"/>
      <c r="I229" s="91"/>
      <c r="J229" s="92"/>
    </row>
    <row r="230" spans="1:10" x14ac:dyDescent="0.25">
      <c r="A230" s="42">
        <v>222</v>
      </c>
      <c r="B230" s="79">
        <v>43354</v>
      </c>
      <c r="C230" s="89"/>
      <c r="D230" s="85"/>
      <c r="E230" s="85"/>
      <c r="F230" s="90"/>
      <c r="G230" s="91"/>
      <c r="H230" s="91"/>
      <c r="I230" s="91"/>
      <c r="J230" s="92"/>
    </row>
    <row r="231" spans="1:10" x14ac:dyDescent="0.25">
      <c r="A231" s="42">
        <v>223</v>
      </c>
      <c r="B231" s="79">
        <v>43355</v>
      </c>
      <c r="C231" s="89"/>
      <c r="D231" s="85"/>
      <c r="E231" s="85"/>
      <c r="F231" s="90"/>
      <c r="G231" s="91"/>
      <c r="H231" s="91"/>
      <c r="I231" s="91"/>
      <c r="J231" s="92"/>
    </row>
    <row r="232" spans="1:10" x14ac:dyDescent="0.25">
      <c r="A232" s="42">
        <v>224</v>
      </c>
      <c r="B232" s="79">
        <v>43356</v>
      </c>
      <c r="C232" s="89"/>
      <c r="D232" s="85"/>
      <c r="E232" s="85"/>
      <c r="F232" s="90"/>
      <c r="G232" s="91"/>
      <c r="H232" s="91"/>
      <c r="I232" s="91"/>
      <c r="J232" s="92"/>
    </row>
    <row r="233" spans="1:10" x14ac:dyDescent="0.25">
      <c r="A233" s="42">
        <v>225</v>
      </c>
      <c r="B233" s="79">
        <v>43357</v>
      </c>
      <c r="C233" s="89"/>
      <c r="D233" s="85"/>
      <c r="E233" s="85"/>
      <c r="F233" s="90"/>
      <c r="G233" s="91"/>
      <c r="H233" s="91"/>
      <c r="I233" s="91"/>
      <c r="J233" s="92"/>
    </row>
    <row r="234" spans="1:10" x14ac:dyDescent="0.25">
      <c r="A234" s="42">
        <v>226</v>
      </c>
      <c r="B234" s="79">
        <v>43358</v>
      </c>
      <c r="C234" s="89"/>
      <c r="D234" s="85"/>
      <c r="E234" s="85"/>
      <c r="F234" s="90"/>
      <c r="G234" s="91"/>
      <c r="H234" s="91"/>
      <c r="I234" s="91"/>
      <c r="J234" s="92"/>
    </row>
    <row r="235" spans="1:10" x14ac:dyDescent="0.25">
      <c r="A235" s="42">
        <v>227</v>
      </c>
      <c r="B235" s="79">
        <v>43359</v>
      </c>
      <c r="C235" s="89"/>
      <c r="D235" s="85"/>
      <c r="E235" s="85"/>
      <c r="F235" s="90"/>
      <c r="G235" s="91"/>
      <c r="H235" s="91"/>
      <c r="I235" s="91"/>
      <c r="J235" s="92"/>
    </row>
    <row r="236" spans="1:10" x14ac:dyDescent="0.25">
      <c r="A236" s="42">
        <v>228</v>
      </c>
      <c r="B236" s="79">
        <v>43360</v>
      </c>
      <c r="C236" s="89"/>
      <c r="D236" s="85"/>
      <c r="E236" s="85"/>
      <c r="F236" s="90"/>
      <c r="G236" s="91"/>
      <c r="H236" s="91"/>
      <c r="I236" s="91"/>
      <c r="J236" s="92"/>
    </row>
    <row r="237" spans="1:10" x14ac:dyDescent="0.25">
      <c r="A237" s="42">
        <v>229</v>
      </c>
      <c r="B237" s="79">
        <v>43361</v>
      </c>
      <c r="C237" s="89"/>
      <c r="D237" s="85"/>
      <c r="E237" s="85"/>
      <c r="F237" s="90"/>
      <c r="G237" s="91"/>
      <c r="H237" s="91"/>
      <c r="I237" s="91"/>
      <c r="J237" s="92"/>
    </row>
    <row r="238" spans="1:10" x14ac:dyDescent="0.25">
      <c r="A238" s="42">
        <v>230</v>
      </c>
      <c r="B238" s="79">
        <v>43362</v>
      </c>
      <c r="C238" s="89"/>
      <c r="D238" s="85"/>
      <c r="E238" s="85"/>
      <c r="F238" s="90"/>
      <c r="G238" s="91"/>
      <c r="H238" s="91"/>
      <c r="I238" s="91"/>
      <c r="J238" s="92"/>
    </row>
    <row r="239" spans="1:10" x14ac:dyDescent="0.25">
      <c r="A239" s="42">
        <v>231</v>
      </c>
      <c r="B239" s="79">
        <v>43363</v>
      </c>
      <c r="C239" s="89"/>
      <c r="D239" s="85"/>
      <c r="E239" s="85"/>
      <c r="F239" s="90"/>
      <c r="G239" s="91"/>
      <c r="H239" s="91"/>
      <c r="I239" s="91"/>
      <c r="J239" s="92"/>
    </row>
    <row r="240" spans="1:10" x14ac:dyDescent="0.25">
      <c r="A240" s="42">
        <v>232</v>
      </c>
      <c r="B240" s="79">
        <v>43364</v>
      </c>
      <c r="C240" s="89"/>
      <c r="D240" s="85"/>
      <c r="E240" s="85"/>
      <c r="F240" s="90"/>
      <c r="G240" s="91"/>
      <c r="H240" s="91"/>
      <c r="I240" s="91"/>
      <c r="J240" s="92"/>
    </row>
    <row r="241" spans="1:10" x14ac:dyDescent="0.25">
      <c r="A241" s="42">
        <v>233</v>
      </c>
      <c r="B241" s="79">
        <v>43365</v>
      </c>
      <c r="C241" s="89"/>
      <c r="D241" s="85"/>
      <c r="E241" s="85"/>
      <c r="F241" s="90"/>
      <c r="G241" s="91"/>
      <c r="H241" s="91"/>
      <c r="I241" s="91"/>
      <c r="J241" s="92"/>
    </row>
    <row r="242" spans="1:10" x14ac:dyDescent="0.25">
      <c r="A242" s="42">
        <v>234</v>
      </c>
      <c r="B242" s="79">
        <v>43366</v>
      </c>
      <c r="C242" s="89"/>
      <c r="D242" s="85"/>
      <c r="E242" s="85"/>
      <c r="F242" s="90"/>
      <c r="G242" s="91"/>
      <c r="H242" s="91"/>
      <c r="I242" s="91"/>
      <c r="J242" s="92"/>
    </row>
    <row r="243" spans="1:10" x14ac:dyDescent="0.25">
      <c r="A243" s="42">
        <v>235</v>
      </c>
      <c r="B243" s="79">
        <v>43367</v>
      </c>
      <c r="C243" s="89"/>
      <c r="D243" s="85"/>
      <c r="E243" s="85"/>
      <c r="F243" s="90"/>
      <c r="G243" s="91"/>
      <c r="H243" s="91"/>
      <c r="I243" s="91"/>
      <c r="J243" s="92"/>
    </row>
    <row r="244" spans="1:10" x14ac:dyDescent="0.25">
      <c r="A244" s="42">
        <v>236</v>
      </c>
      <c r="B244" s="79">
        <v>43368</v>
      </c>
      <c r="C244" s="89"/>
      <c r="D244" s="85"/>
      <c r="E244" s="85"/>
      <c r="F244" s="90"/>
      <c r="G244" s="91"/>
      <c r="H244" s="91"/>
      <c r="I244" s="91"/>
      <c r="J244" s="92"/>
    </row>
    <row r="245" spans="1:10" x14ac:dyDescent="0.25">
      <c r="A245" s="42">
        <v>237</v>
      </c>
      <c r="B245" s="79">
        <v>43369</v>
      </c>
      <c r="C245" s="89"/>
      <c r="D245" s="85"/>
      <c r="E245" s="85"/>
      <c r="F245" s="90"/>
      <c r="G245" s="91"/>
      <c r="H245" s="91"/>
      <c r="I245" s="91"/>
      <c r="J245" s="92"/>
    </row>
    <row r="246" spans="1:10" x14ac:dyDescent="0.25">
      <c r="A246" s="42">
        <v>238</v>
      </c>
      <c r="B246" s="79">
        <v>43370</v>
      </c>
      <c r="C246" s="89"/>
      <c r="D246" s="85"/>
      <c r="E246" s="85"/>
      <c r="F246" s="90"/>
      <c r="G246" s="91"/>
      <c r="H246" s="91"/>
      <c r="I246" s="91"/>
      <c r="J246" s="92"/>
    </row>
    <row r="247" spans="1:10" x14ac:dyDescent="0.25">
      <c r="A247" s="42">
        <v>239</v>
      </c>
      <c r="B247" s="79">
        <v>43371</v>
      </c>
      <c r="C247" s="89"/>
      <c r="D247" s="85"/>
      <c r="E247" s="85"/>
      <c r="F247" s="90"/>
      <c r="G247" s="91"/>
      <c r="H247" s="91"/>
      <c r="I247" s="91"/>
      <c r="J247" s="92"/>
    </row>
    <row r="248" spans="1:10" x14ac:dyDescent="0.25">
      <c r="A248" s="42">
        <v>240</v>
      </c>
      <c r="B248" s="79">
        <v>43372</v>
      </c>
      <c r="C248" s="89"/>
      <c r="D248" s="85"/>
      <c r="E248" s="85"/>
      <c r="F248" s="90"/>
      <c r="G248" s="91"/>
      <c r="H248" s="91"/>
      <c r="I248" s="91"/>
      <c r="J248" s="92"/>
    </row>
    <row r="249" spans="1:10" x14ac:dyDescent="0.25">
      <c r="A249" s="42">
        <v>241</v>
      </c>
      <c r="B249" s="79">
        <v>43373</v>
      </c>
      <c r="C249" s="89"/>
      <c r="D249" s="85"/>
      <c r="E249" s="85"/>
      <c r="F249" s="90"/>
      <c r="G249" s="91"/>
      <c r="H249" s="91"/>
      <c r="I249" s="91"/>
      <c r="J249" s="92"/>
    </row>
    <row r="250" spans="1:10" x14ac:dyDescent="0.25">
      <c r="A250" s="42">
        <v>242</v>
      </c>
      <c r="B250" s="79">
        <v>43374</v>
      </c>
      <c r="C250" s="89"/>
      <c r="D250" s="85"/>
      <c r="E250" s="85"/>
      <c r="F250" s="90"/>
      <c r="G250" s="91"/>
      <c r="H250" s="91"/>
      <c r="I250" s="91"/>
      <c r="J250" s="92"/>
    </row>
    <row r="251" spans="1:10" x14ac:dyDescent="0.25">
      <c r="A251" s="42">
        <v>243</v>
      </c>
      <c r="B251" s="79">
        <v>43375</v>
      </c>
      <c r="C251" s="89"/>
      <c r="D251" s="85"/>
      <c r="E251" s="85"/>
      <c r="F251" s="90"/>
      <c r="G251" s="91"/>
      <c r="H251" s="91"/>
      <c r="I251" s="91"/>
      <c r="J251" s="92"/>
    </row>
    <row r="252" spans="1:10" x14ac:dyDescent="0.25">
      <c r="A252" s="42">
        <v>244</v>
      </c>
      <c r="B252" s="79">
        <v>43376</v>
      </c>
      <c r="C252" s="89"/>
      <c r="D252" s="85"/>
      <c r="E252" s="85"/>
      <c r="F252" s="90"/>
      <c r="G252" s="91"/>
      <c r="H252" s="91"/>
      <c r="I252" s="91"/>
      <c r="J252" s="92"/>
    </row>
    <row r="253" spans="1:10" x14ac:dyDescent="0.25">
      <c r="A253" s="42">
        <v>245</v>
      </c>
      <c r="B253" s="79">
        <v>43377</v>
      </c>
      <c r="C253" s="89"/>
      <c r="D253" s="85"/>
      <c r="E253" s="85"/>
      <c r="F253" s="90"/>
      <c r="G253" s="91"/>
      <c r="H253" s="91"/>
      <c r="I253" s="91"/>
      <c r="J253" s="92"/>
    </row>
    <row r="254" spans="1:10" x14ac:dyDescent="0.25">
      <c r="A254" s="42">
        <v>246</v>
      </c>
      <c r="B254" s="79">
        <v>43378</v>
      </c>
      <c r="C254" s="89"/>
      <c r="D254" s="85"/>
      <c r="E254" s="85"/>
      <c r="F254" s="90"/>
      <c r="G254" s="91"/>
      <c r="H254" s="91"/>
      <c r="I254" s="91"/>
      <c r="J254" s="92"/>
    </row>
    <row r="255" spans="1:10" x14ac:dyDescent="0.25">
      <c r="A255" s="42">
        <v>247</v>
      </c>
      <c r="B255" s="79">
        <v>43379</v>
      </c>
      <c r="C255" s="89"/>
      <c r="D255" s="85"/>
      <c r="E255" s="85"/>
      <c r="F255" s="90"/>
      <c r="G255" s="91"/>
      <c r="H255" s="91"/>
      <c r="I255" s="91"/>
      <c r="J255" s="92"/>
    </row>
    <row r="256" spans="1:10" x14ac:dyDescent="0.25">
      <c r="A256" s="42">
        <v>248</v>
      </c>
      <c r="B256" s="79">
        <v>43380</v>
      </c>
      <c r="C256" s="89"/>
      <c r="D256" s="85"/>
      <c r="E256" s="85"/>
      <c r="F256" s="90"/>
      <c r="G256" s="91"/>
      <c r="H256" s="91"/>
      <c r="I256" s="91"/>
      <c r="J256" s="92"/>
    </row>
    <row r="257" spans="1:10" x14ac:dyDescent="0.25">
      <c r="A257" s="42">
        <v>249</v>
      </c>
      <c r="B257" s="79">
        <v>43381</v>
      </c>
      <c r="C257" s="89"/>
      <c r="D257" s="85"/>
      <c r="E257" s="85"/>
      <c r="F257" s="90"/>
      <c r="G257" s="91"/>
      <c r="H257" s="91"/>
      <c r="I257" s="91"/>
      <c r="J257" s="92"/>
    </row>
    <row r="258" spans="1:10" x14ac:dyDescent="0.25">
      <c r="A258" s="42">
        <v>250</v>
      </c>
      <c r="B258" s="79">
        <v>43382</v>
      </c>
      <c r="C258" s="89"/>
      <c r="D258" s="85"/>
      <c r="E258" s="85"/>
      <c r="F258" s="90"/>
      <c r="G258" s="91"/>
      <c r="H258" s="91"/>
      <c r="I258" s="91"/>
      <c r="J258" s="92"/>
    </row>
    <row r="259" spans="1:10" x14ac:dyDescent="0.25">
      <c r="A259" s="42">
        <v>251</v>
      </c>
      <c r="B259" s="79">
        <v>43383</v>
      </c>
      <c r="C259" s="89"/>
      <c r="D259" s="85"/>
      <c r="E259" s="85"/>
      <c r="F259" s="90"/>
      <c r="G259" s="91"/>
      <c r="H259" s="91"/>
      <c r="I259" s="91"/>
      <c r="J259" s="92"/>
    </row>
    <row r="260" spans="1:10" x14ac:dyDescent="0.25">
      <c r="A260" s="42">
        <v>252</v>
      </c>
      <c r="B260" s="79">
        <v>43384</v>
      </c>
      <c r="C260" s="89"/>
      <c r="D260" s="85"/>
      <c r="E260" s="85"/>
      <c r="F260" s="90"/>
      <c r="G260" s="91"/>
      <c r="H260" s="91"/>
      <c r="I260" s="91"/>
      <c r="J260" s="92"/>
    </row>
    <row r="261" spans="1:10" x14ac:dyDescent="0.25">
      <c r="A261" s="42">
        <v>253</v>
      </c>
      <c r="B261" s="79">
        <v>43385</v>
      </c>
      <c r="C261" s="89"/>
      <c r="D261" s="85"/>
      <c r="E261" s="85"/>
      <c r="F261" s="90"/>
      <c r="G261" s="91"/>
      <c r="H261" s="91"/>
      <c r="I261" s="91"/>
      <c r="J261" s="92"/>
    </row>
    <row r="262" spans="1:10" x14ac:dyDescent="0.25">
      <c r="A262" s="42">
        <v>254</v>
      </c>
      <c r="B262" s="79">
        <v>43386</v>
      </c>
      <c r="C262" s="89"/>
      <c r="D262" s="85"/>
      <c r="E262" s="85"/>
      <c r="F262" s="90"/>
      <c r="G262" s="91"/>
      <c r="H262" s="91"/>
      <c r="I262" s="91"/>
      <c r="J262" s="92"/>
    </row>
    <row r="263" spans="1:10" x14ac:dyDescent="0.25">
      <c r="A263" s="42">
        <v>255</v>
      </c>
      <c r="B263" s="79">
        <v>43387</v>
      </c>
      <c r="C263" s="89"/>
      <c r="D263" s="85"/>
      <c r="E263" s="85"/>
      <c r="F263" s="90"/>
      <c r="G263" s="91"/>
      <c r="H263" s="91"/>
      <c r="I263" s="91"/>
      <c r="J263" s="92"/>
    </row>
    <row r="264" spans="1:10" x14ac:dyDescent="0.25">
      <c r="A264" s="42">
        <v>256</v>
      </c>
      <c r="B264" s="79">
        <v>43388</v>
      </c>
      <c r="C264" s="89"/>
      <c r="D264" s="85"/>
      <c r="E264" s="85"/>
      <c r="F264" s="90"/>
      <c r="G264" s="91"/>
      <c r="H264" s="91"/>
      <c r="I264" s="91"/>
      <c r="J264" s="92"/>
    </row>
    <row r="265" spans="1:10" x14ac:dyDescent="0.25">
      <c r="A265" s="42">
        <v>257</v>
      </c>
      <c r="B265" s="79">
        <v>43389</v>
      </c>
      <c r="C265" s="89"/>
      <c r="D265" s="85"/>
      <c r="E265" s="85"/>
      <c r="F265" s="90"/>
      <c r="G265" s="91"/>
      <c r="H265" s="91"/>
      <c r="I265" s="91"/>
      <c r="J265" s="92"/>
    </row>
    <row r="266" spans="1:10" x14ac:dyDescent="0.25">
      <c r="A266" s="42">
        <v>258</v>
      </c>
      <c r="B266" s="79">
        <v>43390</v>
      </c>
      <c r="C266" s="89"/>
      <c r="D266" s="85"/>
      <c r="E266" s="85"/>
      <c r="F266" s="90"/>
      <c r="G266" s="91"/>
      <c r="H266" s="91"/>
      <c r="I266" s="91"/>
      <c r="J266" s="92"/>
    </row>
    <row r="267" spans="1:10" x14ac:dyDescent="0.25">
      <c r="A267" s="42">
        <v>259</v>
      </c>
      <c r="B267" s="79">
        <v>43391</v>
      </c>
      <c r="C267" s="89"/>
      <c r="D267" s="85"/>
      <c r="E267" s="85"/>
      <c r="F267" s="90"/>
      <c r="G267" s="91"/>
      <c r="H267" s="91"/>
      <c r="I267" s="91"/>
      <c r="J267" s="92"/>
    </row>
    <row r="268" spans="1:10" x14ac:dyDescent="0.25">
      <c r="A268" s="42">
        <v>260</v>
      </c>
      <c r="B268" s="79">
        <v>43392</v>
      </c>
      <c r="C268" s="89"/>
      <c r="D268" s="85"/>
      <c r="E268" s="85"/>
      <c r="F268" s="90"/>
      <c r="G268" s="91"/>
      <c r="H268" s="91"/>
      <c r="I268" s="91"/>
      <c r="J268" s="92"/>
    </row>
    <row r="269" spans="1:10" x14ac:dyDescent="0.25">
      <c r="A269" s="42">
        <v>261</v>
      </c>
      <c r="B269" s="79">
        <v>43393</v>
      </c>
      <c r="C269" s="89"/>
      <c r="D269" s="85"/>
      <c r="E269" s="85"/>
      <c r="F269" s="90"/>
      <c r="G269" s="91"/>
      <c r="H269" s="91"/>
      <c r="I269" s="91"/>
      <c r="J269" s="92"/>
    </row>
    <row r="270" spans="1:10" x14ac:dyDescent="0.25">
      <c r="A270" s="42">
        <v>262</v>
      </c>
      <c r="B270" s="79">
        <v>43394</v>
      </c>
      <c r="C270" s="89"/>
      <c r="D270" s="85"/>
      <c r="E270" s="85"/>
      <c r="F270" s="90"/>
      <c r="G270" s="91"/>
      <c r="H270" s="91"/>
      <c r="I270" s="91"/>
      <c r="J270" s="92"/>
    </row>
    <row r="271" spans="1:10" x14ac:dyDescent="0.25">
      <c r="A271" s="42">
        <v>263</v>
      </c>
      <c r="B271" s="79">
        <v>43395</v>
      </c>
      <c r="C271" s="89"/>
      <c r="D271" s="85"/>
      <c r="E271" s="85"/>
      <c r="F271" s="90"/>
      <c r="G271" s="91"/>
      <c r="H271" s="91"/>
      <c r="I271" s="91"/>
      <c r="J271" s="92"/>
    </row>
    <row r="272" spans="1:10" x14ac:dyDescent="0.25">
      <c r="A272" s="42">
        <v>264</v>
      </c>
      <c r="B272" s="79">
        <v>43396</v>
      </c>
      <c r="C272" s="89"/>
      <c r="D272" s="85"/>
      <c r="E272" s="85"/>
      <c r="F272" s="90"/>
      <c r="G272" s="91"/>
      <c r="H272" s="91"/>
      <c r="I272" s="91"/>
      <c r="J272" s="92"/>
    </row>
    <row r="273" spans="1:10" x14ac:dyDescent="0.25">
      <c r="A273" s="42">
        <v>265</v>
      </c>
      <c r="B273" s="79">
        <v>43397</v>
      </c>
      <c r="C273" s="89"/>
      <c r="D273" s="85"/>
      <c r="E273" s="85"/>
      <c r="F273" s="90"/>
      <c r="G273" s="91"/>
      <c r="H273" s="91"/>
      <c r="I273" s="91"/>
      <c r="J273" s="92"/>
    </row>
    <row r="274" spans="1:10" x14ac:dyDescent="0.25">
      <c r="A274" s="42">
        <v>266</v>
      </c>
      <c r="B274" s="79">
        <v>43398</v>
      </c>
      <c r="C274" s="89"/>
      <c r="D274" s="85"/>
      <c r="E274" s="85"/>
      <c r="F274" s="90"/>
      <c r="G274" s="91"/>
      <c r="H274" s="91"/>
      <c r="I274" s="91"/>
      <c r="J274" s="92"/>
    </row>
    <row r="275" spans="1:10" x14ac:dyDescent="0.25">
      <c r="A275" s="42">
        <v>267</v>
      </c>
      <c r="B275" s="79">
        <v>43399</v>
      </c>
      <c r="C275" s="89"/>
      <c r="D275" s="85"/>
      <c r="E275" s="85"/>
      <c r="F275" s="90"/>
      <c r="G275" s="91"/>
      <c r="H275" s="91"/>
      <c r="I275" s="91"/>
      <c r="J275" s="92"/>
    </row>
    <row r="276" spans="1:10" x14ac:dyDescent="0.25">
      <c r="A276" s="42">
        <v>268</v>
      </c>
      <c r="B276" s="79">
        <v>43400</v>
      </c>
      <c r="C276" s="89"/>
      <c r="D276" s="85"/>
      <c r="E276" s="85"/>
      <c r="F276" s="90"/>
      <c r="G276" s="91"/>
      <c r="H276" s="91"/>
      <c r="I276" s="91"/>
      <c r="J276" s="92"/>
    </row>
    <row r="277" spans="1:10" x14ac:dyDescent="0.25">
      <c r="A277" s="42">
        <v>269</v>
      </c>
      <c r="B277" s="79">
        <v>43401</v>
      </c>
      <c r="C277" s="89"/>
      <c r="D277" s="85"/>
      <c r="E277" s="85"/>
      <c r="F277" s="90"/>
      <c r="G277" s="91"/>
      <c r="H277" s="91"/>
      <c r="I277" s="91"/>
      <c r="J277" s="92"/>
    </row>
    <row r="278" spans="1:10" x14ac:dyDescent="0.25">
      <c r="A278" s="42">
        <v>270</v>
      </c>
      <c r="B278" s="79">
        <v>43402</v>
      </c>
      <c r="C278" s="89"/>
      <c r="D278" s="85"/>
      <c r="E278" s="85"/>
      <c r="F278" s="90"/>
      <c r="G278" s="91"/>
      <c r="H278" s="91"/>
      <c r="I278" s="91"/>
      <c r="J278" s="92"/>
    </row>
    <row r="279" spans="1:10" x14ac:dyDescent="0.25">
      <c r="A279" s="42">
        <v>271</v>
      </c>
      <c r="B279" s="79">
        <v>43403</v>
      </c>
      <c r="C279" s="89"/>
      <c r="D279" s="85"/>
      <c r="E279" s="85"/>
      <c r="F279" s="90"/>
      <c r="G279" s="91"/>
      <c r="H279" s="91"/>
      <c r="I279" s="91"/>
      <c r="J279" s="92"/>
    </row>
    <row r="280" spans="1:10" x14ac:dyDescent="0.25">
      <c r="A280" s="42">
        <v>272</v>
      </c>
      <c r="B280" s="79">
        <v>43404</v>
      </c>
      <c r="C280" s="89"/>
      <c r="D280" s="85"/>
      <c r="E280" s="85"/>
      <c r="F280" s="90"/>
      <c r="G280" s="91"/>
      <c r="H280" s="91"/>
      <c r="I280" s="91"/>
      <c r="J280" s="92"/>
    </row>
    <row r="281" spans="1:10" x14ac:dyDescent="0.25">
      <c r="A281" s="42">
        <v>273</v>
      </c>
      <c r="B281" s="79">
        <v>43405</v>
      </c>
      <c r="C281" s="89"/>
      <c r="D281" s="85"/>
      <c r="E281" s="85"/>
      <c r="F281" s="90"/>
      <c r="G281" s="91"/>
      <c r="H281" s="91"/>
      <c r="I281" s="91"/>
      <c r="J281" s="92"/>
    </row>
    <row r="282" spans="1:10" x14ac:dyDescent="0.25">
      <c r="A282" s="42">
        <v>274</v>
      </c>
      <c r="B282" s="79">
        <v>43406</v>
      </c>
      <c r="C282" s="89"/>
      <c r="D282" s="85"/>
      <c r="E282" s="85"/>
      <c r="F282" s="90"/>
      <c r="G282" s="91"/>
      <c r="H282" s="91"/>
      <c r="I282" s="91"/>
      <c r="J282" s="92"/>
    </row>
    <row r="283" spans="1:10" x14ac:dyDescent="0.25">
      <c r="A283" s="42">
        <v>275</v>
      </c>
      <c r="B283" s="79">
        <v>43407</v>
      </c>
      <c r="C283" s="89"/>
      <c r="D283" s="85"/>
      <c r="E283" s="85"/>
      <c r="F283" s="90"/>
      <c r="G283" s="91"/>
      <c r="H283" s="91"/>
      <c r="I283" s="91"/>
      <c r="J283" s="92"/>
    </row>
    <row r="284" spans="1:10" x14ac:dyDescent="0.25">
      <c r="A284" s="42">
        <v>276</v>
      </c>
      <c r="B284" s="79">
        <v>43408</v>
      </c>
      <c r="C284" s="89"/>
      <c r="D284" s="85"/>
      <c r="E284" s="85"/>
      <c r="F284" s="90"/>
      <c r="G284" s="91"/>
      <c r="H284" s="91"/>
      <c r="I284" s="91"/>
      <c r="J284" s="92"/>
    </row>
    <row r="285" spans="1:10" x14ac:dyDescent="0.25">
      <c r="A285" s="42">
        <v>277</v>
      </c>
      <c r="B285" s="79">
        <v>43409</v>
      </c>
      <c r="C285" s="89"/>
      <c r="D285" s="85"/>
      <c r="E285" s="85"/>
      <c r="F285" s="90"/>
      <c r="G285" s="91"/>
      <c r="H285" s="91"/>
      <c r="I285" s="91"/>
      <c r="J285" s="92"/>
    </row>
    <row r="286" spans="1:10" x14ac:dyDescent="0.25">
      <c r="A286" s="42">
        <v>278</v>
      </c>
      <c r="B286" s="79">
        <v>43410</v>
      </c>
      <c r="C286" s="89"/>
      <c r="D286" s="85"/>
      <c r="E286" s="85"/>
      <c r="F286" s="90"/>
      <c r="G286" s="91"/>
      <c r="H286" s="91"/>
      <c r="I286" s="91"/>
      <c r="J286" s="92"/>
    </row>
    <row r="287" spans="1:10" x14ac:dyDescent="0.25">
      <c r="A287" s="42">
        <v>279</v>
      </c>
      <c r="B287" s="79">
        <v>43411</v>
      </c>
      <c r="C287" s="89"/>
      <c r="D287" s="85"/>
      <c r="E287" s="85"/>
      <c r="F287" s="90"/>
      <c r="G287" s="91"/>
      <c r="H287" s="91"/>
      <c r="I287" s="91"/>
      <c r="J287" s="92"/>
    </row>
    <row r="288" spans="1:10" x14ac:dyDescent="0.25">
      <c r="A288" s="42">
        <v>280</v>
      </c>
      <c r="B288" s="79">
        <v>43412</v>
      </c>
      <c r="C288" s="89"/>
      <c r="D288" s="85"/>
      <c r="E288" s="85"/>
      <c r="F288" s="90"/>
      <c r="G288" s="91"/>
      <c r="H288" s="91"/>
      <c r="I288" s="91"/>
      <c r="J288" s="92"/>
    </row>
    <row r="289" spans="1:10" x14ac:dyDescent="0.25">
      <c r="A289" s="42">
        <v>281</v>
      </c>
      <c r="B289" s="79">
        <v>43413</v>
      </c>
      <c r="C289" s="89"/>
      <c r="D289" s="85"/>
      <c r="E289" s="85"/>
      <c r="F289" s="90"/>
      <c r="G289" s="91"/>
      <c r="H289" s="91"/>
      <c r="I289" s="91"/>
      <c r="J289" s="92"/>
    </row>
    <row r="290" spans="1:10" x14ac:dyDescent="0.25">
      <c r="A290" s="42">
        <v>282</v>
      </c>
      <c r="B290" s="79">
        <v>43414</v>
      </c>
      <c r="C290" s="89"/>
      <c r="D290" s="85"/>
      <c r="E290" s="85"/>
      <c r="F290" s="90"/>
      <c r="G290" s="91"/>
      <c r="H290" s="91"/>
      <c r="I290" s="91"/>
      <c r="J290" s="92"/>
    </row>
    <row r="291" spans="1:10" x14ac:dyDescent="0.25">
      <c r="A291" s="42">
        <v>283</v>
      </c>
      <c r="B291" s="79">
        <v>43415</v>
      </c>
      <c r="C291" s="89"/>
      <c r="D291" s="85"/>
      <c r="E291" s="85"/>
      <c r="F291" s="90"/>
      <c r="G291" s="91"/>
      <c r="H291" s="91"/>
      <c r="I291" s="91"/>
      <c r="J291" s="92"/>
    </row>
    <row r="292" spans="1:10" x14ac:dyDescent="0.25">
      <c r="A292" s="42">
        <v>284</v>
      </c>
      <c r="B292" s="79">
        <v>43416</v>
      </c>
      <c r="C292" s="89"/>
      <c r="D292" s="85"/>
      <c r="E292" s="85"/>
      <c r="F292" s="90"/>
      <c r="G292" s="91"/>
      <c r="H292" s="91"/>
      <c r="I292" s="91"/>
      <c r="J292" s="92"/>
    </row>
    <row r="293" spans="1:10" x14ac:dyDescent="0.25">
      <c r="A293" s="42">
        <v>285</v>
      </c>
      <c r="B293" s="79">
        <v>43417</v>
      </c>
      <c r="C293" s="89"/>
      <c r="D293" s="85"/>
      <c r="E293" s="85"/>
      <c r="F293" s="90"/>
      <c r="G293" s="91"/>
      <c r="H293" s="91"/>
      <c r="I293" s="91"/>
      <c r="J293" s="92"/>
    </row>
    <row r="294" spans="1:10" x14ac:dyDescent="0.25">
      <c r="A294" s="42">
        <v>286</v>
      </c>
      <c r="B294" s="79">
        <v>43418</v>
      </c>
      <c r="C294" s="89"/>
      <c r="D294" s="85"/>
      <c r="E294" s="85"/>
      <c r="F294" s="90"/>
      <c r="G294" s="91"/>
      <c r="H294" s="91"/>
      <c r="I294" s="91"/>
      <c r="J294" s="92"/>
    </row>
    <row r="295" spans="1:10" x14ac:dyDescent="0.25">
      <c r="A295" s="42">
        <v>287</v>
      </c>
      <c r="B295" s="79">
        <v>43419</v>
      </c>
      <c r="C295" s="89"/>
      <c r="D295" s="85"/>
      <c r="E295" s="85"/>
      <c r="F295" s="90"/>
      <c r="G295" s="91"/>
      <c r="H295" s="91"/>
      <c r="I295" s="91"/>
      <c r="J295" s="92"/>
    </row>
    <row r="296" spans="1:10" x14ac:dyDescent="0.25">
      <c r="A296" s="42">
        <v>288</v>
      </c>
      <c r="B296" s="79">
        <v>43420</v>
      </c>
      <c r="C296" s="89"/>
      <c r="D296" s="85"/>
      <c r="E296" s="85"/>
      <c r="F296" s="90"/>
      <c r="G296" s="91"/>
      <c r="H296" s="91"/>
      <c r="I296" s="91"/>
      <c r="J296" s="92"/>
    </row>
    <row r="297" spans="1:10" x14ac:dyDescent="0.25">
      <c r="A297" s="42">
        <v>289</v>
      </c>
      <c r="B297" s="79">
        <v>43421</v>
      </c>
      <c r="C297" s="89"/>
      <c r="D297" s="85"/>
      <c r="E297" s="85"/>
      <c r="F297" s="90"/>
      <c r="G297" s="91"/>
      <c r="H297" s="91"/>
      <c r="I297" s="91"/>
      <c r="J297" s="92"/>
    </row>
    <row r="298" spans="1:10" x14ac:dyDescent="0.25">
      <c r="A298" s="42">
        <v>290</v>
      </c>
      <c r="B298" s="79">
        <v>43422</v>
      </c>
      <c r="C298" s="89"/>
      <c r="D298" s="85"/>
      <c r="E298" s="85"/>
      <c r="F298" s="90"/>
      <c r="G298" s="91"/>
      <c r="H298" s="91"/>
      <c r="I298" s="91"/>
      <c r="J298" s="92"/>
    </row>
    <row r="299" spans="1:10" x14ac:dyDescent="0.25">
      <c r="A299" s="42">
        <v>291</v>
      </c>
      <c r="B299" s="79">
        <v>43423</v>
      </c>
      <c r="C299" s="89"/>
      <c r="D299" s="85"/>
      <c r="E299" s="85"/>
      <c r="F299" s="90"/>
      <c r="G299" s="91"/>
      <c r="H299" s="91"/>
      <c r="I299" s="91"/>
      <c r="J299" s="92"/>
    </row>
    <row r="300" spans="1:10" x14ac:dyDescent="0.25">
      <c r="A300" s="42">
        <v>292</v>
      </c>
      <c r="B300" s="79">
        <v>43424</v>
      </c>
      <c r="C300" s="89"/>
      <c r="D300" s="85"/>
      <c r="E300" s="85"/>
      <c r="F300" s="90"/>
      <c r="G300" s="91"/>
      <c r="H300" s="91"/>
      <c r="I300" s="91"/>
      <c r="J300" s="92"/>
    </row>
    <row r="301" spans="1:10" x14ac:dyDescent="0.25">
      <c r="A301" s="42">
        <v>293</v>
      </c>
      <c r="B301" s="79">
        <v>43425</v>
      </c>
      <c r="C301" s="89"/>
      <c r="D301" s="85"/>
      <c r="E301" s="85"/>
      <c r="F301" s="90"/>
      <c r="G301" s="91"/>
      <c r="H301" s="91"/>
      <c r="I301" s="91"/>
      <c r="J301" s="92"/>
    </row>
    <row r="302" spans="1:10" x14ac:dyDescent="0.25">
      <c r="A302" s="42">
        <v>294</v>
      </c>
      <c r="B302" s="79">
        <v>43426</v>
      </c>
      <c r="C302" s="89"/>
      <c r="D302" s="85"/>
      <c r="E302" s="85"/>
      <c r="F302" s="90"/>
      <c r="G302" s="91"/>
      <c r="H302" s="91"/>
      <c r="I302" s="91"/>
      <c r="J302" s="92"/>
    </row>
    <row r="303" spans="1:10" x14ac:dyDescent="0.25">
      <c r="A303" s="42">
        <v>295</v>
      </c>
      <c r="B303" s="79">
        <v>43427</v>
      </c>
      <c r="C303" s="89"/>
      <c r="D303" s="85"/>
      <c r="E303" s="85"/>
      <c r="F303" s="90"/>
      <c r="G303" s="91"/>
      <c r="H303" s="91"/>
      <c r="I303" s="91"/>
      <c r="J303" s="92"/>
    </row>
    <row r="304" spans="1:10" x14ac:dyDescent="0.25">
      <c r="A304" s="42">
        <v>296</v>
      </c>
      <c r="B304" s="79">
        <v>43428</v>
      </c>
      <c r="C304" s="89"/>
      <c r="D304" s="85"/>
      <c r="E304" s="85"/>
      <c r="F304" s="90"/>
      <c r="G304" s="91"/>
      <c r="H304" s="91"/>
      <c r="I304" s="91"/>
      <c r="J304" s="92"/>
    </row>
    <row r="305" spans="1:10" x14ac:dyDescent="0.25">
      <c r="A305" s="42">
        <v>297</v>
      </c>
      <c r="B305" s="79">
        <v>43429</v>
      </c>
      <c r="C305" s="89"/>
      <c r="D305" s="85"/>
      <c r="E305" s="85"/>
      <c r="F305" s="90"/>
      <c r="G305" s="91"/>
      <c r="H305" s="91"/>
      <c r="I305" s="91"/>
      <c r="J305" s="92"/>
    </row>
    <row r="306" spans="1:10" x14ac:dyDescent="0.25">
      <c r="A306" s="42">
        <v>298</v>
      </c>
      <c r="B306" s="79">
        <v>43430</v>
      </c>
      <c r="C306" s="89"/>
      <c r="D306" s="85"/>
      <c r="E306" s="85"/>
      <c r="F306" s="90"/>
      <c r="G306" s="91"/>
      <c r="H306" s="91"/>
      <c r="I306" s="91"/>
      <c r="J306" s="92"/>
    </row>
    <row r="307" spans="1:10" x14ac:dyDescent="0.25">
      <c r="A307" s="42">
        <v>299</v>
      </c>
      <c r="B307" s="79">
        <v>43431</v>
      </c>
      <c r="C307" s="89"/>
      <c r="D307" s="85"/>
      <c r="E307" s="85"/>
      <c r="F307" s="90"/>
      <c r="G307" s="91"/>
      <c r="H307" s="91"/>
      <c r="I307" s="91"/>
      <c r="J307" s="92"/>
    </row>
    <row r="308" spans="1:10" x14ac:dyDescent="0.25">
      <c r="A308" s="42">
        <v>300</v>
      </c>
      <c r="B308" s="79">
        <v>43432</v>
      </c>
      <c r="C308" s="89"/>
      <c r="D308" s="85"/>
      <c r="E308" s="85"/>
      <c r="F308" s="90"/>
      <c r="G308" s="91"/>
      <c r="H308" s="91"/>
      <c r="I308" s="91"/>
      <c r="J308" s="92"/>
    </row>
    <row r="309" spans="1:10" x14ac:dyDescent="0.25">
      <c r="A309" s="42">
        <v>301</v>
      </c>
      <c r="B309" s="79">
        <v>43433</v>
      </c>
      <c r="C309" s="89"/>
      <c r="D309" s="85"/>
      <c r="E309" s="85"/>
      <c r="F309" s="90"/>
      <c r="G309" s="91"/>
      <c r="H309" s="91"/>
      <c r="I309" s="91"/>
      <c r="J309" s="92"/>
    </row>
    <row r="310" spans="1:10" x14ac:dyDescent="0.25">
      <c r="A310" s="42">
        <v>302</v>
      </c>
      <c r="B310" s="79">
        <v>43434</v>
      </c>
      <c r="C310" s="89"/>
      <c r="D310" s="85"/>
      <c r="E310" s="85"/>
      <c r="F310" s="90"/>
      <c r="G310" s="91"/>
      <c r="H310" s="91"/>
      <c r="I310" s="91"/>
      <c r="J310" s="92"/>
    </row>
    <row r="311" spans="1:10" x14ac:dyDescent="0.25">
      <c r="A311" s="42">
        <v>303</v>
      </c>
      <c r="B311" s="79">
        <v>43435</v>
      </c>
      <c r="C311" s="89"/>
      <c r="D311" s="85"/>
      <c r="E311" s="85"/>
      <c r="F311" s="90"/>
      <c r="G311" s="91"/>
      <c r="H311" s="91"/>
      <c r="I311" s="91"/>
      <c r="J311" s="92"/>
    </row>
    <row r="312" spans="1:10" x14ac:dyDescent="0.25">
      <c r="A312" s="42">
        <v>304</v>
      </c>
      <c r="B312" s="79">
        <v>43436</v>
      </c>
      <c r="C312" s="89"/>
      <c r="D312" s="85"/>
      <c r="E312" s="85"/>
      <c r="F312" s="90"/>
      <c r="G312" s="91"/>
      <c r="H312" s="91"/>
      <c r="I312" s="91"/>
      <c r="J312" s="92"/>
    </row>
    <row r="313" spans="1:10" x14ac:dyDescent="0.25">
      <c r="A313" s="42">
        <v>305</v>
      </c>
      <c r="B313" s="79">
        <v>43437</v>
      </c>
      <c r="C313" s="89"/>
      <c r="D313" s="85"/>
      <c r="E313" s="85"/>
      <c r="F313" s="90"/>
      <c r="G313" s="91"/>
      <c r="H313" s="91"/>
      <c r="I313" s="91"/>
      <c r="J313" s="92"/>
    </row>
    <row r="314" spans="1:10" x14ac:dyDescent="0.25">
      <c r="A314" s="42">
        <v>306</v>
      </c>
      <c r="B314" s="79">
        <v>43438</v>
      </c>
      <c r="C314" s="89"/>
      <c r="D314" s="85"/>
      <c r="E314" s="85"/>
      <c r="F314" s="90"/>
      <c r="G314" s="91"/>
      <c r="H314" s="91"/>
      <c r="I314" s="91"/>
      <c r="J314" s="92"/>
    </row>
    <row r="315" spans="1:10" x14ac:dyDescent="0.25">
      <c r="A315" s="42">
        <v>307</v>
      </c>
      <c r="B315" s="79">
        <v>43439</v>
      </c>
      <c r="C315" s="89"/>
      <c r="D315" s="85"/>
      <c r="E315" s="85"/>
      <c r="F315" s="90"/>
      <c r="G315" s="91"/>
      <c r="H315" s="91"/>
      <c r="I315" s="91"/>
      <c r="J315" s="92"/>
    </row>
    <row r="316" spans="1:10" x14ac:dyDescent="0.25">
      <c r="A316" s="42">
        <v>308</v>
      </c>
      <c r="B316" s="79">
        <v>43440</v>
      </c>
      <c r="C316" s="89"/>
      <c r="D316" s="85"/>
      <c r="E316" s="85"/>
      <c r="F316" s="90"/>
      <c r="G316" s="91"/>
      <c r="H316" s="91"/>
      <c r="I316" s="91"/>
      <c r="J316" s="92"/>
    </row>
    <row r="317" spans="1:10" x14ac:dyDescent="0.25">
      <c r="A317" s="42">
        <v>309</v>
      </c>
      <c r="B317" s="79">
        <v>43441</v>
      </c>
      <c r="C317" s="89"/>
      <c r="D317" s="85"/>
      <c r="E317" s="85"/>
      <c r="F317" s="90"/>
      <c r="G317" s="91"/>
      <c r="H317" s="91"/>
      <c r="I317" s="91"/>
      <c r="J317" s="92"/>
    </row>
    <row r="318" spans="1:10" x14ac:dyDescent="0.25">
      <c r="A318" s="42">
        <v>310</v>
      </c>
      <c r="B318" s="79">
        <v>43442</v>
      </c>
      <c r="C318" s="89"/>
      <c r="D318" s="85"/>
      <c r="E318" s="85"/>
      <c r="F318" s="90"/>
      <c r="G318" s="91"/>
      <c r="H318" s="91"/>
      <c r="I318" s="91"/>
      <c r="J318" s="92"/>
    </row>
    <row r="319" spans="1:10" x14ac:dyDescent="0.25">
      <c r="A319" s="42">
        <v>311</v>
      </c>
      <c r="B319" s="79">
        <v>43443</v>
      </c>
      <c r="C319" s="89"/>
      <c r="D319" s="85"/>
      <c r="E319" s="85"/>
      <c r="F319" s="90"/>
      <c r="G319" s="91"/>
      <c r="H319" s="91"/>
      <c r="I319" s="91"/>
      <c r="J319" s="92"/>
    </row>
    <row r="320" spans="1:10" x14ac:dyDescent="0.25">
      <c r="A320" s="42">
        <v>312</v>
      </c>
      <c r="B320" s="79">
        <v>43444</v>
      </c>
      <c r="C320" s="89"/>
      <c r="D320" s="85"/>
      <c r="E320" s="85"/>
      <c r="F320" s="90"/>
      <c r="G320" s="91"/>
      <c r="H320" s="91"/>
      <c r="I320" s="91"/>
      <c r="J320" s="92"/>
    </row>
    <row r="321" spans="1:10" x14ac:dyDescent="0.25">
      <c r="A321" s="42">
        <v>313</v>
      </c>
      <c r="B321" s="79">
        <v>43445</v>
      </c>
      <c r="C321" s="89"/>
      <c r="D321" s="85"/>
      <c r="E321" s="85"/>
      <c r="F321" s="90"/>
      <c r="G321" s="91"/>
      <c r="H321" s="91"/>
      <c r="I321" s="91"/>
      <c r="J321" s="92"/>
    </row>
    <row r="322" spans="1:10" x14ac:dyDescent="0.25">
      <c r="A322" s="42">
        <v>314</v>
      </c>
      <c r="B322" s="79">
        <v>43446</v>
      </c>
      <c r="C322" s="89"/>
      <c r="D322" s="85"/>
      <c r="E322" s="85"/>
      <c r="F322" s="90"/>
      <c r="G322" s="91"/>
      <c r="H322" s="91"/>
      <c r="I322" s="91"/>
      <c r="J322" s="92"/>
    </row>
    <row r="323" spans="1:10" x14ac:dyDescent="0.25">
      <c r="A323" s="42">
        <v>315</v>
      </c>
      <c r="B323" s="79">
        <v>43447</v>
      </c>
      <c r="C323" s="89"/>
      <c r="D323" s="85"/>
      <c r="E323" s="85"/>
      <c r="F323" s="90"/>
      <c r="G323" s="91"/>
      <c r="H323" s="91"/>
      <c r="I323" s="91"/>
      <c r="J323" s="92"/>
    </row>
    <row r="324" spans="1:10" x14ac:dyDescent="0.25">
      <c r="A324" s="42">
        <v>316</v>
      </c>
      <c r="B324" s="79">
        <v>43448</v>
      </c>
      <c r="C324" s="89"/>
      <c r="D324" s="85"/>
      <c r="E324" s="85"/>
      <c r="F324" s="90"/>
      <c r="G324" s="91"/>
      <c r="H324" s="91"/>
      <c r="I324" s="91"/>
      <c r="J324" s="92"/>
    </row>
    <row r="325" spans="1:10" x14ac:dyDescent="0.25">
      <c r="A325" s="42">
        <v>317</v>
      </c>
      <c r="B325" s="79">
        <v>43449</v>
      </c>
      <c r="C325" s="89"/>
      <c r="D325" s="85"/>
      <c r="E325" s="85"/>
      <c r="F325" s="90"/>
      <c r="G325" s="91"/>
      <c r="H325" s="91"/>
      <c r="I325" s="91"/>
      <c r="J325" s="92"/>
    </row>
    <row r="326" spans="1:10" x14ac:dyDescent="0.25">
      <c r="A326" s="42">
        <v>318</v>
      </c>
      <c r="B326" s="79">
        <v>43450</v>
      </c>
      <c r="C326" s="89"/>
      <c r="D326" s="85"/>
      <c r="E326" s="85"/>
      <c r="F326" s="90"/>
      <c r="G326" s="91"/>
      <c r="H326" s="91"/>
      <c r="I326" s="91"/>
      <c r="J326" s="92"/>
    </row>
    <row r="327" spans="1:10" x14ac:dyDescent="0.25">
      <c r="A327" s="42">
        <v>319</v>
      </c>
      <c r="B327" s="79">
        <v>43451</v>
      </c>
      <c r="C327" s="89"/>
      <c r="D327" s="85"/>
      <c r="E327" s="85"/>
      <c r="F327" s="90"/>
      <c r="G327" s="91"/>
      <c r="H327" s="91"/>
      <c r="I327" s="91"/>
      <c r="J327" s="92"/>
    </row>
    <row r="328" spans="1:10" x14ac:dyDescent="0.25">
      <c r="A328" s="42">
        <v>320</v>
      </c>
      <c r="B328" s="79">
        <v>43452</v>
      </c>
      <c r="C328" s="89"/>
      <c r="D328" s="85"/>
      <c r="E328" s="85"/>
      <c r="F328" s="90"/>
      <c r="G328" s="91"/>
      <c r="H328" s="91"/>
      <c r="I328" s="91"/>
      <c r="J328" s="92"/>
    </row>
    <row r="329" spans="1:10" x14ac:dyDescent="0.25">
      <c r="A329" s="42">
        <v>321</v>
      </c>
      <c r="B329" s="79">
        <v>43453</v>
      </c>
      <c r="C329" s="89"/>
      <c r="D329" s="85"/>
      <c r="E329" s="85"/>
      <c r="F329" s="90"/>
      <c r="G329" s="91"/>
      <c r="H329" s="91"/>
      <c r="I329" s="91"/>
      <c r="J329" s="92"/>
    </row>
    <row r="330" spans="1:10" x14ac:dyDescent="0.25">
      <c r="A330" s="42">
        <v>322</v>
      </c>
      <c r="B330" s="79">
        <v>43454</v>
      </c>
      <c r="C330" s="89"/>
      <c r="D330" s="85"/>
      <c r="E330" s="85"/>
      <c r="F330" s="90"/>
      <c r="G330" s="91"/>
      <c r="H330" s="91"/>
      <c r="I330" s="91"/>
      <c r="J330" s="92"/>
    </row>
    <row r="331" spans="1:10" x14ac:dyDescent="0.25">
      <c r="A331" s="42">
        <v>323</v>
      </c>
      <c r="B331" s="79">
        <v>43455</v>
      </c>
      <c r="C331" s="89"/>
      <c r="D331" s="85"/>
      <c r="E331" s="85"/>
      <c r="F331" s="90"/>
      <c r="G331" s="91"/>
      <c r="H331" s="91"/>
      <c r="I331" s="91"/>
      <c r="J331" s="92"/>
    </row>
    <row r="332" spans="1:10" x14ac:dyDescent="0.25">
      <c r="A332" s="42">
        <v>324</v>
      </c>
      <c r="B332" s="79">
        <v>43456</v>
      </c>
      <c r="C332" s="89"/>
      <c r="D332" s="85"/>
      <c r="E332" s="85"/>
      <c r="F332" s="90"/>
      <c r="G332" s="91"/>
      <c r="H332" s="91"/>
      <c r="I332" s="91"/>
      <c r="J332" s="92"/>
    </row>
    <row r="333" spans="1:10" x14ac:dyDescent="0.25">
      <c r="A333" s="42">
        <v>325</v>
      </c>
      <c r="B333" s="79">
        <v>43457</v>
      </c>
      <c r="C333" s="89"/>
      <c r="D333" s="85"/>
      <c r="E333" s="85"/>
      <c r="F333" s="90"/>
      <c r="G333" s="91"/>
      <c r="H333" s="91"/>
      <c r="I333" s="91"/>
      <c r="J333" s="92"/>
    </row>
    <row r="334" spans="1:10" x14ac:dyDescent="0.25">
      <c r="A334" s="42">
        <v>326</v>
      </c>
      <c r="B334" s="79">
        <v>43458</v>
      </c>
      <c r="C334" s="89"/>
      <c r="D334" s="85"/>
      <c r="E334" s="85"/>
      <c r="F334" s="90"/>
      <c r="G334" s="91"/>
      <c r="H334" s="91"/>
      <c r="I334" s="91"/>
      <c r="J334" s="92"/>
    </row>
    <row r="335" spans="1:10" x14ac:dyDescent="0.25">
      <c r="A335" s="42">
        <v>327</v>
      </c>
      <c r="B335" s="79">
        <v>43459</v>
      </c>
      <c r="C335" s="89"/>
      <c r="D335" s="85"/>
      <c r="E335" s="85"/>
      <c r="F335" s="90"/>
      <c r="G335" s="91"/>
      <c r="H335" s="91"/>
      <c r="I335" s="91"/>
      <c r="J335" s="92"/>
    </row>
    <row r="336" spans="1:10" x14ac:dyDescent="0.25">
      <c r="A336" s="42">
        <v>328</v>
      </c>
      <c r="B336" s="79">
        <v>43460</v>
      </c>
      <c r="C336" s="89"/>
      <c r="D336" s="85"/>
      <c r="E336" s="85"/>
      <c r="F336" s="90"/>
      <c r="G336" s="91"/>
      <c r="H336" s="91"/>
      <c r="I336" s="91"/>
      <c r="J336" s="92"/>
    </row>
    <row r="337" spans="1:10" x14ac:dyDescent="0.25">
      <c r="A337" s="42">
        <v>329</v>
      </c>
      <c r="B337" s="79">
        <v>43461</v>
      </c>
      <c r="C337" s="89"/>
      <c r="D337" s="85"/>
      <c r="E337" s="85"/>
      <c r="F337" s="90"/>
      <c r="G337" s="91"/>
      <c r="H337" s="91"/>
      <c r="I337" s="91"/>
      <c r="J337" s="92"/>
    </row>
    <row r="338" spans="1:10" x14ac:dyDescent="0.25">
      <c r="A338" s="42">
        <v>330</v>
      </c>
      <c r="B338" s="79">
        <v>43462</v>
      </c>
      <c r="C338" s="89"/>
      <c r="D338" s="85"/>
      <c r="E338" s="85"/>
      <c r="F338" s="90"/>
      <c r="G338" s="91"/>
      <c r="H338" s="91"/>
      <c r="I338" s="91"/>
      <c r="J338" s="92"/>
    </row>
    <row r="339" spans="1:10" x14ac:dyDescent="0.25">
      <c r="A339" s="42">
        <v>331</v>
      </c>
      <c r="B339" s="79">
        <v>43463</v>
      </c>
      <c r="C339" s="89"/>
      <c r="D339" s="85"/>
      <c r="E339" s="85"/>
      <c r="F339" s="90"/>
      <c r="G339" s="91"/>
      <c r="H339" s="91"/>
      <c r="I339" s="91"/>
      <c r="J339" s="92"/>
    </row>
    <row r="340" spans="1:10" x14ac:dyDescent="0.25">
      <c r="A340" s="42">
        <v>332</v>
      </c>
      <c r="B340" s="79">
        <v>43464</v>
      </c>
      <c r="C340" s="89"/>
      <c r="D340" s="85"/>
      <c r="E340" s="85"/>
      <c r="F340" s="90"/>
      <c r="G340" s="91"/>
      <c r="H340" s="91"/>
      <c r="I340" s="91"/>
      <c r="J340" s="92"/>
    </row>
    <row r="341" spans="1:10" x14ac:dyDescent="0.25">
      <c r="A341" s="42">
        <v>333</v>
      </c>
      <c r="B341" s="79">
        <v>43465</v>
      </c>
      <c r="C341" s="89"/>
      <c r="D341" s="85"/>
      <c r="E341" s="85"/>
      <c r="F341" s="90"/>
      <c r="G341" s="91"/>
      <c r="H341" s="91"/>
      <c r="I341" s="91"/>
      <c r="J341" s="92"/>
    </row>
    <row r="342" spans="1:10" x14ac:dyDescent="0.25">
      <c r="A342" s="42">
        <v>334</v>
      </c>
      <c r="B342" s="79">
        <v>43466</v>
      </c>
      <c r="C342" s="89"/>
      <c r="D342" s="85"/>
      <c r="E342" s="85"/>
      <c r="F342" s="90"/>
      <c r="G342" s="91"/>
      <c r="H342" s="91"/>
      <c r="I342" s="91"/>
      <c r="J342" s="92"/>
    </row>
    <row r="343" spans="1:10" x14ac:dyDescent="0.25">
      <c r="A343" s="42">
        <v>335</v>
      </c>
      <c r="B343" s="79">
        <v>43467</v>
      </c>
      <c r="C343" s="89"/>
      <c r="D343" s="85"/>
      <c r="E343" s="85"/>
      <c r="F343" s="90"/>
      <c r="G343" s="91"/>
      <c r="H343" s="91"/>
      <c r="I343" s="91"/>
      <c r="J343" s="92"/>
    </row>
    <row r="344" spans="1:10" x14ac:dyDescent="0.25">
      <c r="A344" s="42">
        <v>336</v>
      </c>
      <c r="B344" s="79">
        <v>43468</v>
      </c>
      <c r="C344" s="89"/>
      <c r="D344" s="85"/>
      <c r="E344" s="85"/>
      <c r="F344" s="90"/>
      <c r="G344" s="91"/>
      <c r="H344" s="91"/>
      <c r="I344" s="91"/>
      <c r="J344" s="92"/>
    </row>
    <row r="345" spans="1:10" x14ac:dyDescent="0.25">
      <c r="A345" s="42">
        <v>337</v>
      </c>
      <c r="B345" s="79">
        <v>43469</v>
      </c>
      <c r="C345" s="89"/>
      <c r="D345" s="85"/>
      <c r="E345" s="85"/>
      <c r="F345" s="90"/>
      <c r="G345" s="91"/>
      <c r="H345" s="91"/>
      <c r="I345" s="91"/>
      <c r="J345" s="92"/>
    </row>
    <row r="346" spans="1:10" x14ac:dyDescent="0.25">
      <c r="A346" s="42">
        <v>338</v>
      </c>
      <c r="B346" s="79">
        <v>43470</v>
      </c>
      <c r="C346" s="89"/>
      <c r="D346" s="85"/>
      <c r="E346" s="85"/>
      <c r="F346" s="90"/>
      <c r="G346" s="91"/>
      <c r="H346" s="91"/>
      <c r="I346" s="91"/>
      <c r="J346" s="92"/>
    </row>
    <row r="347" spans="1:10" x14ac:dyDescent="0.25">
      <c r="A347" s="42">
        <v>339</v>
      </c>
      <c r="B347" s="79">
        <v>43471</v>
      </c>
      <c r="C347" s="89"/>
      <c r="D347" s="85"/>
      <c r="E347" s="85"/>
      <c r="F347" s="90"/>
      <c r="G347" s="91"/>
      <c r="H347" s="91"/>
      <c r="I347" s="91"/>
      <c r="J347" s="92"/>
    </row>
    <row r="348" spans="1:10" x14ac:dyDescent="0.25">
      <c r="A348" s="42">
        <v>340</v>
      </c>
      <c r="B348" s="79">
        <v>43472</v>
      </c>
      <c r="C348" s="89"/>
      <c r="D348" s="85"/>
      <c r="E348" s="85"/>
      <c r="F348" s="90"/>
      <c r="G348" s="91"/>
      <c r="H348" s="91"/>
      <c r="I348" s="91"/>
      <c r="J348" s="92"/>
    </row>
    <row r="349" spans="1:10" x14ac:dyDescent="0.25">
      <c r="A349" s="42">
        <v>341</v>
      </c>
      <c r="B349" s="79">
        <v>43473</v>
      </c>
      <c r="C349" s="89"/>
      <c r="D349" s="85"/>
      <c r="E349" s="85"/>
      <c r="F349" s="90"/>
      <c r="G349" s="91"/>
      <c r="H349" s="91"/>
      <c r="I349" s="91"/>
      <c r="J349" s="92"/>
    </row>
    <row r="350" spans="1:10" x14ac:dyDescent="0.25">
      <c r="A350" s="42">
        <v>342</v>
      </c>
      <c r="B350" s="79">
        <v>43474</v>
      </c>
      <c r="C350" s="89"/>
      <c r="D350" s="85"/>
      <c r="E350" s="85"/>
      <c r="F350" s="90"/>
      <c r="G350" s="91"/>
      <c r="H350" s="91"/>
      <c r="I350" s="91"/>
      <c r="J350" s="92"/>
    </row>
    <row r="351" spans="1:10" x14ac:dyDescent="0.25">
      <c r="A351" s="42">
        <v>343</v>
      </c>
      <c r="B351" s="79">
        <v>43475</v>
      </c>
      <c r="C351" s="89"/>
      <c r="D351" s="85"/>
      <c r="E351" s="85"/>
      <c r="F351" s="90"/>
      <c r="G351" s="91"/>
      <c r="H351" s="91"/>
      <c r="I351" s="91"/>
      <c r="J351" s="92"/>
    </row>
    <row r="352" spans="1:10" x14ac:dyDescent="0.25">
      <c r="A352" s="42">
        <v>344</v>
      </c>
      <c r="B352" s="79">
        <v>43476</v>
      </c>
      <c r="C352" s="89"/>
      <c r="D352" s="85"/>
      <c r="E352" s="85"/>
      <c r="F352" s="90"/>
      <c r="G352" s="91"/>
      <c r="H352" s="91"/>
      <c r="I352" s="91"/>
      <c r="J352" s="92"/>
    </row>
    <row r="353" spans="1:10" x14ac:dyDescent="0.25">
      <c r="A353" s="42">
        <v>345</v>
      </c>
      <c r="B353" s="79">
        <v>43477</v>
      </c>
      <c r="C353" s="89"/>
      <c r="D353" s="85"/>
      <c r="E353" s="85"/>
      <c r="F353" s="90"/>
      <c r="G353" s="91"/>
      <c r="H353" s="91"/>
      <c r="I353" s="91"/>
      <c r="J353" s="92"/>
    </row>
    <row r="354" spans="1:10" x14ac:dyDescent="0.25">
      <c r="A354" s="42">
        <v>346</v>
      </c>
      <c r="B354" s="79">
        <v>43478</v>
      </c>
      <c r="C354" s="89"/>
      <c r="D354" s="85"/>
      <c r="E354" s="85"/>
      <c r="F354" s="90"/>
      <c r="G354" s="91"/>
      <c r="H354" s="91"/>
      <c r="I354" s="91"/>
      <c r="J354" s="92"/>
    </row>
    <row r="355" spans="1:10" x14ac:dyDescent="0.25">
      <c r="A355" s="42">
        <v>347</v>
      </c>
      <c r="B355" s="79">
        <v>43479</v>
      </c>
      <c r="C355" s="89"/>
      <c r="D355" s="85"/>
      <c r="E355" s="85"/>
      <c r="F355" s="90"/>
      <c r="G355" s="91"/>
      <c r="H355" s="91"/>
      <c r="I355" s="91"/>
      <c r="J355" s="92"/>
    </row>
    <row r="356" spans="1:10" x14ac:dyDescent="0.25">
      <c r="A356" s="42">
        <v>348</v>
      </c>
      <c r="B356" s="79">
        <v>43480</v>
      </c>
      <c r="C356" s="89"/>
      <c r="D356" s="85"/>
      <c r="E356" s="85"/>
      <c r="F356" s="90"/>
      <c r="G356" s="91"/>
      <c r="H356" s="91"/>
      <c r="I356" s="91"/>
      <c r="J356" s="92"/>
    </row>
    <row r="357" spans="1:10" x14ac:dyDescent="0.25">
      <c r="A357" s="42">
        <v>349</v>
      </c>
      <c r="B357" s="79">
        <v>43481</v>
      </c>
      <c r="C357" s="89"/>
      <c r="D357" s="85"/>
      <c r="E357" s="85"/>
      <c r="F357" s="90"/>
      <c r="G357" s="91"/>
      <c r="H357" s="91"/>
      <c r="I357" s="91"/>
      <c r="J357" s="92"/>
    </row>
    <row r="358" spans="1:10" x14ac:dyDescent="0.25">
      <c r="A358" s="42">
        <v>350</v>
      </c>
      <c r="B358" s="79">
        <v>43482</v>
      </c>
      <c r="C358" s="89"/>
      <c r="D358" s="85"/>
      <c r="E358" s="85"/>
      <c r="F358" s="90"/>
      <c r="G358" s="91"/>
      <c r="H358" s="91"/>
      <c r="I358" s="91"/>
      <c r="J358" s="92"/>
    </row>
    <row r="359" spans="1:10" x14ac:dyDescent="0.25">
      <c r="A359" s="42">
        <v>351</v>
      </c>
      <c r="B359" s="79">
        <v>43483</v>
      </c>
      <c r="C359" s="89"/>
      <c r="D359" s="85"/>
      <c r="E359" s="85"/>
      <c r="F359" s="90"/>
      <c r="G359" s="91"/>
      <c r="H359" s="91"/>
      <c r="I359" s="91"/>
      <c r="J359" s="92"/>
    </row>
    <row r="360" spans="1:10" x14ac:dyDescent="0.25">
      <c r="A360" s="42">
        <v>352</v>
      </c>
      <c r="B360" s="79">
        <v>43484</v>
      </c>
      <c r="C360" s="89"/>
      <c r="D360" s="85"/>
      <c r="E360" s="85"/>
      <c r="F360" s="90"/>
      <c r="G360" s="91"/>
      <c r="H360" s="91"/>
      <c r="I360" s="91"/>
      <c r="J360" s="92"/>
    </row>
    <row r="361" spans="1:10" x14ac:dyDescent="0.25">
      <c r="A361" s="42">
        <v>353</v>
      </c>
      <c r="B361" s="79">
        <v>43485</v>
      </c>
      <c r="C361" s="89"/>
      <c r="D361" s="85"/>
      <c r="E361" s="85"/>
      <c r="F361" s="90"/>
      <c r="G361" s="91"/>
      <c r="H361" s="91"/>
      <c r="I361" s="91"/>
      <c r="J361" s="92"/>
    </row>
    <row r="362" spans="1:10" x14ac:dyDescent="0.25">
      <c r="A362" s="42">
        <v>354</v>
      </c>
      <c r="B362" s="79">
        <v>43486</v>
      </c>
      <c r="C362" s="89"/>
      <c r="D362" s="85"/>
      <c r="E362" s="85"/>
      <c r="F362" s="90"/>
      <c r="G362" s="91"/>
      <c r="H362" s="91"/>
      <c r="I362" s="91"/>
      <c r="J362" s="92"/>
    </row>
    <row r="363" spans="1:10" x14ac:dyDescent="0.25">
      <c r="A363" s="42">
        <v>355</v>
      </c>
      <c r="B363" s="79">
        <v>43487</v>
      </c>
      <c r="C363" s="89"/>
      <c r="D363" s="85"/>
      <c r="E363" s="85"/>
      <c r="F363" s="90"/>
      <c r="G363" s="91"/>
      <c r="H363" s="91"/>
      <c r="I363" s="91"/>
      <c r="J363" s="92"/>
    </row>
    <row r="364" spans="1:10" x14ac:dyDescent="0.25">
      <c r="A364" s="42">
        <v>356</v>
      </c>
      <c r="B364" s="79">
        <v>43488</v>
      </c>
      <c r="C364" s="89"/>
      <c r="D364" s="85"/>
      <c r="E364" s="85"/>
      <c r="F364" s="90"/>
      <c r="G364" s="91"/>
      <c r="H364" s="91"/>
      <c r="I364" s="91"/>
      <c r="J364" s="92"/>
    </row>
    <row r="365" spans="1:10" x14ac:dyDescent="0.25">
      <c r="A365" s="42">
        <v>357</v>
      </c>
      <c r="B365" s="79">
        <v>43489</v>
      </c>
      <c r="C365" s="89"/>
      <c r="D365" s="85"/>
      <c r="E365" s="85"/>
      <c r="F365" s="90"/>
      <c r="G365" s="91"/>
      <c r="H365" s="91"/>
      <c r="I365" s="91"/>
      <c r="J365" s="92"/>
    </row>
    <row r="366" spans="1:10" x14ac:dyDescent="0.25">
      <c r="A366" s="42">
        <v>358</v>
      </c>
      <c r="B366" s="79">
        <v>43490</v>
      </c>
      <c r="C366" s="89"/>
      <c r="D366" s="85"/>
      <c r="E366" s="85"/>
      <c r="F366" s="90"/>
      <c r="G366" s="91"/>
      <c r="H366" s="91"/>
      <c r="I366" s="91"/>
      <c r="J366" s="92"/>
    </row>
    <row r="367" spans="1:10" x14ac:dyDescent="0.25">
      <c r="A367" s="42">
        <v>359</v>
      </c>
      <c r="B367" s="79">
        <v>43491</v>
      </c>
      <c r="C367" s="89"/>
      <c r="D367" s="85"/>
      <c r="E367" s="85"/>
      <c r="F367" s="90"/>
      <c r="G367" s="91"/>
      <c r="H367" s="91"/>
      <c r="I367" s="91"/>
      <c r="J367" s="92"/>
    </row>
    <row r="368" spans="1:10" x14ac:dyDescent="0.25">
      <c r="A368" s="42">
        <v>360</v>
      </c>
      <c r="B368" s="79">
        <v>43492</v>
      </c>
      <c r="C368" s="89"/>
      <c r="D368" s="85"/>
      <c r="E368" s="85"/>
      <c r="F368" s="90"/>
      <c r="G368" s="91"/>
      <c r="H368" s="91"/>
      <c r="I368" s="91"/>
      <c r="J368" s="92"/>
    </row>
    <row r="369" spans="1:10" x14ac:dyDescent="0.25">
      <c r="A369" s="42">
        <v>361</v>
      </c>
      <c r="B369" s="79">
        <v>43493</v>
      </c>
      <c r="C369" s="89"/>
      <c r="D369" s="85"/>
      <c r="E369" s="85"/>
      <c r="F369" s="90"/>
      <c r="G369" s="91"/>
      <c r="H369" s="91"/>
      <c r="I369" s="91"/>
      <c r="J369" s="92"/>
    </row>
    <row r="370" spans="1:10" x14ac:dyDescent="0.25">
      <c r="A370" s="42">
        <v>362</v>
      </c>
      <c r="B370" s="79">
        <v>43494</v>
      </c>
      <c r="C370" s="89"/>
      <c r="D370" s="85"/>
      <c r="E370" s="85"/>
      <c r="F370" s="90"/>
      <c r="G370" s="91"/>
      <c r="H370" s="91"/>
      <c r="I370" s="91"/>
      <c r="J370" s="92"/>
    </row>
    <row r="371" spans="1:10" x14ac:dyDescent="0.25">
      <c r="A371" s="42">
        <v>363</v>
      </c>
      <c r="B371" s="79">
        <v>43495</v>
      </c>
      <c r="C371" s="89"/>
      <c r="D371" s="85"/>
      <c r="E371" s="85"/>
      <c r="F371" s="90"/>
      <c r="G371" s="91"/>
      <c r="H371" s="91"/>
      <c r="I371" s="91"/>
      <c r="J371" s="92"/>
    </row>
    <row r="372" spans="1:10" x14ac:dyDescent="0.25">
      <c r="A372" s="42">
        <v>364</v>
      </c>
      <c r="B372" s="79">
        <v>43496</v>
      </c>
      <c r="C372" s="89"/>
      <c r="D372" s="85"/>
      <c r="E372" s="85"/>
      <c r="F372" s="90"/>
      <c r="G372" s="91"/>
      <c r="H372" s="91"/>
      <c r="I372" s="91"/>
      <c r="J372" s="92"/>
    </row>
    <row r="373" spans="1:10" x14ac:dyDescent="0.25">
      <c r="A373" s="42">
        <v>365</v>
      </c>
      <c r="B373" s="79">
        <v>43497</v>
      </c>
      <c r="C373" s="89"/>
      <c r="D373" s="85"/>
      <c r="E373" s="85"/>
      <c r="F373" s="90"/>
      <c r="G373" s="91"/>
      <c r="H373" s="91"/>
      <c r="I373" s="91"/>
      <c r="J373" s="92"/>
    </row>
    <row r="374" spans="1:10" x14ac:dyDescent="0.25">
      <c r="A374" s="42">
        <v>366</v>
      </c>
      <c r="B374" s="79">
        <v>43498</v>
      </c>
      <c r="C374" s="89"/>
      <c r="D374" s="85"/>
      <c r="E374" s="85"/>
      <c r="F374" s="90"/>
      <c r="G374" s="91"/>
      <c r="H374" s="91"/>
      <c r="I374" s="91"/>
      <c r="J374" s="92"/>
    </row>
    <row r="375" spans="1:10" x14ac:dyDescent="0.25">
      <c r="A375" s="42">
        <v>367</v>
      </c>
      <c r="B375" s="79">
        <v>43499</v>
      </c>
      <c r="C375" s="89"/>
      <c r="D375" s="85"/>
      <c r="E375" s="85"/>
      <c r="F375" s="90"/>
      <c r="G375" s="91"/>
      <c r="H375" s="91"/>
      <c r="I375" s="91"/>
      <c r="J375" s="92"/>
    </row>
    <row r="376" spans="1:10" x14ac:dyDescent="0.25">
      <c r="A376" s="42">
        <v>368</v>
      </c>
      <c r="B376" s="79">
        <v>43500</v>
      </c>
      <c r="C376" s="89"/>
      <c r="D376" s="85"/>
      <c r="E376" s="85"/>
      <c r="F376" s="90"/>
      <c r="G376" s="91"/>
      <c r="H376" s="91"/>
      <c r="I376" s="91"/>
      <c r="J376" s="92"/>
    </row>
    <row r="377" spans="1:10" x14ac:dyDescent="0.25">
      <c r="A377" s="42">
        <v>369</v>
      </c>
      <c r="B377" s="79">
        <v>43501</v>
      </c>
      <c r="C377" s="89"/>
      <c r="D377" s="85"/>
      <c r="E377" s="85"/>
      <c r="F377" s="90"/>
      <c r="G377" s="91"/>
      <c r="H377" s="91"/>
      <c r="I377" s="91"/>
      <c r="J377" s="92"/>
    </row>
    <row r="378" spans="1:10" x14ac:dyDescent="0.25">
      <c r="A378" s="42">
        <v>370</v>
      </c>
      <c r="B378" s="79">
        <v>43502</v>
      </c>
      <c r="C378" s="89"/>
      <c r="D378" s="85"/>
      <c r="E378" s="85"/>
      <c r="F378" s="90"/>
      <c r="G378" s="91"/>
      <c r="H378" s="91"/>
      <c r="I378" s="91"/>
      <c r="J378" s="92"/>
    </row>
    <row r="379" spans="1:10" x14ac:dyDescent="0.25">
      <c r="A379" s="42">
        <v>371</v>
      </c>
      <c r="B379" s="79">
        <v>43503</v>
      </c>
      <c r="C379" s="89"/>
      <c r="D379" s="85"/>
      <c r="E379" s="85"/>
      <c r="F379" s="90"/>
      <c r="G379" s="91"/>
      <c r="H379" s="91"/>
      <c r="I379" s="91"/>
      <c r="J379" s="92"/>
    </row>
    <row r="380" spans="1:10" x14ac:dyDescent="0.25">
      <c r="A380" s="42">
        <v>372</v>
      </c>
      <c r="B380" s="79">
        <v>43504</v>
      </c>
      <c r="C380" s="89"/>
      <c r="D380" s="85"/>
      <c r="E380" s="85"/>
      <c r="F380" s="90"/>
      <c r="G380" s="91"/>
      <c r="H380" s="91"/>
      <c r="I380" s="91"/>
      <c r="J380" s="92"/>
    </row>
    <row r="381" spans="1:10" x14ac:dyDescent="0.25">
      <c r="A381" s="42">
        <v>373</v>
      </c>
      <c r="B381" s="79">
        <v>43505</v>
      </c>
      <c r="C381" s="89"/>
      <c r="D381" s="85"/>
      <c r="E381" s="85"/>
      <c r="F381" s="90"/>
      <c r="G381" s="91"/>
      <c r="H381" s="91"/>
      <c r="I381" s="91"/>
      <c r="J381" s="92"/>
    </row>
    <row r="382" spans="1:10" x14ac:dyDescent="0.25">
      <c r="A382" s="42">
        <v>374</v>
      </c>
      <c r="B382" s="79">
        <v>43506</v>
      </c>
      <c r="C382" s="89"/>
      <c r="D382" s="85"/>
      <c r="E382" s="85"/>
      <c r="F382" s="90"/>
      <c r="G382" s="91"/>
      <c r="H382" s="91"/>
      <c r="I382" s="91"/>
      <c r="J382" s="92"/>
    </row>
    <row r="383" spans="1:10" x14ac:dyDescent="0.25">
      <c r="A383" s="42">
        <v>375</v>
      </c>
      <c r="B383" s="79">
        <v>43507</v>
      </c>
      <c r="C383" s="89"/>
      <c r="D383" s="85"/>
      <c r="E383" s="85"/>
      <c r="F383" s="90"/>
      <c r="G383" s="91"/>
      <c r="H383" s="91"/>
      <c r="I383" s="91"/>
      <c r="J383" s="92"/>
    </row>
    <row r="384" spans="1:10" x14ac:dyDescent="0.25">
      <c r="A384" s="42">
        <v>376</v>
      </c>
      <c r="B384" s="79">
        <v>43508</v>
      </c>
      <c r="C384" s="89"/>
      <c r="D384" s="85"/>
      <c r="E384" s="85"/>
      <c r="F384" s="90"/>
      <c r="G384" s="91"/>
      <c r="H384" s="91"/>
      <c r="I384" s="91"/>
      <c r="J384" s="92"/>
    </row>
    <row r="385" spans="1:10" x14ac:dyDescent="0.25">
      <c r="A385" s="42">
        <v>377</v>
      </c>
      <c r="B385" s="79">
        <v>43509</v>
      </c>
      <c r="C385" s="89"/>
      <c r="D385" s="85"/>
      <c r="E385" s="85"/>
      <c r="F385" s="90"/>
      <c r="G385" s="91"/>
      <c r="H385" s="91"/>
      <c r="I385" s="91"/>
      <c r="J385" s="92"/>
    </row>
    <row r="386" spans="1:10" x14ac:dyDescent="0.25">
      <c r="A386" s="42">
        <v>378</v>
      </c>
      <c r="B386" s="79">
        <v>43510</v>
      </c>
      <c r="C386" s="89"/>
      <c r="D386" s="85"/>
      <c r="E386" s="85"/>
      <c r="F386" s="90"/>
      <c r="G386" s="91"/>
      <c r="H386" s="91"/>
      <c r="I386" s="91"/>
      <c r="J386" s="92"/>
    </row>
    <row r="387" spans="1:10" x14ac:dyDescent="0.25">
      <c r="A387" s="42">
        <v>379</v>
      </c>
      <c r="B387" s="79">
        <v>43511</v>
      </c>
      <c r="C387" s="89"/>
      <c r="D387" s="85"/>
      <c r="E387" s="85"/>
      <c r="F387" s="90"/>
      <c r="G387" s="91"/>
      <c r="H387" s="91"/>
      <c r="I387" s="91"/>
      <c r="J387" s="92"/>
    </row>
    <row r="388" spans="1:10" x14ac:dyDescent="0.25">
      <c r="A388" s="42">
        <v>380</v>
      </c>
      <c r="B388" s="79">
        <v>43512</v>
      </c>
      <c r="C388" s="89"/>
      <c r="D388" s="85"/>
      <c r="E388" s="85"/>
      <c r="F388" s="90"/>
      <c r="G388" s="91"/>
      <c r="H388" s="91"/>
      <c r="I388" s="91"/>
      <c r="J388" s="92"/>
    </row>
    <row r="389" spans="1:10" x14ac:dyDescent="0.25">
      <c r="A389" s="42">
        <v>381</v>
      </c>
      <c r="B389" s="79">
        <v>43513</v>
      </c>
      <c r="C389" s="89"/>
      <c r="D389" s="85"/>
      <c r="E389" s="85"/>
      <c r="F389" s="90"/>
      <c r="G389" s="91"/>
      <c r="H389" s="91"/>
      <c r="I389" s="91"/>
      <c r="J389" s="92"/>
    </row>
    <row r="390" spans="1:10" x14ac:dyDescent="0.25">
      <c r="A390" s="42">
        <v>382</v>
      </c>
      <c r="B390" s="79">
        <v>43514</v>
      </c>
      <c r="C390" s="89"/>
      <c r="D390" s="85"/>
      <c r="E390" s="85"/>
      <c r="F390" s="90"/>
      <c r="G390" s="91"/>
      <c r="H390" s="91"/>
      <c r="I390" s="91"/>
      <c r="J390" s="92"/>
    </row>
    <row r="391" spans="1:10" x14ac:dyDescent="0.25">
      <c r="A391" s="42">
        <v>383</v>
      </c>
      <c r="B391" s="79">
        <v>43515</v>
      </c>
      <c r="C391" s="89"/>
      <c r="D391" s="85"/>
      <c r="E391" s="85"/>
      <c r="F391" s="90"/>
      <c r="G391" s="91"/>
      <c r="H391" s="91"/>
      <c r="I391" s="91"/>
      <c r="J391" s="92"/>
    </row>
    <row r="392" spans="1:10" x14ac:dyDescent="0.25">
      <c r="A392" s="42">
        <v>384</v>
      </c>
      <c r="B392" s="79">
        <v>43516</v>
      </c>
      <c r="C392" s="89"/>
      <c r="D392" s="85"/>
      <c r="E392" s="85"/>
      <c r="F392" s="90"/>
      <c r="G392" s="91"/>
      <c r="H392" s="91"/>
      <c r="I392" s="91"/>
      <c r="J392" s="92"/>
    </row>
    <row r="393" spans="1:10" x14ac:dyDescent="0.25">
      <c r="B393" s="79">
        <v>43517</v>
      </c>
      <c r="C393" s="89"/>
      <c r="D393" s="85"/>
      <c r="E393" s="85"/>
      <c r="F393" s="90"/>
      <c r="G393" s="91"/>
      <c r="H393" s="91"/>
      <c r="I393" s="91"/>
      <c r="J393" s="92"/>
    </row>
    <row r="394" spans="1:10" x14ac:dyDescent="0.25">
      <c r="B394" s="79">
        <v>43518</v>
      </c>
      <c r="C394" s="89"/>
      <c r="D394" s="85"/>
      <c r="E394" s="85"/>
      <c r="F394" s="90"/>
      <c r="G394" s="91"/>
      <c r="H394" s="91"/>
      <c r="I394" s="91"/>
      <c r="J394" s="92"/>
    </row>
    <row r="395" spans="1:10" x14ac:dyDescent="0.25">
      <c r="B395" s="79">
        <v>43519</v>
      </c>
      <c r="C395" s="89"/>
      <c r="D395" s="85"/>
      <c r="E395" s="85"/>
      <c r="F395" s="90"/>
      <c r="G395" s="91"/>
      <c r="H395" s="91"/>
      <c r="I395" s="91"/>
      <c r="J395" s="92"/>
    </row>
    <row r="396" spans="1:10" x14ac:dyDescent="0.25">
      <c r="B396" s="79">
        <v>43520</v>
      </c>
      <c r="C396" s="89"/>
      <c r="D396" s="85"/>
      <c r="E396" s="85"/>
      <c r="F396" s="90"/>
      <c r="G396" s="91"/>
      <c r="H396" s="91"/>
      <c r="I396" s="91"/>
      <c r="J396" s="92"/>
    </row>
    <row r="397" spans="1:10" x14ac:dyDescent="0.25">
      <c r="B397" s="79">
        <v>43521</v>
      </c>
      <c r="C397" s="89"/>
      <c r="D397" s="85"/>
      <c r="E397" s="85"/>
      <c r="F397" s="90"/>
      <c r="G397" s="91"/>
      <c r="H397" s="91"/>
      <c r="I397" s="91"/>
      <c r="J397" s="92"/>
    </row>
    <row r="398" spans="1:10" x14ac:dyDescent="0.25">
      <c r="B398" s="79">
        <v>43522</v>
      </c>
      <c r="C398" s="89"/>
      <c r="D398" s="85"/>
      <c r="E398" s="85"/>
      <c r="F398" s="90"/>
      <c r="G398" s="91"/>
      <c r="H398" s="91"/>
      <c r="I398" s="91"/>
      <c r="J398" s="92"/>
    </row>
    <row r="399" spans="1:10" x14ac:dyDescent="0.25">
      <c r="B399" s="79">
        <v>43523</v>
      </c>
      <c r="C399" s="89"/>
      <c r="D399" s="85"/>
      <c r="E399" s="85"/>
      <c r="F399" s="90"/>
      <c r="G399" s="91"/>
      <c r="H399" s="91"/>
      <c r="I399" s="91"/>
      <c r="J399" s="92"/>
    </row>
    <row r="400" spans="1:10" x14ac:dyDescent="0.25">
      <c r="B400" s="79">
        <v>43524</v>
      </c>
      <c r="C400" s="89"/>
      <c r="D400" s="85"/>
      <c r="E400" s="85"/>
      <c r="F400" s="90"/>
      <c r="G400" s="91"/>
      <c r="H400" s="91"/>
      <c r="I400" s="91"/>
      <c r="J400" s="92"/>
    </row>
    <row r="401" spans="2:10" x14ac:dyDescent="0.25">
      <c r="B401" s="79">
        <v>43525</v>
      </c>
      <c r="C401" s="89"/>
      <c r="D401" s="85"/>
      <c r="E401" s="85"/>
      <c r="F401" s="90"/>
      <c r="G401" s="91"/>
      <c r="H401" s="91"/>
      <c r="I401" s="91"/>
      <c r="J401" s="92"/>
    </row>
    <row r="402" spans="2:10" x14ac:dyDescent="0.25">
      <c r="B402" s="79">
        <v>43526</v>
      </c>
      <c r="C402" s="89"/>
      <c r="D402" s="85"/>
      <c r="E402" s="85"/>
      <c r="F402" s="90"/>
      <c r="G402" s="91"/>
      <c r="H402" s="91"/>
      <c r="I402" s="91"/>
      <c r="J402" s="92"/>
    </row>
    <row r="403" spans="2:10" x14ac:dyDescent="0.25">
      <c r="B403" s="79">
        <v>43527</v>
      </c>
      <c r="C403" s="89"/>
      <c r="D403" s="85"/>
      <c r="E403" s="85"/>
      <c r="F403" s="90"/>
      <c r="G403" s="91"/>
      <c r="H403" s="91"/>
      <c r="I403" s="91"/>
      <c r="J403" s="92"/>
    </row>
    <row r="404" spans="2:10" x14ac:dyDescent="0.25">
      <c r="B404" s="79">
        <v>43528</v>
      </c>
      <c r="C404" s="89"/>
      <c r="D404" s="85"/>
      <c r="E404" s="85"/>
      <c r="F404" s="90"/>
      <c r="G404" s="91"/>
      <c r="H404" s="91"/>
      <c r="I404" s="91"/>
      <c r="J404" s="92"/>
    </row>
    <row r="405" spans="2:10" x14ac:dyDescent="0.25">
      <c r="B405" s="79">
        <v>43529</v>
      </c>
      <c r="C405" s="89"/>
      <c r="D405" s="85"/>
      <c r="E405" s="85"/>
      <c r="F405" s="90"/>
      <c r="G405" s="91"/>
      <c r="H405" s="91"/>
      <c r="I405" s="91"/>
      <c r="J405" s="92"/>
    </row>
    <row r="406" spans="2:10" x14ac:dyDescent="0.25">
      <c r="B406" s="79">
        <v>43530</v>
      </c>
      <c r="C406" s="89"/>
      <c r="D406" s="85"/>
      <c r="E406" s="85"/>
      <c r="F406" s="90"/>
      <c r="G406" s="91"/>
      <c r="H406" s="91"/>
      <c r="I406" s="91"/>
      <c r="J406" s="92"/>
    </row>
    <row r="407" spans="2:10" x14ac:dyDescent="0.25">
      <c r="B407" s="79">
        <v>43531</v>
      </c>
      <c r="C407" s="89"/>
      <c r="D407" s="85"/>
      <c r="E407" s="85"/>
      <c r="F407" s="90"/>
      <c r="G407" s="91"/>
      <c r="H407" s="91"/>
      <c r="I407" s="91"/>
      <c r="J407" s="92"/>
    </row>
    <row r="408" spans="2:10" x14ac:dyDescent="0.25">
      <c r="B408" s="79">
        <v>43532</v>
      </c>
      <c r="C408" s="89"/>
      <c r="D408" s="85"/>
      <c r="E408" s="85"/>
      <c r="F408" s="90"/>
      <c r="G408" s="91"/>
      <c r="H408" s="91"/>
      <c r="I408" s="91"/>
      <c r="J408" s="92"/>
    </row>
    <row r="409" spans="2:10" x14ac:dyDescent="0.25">
      <c r="B409" s="79">
        <v>43533</v>
      </c>
      <c r="C409" s="89"/>
      <c r="D409" s="85"/>
      <c r="E409" s="85"/>
      <c r="F409" s="90"/>
      <c r="G409" s="91"/>
      <c r="H409" s="91"/>
      <c r="I409" s="91"/>
      <c r="J409" s="92"/>
    </row>
    <row r="410" spans="2:10" x14ac:dyDescent="0.25">
      <c r="B410" s="79">
        <v>43534</v>
      </c>
      <c r="C410" s="89"/>
      <c r="D410" s="85"/>
      <c r="E410" s="85"/>
      <c r="F410" s="90"/>
      <c r="G410" s="91"/>
      <c r="H410" s="91"/>
      <c r="I410" s="91"/>
      <c r="J410" s="92"/>
    </row>
    <row r="411" spans="2:10" x14ac:dyDescent="0.25">
      <c r="B411" s="79">
        <v>43535</v>
      </c>
      <c r="C411" s="89"/>
      <c r="D411" s="85"/>
      <c r="E411" s="85"/>
      <c r="F411" s="90"/>
      <c r="G411" s="91"/>
      <c r="H411" s="91"/>
      <c r="I411" s="91"/>
      <c r="J411" s="92"/>
    </row>
    <row r="412" spans="2:10" x14ac:dyDescent="0.25">
      <c r="B412" s="79">
        <v>43536</v>
      </c>
      <c r="C412" s="89"/>
      <c r="D412" s="85"/>
      <c r="E412" s="85"/>
      <c r="F412" s="90"/>
      <c r="G412" s="91"/>
      <c r="H412" s="91"/>
      <c r="I412" s="91"/>
      <c r="J412" s="92"/>
    </row>
    <row r="413" spans="2:10" x14ac:dyDescent="0.25">
      <c r="B413" s="79">
        <v>43537</v>
      </c>
      <c r="C413" s="89"/>
      <c r="D413" s="85"/>
      <c r="E413" s="85"/>
      <c r="F413" s="90"/>
      <c r="G413" s="91"/>
      <c r="H413" s="91"/>
      <c r="I413" s="91"/>
      <c r="J413" s="92"/>
    </row>
    <row r="414" spans="2:10" x14ac:dyDescent="0.25">
      <c r="B414" s="79">
        <v>43538</v>
      </c>
      <c r="C414" s="89"/>
      <c r="D414" s="85"/>
      <c r="E414" s="85"/>
      <c r="F414" s="90"/>
      <c r="G414" s="91"/>
      <c r="H414" s="91"/>
      <c r="I414" s="91"/>
      <c r="J414" s="92"/>
    </row>
    <row r="415" spans="2:10" x14ac:dyDescent="0.25">
      <c r="B415" s="79">
        <v>43539</v>
      </c>
      <c r="C415" s="89"/>
      <c r="D415" s="85"/>
      <c r="E415" s="85"/>
      <c r="F415" s="90"/>
      <c r="G415" s="91"/>
      <c r="H415" s="91"/>
      <c r="I415" s="91"/>
      <c r="J415" s="92"/>
    </row>
    <row r="416" spans="2:10" x14ac:dyDescent="0.25">
      <c r="B416" s="79">
        <v>43540</v>
      </c>
      <c r="C416" s="89"/>
      <c r="D416" s="85"/>
      <c r="E416" s="85"/>
      <c r="F416" s="90"/>
      <c r="G416" s="91"/>
      <c r="H416" s="91"/>
      <c r="I416" s="91"/>
      <c r="J416" s="92"/>
    </row>
    <row r="417" spans="2:10" x14ac:dyDescent="0.25">
      <c r="B417" s="79">
        <v>43541</v>
      </c>
      <c r="C417" s="89"/>
      <c r="D417" s="85"/>
      <c r="E417" s="85"/>
      <c r="F417" s="90"/>
      <c r="G417" s="91"/>
      <c r="H417" s="91"/>
      <c r="I417" s="91"/>
      <c r="J417" s="92"/>
    </row>
    <row r="418" spans="2:10" x14ac:dyDescent="0.25">
      <c r="B418" s="79">
        <v>43542</v>
      </c>
      <c r="C418" s="89"/>
      <c r="D418" s="85"/>
      <c r="E418" s="85"/>
      <c r="F418" s="90"/>
      <c r="G418" s="91"/>
      <c r="H418" s="91"/>
      <c r="I418" s="91"/>
      <c r="J418" s="92"/>
    </row>
    <row r="419" spans="2:10" x14ac:dyDescent="0.25">
      <c r="B419" s="79">
        <v>43543</v>
      </c>
      <c r="C419" s="89"/>
      <c r="D419" s="85"/>
      <c r="E419" s="85"/>
      <c r="F419" s="90"/>
      <c r="G419" s="91"/>
      <c r="H419" s="91"/>
      <c r="I419" s="91"/>
      <c r="J419" s="92"/>
    </row>
    <row r="420" spans="2:10" x14ac:dyDescent="0.25">
      <c r="B420" s="79">
        <v>43544</v>
      </c>
      <c r="C420" s="89"/>
      <c r="D420" s="85"/>
      <c r="E420" s="85"/>
      <c r="F420" s="90"/>
      <c r="G420" s="91"/>
      <c r="H420" s="91"/>
      <c r="I420" s="91"/>
      <c r="J420" s="92"/>
    </row>
    <row r="421" spans="2:10" x14ac:dyDescent="0.25">
      <c r="B421" s="79">
        <v>43545</v>
      </c>
      <c r="C421" s="89"/>
      <c r="D421" s="85"/>
      <c r="E421" s="85"/>
      <c r="F421" s="90"/>
      <c r="G421" s="91"/>
      <c r="H421" s="91"/>
      <c r="I421" s="91"/>
      <c r="J421" s="92"/>
    </row>
    <row r="422" spans="2:10" x14ac:dyDescent="0.25">
      <c r="B422" s="79">
        <v>43546</v>
      </c>
      <c r="C422" s="89"/>
      <c r="D422" s="85"/>
      <c r="E422" s="85"/>
      <c r="F422" s="90"/>
      <c r="G422" s="91"/>
      <c r="H422" s="91"/>
      <c r="I422" s="91"/>
      <c r="J422" s="92"/>
    </row>
    <row r="423" spans="2:10" x14ac:dyDescent="0.25">
      <c r="B423" s="79">
        <v>43547</v>
      </c>
      <c r="C423" s="89"/>
      <c r="D423" s="85"/>
      <c r="E423" s="85"/>
      <c r="F423" s="90"/>
      <c r="G423" s="91"/>
      <c r="H423" s="91"/>
      <c r="I423" s="91"/>
      <c r="J423" s="92"/>
    </row>
    <row r="424" spans="2:10" x14ac:dyDescent="0.25">
      <c r="B424" s="79">
        <v>43548</v>
      </c>
      <c r="C424" s="89"/>
      <c r="D424" s="85"/>
      <c r="E424" s="85"/>
      <c r="F424" s="90"/>
      <c r="G424" s="91"/>
      <c r="H424" s="91"/>
      <c r="I424" s="91"/>
      <c r="J424" s="92"/>
    </row>
    <row r="425" spans="2:10" x14ac:dyDescent="0.25">
      <c r="B425" s="79">
        <v>43549</v>
      </c>
      <c r="C425" s="89"/>
      <c r="D425" s="85"/>
      <c r="E425" s="85"/>
      <c r="F425" s="90"/>
      <c r="G425" s="91"/>
      <c r="H425" s="91"/>
      <c r="I425" s="91"/>
      <c r="J425" s="92"/>
    </row>
    <row r="426" spans="2:10" x14ac:dyDescent="0.25">
      <c r="B426" s="79">
        <v>43550</v>
      </c>
      <c r="C426" s="89"/>
      <c r="D426" s="85"/>
      <c r="E426" s="85"/>
      <c r="F426" s="90"/>
      <c r="G426" s="91"/>
      <c r="H426" s="91"/>
      <c r="I426" s="91"/>
      <c r="J426" s="92"/>
    </row>
    <row r="427" spans="2:10" x14ac:dyDescent="0.25">
      <c r="B427" s="79">
        <v>43551</v>
      </c>
      <c r="C427" s="89"/>
      <c r="D427" s="85"/>
      <c r="E427" s="85"/>
      <c r="F427" s="90"/>
      <c r="G427" s="91"/>
      <c r="H427" s="91"/>
      <c r="I427" s="91"/>
      <c r="J427" s="92"/>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79" priority="6">
      <formula>INDIRECT("B"&amp;ROW())=TODAY()</formula>
    </cfRule>
  </conditionalFormatting>
  <conditionalFormatting sqref="B9:B427">
    <cfRule type="timePeriod" dxfId="78" priority="5" timePeriod="today">
      <formula>FLOOR(B9,1)=TODAY()</formula>
    </cfRule>
  </conditionalFormatting>
  <hyperlinks>
    <hyperlink ref="E89" r:id="rId1"/>
    <hyperlink ref="E97" r:id="rId2"/>
    <hyperlink ref="E143" r:id="rId3"/>
  </hyperlinks>
  <pageMargins left="0.7" right="0.7" top="0.75" bottom="0.75" header="0.3" footer="0.3"/>
  <pageSetup paperSize="9" orientation="portrait" horizontalDpi="4294967293" verticalDpi="0"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S30"/>
  <sheetViews>
    <sheetView workbookViewId="0">
      <selection sqref="A1:A1048576"/>
    </sheetView>
  </sheetViews>
  <sheetFormatPr defaultRowHeight="15" x14ac:dyDescent="0.25"/>
  <cols>
    <col min="1" max="1" width="9.140625" style="65"/>
    <col min="2" max="2" width="23.42578125" style="1" customWidth="1"/>
    <col min="3" max="4" width="34.28515625" style="1" customWidth="1"/>
    <col min="5" max="5" width="27.140625" style="51" customWidth="1"/>
    <col min="6" max="6" width="31.85546875" style="1" customWidth="1"/>
    <col min="7" max="7" width="30.140625" style="1" customWidth="1"/>
    <col min="8" max="19" width="15.7109375" style="1" customWidth="1"/>
    <col min="20" max="16384" width="9.140625" style="1"/>
  </cols>
  <sheetData>
    <row r="1" spans="2:19" s="65" customFormat="1" x14ac:dyDescent="0.25">
      <c r="E1" s="212"/>
    </row>
    <row r="2" spans="2:19" s="65" customFormat="1" x14ac:dyDescent="0.25">
      <c r="E2" s="212"/>
    </row>
    <row r="3" spans="2:19" ht="23.25" customHeight="1" x14ac:dyDescent="0.25">
      <c r="B3" s="1" t="s">
        <v>561</v>
      </c>
      <c r="C3" s="208" t="s">
        <v>557</v>
      </c>
      <c r="D3" s="208" t="s">
        <v>558</v>
      </c>
      <c r="E3" s="213" t="s">
        <v>559</v>
      </c>
      <c r="F3" s="208" t="s">
        <v>560</v>
      </c>
      <c r="G3" s="208" t="s">
        <v>574</v>
      </c>
      <c r="H3" s="208" t="s">
        <v>565</v>
      </c>
      <c r="I3" s="208" t="s">
        <v>566</v>
      </c>
      <c r="J3" s="208" t="s">
        <v>567</v>
      </c>
      <c r="K3" s="208" t="s">
        <v>568</v>
      </c>
      <c r="L3" s="208" t="s">
        <v>569</v>
      </c>
      <c r="M3" s="208" t="s">
        <v>570</v>
      </c>
      <c r="N3" s="106"/>
      <c r="O3" s="106"/>
      <c r="P3" s="106"/>
      <c r="Q3" s="106"/>
      <c r="R3" s="106"/>
      <c r="S3" s="106"/>
    </row>
    <row r="4" spans="2:19" ht="150.75" customHeight="1" x14ac:dyDescent="0.25">
      <c r="B4" s="1" t="s">
        <v>562</v>
      </c>
      <c r="C4" s="106" t="s">
        <v>571</v>
      </c>
      <c r="D4" s="106" t="s">
        <v>572</v>
      </c>
      <c r="E4" s="214">
        <v>43268</v>
      </c>
      <c r="F4" s="106" t="s">
        <v>573</v>
      </c>
      <c r="G4" s="106" t="s">
        <v>575</v>
      </c>
      <c r="H4" s="106"/>
      <c r="I4" s="106"/>
      <c r="J4" s="106"/>
      <c r="K4" s="106"/>
      <c r="L4" s="106"/>
      <c r="M4" s="106"/>
      <c r="N4" s="106"/>
      <c r="O4" s="106"/>
      <c r="P4" s="106"/>
      <c r="Q4" s="106"/>
      <c r="R4" s="106"/>
      <c r="S4" s="106"/>
    </row>
    <row r="5" spans="2:19" ht="90" x14ac:dyDescent="0.25">
      <c r="B5" s="1" t="s">
        <v>563</v>
      </c>
      <c r="C5" s="106" t="s">
        <v>576</v>
      </c>
      <c r="D5" s="106" t="s">
        <v>577</v>
      </c>
      <c r="E5" s="214">
        <v>43275</v>
      </c>
      <c r="F5" s="106"/>
      <c r="G5" s="106"/>
      <c r="H5" s="106"/>
      <c r="I5" s="106"/>
      <c r="J5" s="106"/>
      <c r="K5" s="106"/>
      <c r="L5" s="106"/>
      <c r="M5" s="106"/>
      <c r="N5" s="106"/>
      <c r="O5" s="106"/>
      <c r="P5" s="106"/>
      <c r="Q5" s="106"/>
      <c r="R5" s="106"/>
      <c r="S5" s="106"/>
    </row>
    <row r="6" spans="2:19" ht="135.75" customHeight="1" x14ac:dyDescent="0.25">
      <c r="B6" s="1" t="s">
        <v>564</v>
      </c>
      <c r="C6" s="106" t="s">
        <v>578</v>
      </c>
      <c r="D6" s="106" t="s">
        <v>579</v>
      </c>
      <c r="E6" s="214">
        <v>43275</v>
      </c>
      <c r="F6" s="208"/>
      <c r="G6" s="106"/>
      <c r="H6" s="208"/>
      <c r="I6" s="106"/>
      <c r="J6" s="208"/>
      <c r="K6" s="106"/>
      <c r="L6" s="208"/>
      <c r="M6" s="106"/>
      <c r="N6" s="208"/>
      <c r="O6" s="106"/>
      <c r="P6" s="208"/>
      <c r="Q6" s="106"/>
      <c r="R6" s="208"/>
      <c r="S6" s="106"/>
    </row>
    <row r="7" spans="2:19" ht="20.100000000000001" customHeight="1" x14ac:dyDescent="0.25">
      <c r="C7" s="106"/>
      <c r="D7" s="106"/>
      <c r="E7" s="214"/>
      <c r="F7" s="209"/>
      <c r="G7" s="210"/>
      <c r="H7" s="210"/>
      <c r="I7" s="210"/>
      <c r="J7" s="210"/>
      <c r="K7" s="210"/>
      <c r="L7" s="210"/>
      <c r="M7" s="211"/>
      <c r="N7" s="210"/>
      <c r="O7" s="210"/>
      <c r="P7" s="210"/>
      <c r="Q7" s="210"/>
      <c r="R7" s="210"/>
      <c r="S7" s="209"/>
    </row>
    <row r="8" spans="2:19" ht="20.100000000000001" customHeight="1" x14ac:dyDescent="0.25"/>
    <row r="9" spans="2:19" ht="20.100000000000001" customHeight="1" x14ac:dyDescent="0.25"/>
    <row r="10" spans="2:19" ht="20.100000000000001" customHeight="1" x14ac:dyDescent="0.25">
      <c r="F10" s="188"/>
      <c r="G10" s="188"/>
      <c r="H10" s="188"/>
      <c r="I10" s="188"/>
      <c r="J10" s="188"/>
      <c r="K10" s="188"/>
      <c r="L10" s="188"/>
      <c r="M10" s="188"/>
      <c r="N10" s="188"/>
      <c r="O10" s="188"/>
      <c r="P10" s="188"/>
      <c r="Q10" s="188"/>
      <c r="R10" s="188"/>
      <c r="S10" s="188"/>
    </row>
    <row r="11" spans="2:19" ht="20.100000000000001" customHeight="1" x14ac:dyDescent="0.25"/>
    <row r="12" spans="2:19" ht="20.100000000000001" customHeight="1" x14ac:dyDescent="0.25"/>
    <row r="13" spans="2:19" ht="20.100000000000001" customHeight="1" x14ac:dyDescent="0.25"/>
    <row r="14" spans="2:19" ht="20.100000000000001" customHeight="1" x14ac:dyDescent="0.25"/>
    <row r="15" spans="2:19" ht="20.100000000000001" customHeight="1" x14ac:dyDescent="0.25"/>
    <row r="16" spans="2:19"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sheetData>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16" zoomScale="91" workbookViewId="0">
      <selection activeCell="C23" sqref="C23"/>
    </sheetView>
  </sheetViews>
  <sheetFormatPr defaultColWidth="8.85546875" defaultRowHeight="15" x14ac:dyDescent="0.25"/>
  <cols>
    <col min="1" max="1" width="21.140625" style="65" customWidth="1"/>
    <col min="2" max="2" width="8.85546875" style="131"/>
    <col min="3" max="3" width="40.42578125" style="131" customWidth="1"/>
    <col min="4" max="4" width="61.140625" style="131" customWidth="1"/>
    <col min="5" max="5" width="18.42578125" style="131" customWidth="1"/>
    <col min="6" max="6" width="24.42578125" style="131" customWidth="1"/>
    <col min="7" max="7" width="27.28515625" style="131" customWidth="1"/>
    <col min="8" max="8" width="42.28515625" style="131" customWidth="1"/>
    <col min="9" max="9" width="36.28515625" style="131" customWidth="1"/>
    <col min="10" max="16384" width="8.85546875" style="131"/>
  </cols>
  <sheetData>
    <row r="1" spans="1:12" s="67" customFormat="1" ht="33.75" customHeight="1" x14ac:dyDescent="0.25">
      <c r="A1" s="68">
        <f ca="1">TODAY()</f>
        <v>43279</v>
      </c>
      <c r="B1" s="68"/>
    </row>
    <row r="2" spans="1:12" s="96" customFormat="1" ht="33.75" customHeight="1" x14ac:dyDescent="0.25">
      <c r="A2" s="95">
        <f ca="1">NOW()</f>
        <v>43279.765410763888</v>
      </c>
      <c r="B2" s="95"/>
      <c r="E2" s="97" t="s">
        <v>304</v>
      </c>
      <c r="F2" s="97"/>
      <c r="G2" s="97"/>
      <c r="J2" s="97"/>
      <c r="K2" s="97"/>
      <c r="L2" s="97"/>
    </row>
    <row r="3" spans="1:12" x14ac:dyDescent="0.25">
      <c r="A3" s="116"/>
    </row>
    <row r="4" spans="1:12" x14ac:dyDescent="0.25">
      <c r="A4" s="107"/>
    </row>
    <row r="5" spans="1:12" x14ac:dyDescent="0.25">
      <c r="C5" s="132"/>
      <c r="D5" s="132"/>
      <c r="E5" s="132"/>
      <c r="F5" s="132"/>
      <c r="G5" s="132"/>
      <c r="H5" s="132"/>
      <c r="I5" s="132"/>
      <c r="J5" s="132"/>
    </row>
    <row r="6" spans="1:12" x14ac:dyDescent="0.25">
      <c r="C6" s="132"/>
      <c r="D6" s="132"/>
      <c r="E6" s="132"/>
      <c r="F6" s="132"/>
      <c r="G6" s="132"/>
      <c r="H6" s="132"/>
      <c r="I6" s="132"/>
      <c r="J6" s="132"/>
    </row>
    <row r="7" spans="1:12" x14ac:dyDescent="0.25">
      <c r="C7" s="133" t="s">
        <v>328</v>
      </c>
      <c r="D7" s="133"/>
      <c r="E7" s="133"/>
      <c r="F7" s="133"/>
      <c r="G7" s="133"/>
      <c r="H7" s="133"/>
      <c r="I7" s="133" t="s">
        <v>52</v>
      </c>
      <c r="J7" s="132"/>
    </row>
    <row r="8" spans="1:12" x14ac:dyDescent="0.25">
      <c r="C8" s="132"/>
      <c r="D8" s="134" t="s">
        <v>329</v>
      </c>
      <c r="E8" s="134"/>
      <c r="F8" s="134"/>
      <c r="G8" s="134"/>
      <c r="H8" s="134" t="s">
        <v>330</v>
      </c>
      <c r="I8" s="132"/>
      <c r="J8" s="132"/>
    </row>
    <row r="9" spans="1:12" x14ac:dyDescent="0.25">
      <c r="C9" s="132"/>
      <c r="D9" s="132"/>
      <c r="E9" s="133" t="s">
        <v>331</v>
      </c>
      <c r="F9" s="133"/>
      <c r="G9" s="133" t="s">
        <v>332</v>
      </c>
      <c r="H9" s="132"/>
      <c r="I9" s="132"/>
      <c r="J9" s="132"/>
    </row>
    <row r="10" spans="1:12" x14ac:dyDescent="0.25">
      <c r="C10" s="132"/>
      <c r="D10" s="132"/>
      <c r="E10" s="132"/>
      <c r="F10" s="134"/>
      <c r="G10" s="132"/>
      <c r="H10" s="132"/>
      <c r="I10" s="132"/>
      <c r="J10" s="132"/>
    </row>
    <row r="11" spans="1:12" x14ac:dyDescent="0.25">
      <c r="C11" s="132"/>
      <c r="D11" s="132"/>
      <c r="E11" s="132"/>
      <c r="F11" s="134" t="s">
        <v>333</v>
      </c>
      <c r="G11" s="132"/>
      <c r="H11" s="132"/>
      <c r="I11" s="132"/>
      <c r="J11" s="132"/>
    </row>
    <row r="12" spans="1:12" x14ac:dyDescent="0.25">
      <c r="C12" s="132"/>
      <c r="D12" s="132"/>
      <c r="E12" s="132"/>
      <c r="F12" s="132"/>
      <c r="G12" s="132"/>
      <c r="H12" s="132"/>
      <c r="I12" s="132"/>
      <c r="J12" s="132"/>
    </row>
    <row r="13" spans="1:12" x14ac:dyDescent="0.25">
      <c r="C13" s="132"/>
      <c r="D13" s="132"/>
      <c r="E13" s="132"/>
      <c r="F13" s="132"/>
      <c r="G13" s="132"/>
      <c r="H13" s="132"/>
      <c r="I13" s="132"/>
      <c r="J13" s="132"/>
    </row>
    <row r="15" spans="1:12" x14ac:dyDescent="0.25">
      <c r="C15" s="76" t="s">
        <v>339</v>
      </c>
      <c r="D15" s="76" t="s">
        <v>9</v>
      </c>
      <c r="E15" s="76" t="s">
        <v>334</v>
      </c>
      <c r="F15" s="131" t="s">
        <v>336</v>
      </c>
      <c r="G15" s="76" t="s">
        <v>344</v>
      </c>
    </row>
    <row r="16" spans="1:12" ht="58.5" customHeight="1" x14ac:dyDescent="0.25">
      <c r="C16" s="76" t="s">
        <v>351</v>
      </c>
      <c r="D16" s="77" t="s">
        <v>352</v>
      </c>
      <c r="E16" s="135">
        <v>0</v>
      </c>
      <c r="F16" s="136"/>
      <c r="G16" s="136"/>
    </row>
    <row r="17" spans="3:7" ht="58.5" customHeight="1" x14ac:dyDescent="0.25">
      <c r="C17" s="131" t="s">
        <v>353</v>
      </c>
      <c r="D17" s="77" t="s">
        <v>354</v>
      </c>
      <c r="E17" s="138">
        <v>0.1</v>
      </c>
      <c r="F17" s="136"/>
      <c r="G17" s="136"/>
    </row>
    <row r="18" spans="3:7" ht="136.69999999999999" customHeight="1" x14ac:dyDescent="0.25">
      <c r="C18" s="76" t="s">
        <v>328</v>
      </c>
      <c r="D18" s="77" t="s">
        <v>335</v>
      </c>
      <c r="E18" s="135">
        <v>0.1</v>
      </c>
      <c r="F18" s="136">
        <v>43226</v>
      </c>
      <c r="G18" s="136"/>
    </row>
    <row r="19" spans="3:7" ht="39" customHeight="1" x14ac:dyDescent="0.25">
      <c r="C19" s="76" t="s">
        <v>329</v>
      </c>
      <c r="D19" s="77" t="s">
        <v>337</v>
      </c>
      <c r="E19" s="135">
        <v>0.05</v>
      </c>
    </row>
    <row r="20" spans="3:7" ht="47.45" customHeight="1" x14ac:dyDescent="0.25">
      <c r="C20" s="76" t="s">
        <v>331</v>
      </c>
      <c r="D20" s="77" t="s">
        <v>338</v>
      </c>
      <c r="E20" s="135">
        <v>0.01</v>
      </c>
    </row>
    <row r="21" spans="3:7" ht="105" customHeight="1" x14ac:dyDescent="0.25">
      <c r="C21" s="76" t="s">
        <v>332</v>
      </c>
      <c r="D21" s="77" t="s">
        <v>340</v>
      </c>
      <c r="E21" s="135">
        <v>1.4999999999999999E-2</v>
      </c>
    </row>
    <row r="22" spans="3:7" ht="64.7" customHeight="1" x14ac:dyDescent="0.25">
      <c r="C22" s="76" t="s">
        <v>52</v>
      </c>
      <c r="D22" s="77" t="s">
        <v>341</v>
      </c>
      <c r="E22" s="135">
        <v>0.1</v>
      </c>
      <c r="F22" s="136">
        <v>43261</v>
      </c>
      <c r="G22" s="136"/>
    </row>
    <row r="23" spans="3:7" ht="84.2" customHeight="1" x14ac:dyDescent="0.25">
      <c r="C23" s="76" t="s">
        <v>342</v>
      </c>
      <c r="D23" s="77" t="s">
        <v>343</v>
      </c>
      <c r="E23" s="135">
        <v>0.02</v>
      </c>
      <c r="F23" s="137">
        <v>43558</v>
      </c>
      <c r="G23" s="137"/>
    </row>
    <row r="24" spans="3:7" ht="119.45" customHeight="1" x14ac:dyDescent="0.25">
      <c r="C24" s="131" t="s">
        <v>345</v>
      </c>
      <c r="D24" s="76" t="s">
        <v>347</v>
      </c>
      <c r="E24" s="135">
        <v>0.2</v>
      </c>
    </row>
    <row r="25" spans="3:7" ht="117.2" customHeight="1" x14ac:dyDescent="0.25">
      <c r="C25" s="131" t="s">
        <v>346</v>
      </c>
      <c r="D25" s="76" t="s">
        <v>348</v>
      </c>
      <c r="E25" s="135">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1"/>
  <sheetViews>
    <sheetView zoomScale="79" zoomScaleNormal="96" zoomScalePageLayoutView="96" workbookViewId="0">
      <selection activeCell="I9" sqref="I9"/>
    </sheetView>
  </sheetViews>
  <sheetFormatPr defaultColWidth="8.85546875" defaultRowHeight="15" x14ac:dyDescent="0.25"/>
  <cols>
    <col min="1" max="1" width="20.7109375" style="65" customWidth="1"/>
    <col min="2" max="3" width="20.7109375" style="106" customWidth="1"/>
    <col min="4" max="4" width="18.140625" style="1" customWidth="1"/>
    <col min="5" max="5" width="31.28515625" style="1" customWidth="1"/>
    <col min="6" max="6" width="84.42578125" style="1" customWidth="1"/>
    <col min="7" max="7" width="35.42578125" style="1" customWidth="1"/>
    <col min="8" max="8" width="17" style="105" customWidth="1"/>
    <col min="9" max="9" width="32.28515625" style="105" customWidth="1"/>
    <col min="10" max="11" width="35.42578125" style="1" customWidth="1"/>
    <col min="12" max="12" width="30.7109375" style="1" customWidth="1"/>
    <col min="13" max="13" width="22" style="1" customWidth="1"/>
    <col min="14" max="16384" width="8.85546875" style="1"/>
  </cols>
  <sheetData>
    <row r="1" spans="1:46" s="67" customFormat="1" ht="26.25" customHeight="1" x14ac:dyDescent="0.25">
      <c r="A1" s="68">
        <f ca="1">TODAY()</f>
        <v>43279</v>
      </c>
      <c r="B1" s="68"/>
      <c r="C1" s="68"/>
    </row>
    <row r="2" spans="1:46" s="96" customFormat="1" ht="26.25" customHeight="1" x14ac:dyDescent="0.25">
      <c r="A2" s="95">
        <f ca="1">NOW()</f>
        <v>43279.765410763888</v>
      </c>
      <c r="B2" s="95"/>
      <c r="C2" s="95" t="s">
        <v>461</v>
      </c>
      <c r="F2" s="97" t="s">
        <v>304</v>
      </c>
      <c r="G2" s="97"/>
      <c r="J2" s="97"/>
      <c r="K2" s="97"/>
      <c r="L2" s="97"/>
      <c r="M2" s="97"/>
      <c r="N2" s="97"/>
    </row>
    <row r="3" spans="1:46" s="110" customFormat="1" x14ac:dyDescent="0.25">
      <c r="A3" s="116"/>
      <c r="B3" s="127" t="s">
        <v>308</v>
      </c>
      <c r="H3" s="115"/>
      <c r="I3" s="115"/>
    </row>
    <row r="4" spans="1:46" s="109" customFormat="1" x14ac:dyDescent="0.25">
      <c r="A4" s="107"/>
      <c r="B4" s="108" t="s">
        <v>40</v>
      </c>
      <c r="C4" s="108" t="s">
        <v>460</v>
      </c>
      <c r="D4" s="109" t="s">
        <v>21</v>
      </c>
      <c r="E4" s="109" t="s">
        <v>312</v>
      </c>
      <c r="F4" s="109" t="s">
        <v>314</v>
      </c>
      <c r="G4" s="109" t="s">
        <v>306</v>
      </c>
      <c r="H4" s="109" t="s">
        <v>305</v>
      </c>
      <c r="I4" s="109" t="s">
        <v>309</v>
      </c>
      <c r="J4" s="109" t="s">
        <v>307</v>
      </c>
      <c r="K4" s="109" t="s">
        <v>313</v>
      </c>
    </row>
    <row r="5" spans="1:46" ht="67.5" customHeight="1" x14ac:dyDescent="0.25">
      <c r="B5" s="106">
        <v>20</v>
      </c>
      <c r="C5" s="106" t="s">
        <v>500</v>
      </c>
      <c r="D5" s="2" t="s">
        <v>453</v>
      </c>
      <c r="F5" s="129" t="s">
        <v>531</v>
      </c>
      <c r="G5" s="123"/>
      <c r="H5" s="111"/>
      <c r="I5" s="51"/>
      <c r="K5" s="114"/>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94.5" customHeight="1" x14ac:dyDescent="0.25">
      <c r="B6" s="106">
        <v>15</v>
      </c>
      <c r="D6" s="2" t="s">
        <v>454</v>
      </c>
      <c r="F6" s="129" t="s">
        <v>530</v>
      </c>
      <c r="G6" s="123"/>
      <c r="H6" s="111"/>
      <c r="I6" s="51"/>
      <c r="K6" s="113"/>
    </row>
    <row r="7" spans="1:46" ht="61.7" customHeight="1" x14ac:dyDescent="0.25">
      <c r="B7" s="106">
        <v>0</v>
      </c>
      <c r="D7" s="2" t="s">
        <v>456</v>
      </c>
      <c r="F7" s="128" t="s">
        <v>529</v>
      </c>
      <c r="G7" s="123"/>
      <c r="H7" s="111"/>
      <c r="I7" s="51"/>
      <c r="K7" s="114"/>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78.75" customHeight="1" x14ac:dyDescent="0.25">
      <c r="B8" s="106">
        <v>0</v>
      </c>
      <c r="D8" s="2" t="s">
        <v>458</v>
      </c>
      <c r="E8" s="1" t="s">
        <v>528</v>
      </c>
      <c r="F8" s="128" t="s">
        <v>527</v>
      </c>
      <c r="G8" s="2"/>
      <c r="H8" s="111"/>
      <c r="I8" s="51"/>
      <c r="K8" s="114"/>
    </row>
    <row r="9" spans="1:46" ht="106.5" customHeight="1" x14ac:dyDescent="0.25">
      <c r="B9" s="106">
        <v>0</v>
      </c>
      <c r="D9" s="117" t="s">
        <v>459</v>
      </c>
      <c r="F9" s="128" t="s">
        <v>526</v>
      </c>
      <c r="G9" s="187"/>
      <c r="H9" s="111"/>
      <c r="I9" s="51"/>
      <c r="K9" s="11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row>
    <row r="10" spans="1:46" ht="106.5" customHeight="1" x14ac:dyDescent="0.25">
      <c r="B10" s="106">
        <v>0</v>
      </c>
      <c r="D10" s="117" t="s">
        <v>463</v>
      </c>
      <c r="F10" s="112" t="s">
        <v>525</v>
      </c>
      <c r="G10" s="118"/>
      <c r="H10" s="111"/>
      <c r="I10" s="51"/>
      <c r="K10" s="114"/>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5">
      <c r="B11" s="39"/>
      <c r="C11" s="39"/>
      <c r="D11" s="117"/>
      <c r="E11" s="2"/>
      <c r="F11" s="119"/>
      <c r="G11" s="118"/>
      <c r="H11" s="120"/>
      <c r="I11" s="121"/>
      <c r="J11" s="39"/>
      <c r="K11" s="122" t="s">
        <v>310</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sheetData>
  <conditionalFormatting sqref="B5:C11">
    <cfRule type="colorScale" priority="2">
      <colorScale>
        <cfvo type="num" val="0"/>
        <cfvo type="num" val="5"/>
        <cfvo type="num" val="20"/>
        <color rgb="FF00B050"/>
        <color rgb="FFFFFF00"/>
        <color rgb="FFFF2929"/>
      </colorScale>
    </cfRule>
  </conditionalFormatting>
  <conditionalFormatting sqref="H5:H11">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F66F"/>
  </sheetPr>
  <dimension ref="A1:AT226"/>
  <sheetViews>
    <sheetView zoomScale="55" zoomScaleNormal="55" workbookViewId="0">
      <selection activeCell="C10" sqref="C10"/>
    </sheetView>
  </sheetViews>
  <sheetFormatPr defaultColWidth="8.85546875" defaultRowHeight="12" x14ac:dyDescent="0.25"/>
  <cols>
    <col min="1" max="1" width="21.7109375" style="156" customWidth="1"/>
    <col min="2" max="2" width="14" style="161" customWidth="1"/>
    <col min="3" max="3" width="26.140625" style="162" customWidth="1"/>
    <col min="4" max="4" width="9.140625" style="186" customWidth="1"/>
    <col min="5" max="5" width="17.42578125" style="162" customWidth="1"/>
    <col min="6" max="6" width="28.42578125" style="163" customWidth="1"/>
    <col min="7" max="7" width="29.85546875" style="163" customWidth="1"/>
    <col min="8" max="8" width="40.42578125" style="163" customWidth="1"/>
    <col min="9" max="9" width="33" style="161" customWidth="1"/>
    <col min="10" max="10" width="27.42578125" style="163" customWidth="1"/>
    <col min="11" max="11" width="26.42578125" style="161" customWidth="1"/>
    <col min="12" max="16384" width="8.85546875" style="161"/>
  </cols>
  <sheetData>
    <row r="1" spans="1:46" s="146" customFormat="1" x14ac:dyDescent="0.25">
      <c r="A1" s="145">
        <f ca="1">TODAY()</f>
        <v>43279</v>
      </c>
      <c r="C1" s="147"/>
      <c r="D1" s="153"/>
      <c r="E1" s="147"/>
      <c r="F1" s="158"/>
      <c r="G1" s="158"/>
      <c r="H1" s="158"/>
      <c r="J1" s="158"/>
    </row>
    <row r="2" spans="1:46" s="151" customFormat="1" ht="46.7" customHeight="1" x14ac:dyDescent="0.25">
      <c r="A2" s="148">
        <f ca="1">NOW()</f>
        <v>43279.765410763888</v>
      </c>
      <c r="B2" s="149"/>
      <c r="C2" s="150"/>
      <c r="D2" s="150"/>
      <c r="E2" s="150"/>
      <c r="F2" s="159"/>
      <c r="G2" s="159"/>
      <c r="H2" s="159"/>
      <c r="J2" s="159"/>
      <c r="O2" s="149"/>
      <c r="P2" s="149"/>
      <c r="Q2" s="149"/>
      <c r="R2" s="149"/>
      <c r="S2" s="149"/>
      <c r="T2" s="149"/>
      <c r="U2" s="149"/>
      <c r="V2" s="149"/>
      <c r="W2" s="149"/>
      <c r="X2" s="149"/>
      <c r="Y2" s="149"/>
      <c r="Z2" s="149"/>
      <c r="AA2" s="149"/>
      <c r="AB2" s="149"/>
      <c r="AC2" s="149"/>
      <c r="AD2" s="149"/>
      <c r="AE2" s="149"/>
      <c r="AF2" s="149"/>
      <c r="AG2" s="149"/>
      <c r="AH2" s="149"/>
      <c r="AI2" s="149"/>
      <c r="AJ2" s="149"/>
      <c r="AK2" s="149"/>
      <c r="AL2" s="149"/>
      <c r="AM2" s="149"/>
      <c r="AN2" s="149"/>
      <c r="AO2" s="149"/>
      <c r="AP2" s="149"/>
      <c r="AQ2" s="149"/>
      <c r="AR2" s="149"/>
      <c r="AS2" s="149"/>
      <c r="AT2" s="149"/>
    </row>
    <row r="3" spans="1:46" x14ac:dyDescent="0.25">
      <c r="A3" s="152">
        <f ca="1">HOUR(A2)</f>
        <v>18</v>
      </c>
      <c r="C3" s="173"/>
      <c r="D3" s="181"/>
      <c r="E3" s="173"/>
      <c r="F3" s="176"/>
      <c r="G3" s="174"/>
      <c r="H3" s="176"/>
      <c r="I3" s="175"/>
      <c r="J3" s="176"/>
      <c r="K3" s="175"/>
    </row>
    <row r="4" spans="1:46" x14ac:dyDescent="0.25">
      <c r="A4" s="152"/>
      <c r="C4" s="177"/>
      <c r="D4" s="183"/>
      <c r="E4" s="177"/>
      <c r="F4" s="180"/>
      <c r="G4" s="178"/>
      <c r="H4" s="180"/>
      <c r="I4" s="179"/>
      <c r="J4" s="180"/>
      <c r="K4" s="179"/>
    </row>
    <row r="5" spans="1:46" ht="15" x14ac:dyDescent="0.25">
      <c r="A5" s="182" t="s">
        <v>386</v>
      </c>
      <c r="B5" s="164" t="s">
        <v>369</v>
      </c>
      <c r="C5" s="165" t="s">
        <v>368</v>
      </c>
      <c r="D5" s="165" t="s">
        <v>384</v>
      </c>
      <c r="E5" s="165" t="s">
        <v>382</v>
      </c>
      <c r="F5" s="166" t="s">
        <v>370</v>
      </c>
      <c r="G5" s="166" t="s">
        <v>371</v>
      </c>
      <c r="H5" s="166" t="s">
        <v>372</v>
      </c>
      <c r="I5" s="164" t="s">
        <v>380</v>
      </c>
      <c r="J5" s="166" t="s">
        <v>373</v>
      </c>
      <c r="K5" s="164" t="s">
        <v>374</v>
      </c>
    </row>
    <row r="6" spans="1:46" ht="148.5" customHeight="1" x14ac:dyDescent="0.25">
      <c r="A6" s="147" t="s">
        <v>387</v>
      </c>
      <c r="B6" s="161">
        <v>0</v>
      </c>
      <c r="C6" s="173">
        <v>43176</v>
      </c>
      <c r="D6" s="181" t="s">
        <v>385</v>
      </c>
      <c r="E6" s="173" t="s">
        <v>383</v>
      </c>
      <c r="F6" s="176" t="s">
        <v>375</v>
      </c>
      <c r="G6" s="174" t="s">
        <v>376</v>
      </c>
      <c r="H6" s="176" t="s">
        <v>378</v>
      </c>
      <c r="I6" s="175" t="s">
        <v>381</v>
      </c>
      <c r="J6" s="176" t="s">
        <v>379</v>
      </c>
      <c r="K6" s="175" t="s">
        <v>377</v>
      </c>
    </row>
    <row r="7" spans="1:46" ht="68.25" customHeight="1" x14ac:dyDescent="0.25">
      <c r="A7" s="153" t="s">
        <v>389</v>
      </c>
      <c r="B7" s="161">
        <f>IF(NOT(ISBLANK(C7)),(C7-C6),0)</f>
        <v>1</v>
      </c>
      <c r="C7" s="167">
        <v>43177</v>
      </c>
      <c r="D7" s="184" t="s">
        <v>385</v>
      </c>
      <c r="E7" s="167" t="s">
        <v>393</v>
      </c>
      <c r="F7" s="160" t="s">
        <v>394</v>
      </c>
      <c r="G7" s="168" t="s">
        <v>395</v>
      </c>
      <c r="H7" s="160" t="s">
        <v>396</v>
      </c>
      <c r="I7" s="169" t="s">
        <v>397</v>
      </c>
      <c r="J7" s="160" t="s">
        <v>398</v>
      </c>
      <c r="K7" s="169" t="s">
        <v>399</v>
      </c>
    </row>
    <row r="8" spans="1:46" ht="72.75" customHeight="1" x14ac:dyDescent="0.25">
      <c r="A8" s="154"/>
      <c r="B8" s="161">
        <f t="shared" ref="B8:B71" si="0">IF(NOT(ISBLANK(C8)),(C8-C7),0)</f>
        <v>5</v>
      </c>
      <c r="C8" s="173">
        <v>43182</v>
      </c>
      <c r="D8" s="181" t="s">
        <v>385</v>
      </c>
      <c r="E8" s="173" t="s">
        <v>383</v>
      </c>
      <c r="F8" s="176" t="s">
        <v>409</v>
      </c>
      <c r="G8" s="174" t="s">
        <v>410</v>
      </c>
      <c r="H8" s="176" t="s">
        <v>411</v>
      </c>
      <c r="I8" s="175" t="s">
        <v>414</v>
      </c>
      <c r="J8" s="176" t="s">
        <v>412</v>
      </c>
      <c r="K8" s="175" t="s">
        <v>413</v>
      </c>
    </row>
    <row r="9" spans="1:46" ht="129.75" customHeight="1" x14ac:dyDescent="0.25">
      <c r="A9" s="154"/>
      <c r="B9" s="161">
        <f t="shared" si="0"/>
        <v>1</v>
      </c>
      <c r="C9" s="167">
        <v>43183</v>
      </c>
      <c r="D9" s="184" t="s">
        <v>417</v>
      </c>
      <c r="E9" s="167" t="s">
        <v>418</v>
      </c>
      <c r="F9" s="160" t="s">
        <v>415</v>
      </c>
      <c r="G9" s="168" t="s">
        <v>416</v>
      </c>
      <c r="H9" s="160"/>
      <c r="I9" s="169"/>
      <c r="J9" s="160"/>
      <c r="K9" s="169" t="s">
        <v>419</v>
      </c>
    </row>
    <row r="10" spans="1:46" ht="65.45" customHeight="1" x14ac:dyDescent="0.25">
      <c r="A10" s="154"/>
      <c r="B10" s="161">
        <v>15</v>
      </c>
      <c r="C10" s="167">
        <v>43215</v>
      </c>
      <c r="D10" s="184" t="s">
        <v>417</v>
      </c>
      <c r="E10" s="167" t="s">
        <v>474</v>
      </c>
      <c r="F10" s="160" t="s">
        <v>479</v>
      </c>
      <c r="G10" s="168" t="s">
        <v>477</v>
      </c>
      <c r="H10" s="160" t="s">
        <v>476</v>
      </c>
      <c r="I10" s="169"/>
      <c r="J10" s="160" t="s">
        <v>478</v>
      </c>
      <c r="K10" s="169" t="s">
        <v>475</v>
      </c>
    </row>
    <row r="11" spans="1:46" x14ac:dyDescent="0.25">
      <c r="A11" s="154"/>
      <c r="B11" s="161">
        <f t="shared" si="0"/>
        <v>0</v>
      </c>
      <c r="C11" s="167"/>
      <c r="D11" s="184"/>
      <c r="E11" s="167"/>
      <c r="F11" s="160"/>
      <c r="G11" s="168"/>
      <c r="H11" s="160"/>
      <c r="I11" s="169"/>
      <c r="J11" s="160"/>
      <c r="K11" s="169"/>
    </row>
    <row r="12" spans="1:46" x14ac:dyDescent="0.25">
      <c r="A12" s="154"/>
      <c r="B12" s="161">
        <f t="shared" si="0"/>
        <v>0</v>
      </c>
      <c r="C12" s="167"/>
      <c r="D12" s="184"/>
      <c r="E12" s="167"/>
      <c r="F12" s="160"/>
      <c r="G12" s="168"/>
      <c r="H12" s="160"/>
      <c r="I12" s="169"/>
      <c r="J12" s="160"/>
      <c r="K12" s="169"/>
    </row>
    <row r="13" spans="1:46" x14ac:dyDescent="0.25">
      <c r="A13" s="154"/>
      <c r="B13" s="161">
        <f t="shared" si="0"/>
        <v>0</v>
      </c>
      <c r="C13" s="167"/>
      <c r="D13" s="184"/>
      <c r="E13" s="167"/>
      <c r="F13" s="160"/>
      <c r="G13" s="168"/>
      <c r="H13" s="160"/>
      <c r="I13" s="169"/>
      <c r="J13" s="160"/>
      <c r="K13" s="169"/>
    </row>
    <row r="14" spans="1:46" x14ac:dyDescent="0.25">
      <c r="A14" s="154"/>
      <c r="B14" s="161">
        <f t="shared" si="0"/>
        <v>0</v>
      </c>
      <c r="C14" s="167"/>
      <c r="D14" s="184"/>
      <c r="E14" s="167"/>
      <c r="F14" s="160"/>
      <c r="G14" s="168"/>
      <c r="H14" s="160"/>
      <c r="I14" s="169"/>
      <c r="J14" s="160"/>
      <c r="K14" s="169"/>
    </row>
    <row r="15" spans="1:46" x14ac:dyDescent="0.25">
      <c r="A15" s="154"/>
      <c r="B15" s="161">
        <f t="shared" si="0"/>
        <v>0</v>
      </c>
      <c r="C15" s="167"/>
      <c r="D15" s="184"/>
      <c r="E15" s="167"/>
      <c r="F15" s="160"/>
      <c r="G15" s="168"/>
      <c r="H15" s="160"/>
      <c r="I15" s="169"/>
      <c r="J15" s="160"/>
      <c r="K15" s="169"/>
    </row>
    <row r="16" spans="1:46" x14ac:dyDescent="0.25">
      <c r="A16" s="154"/>
      <c r="B16" s="161">
        <f t="shared" si="0"/>
        <v>0</v>
      </c>
      <c r="C16" s="167"/>
      <c r="D16" s="184"/>
      <c r="E16" s="167"/>
      <c r="F16" s="160"/>
      <c r="G16" s="168"/>
      <c r="H16" s="160"/>
      <c r="I16" s="169"/>
      <c r="J16" s="160"/>
      <c r="K16" s="169"/>
    </row>
    <row r="17" spans="1:11" x14ac:dyDescent="0.25">
      <c r="A17" s="154"/>
      <c r="B17" s="161">
        <f t="shared" si="0"/>
        <v>0</v>
      </c>
      <c r="C17" s="167"/>
      <c r="D17" s="184"/>
      <c r="E17" s="167"/>
      <c r="F17" s="160"/>
      <c r="G17" s="168"/>
      <c r="H17" s="160"/>
      <c r="I17" s="169"/>
      <c r="J17" s="160"/>
      <c r="K17" s="169"/>
    </row>
    <row r="18" spans="1:11" x14ac:dyDescent="0.25">
      <c r="A18" s="154"/>
      <c r="B18" s="161">
        <f t="shared" si="0"/>
        <v>0</v>
      </c>
      <c r="C18" s="167"/>
      <c r="D18" s="184"/>
      <c r="E18" s="167"/>
      <c r="F18" s="160"/>
      <c r="G18" s="168"/>
      <c r="H18" s="160"/>
      <c r="I18" s="169"/>
      <c r="J18" s="160"/>
      <c r="K18" s="169"/>
    </row>
    <row r="19" spans="1:11" x14ac:dyDescent="0.25">
      <c r="A19" s="154"/>
      <c r="B19" s="161">
        <f t="shared" si="0"/>
        <v>0</v>
      </c>
      <c r="C19" s="167"/>
      <c r="D19" s="184"/>
      <c r="E19" s="167"/>
      <c r="F19" s="160"/>
      <c r="G19" s="168"/>
      <c r="H19" s="160"/>
      <c r="I19" s="169"/>
      <c r="J19" s="160"/>
      <c r="K19" s="169"/>
    </row>
    <row r="20" spans="1:11" s="170" customFormat="1" ht="20.25" customHeight="1" x14ac:dyDescent="0.25">
      <c r="A20" s="157"/>
      <c r="B20" s="42">
        <f>IF(NOT(ISBLANK(C20)),(C20-C19),0)</f>
        <v>0</v>
      </c>
      <c r="C20" s="46"/>
      <c r="D20" s="185"/>
      <c r="E20" s="46"/>
      <c r="F20" s="171"/>
      <c r="G20" s="172" t="s">
        <v>480</v>
      </c>
      <c r="H20" s="171"/>
      <c r="J20" s="171"/>
    </row>
    <row r="21" spans="1:11" x14ac:dyDescent="0.25">
      <c r="A21" s="154"/>
      <c r="B21" s="161">
        <f t="shared" si="0"/>
        <v>0</v>
      </c>
      <c r="C21" s="167"/>
      <c r="D21" s="184"/>
      <c r="E21" s="167"/>
      <c r="F21" s="160"/>
      <c r="G21" s="168"/>
      <c r="H21" s="160"/>
      <c r="I21" s="169"/>
      <c r="J21" s="160"/>
      <c r="K21" s="169"/>
    </row>
    <row r="22" spans="1:11" x14ac:dyDescent="0.25">
      <c r="A22" s="154"/>
      <c r="B22" s="161">
        <f t="shared" si="0"/>
        <v>0</v>
      </c>
      <c r="C22" s="167"/>
      <c r="D22" s="184"/>
      <c r="E22" s="167"/>
      <c r="F22" s="160"/>
      <c r="G22" s="168"/>
      <c r="H22" s="160"/>
      <c r="I22" s="169"/>
      <c r="J22" s="160"/>
      <c r="K22" s="169"/>
    </row>
    <row r="23" spans="1:11" x14ac:dyDescent="0.25">
      <c r="A23" s="154"/>
      <c r="B23" s="161">
        <f t="shared" si="0"/>
        <v>0</v>
      </c>
      <c r="C23" s="167"/>
      <c r="D23" s="184"/>
      <c r="E23" s="167"/>
      <c r="F23" s="160"/>
      <c r="G23" s="168"/>
      <c r="H23" s="160"/>
      <c r="I23" s="169"/>
      <c r="J23" s="160"/>
      <c r="K23" s="169"/>
    </row>
    <row r="24" spans="1:11" x14ac:dyDescent="0.25">
      <c r="A24" s="154"/>
      <c r="B24" s="161">
        <f t="shared" si="0"/>
        <v>0</v>
      </c>
      <c r="C24" s="167"/>
      <c r="D24" s="184"/>
      <c r="E24" s="167"/>
      <c r="F24" s="160"/>
      <c r="G24" s="168"/>
      <c r="H24" s="160"/>
      <c r="I24" s="169"/>
      <c r="J24" s="160"/>
      <c r="K24" s="169"/>
    </row>
    <row r="25" spans="1:11" x14ac:dyDescent="0.25">
      <c r="A25" s="154"/>
      <c r="B25" s="161">
        <f t="shared" si="0"/>
        <v>0</v>
      </c>
      <c r="C25" s="167"/>
      <c r="D25" s="184"/>
      <c r="E25" s="167"/>
      <c r="F25" s="160"/>
      <c r="G25" s="168"/>
      <c r="H25" s="160"/>
      <c r="I25" s="169"/>
      <c r="J25" s="160"/>
      <c r="K25" s="169"/>
    </row>
    <row r="26" spans="1:11" x14ac:dyDescent="0.25">
      <c r="A26" s="154"/>
      <c r="B26" s="161">
        <f t="shared" si="0"/>
        <v>0</v>
      </c>
      <c r="C26" s="167"/>
      <c r="D26" s="184"/>
      <c r="E26" s="167"/>
      <c r="F26" s="160"/>
      <c r="G26" s="168"/>
      <c r="H26" s="160"/>
      <c r="I26" s="169"/>
      <c r="J26" s="160"/>
      <c r="K26" s="169"/>
    </row>
    <row r="27" spans="1:11" x14ac:dyDescent="0.25">
      <c r="A27" s="154"/>
      <c r="B27" s="161">
        <f t="shared" si="0"/>
        <v>0</v>
      </c>
      <c r="C27" s="167"/>
      <c r="D27" s="184"/>
      <c r="E27" s="167"/>
      <c r="F27" s="160"/>
      <c r="G27" s="168"/>
      <c r="H27" s="160"/>
      <c r="I27" s="169"/>
      <c r="J27" s="160"/>
      <c r="K27" s="169"/>
    </row>
    <row r="28" spans="1:11" x14ac:dyDescent="0.25">
      <c r="A28" s="154"/>
      <c r="B28" s="161">
        <f t="shared" si="0"/>
        <v>0</v>
      </c>
      <c r="C28" s="167"/>
      <c r="D28" s="184"/>
      <c r="E28" s="167"/>
      <c r="F28" s="160"/>
      <c r="G28" s="168"/>
      <c r="H28" s="160"/>
      <c r="I28" s="169"/>
      <c r="J28" s="160"/>
      <c r="K28" s="169"/>
    </row>
    <row r="29" spans="1:11" x14ac:dyDescent="0.25">
      <c r="A29" s="154"/>
      <c r="B29" s="161">
        <f t="shared" si="0"/>
        <v>0</v>
      </c>
      <c r="C29" s="167"/>
      <c r="D29" s="184"/>
      <c r="E29" s="167"/>
      <c r="F29" s="160"/>
      <c r="G29" s="168"/>
      <c r="H29" s="160"/>
      <c r="I29" s="169"/>
      <c r="J29" s="160"/>
      <c r="K29" s="169"/>
    </row>
    <row r="30" spans="1:11" x14ac:dyDescent="0.25">
      <c r="A30" s="154"/>
      <c r="B30" s="161">
        <f t="shared" si="0"/>
        <v>0</v>
      </c>
      <c r="C30" s="167"/>
      <c r="D30" s="184"/>
      <c r="E30" s="167"/>
      <c r="F30" s="160"/>
      <c r="G30" s="168"/>
      <c r="H30" s="160"/>
      <c r="I30" s="169"/>
      <c r="J30" s="160"/>
      <c r="K30" s="169"/>
    </row>
    <row r="31" spans="1:11" x14ac:dyDescent="0.25">
      <c r="A31" s="154"/>
      <c r="B31" s="161">
        <f t="shared" si="0"/>
        <v>0</v>
      </c>
      <c r="C31" s="167"/>
      <c r="D31" s="184"/>
      <c r="E31" s="167"/>
      <c r="F31" s="160"/>
      <c r="G31" s="168"/>
      <c r="H31" s="160"/>
      <c r="I31" s="169"/>
      <c r="J31" s="160"/>
      <c r="K31" s="169"/>
    </row>
    <row r="32" spans="1:11" x14ac:dyDescent="0.25">
      <c r="A32" s="155"/>
      <c r="B32" s="161">
        <f t="shared" si="0"/>
        <v>0</v>
      </c>
      <c r="C32" s="167"/>
      <c r="D32" s="184"/>
      <c r="E32" s="167"/>
      <c r="F32" s="160"/>
      <c r="G32" s="168"/>
      <c r="H32" s="160"/>
      <c r="I32" s="169"/>
      <c r="J32" s="160"/>
      <c r="K32" s="169"/>
    </row>
    <row r="33" spans="1:11" x14ac:dyDescent="0.25">
      <c r="A33" s="155"/>
      <c r="B33" s="161">
        <f t="shared" si="0"/>
        <v>0</v>
      </c>
      <c r="C33" s="167"/>
      <c r="D33" s="184"/>
      <c r="E33" s="167"/>
      <c r="F33" s="160"/>
      <c r="G33" s="168"/>
      <c r="H33" s="160"/>
      <c r="I33" s="169"/>
      <c r="J33" s="160"/>
      <c r="K33" s="169"/>
    </row>
    <row r="34" spans="1:11" x14ac:dyDescent="0.25">
      <c r="B34" s="161">
        <f t="shared" si="0"/>
        <v>0</v>
      </c>
      <c r="C34" s="167"/>
      <c r="D34" s="184"/>
      <c r="E34" s="167"/>
      <c r="F34" s="160"/>
      <c r="G34" s="168"/>
      <c r="H34" s="160"/>
      <c r="I34" s="169"/>
      <c r="J34" s="160"/>
      <c r="K34" s="169"/>
    </row>
    <row r="35" spans="1:11" x14ac:dyDescent="0.25">
      <c r="B35" s="161">
        <f t="shared" si="0"/>
        <v>0</v>
      </c>
      <c r="C35" s="167"/>
      <c r="D35" s="184"/>
      <c r="E35" s="167"/>
      <c r="F35" s="160"/>
      <c r="G35" s="168"/>
      <c r="H35" s="160"/>
      <c r="I35" s="169"/>
      <c r="J35" s="160"/>
      <c r="K35" s="169"/>
    </row>
    <row r="36" spans="1:11" x14ac:dyDescent="0.25">
      <c r="B36" s="161">
        <f t="shared" si="0"/>
        <v>0</v>
      </c>
      <c r="C36" s="167"/>
      <c r="D36" s="184"/>
      <c r="E36" s="167"/>
      <c r="F36" s="160"/>
      <c r="G36" s="168"/>
      <c r="H36" s="160"/>
      <c r="I36" s="169"/>
      <c r="J36" s="160"/>
      <c r="K36" s="169"/>
    </row>
    <row r="37" spans="1:11" x14ac:dyDescent="0.25">
      <c r="B37" s="161">
        <f t="shared" si="0"/>
        <v>0</v>
      </c>
      <c r="C37" s="167"/>
      <c r="D37" s="184"/>
      <c r="E37" s="167"/>
      <c r="F37" s="160"/>
      <c r="G37" s="168"/>
      <c r="H37" s="160"/>
      <c r="I37" s="169"/>
      <c r="J37" s="160"/>
      <c r="K37" s="169"/>
    </row>
    <row r="38" spans="1:11" x14ac:dyDescent="0.25">
      <c r="B38" s="161">
        <f t="shared" si="0"/>
        <v>0</v>
      </c>
      <c r="C38" s="167"/>
      <c r="D38" s="184"/>
      <c r="E38" s="167"/>
      <c r="F38" s="160"/>
      <c r="G38" s="168"/>
      <c r="H38" s="160"/>
      <c r="I38" s="169"/>
      <c r="J38" s="160"/>
      <c r="K38" s="169"/>
    </row>
    <row r="39" spans="1:11" x14ac:dyDescent="0.25">
      <c r="B39" s="161">
        <f t="shared" si="0"/>
        <v>0</v>
      </c>
      <c r="C39" s="167"/>
      <c r="D39" s="184"/>
      <c r="E39" s="167"/>
      <c r="F39" s="160"/>
      <c r="G39" s="168"/>
      <c r="H39" s="160"/>
      <c r="I39" s="169"/>
      <c r="J39" s="160"/>
      <c r="K39" s="169"/>
    </row>
    <row r="40" spans="1:11" x14ac:dyDescent="0.25">
      <c r="B40" s="161">
        <f t="shared" si="0"/>
        <v>0</v>
      </c>
      <c r="C40" s="167"/>
      <c r="D40" s="184"/>
      <c r="E40" s="167"/>
      <c r="F40" s="160"/>
      <c r="G40" s="168"/>
      <c r="H40" s="160"/>
      <c r="I40" s="169"/>
      <c r="J40" s="160"/>
      <c r="K40" s="169"/>
    </row>
    <row r="41" spans="1:11" x14ac:dyDescent="0.25">
      <c r="B41" s="161">
        <f t="shared" si="0"/>
        <v>0</v>
      </c>
      <c r="C41" s="167"/>
      <c r="D41" s="184"/>
      <c r="E41" s="167"/>
      <c r="F41" s="160"/>
      <c r="G41" s="168"/>
      <c r="H41" s="160"/>
      <c r="I41" s="169"/>
      <c r="J41" s="160"/>
      <c r="K41" s="169"/>
    </row>
    <row r="42" spans="1:11" x14ac:dyDescent="0.25">
      <c r="B42" s="161">
        <f t="shared" si="0"/>
        <v>0</v>
      </c>
      <c r="C42" s="167"/>
      <c r="D42" s="184"/>
      <c r="E42" s="167"/>
      <c r="F42" s="160"/>
      <c r="G42" s="168"/>
      <c r="H42" s="160"/>
      <c r="I42" s="169"/>
      <c r="J42" s="160"/>
      <c r="K42" s="169"/>
    </row>
    <row r="43" spans="1:11" x14ac:dyDescent="0.25">
      <c r="B43" s="161">
        <f t="shared" si="0"/>
        <v>0</v>
      </c>
      <c r="C43" s="167"/>
      <c r="D43" s="184"/>
      <c r="E43" s="167"/>
      <c r="F43" s="160"/>
      <c r="G43" s="168"/>
      <c r="H43" s="160"/>
      <c r="I43" s="169"/>
      <c r="J43" s="160"/>
      <c r="K43" s="169"/>
    </row>
    <row r="44" spans="1:11" x14ac:dyDescent="0.25">
      <c r="B44" s="161">
        <f t="shared" si="0"/>
        <v>0</v>
      </c>
      <c r="C44" s="167"/>
      <c r="D44" s="184"/>
      <c r="E44" s="167"/>
      <c r="F44" s="160"/>
      <c r="G44" s="168"/>
      <c r="H44" s="160"/>
      <c r="I44" s="169"/>
      <c r="J44" s="160"/>
      <c r="K44" s="169"/>
    </row>
    <row r="45" spans="1:11" x14ac:dyDescent="0.25">
      <c r="B45" s="161">
        <f t="shared" si="0"/>
        <v>0</v>
      </c>
      <c r="C45" s="167"/>
      <c r="D45" s="184"/>
      <c r="E45" s="167"/>
      <c r="F45" s="160"/>
      <c r="G45" s="168"/>
      <c r="H45" s="160"/>
      <c r="I45" s="169"/>
      <c r="J45" s="160"/>
      <c r="K45" s="169"/>
    </row>
    <row r="46" spans="1:11" x14ac:dyDescent="0.25">
      <c r="B46" s="161">
        <f t="shared" si="0"/>
        <v>0</v>
      </c>
      <c r="C46" s="167"/>
      <c r="D46" s="184"/>
      <c r="E46" s="167"/>
      <c r="F46" s="160"/>
      <c r="G46" s="168"/>
      <c r="H46" s="160"/>
      <c r="I46" s="169"/>
      <c r="J46" s="160"/>
      <c r="K46" s="169"/>
    </row>
    <row r="47" spans="1:11" x14ac:dyDescent="0.25">
      <c r="B47" s="161">
        <f t="shared" si="0"/>
        <v>0</v>
      </c>
      <c r="C47" s="167"/>
      <c r="D47" s="184"/>
      <c r="E47" s="167"/>
      <c r="F47" s="160"/>
      <c r="G47" s="168"/>
      <c r="H47" s="160"/>
      <c r="I47" s="169"/>
      <c r="J47" s="160"/>
      <c r="K47" s="169"/>
    </row>
    <row r="48" spans="1:11" x14ac:dyDescent="0.25">
      <c r="B48" s="161">
        <f t="shared" si="0"/>
        <v>0</v>
      </c>
      <c r="C48" s="167"/>
      <c r="D48" s="184"/>
      <c r="E48" s="167"/>
      <c r="F48" s="160"/>
      <c r="G48" s="168"/>
      <c r="H48" s="160"/>
      <c r="I48" s="169"/>
      <c r="J48" s="160"/>
      <c r="K48" s="169"/>
    </row>
    <row r="49" spans="1:11" x14ac:dyDescent="0.25">
      <c r="B49" s="161">
        <f t="shared" si="0"/>
        <v>0</v>
      </c>
      <c r="C49" s="167"/>
      <c r="D49" s="184"/>
      <c r="E49" s="167"/>
      <c r="F49" s="160"/>
      <c r="G49" s="168"/>
      <c r="H49" s="160"/>
      <c r="I49" s="169"/>
      <c r="J49" s="160"/>
      <c r="K49" s="169"/>
    </row>
    <row r="50" spans="1:11" x14ac:dyDescent="0.25">
      <c r="B50" s="161">
        <f t="shared" si="0"/>
        <v>0</v>
      </c>
      <c r="C50" s="167"/>
      <c r="D50" s="184"/>
      <c r="E50" s="167"/>
      <c r="F50" s="160"/>
      <c r="G50" s="168"/>
      <c r="H50" s="160"/>
      <c r="I50" s="169"/>
      <c r="J50" s="160"/>
      <c r="K50" s="169"/>
    </row>
    <row r="51" spans="1:11" x14ac:dyDescent="0.25">
      <c r="B51" s="161">
        <f>IF(NOT(ISBLANK(C51)),(C51-C50),0)</f>
        <v>0</v>
      </c>
      <c r="C51" s="167"/>
      <c r="D51" s="184"/>
      <c r="E51" s="167"/>
      <c r="F51" s="160"/>
      <c r="G51" s="168"/>
      <c r="H51" s="160"/>
      <c r="I51" s="169"/>
      <c r="J51" s="160"/>
      <c r="K51" s="169"/>
    </row>
    <row r="52" spans="1:11" x14ac:dyDescent="0.25">
      <c r="B52" s="161">
        <f t="shared" si="0"/>
        <v>0</v>
      </c>
      <c r="C52" s="167"/>
      <c r="D52" s="184"/>
      <c r="E52" s="167"/>
      <c r="F52" s="160"/>
      <c r="G52" s="168"/>
      <c r="H52" s="160"/>
      <c r="I52" s="169"/>
      <c r="J52" s="160"/>
      <c r="K52" s="169"/>
    </row>
    <row r="53" spans="1:11" x14ac:dyDescent="0.25">
      <c r="B53" s="161">
        <f t="shared" si="0"/>
        <v>0</v>
      </c>
      <c r="C53" s="167"/>
      <c r="D53" s="184"/>
      <c r="E53" s="167"/>
      <c r="F53" s="160"/>
      <c r="G53" s="168"/>
      <c r="H53" s="160"/>
      <c r="I53" s="169"/>
      <c r="J53" s="160"/>
      <c r="K53" s="169"/>
    </row>
    <row r="54" spans="1:11" x14ac:dyDescent="0.25">
      <c r="B54" s="161">
        <f t="shared" si="0"/>
        <v>0</v>
      </c>
      <c r="C54" s="167"/>
      <c r="D54" s="184"/>
      <c r="E54" s="167"/>
      <c r="F54" s="160"/>
      <c r="G54" s="168"/>
      <c r="H54" s="160"/>
      <c r="I54" s="169"/>
      <c r="J54" s="160"/>
      <c r="K54" s="169"/>
    </row>
    <row r="55" spans="1:11" x14ac:dyDescent="0.25">
      <c r="B55" s="161">
        <f t="shared" si="0"/>
        <v>0</v>
      </c>
      <c r="C55" s="167"/>
      <c r="D55" s="184"/>
      <c r="E55" s="167"/>
      <c r="F55" s="160"/>
      <c r="G55" s="168"/>
      <c r="H55" s="160"/>
      <c r="I55" s="169"/>
      <c r="J55" s="160"/>
      <c r="K55" s="169"/>
    </row>
    <row r="56" spans="1:11" x14ac:dyDescent="0.25">
      <c r="B56" s="161">
        <f t="shared" si="0"/>
        <v>0</v>
      </c>
      <c r="C56" s="167"/>
      <c r="D56" s="184"/>
      <c r="E56" s="167"/>
      <c r="F56" s="160"/>
      <c r="G56" s="168"/>
      <c r="H56" s="160"/>
      <c r="I56" s="169"/>
      <c r="J56" s="160"/>
      <c r="K56" s="169"/>
    </row>
    <row r="57" spans="1:11" x14ac:dyDescent="0.25">
      <c r="B57" s="161">
        <f t="shared" si="0"/>
        <v>0</v>
      </c>
      <c r="C57" s="167"/>
      <c r="D57" s="184"/>
      <c r="E57" s="167"/>
      <c r="F57" s="160"/>
      <c r="G57" s="168"/>
      <c r="H57" s="160"/>
      <c r="I57" s="169"/>
      <c r="J57" s="160"/>
      <c r="K57" s="169"/>
    </row>
    <row r="58" spans="1:11" x14ac:dyDescent="0.25">
      <c r="B58" s="161">
        <f t="shared" si="0"/>
        <v>0</v>
      </c>
      <c r="C58" s="167"/>
      <c r="D58" s="184"/>
      <c r="E58" s="167"/>
      <c r="F58" s="160"/>
      <c r="G58" s="168"/>
      <c r="H58" s="160"/>
      <c r="I58" s="169"/>
      <c r="J58" s="160"/>
      <c r="K58" s="169"/>
    </row>
    <row r="59" spans="1:11" x14ac:dyDescent="0.25">
      <c r="B59" s="161">
        <f t="shared" si="0"/>
        <v>0</v>
      </c>
      <c r="C59" s="167"/>
      <c r="D59" s="184"/>
      <c r="E59" s="167"/>
      <c r="F59" s="160"/>
      <c r="G59" s="168"/>
      <c r="H59" s="160"/>
      <c r="I59" s="169"/>
      <c r="J59" s="160"/>
      <c r="K59" s="169"/>
    </row>
    <row r="60" spans="1:11" x14ac:dyDescent="0.25">
      <c r="B60" s="161">
        <f t="shared" si="0"/>
        <v>0</v>
      </c>
      <c r="C60" s="167"/>
      <c r="D60" s="184"/>
      <c r="E60" s="167"/>
      <c r="F60" s="160"/>
      <c r="G60" s="168"/>
      <c r="H60" s="160"/>
      <c r="I60" s="169"/>
      <c r="J60" s="160"/>
      <c r="K60" s="169"/>
    </row>
    <row r="61" spans="1:11" x14ac:dyDescent="0.25">
      <c r="B61" s="161">
        <f t="shared" si="0"/>
        <v>0</v>
      </c>
      <c r="C61" s="167"/>
      <c r="D61" s="184"/>
      <c r="E61" s="167"/>
      <c r="F61" s="160"/>
      <c r="G61" s="168"/>
      <c r="H61" s="160"/>
      <c r="I61" s="169"/>
      <c r="J61" s="160"/>
      <c r="K61" s="169"/>
    </row>
    <row r="62" spans="1:11" x14ac:dyDescent="0.25">
      <c r="B62" s="161">
        <f t="shared" si="0"/>
        <v>0</v>
      </c>
      <c r="C62" s="167"/>
      <c r="D62" s="184"/>
      <c r="E62" s="167"/>
      <c r="F62" s="160"/>
      <c r="G62" s="168"/>
      <c r="H62" s="160"/>
      <c r="I62" s="169"/>
      <c r="J62" s="160"/>
      <c r="K62" s="169"/>
    </row>
    <row r="63" spans="1:11" s="170" customFormat="1" ht="20.25" customHeight="1" x14ac:dyDescent="0.25">
      <c r="A63" s="157"/>
      <c r="B63" s="42">
        <f>IF(NOT(ISBLANK(C63)),(C63-C62),0)</f>
        <v>0</v>
      </c>
      <c r="C63" s="46"/>
      <c r="D63" s="185"/>
      <c r="E63" s="46"/>
      <c r="F63" s="171"/>
      <c r="G63" s="172" t="s">
        <v>388</v>
      </c>
      <c r="H63" s="171"/>
      <c r="J63" s="171"/>
    </row>
    <row r="64" spans="1:11" x14ac:dyDescent="0.25">
      <c r="B64" s="161">
        <f>IF(NOT(ISBLANK(C64)),(C64-C63),0)</f>
        <v>0</v>
      </c>
      <c r="C64" s="167"/>
      <c r="D64" s="184"/>
      <c r="E64" s="167"/>
      <c r="F64" s="160"/>
      <c r="G64" s="168"/>
      <c r="H64" s="160"/>
      <c r="I64" s="169"/>
      <c r="J64" s="160"/>
      <c r="K64" s="169"/>
    </row>
    <row r="65" spans="2:11" x14ac:dyDescent="0.25">
      <c r="B65" s="161">
        <f t="shared" si="0"/>
        <v>0</v>
      </c>
      <c r="C65" s="167"/>
      <c r="D65" s="184"/>
      <c r="E65" s="167"/>
      <c r="F65" s="160"/>
      <c r="G65" s="168"/>
      <c r="H65" s="160"/>
      <c r="I65" s="169"/>
      <c r="J65" s="160"/>
      <c r="K65" s="169"/>
    </row>
    <row r="66" spans="2:11" x14ac:dyDescent="0.25">
      <c r="B66" s="161">
        <f t="shared" si="0"/>
        <v>0</v>
      </c>
      <c r="C66" s="167"/>
      <c r="D66" s="184"/>
      <c r="E66" s="167"/>
      <c r="F66" s="160"/>
      <c r="G66" s="168"/>
      <c r="H66" s="160"/>
      <c r="I66" s="169"/>
      <c r="J66" s="160"/>
      <c r="K66" s="169"/>
    </row>
    <row r="67" spans="2:11" x14ac:dyDescent="0.25">
      <c r="B67" s="161">
        <f t="shared" si="0"/>
        <v>0</v>
      </c>
      <c r="C67" s="167"/>
      <c r="D67" s="184"/>
      <c r="E67" s="167"/>
      <c r="F67" s="160"/>
      <c r="G67" s="168"/>
      <c r="H67" s="160"/>
      <c r="I67" s="169"/>
      <c r="J67" s="160"/>
      <c r="K67" s="169"/>
    </row>
    <row r="68" spans="2:11" x14ac:dyDescent="0.25">
      <c r="B68" s="161">
        <f t="shared" si="0"/>
        <v>0</v>
      </c>
      <c r="C68" s="167"/>
      <c r="D68" s="184"/>
      <c r="E68" s="167"/>
      <c r="F68" s="160"/>
      <c r="G68" s="168"/>
      <c r="H68" s="160"/>
      <c r="I68" s="169"/>
      <c r="J68" s="160"/>
      <c r="K68" s="169"/>
    </row>
    <row r="69" spans="2:11" x14ac:dyDescent="0.25">
      <c r="B69" s="161">
        <f t="shared" si="0"/>
        <v>0</v>
      </c>
      <c r="C69" s="167"/>
      <c r="D69" s="184"/>
      <c r="E69" s="167"/>
      <c r="F69" s="160"/>
      <c r="G69" s="168"/>
      <c r="H69" s="160"/>
      <c r="I69" s="169"/>
      <c r="J69" s="160"/>
      <c r="K69" s="169"/>
    </row>
    <row r="70" spans="2:11" x14ac:dyDescent="0.25">
      <c r="B70" s="161">
        <f t="shared" si="0"/>
        <v>0</v>
      </c>
      <c r="C70" s="167"/>
      <c r="D70" s="184"/>
      <c r="E70" s="167"/>
      <c r="F70" s="160"/>
      <c r="G70" s="168"/>
      <c r="H70" s="160"/>
      <c r="I70" s="169"/>
      <c r="J70" s="160"/>
      <c r="K70" s="169"/>
    </row>
    <row r="71" spans="2:11" x14ac:dyDescent="0.25">
      <c r="B71" s="161">
        <f t="shared" si="0"/>
        <v>0</v>
      </c>
      <c r="C71" s="167"/>
      <c r="D71" s="184"/>
      <c r="E71" s="167"/>
      <c r="F71" s="160"/>
      <c r="G71" s="168"/>
      <c r="H71" s="160"/>
      <c r="I71" s="169"/>
      <c r="J71" s="160"/>
      <c r="K71" s="169"/>
    </row>
    <row r="72" spans="2:11" x14ac:dyDescent="0.25">
      <c r="B72" s="161">
        <f t="shared" ref="B72:B135" si="1">IF(NOT(ISBLANK(C72)),(C72-C71),0)</f>
        <v>0</v>
      </c>
      <c r="C72" s="167"/>
      <c r="D72" s="184"/>
      <c r="E72" s="167"/>
      <c r="F72" s="160"/>
      <c r="G72" s="168"/>
      <c r="H72" s="160"/>
      <c r="I72" s="169"/>
      <c r="J72" s="160"/>
      <c r="K72" s="169"/>
    </row>
    <row r="73" spans="2:11" x14ac:dyDescent="0.25">
      <c r="B73" s="161">
        <f t="shared" si="1"/>
        <v>0</v>
      </c>
      <c r="C73" s="167"/>
      <c r="D73" s="184"/>
      <c r="E73" s="167"/>
      <c r="F73" s="160"/>
      <c r="G73" s="168"/>
      <c r="H73" s="160"/>
      <c r="I73" s="169"/>
      <c r="J73" s="160"/>
      <c r="K73" s="169"/>
    </row>
    <row r="74" spans="2:11" x14ac:dyDescent="0.25">
      <c r="B74" s="161">
        <f t="shared" si="1"/>
        <v>0</v>
      </c>
      <c r="C74" s="167"/>
      <c r="D74" s="184"/>
      <c r="E74" s="167"/>
      <c r="F74" s="160"/>
      <c r="G74" s="168"/>
      <c r="H74" s="160"/>
      <c r="I74" s="169"/>
      <c r="J74" s="160"/>
      <c r="K74" s="169"/>
    </row>
    <row r="75" spans="2:11" x14ac:dyDescent="0.25">
      <c r="B75" s="161">
        <f t="shared" si="1"/>
        <v>0</v>
      </c>
      <c r="C75" s="167"/>
      <c r="D75" s="184"/>
      <c r="E75" s="167"/>
      <c r="F75" s="160"/>
      <c r="G75" s="168"/>
      <c r="H75" s="160"/>
      <c r="I75" s="169"/>
      <c r="J75" s="160"/>
      <c r="K75" s="169"/>
    </row>
    <row r="76" spans="2:11" x14ac:dyDescent="0.25">
      <c r="B76" s="161">
        <f t="shared" si="1"/>
        <v>0</v>
      </c>
      <c r="C76" s="167"/>
      <c r="D76" s="184"/>
      <c r="E76" s="167"/>
      <c r="F76" s="160"/>
      <c r="G76" s="168"/>
      <c r="H76" s="160"/>
      <c r="I76" s="169"/>
      <c r="J76" s="160"/>
      <c r="K76" s="169"/>
    </row>
    <row r="77" spans="2:11" x14ac:dyDescent="0.25">
      <c r="B77" s="161">
        <f t="shared" si="1"/>
        <v>0</v>
      </c>
      <c r="C77" s="167"/>
      <c r="D77" s="184"/>
      <c r="E77" s="167"/>
      <c r="F77" s="160"/>
      <c r="G77" s="168"/>
      <c r="H77" s="160"/>
      <c r="I77" s="169"/>
      <c r="J77" s="160"/>
      <c r="K77" s="169"/>
    </row>
    <row r="78" spans="2:11" x14ac:dyDescent="0.25">
      <c r="B78" s="161">
        <f t="shared" si="1"/>
        <v>0</v>
      </c>
      <c r="C78" s="167"/>
      <c r="D78" s="184"/>
      <c r="E78" s="167"/>
      <c r="F78" s="160"/>
      <c r="G78" s="168"/>
      <c r="H78" s="160"/>
      <c r="I78" s="169"/>
      <c r="J78" s="160"/>
      <c r="K78" s="169"/>
    </row>
    <row r="79" spans="2:11" x14ac:dyDescent="0.25">
      <c r="B79" s="161">
        <f t="shared" si="1"/>
        <v>0</v>
      </c>
      <c r="C79" s="167"/>
      <c r="D79" s="184"/>
      <c r="E79" s="167"/>
      <c r="F79" s="160"/>
      <c r="G79" s="168"/>
      <c r="H79" s="160"/>
      <c r="I79" s="169"/>
      <c r="J79" s="160"/>
      <c r="K79" s="169"/>
    </row>
    <row r="80" spans="2:11" x14ac:dyDescent="0.25">
      <c r="B80" s="161">
        <f t="shared" si="1"/>
        <v>0</v>
      </c>
      <c r="C80" s="167"/>
      <c r="D80" s="184"/>
      <c r="E80" s="167"/>
      <c r="F80" s="160"/>
      <c r="G80" s="168"/>
      <c r="H80" s="160"/>
      <c r="I80" s="169"/>
      <c r="J80" s="160"/>
      <c r="K80" s="169"/>
    </row>
    <row r="81" spans="2:11" x14ac:dyDescent="0.25">
      <c r="B81" s="161">
        <f t="shared" si="1"/>
        <v>0</v>
      </c>
      <c r="C81" s="167"/>
      <c r="D81" s="184"/>
      <c r="E81" s="167"/>
      <c r="F81" s="160"/>
      <c r="G81" s="168"/>
      <c r="H81" s="160"/>
      <c r="I81" s="169"/>
      <c r="J81" s="160"/>
      <c r="K81" s="169"/>
    </row>
    <row r="82" spans="2:11" x14ac:dyDescent="0.25">
      <c r="B82" s="161">
        <f t="shared" si="1"/>
        <v>0</v>
      </c>
      <c r="C82" s="167"/>
      <c r="D82" s="184"/>
      <c r="E82" s="167"/>
      <c r="F82" s="160"/>
      <c r="G82" s="168"/>
      <c r="H82" s="160"/>
      <c r="I82" s="169"/>
      <c r="J82" s="160"/>
      <c r="K82" s="169"/>
    </row>
    <row r="83" spans="2:11" x14ac:dyDescent="0.25">
      <c r="B83" s="161">
        <f t="shared" si="1"/>
        <v>0</v>
      </c>
      <c r="C83" s="167"/>
      <c r="D83" s="184"/>
      <c r="E83" s="167"/>
      <c r="F83" s="160"/>
      <c r="G83" s="168"/>
      <c r="H83" s="160"/>
      <c r="I83" s="169"/>
      <c r="J83" s="160"/>
      <c r="K83" s="169"/>
    </row>
    <row r="84" spans="2:11" x14ac:dyDescent="0.25">
      <c r="B84" s="161">
        <f t="shared" si="1"/>
        <v>0</v>
      </c>
      <c r="C84" s="167"/>
      <c r="D84" s="184"/>
      <c r="E84" s="167"/>
      <c r="F84" s="160"/>
      <c r="G84" s="168"/>
      <c r="H84" s="160"/>
      <c r="I84" s="169"/>
      <c r="J84" s="160"/>
      <c r="K84" s="169"/>
    </row>
    <row r="85" spans="2:11" x14ac:dyDescent="0.25">
      <c r="B85" s="161">
        <f t="shared" si="1"/>
        <v>0</v>
      </c>
      <c r="C85" s="167"/>
      <c r="D85" s="184"/>
      <c r="E85" s="167"/>
      <c r="F85" s="160"/>
      <c r="G85" s="168"/>
      <c r="H85" s="160"/>
      <c r="I85" s="169"/>
      <c r="J85" s="160"/>
      <c r="K85" s="169"/>
    </row>
    <row r="86" spans="2:11" x14ac:dyDescent="0.25">
      <c r="B86" s="161">
        <f t="shared" si="1"/>
        <v>0</v>
      </c>
      <c r="C86" s="167"/>
      <c r="D86" s="184"/>
      <c r="E86" s="167"/>
      <c r="F86" s="160"/>
      <c r="G86" s="168"/>
      <c r="H86" s="160"/>
      <c r="I86" s="169"/>
      <c r="J86" s="160"/>
      <c r="K86" s="169"/>
    </row>
    <row r="87" spans="2:11" x14ac:dyDescent="0.25">
      <c r="B87" s="161">
        <f t="shared" si="1"/>
        <v>0</v>
      </c>
      <c r="C87" s="167"/>
      <c r="D87" s="184"/>
      <c r="E87" s="167"/>
      <c r="F87" s="160"/>
      <c r="G87" s="168"/>
      <c r="H87" s="160"/>
      <c r="I87" s="169"/>
      <c r="J87" s="160"/>
      <c r="K87" s="169"/>
    </row>
    <row r="88" spans="2:11" x14ac:dyDescent="0.25">
      <c r="B88" s="161">
        <f t="shared" si="1"/>
        <v>0</v>
      </c>
      <c r="C88" s="167"/>
      <c r="D88" s="184"/>
      <c r="E88" s="167"/>
      <c r="F88" s="160"/>
      <c r="G88" s="168"/>
      <c r="H88" s="160"/>
      <c r="I88" s="169"/>
      <c r="J88" s="160"/>
      <c r="K88" s="169"/>
    </row>
    <row r="89" spans="2:11" x14ac:dyDescent="0.25">
      <c r="B89" s="161">
        <f t="shared" si="1"/>
        <v>0</v>
      </c>
      <c r="C89" s="167"/>
      <c r="D89" s="184"/>
      <c r="E89" s="167"/>
      <c r="F89" s="160"/>
      <c r="G89" s="168"/>
      <c r="H89" s="160"/>
      <c r="I89" s="169"/>
      <c r="J89" s="160"/>
      <c r="K89" s="169"/>
    </row>
    <row r="90" spans="2:11" x14ac:dyDescent="0.25">
      <c r="B90" s="161">
        <f t="shared" si="1"/>
        <v>0</v>
      </c>
      <c r="C90" s="167"/>
      <c r="D90" s="184"/>
      <c r="E90" s="167"/>
      <c r="F90" s="160"/>
      <c r="G90" s="168"/>
      <c r="H90" s="160"/>
      <c r="I90" s="169"/>
      <c r="J90" s="160"/>
      <c r="K90" s="169"/>
    </row>
    <row r="91" spans="2:11" x14ac:dyDescent="0.25">
      <c r="B91" s="161">
        <f t="shared" si="1"/>
        <v>0</v>
      </c>
      <c r="C91" s="167"/>
      <c r="D91" s="184"/>
      <c r="E91" s="167"/>
      <c r="F91" s="160"/>
      <c r="G91" s="168"/>
      <c r="H91" s="160"/>
      <c r="I91" s="169"/>
      <c r="J91" s="160"/>
      <c r="K91" s="169"/>
    </row>
    <row r="92" spans="2:11" x14ac:dyDescent="0.25">
      <c r="B92" s="161">
        <f t="shared" si="1"/>
        <v>0</v>
      </c>
      <c r="C92" s="167"/>
      <c r="D92" s="184"/>
      <c r="E92" s="167"/>
      <c r="F92" s="160"/>
      <c r="G92" s="168"/>
      <c r="H92" s="160"/>
      <c r="I92" s="169"/>
      <c r="J92" s="160"/>
      <c r="K92" s="169"/>
    </row>
    <row r="93" spans="2:11" x14ac:dyDescent="0.25">
      <c r="B93" s="161">
        <f t="shared" si="1"/>
        <v>0</v>
      </c>
      <c r="C93" s="167"/>
      <c r="D93" s="184"/>
      <c r="E93" s="167"/>
      <c r="F93" s="160"/>
      <c r="G93" s="168"/>
      <c r="H93" s="160"/>
      <c r="I93" s="169"/>
      <c r="J93" s="160"/>
      <c r="K93" s="169"/>
    </row>
    <row r="94" spans="2:11" x14ac:dyDescent="0.25">
      <c r="B94" s="161">
        <f t="shared" si="1"/>
        <v>0</v>
      </c>
      <c r="C94" s="167"/>
      <c r="D94" s="184"/>
      <c r="E94" s="167"/>
      <c r="F94" s="160"/>
      <c r="G94" s="168"/>
      <c r="H94" s="160"/>
      <c r="I94" s="169"/>
      <c r="J94" s="160"/>
      <c r="K94" s="169"/>
    </row>
    <row r="95" spans="2:11" x14ac:dyDescent="0.25">
      <c r="B95" s="161">
        <f t="shared" si="1"/>
        <v>0</v>
      </c>
      <c r="C95" s="167"/>
      <c r="D95" s="184"/>
      <c r="E95" s="167"/>
      <c r="F95" s="160"/>
      <c r="G95" s="168"/>
      <c r="H95" s="160"/>
      <c r="I95" s="169"/>
      <c r="J95" s="160"/>
      <c r="K95" s="169"/>
    </row>
    <row r="96" spans="2:11" x14ac:dyDescent="0.25">
      <c r="B96" s="161">
        <f t="shared" si="1"/>
        <v>0</v>
      </c>
      <c r="C96" s="167"/>
      <c r="D96" s="184"/>
      <c r="E96" s="167"/>
      <c r="F96" s="160"/>
      <c r="G96" s="168"/>
      <c r="H96" s="160"/>
      <c r="I96" s="169"/>
      <c r="J96" s="160"/>
      <c r="K96" s="169"/>
    </row>
    <row r="97" spans="2:11" x14ac:dyDescent="0.25">
      <c r="B97" s="161">
        <f t="shared" si="1"/>
        <v>0</v>
      </c>
      <c r="C97" s="167"/>
      <c r="D97" s="184"/>
      <c r="E97" s="167"/>
      <c r="F97" s="160"/>
      <c r="G97" s="168"/>
      <c r="H97" s="160"/>
      <c r="I97" s="169"/>
      <c r="J97" s="160"/>
      <c r="K97" s="169"/>
    </row>
    <row r="98" spans="2:11" x14ac:dyDescent="0.25">
      <c r="B98" s="161">
        <f t="shared" si="1"/>
        <v>0</v>
      </c>
      <c r="C98" s="167"/>
      <c r="D98" s="184"/>
      <c r="E98" s="167"/>
      <c r="F98" s="160"/>
      <c r="G98" s="168"/>
      <c r="H98" s="160"/>
      <c r="I98" s="169"/>
      <c r="J98" s="160"/>
      <c r="K98" s="169"/>
    </row>
    <row r="99" spans="2:11" x14ac:dyDescent="0.25">
      <c r="B99" s="161">
        <f t="shared" si="1"/>
        <v>0</v>
      </c>
      <c r="C99" s="167"/>
      <c r="D99" s="184"/>
      <c r="E99" s="167"/>
      <c r="F99" s="160"/>
      <c r="G99" s="168"/>
      <c r="H99" s="160"/>
      <c r="I99" s="169"/>
      <c r="J99" s="160"/>
      <c r="K99" s="169"/>
    </row>
    <row r="100" spans="2:11" x14ac:dyDescent="0.25">
      <c r="B100" s="161">
        <f t="shared" si="1"/>
        <v>0</v>
      </c>
      <c r="C100" s="167"/>
      <c r="D100" s="184"/>
      <c r="E100" s="167"/>
      <c r="F100" s="160"/>
      <c r="G100" s="168"/>
      <c r="H100" s="160"/>
      <c r="I100" s="169"/>
      <c r="J100" s="160"/>
      <c r="K100" s="169"/>
    </row>
    <row r="101" spans="2:11" x14ac:dyDescent="0.25">
      <c r="B101" s="161">
        <f t="shared" si="1"/>
        <v>0</v>
      </c>
      <c r="C101" s="167"/>
      <c r="D101" s="184"/>
      <c r="E101" s="167"/>
      <c r="F101" s="160"/>
      <c r="G101" s="168"/>
      <c r="H101" s="160"/>
      <c r="I101" s="169"/>
      <c r="J101" s="160"/>
      <c r="K101" s="169"/>
    </row>
    <row r="102" spans="2:11" x14ac:dyDescent="0.25">
      <c r="B102" s="161">
        <f t="shared" si="1"/>
        <v>0</v>
      </c>
      <c r="C102" s="167"/>
      <c r="D102" s="184"/>
      <c r="E102" s="167"/>
      <c r="F102" s="160"/>
      <c r="G102" s="168"/>
      <c r="H102" s="160"/>
      <c r="I102" s="169"/>
      <c r="J102" s="160"/>
      <c r="K102" s="169"/>
    </row>
    <row r="103" spans="2:11" x14ac:dyDescent="0.25">
      <c r="B103" s="161">
        <f t="shared" si="1"/>
        <v>0</v>
      </c>
      <c r="C103" s="167"/>
      <c r="D103" s="184"/>
      <c r="E103" s="167"/>
      <c r="F103" s="160"/>
      <c r="G103" s="168"/>
      <c r="H103" s="160"/>
      <c r="I103" s="169"/>
      <c r="J103" s="160"/>
      <c r="K103" s="169"/>
    </row>
    <row r="104" spans="2:11" x14ac:dyDescent="0.25">
      <c r="B104" s="161">
        <f t="shared" si="1"/>
        <v>0</v>
      </c>
      <c r="C104" s="167"/>
      <c r="D104" s="184"/>
      <c r="E104" s="167"/>
      <c r="F104" s="160"/>
      <c r="G104" s="168"/>
      <c r="H104" s="160"/>
      <c r="I104" s="169"/>
      <c r="J104" s="160"/>
      <c r="K104" s="169"/>
    </row>
    <row r="105" spans="2:11" x14ac:dyDescent="0.25">
      <c r="B105" s="161">
        <f t="shared" si="1"/>
        <v>0</v>
      </c>
      <c r="C105" s="167"/>
      <c r="D105" s="184"/>
      <c r="E105" s="167"/>
      <c r="F105" s="160"/>
      <c r="G105" s="168"/>
      <c r="H105" s="160"/>
      <c r="I105" s="169"/>
      <c r="J105" s="160"/>
      <c r="K105" s="169"/>
    </row>
    <row r="106" spans="2:11" x14ac:dyDescent="0.25">
      <c r="B106" s="161">
        <f t="shared" si="1"/>
        <v>0</v>
      </c>
      <c r="C106" s="167"/>
      <c r="D106" s="184"/>
      <c r="E106" s="167"/>
      <c r="F106" s="160"/>
      <c r="G106" s="168"/>
      <c r="H106" s="160"/>
      <c r="I106" s="169"/>
      <c r="J106" s="160"/>
      <c r="K106" s="169"/>
    </row>
    <row r="107" spans="2:11" x14ac:dyDescent="0.25">
      <c r="B107" s="161">
        <f t="shared" si="1"/>
        <v>0</v>
      </c>
      <c r="C107" s="167"/>
      <c r="D107" s="184"/>
      <c r="E107" s="167"/>
      <c r="F107" s="160"/>
      <c r="G107" s="168"/>
      <c r="H107" s="160"/>
      <c r="I107" s="169"/>
      <c r="J107" s="160"/>
      <c r="K107" s="169"/>
    </row>
    <row r="108" spans="2:11" x14ac:dyDescent="0.25">
      <c r="B108" s="161">
        <f t="shared" si="1"/>
        <v>0</v>
      </c>
      <c r="C108" s="167"/>
      <c r="D108" s="184"/>
      <c r="E108" s="167"/>
      <c r="F108" s="160"/>
      <c r="G108" s="168"/>
      <c r="H108" s="160"/>
      <c r="I108" s="169"/>
      <c r="J108" s="160"/>
      <c r="K108" s="169"/>
    </row>
    <row r="109" spans="2:11" x14ac:dyDescent="0.25">
      <c r="B109" s="161">
        <f t="shared" si="1"/>
        <v>0</v>
      </c>
      <c r="C109" s="167"/>
      <c r="D109" s="184"/>
      <c r="E109" s="167"/>
      <c r="F109" s="160"/>
      <c r="G109" s="168"/>
      <c r="H109" s="160"/>
      <c r="I109" s="169"/>
      <c r="J109" s="160"/>
      <c r="K109" s="169"/>
    </row>
    <row r="110" spans="2:11" x14ac:dyDescent="0.25">
      <c r="B110" s="161">
        <f t="shared" si="1"/>
        <v>0</v>
      </c>
      <c r="C110" s="167"/>
      <c r="D110" s="184"/>
      <c r="E110" s="167"/>
      <c r="F110" s="160"/>
      <c r="G110" s="168"/>
      <c r="H110" s="160"/>
      <c r="I110" s="169"/>
      <c r="J110" s="160"/>
      <c r="K110" s="169"/>
    </row>
    <row r="111" spans="2:11" x14ac:dyDescent="0.25">
      <c r="B111" s="161">
        <f t="shared" si="1"/>
        <v>0</v>
      </c>
      <c r="C111" s="167"/>
      <c r="D111" s="184"/>
      <c r="E111" s="167"/>
      <c r="F111" s="160"/>
      <c r="G111" s="168"/>
      <c r="H111" s="160"/>
      <c r="I111" s="169"/>
      <c r="J111" s="160"/>
      <c r="K111" s="169"/>
    </row>
    <row r="112" spans="2:11" x14ac:dyDescent="0.25">
      <c r="B112" s="161">
        <f t="shared" si="1"/>
        <v>0</v>
      </c>
      <c r="C112" s="167"/>
      <c r="D112" s="184"/>
      <c r="E112" s="167"/>
      <c r="F112" s="160"/>
      <c r="G112" s="168"/>
      <c r="H112" s="160"/>
      <c r="I112" s="169"/>
      <c r="J112" s="160"/>
      <c r="K112" s="169"/>
    </row>
    <row r="113" spans="2:11" x14ac:dyDescent="0.25">
      <c r="B113" s="161">
        <f t="shared" si="1"/>
        <v>0</v>
      </c>
      <c r="C113" s="167"/>
      <c r="D113" s="184"/>
      <c r="E113" s="167"/>
      <c r="F113" s="160"/>
      <c r="G113" s="168"/>
      <c r="H113" s="160"/>
      <c r="I113" s="169"/>
      <c r="J113" s="160"/>
      <c r="K113" s="169"/>
    </row>
    <row r="114" spans="2:11" x14ac:dyDescent="0.25">
      <c r="B114" s="161">
        <f t="shared" si="1"/>
        <v>0</v>
      </c>
      <c r="C114" s="167"/>
      <c r="D114" s="184"/>
      <c r="E114" s="167"/>
      <c r="F114" s="160"/>
      <c r="G114" s="168"/>
      <c r="H114" s="160"/>
      <c r="I114" s="169"/>
      <c r="J114" s="160"/>
      <c r="K114" s="169"/>
    </row>
    <row r="115" spans="2:11" x14ac:dyDescent="0.25">
      <c r="B115" s="161">
        <f t="shared" si="1"/>
        <v>0</v>
      </c>
      <c r="C115" s="167"/>
      <c r="D115" s="184"/>
      <c r="E115" s="167"/>
      <c r="F115" s="160"/>
      <c r="G115" s="168"/>
      <c r="H115" s="160"/>
      <c r="I115" s="169"/>
      <c r="J115" s="160"/>
      <c r="K115" s="169"/>
    </row>
    <row r="116" spans="2:11" x14ac:dyDescent="0.25">
      <c r="B116" s="161">
        <f t="shared" si="1"/>
        <v>0</v>
      </c>
      <c r="C116" s="167"/>
      <c r="D116" s="184"/>
      <c r="E116" s="167"/>
      <c r="F116" s="160"/>
      <c r="G116" s="168"/>
      <c r="H116" s="160"/>
      <c r="I116" s="169"/>
      <c r="J116" s="160"/>
      <c r="K116" s="169"/>
    </row>
    <row r="117" spans="2:11" x14ac:dyDescent="0.25">
      <c r="B117" s="161">
        <f t="shared" si="1"/>
        <v>0</v>
      </c>
      <c r="C117" s="167"/>
      <c r="D117" s="184"/>
      <c r="E117" s="167"/>
      <c r="F117" s="160"/>
      <c r="G117" s="168"/>
      <c r="H117" s="160"/>
      <c r="I117" s="169"/>
      <c r="J117" s="160"/>
      <c r="K117" s="169"/>
    </row>
    <row r="118" spans="2:11" x14ac:dyDescent="0.25">
      <c r="B118" s="161">
        <f t="shared" si="1"/>
        <v>0</v>
      </c>
      <c r="C118" s="167"/>
      <c r="D118" s="184"/>
      <c r="E118" s="167"/>
      <c r="F118" s="160"/>
      <c r="G118" s="168"/>
      <c r="H118" s="160"/>
      <c r="I118" s="169"/>
      <c r="J118" s="160"/>
      <c r="K118" s="169"/>
    </row>
    <row r="119" spans="2:11" x14ac:dyDescent="0.25">
      <c r="B119" s="161">
        <f t="shared" si="1"/>
        <v>0</v>
      </c>
      <c r="C119" s="167"/>
      <c r="D119" s="184"/>
      <c r="E119" s="167"/>
      <c r="F119" s="160"/>
      <c r="G119" s="168"/>
      <c r="H119" s="160"/>
      <c r="I119" s="169"/>
      <c r="J119" s="160"/>
      <c r="K119" s="169"/>
    </row>
    <row r="120" spans="2:11" x14ac:dyDescent="0.25">
      <c r="B120" s="161">
        <f t="shared" si="1"/>
        <v>0</v>
      </c>
      <c r="C120" s="167"/>
      <c r="D120" s="184"/>
      <c r="E120" s="167"/>
      <c r="F120" s="160"/>
      <c r="G120" s="168"/>
      <c r="H120" s="160"/>
      <c r="I120" s="169"/>
      <c r="J120" s="160"/>
      <c r="K120" s="169"/>
    </row>
    <row r="121" spans="2:11" x14ac:dyDescent="0.25">
      <c r="B121" s="161">
        <f t="shared" si="1"/>
        <v>0</v>
      </c>
      <c r="C121" s="167"/>
      <c r="D121" s="184"/>
      <c r="E121" s="167"/>
      <c r="F121" s="160"/>
      <c r="G121" s="168"/>
      <c r="H121" s="160"/>
      <c r="I121" s="169"/>
      <c r="J121" s="160"/>
      <c r="K121" s="169"/>
    </row>
    <row r="122" spans="2:11" x14ac:dyDescent="0.25">
      <c r="B122" s="161">
        <f t="shared" si="1"/>
        <v>0</v>
      </c>
      <c r="C122" s="167"/>
      <c r="D122" s="184"/>
      <c r="E122" s="167"/>
      <c r="F122" s="160"/>
      <c r="G122" s="168"/>
      <c r="H122" s="160"/>
      <c r="I122" s="169"/>
      <c r="J122" s="160"/>
      <c r="K122" s="169"/>
    </row>
    <row r="123" spans="2:11" x14ac:dyDescent="0.25">
      <c r="B123" s="161">
        <f t="shared" si="1"/>
        <v>0</v>
      </c>
      <c r="C123" s="167"/>
      <c r="D123" s="184"/>
      <c r="E123" s="167"/>
      <c r="F123" s="160"/>
      <c r="G123" s="168"/>
      <c r="H123" s="160"/>
      <c r="I123" s="169"/>
      <c r="J123" s="160"/>
      <c r="K123" s="169"/>
    </row>
    <row r="124" spans="2:11" x14ac:dyDescent="0.25">
      <c r="B124" s="161">
        <f t="shared" si="1"/>
        <v>0</v>
      </c>
      <c r="C124" s="167"/>
      <c r="D124" s="184"/>
      <c r="E124" s="167"/>
      <c r="F124" s="160"/>
      <c r="G124" s="168"/>
      <c r="H124" s="160"/>
      <c r="I124" s="169"/>
      <c r="J124" s="160"/>
      <c r="K124" s="169"/>
    </row>
    <row r="125" spans="2:11" x14ac:dyDescent="0.25">
      <c r="B125" s="161">
        <f t="shared" si="1"/>
        <v>0</v>
      </c>
      <c r="C125" s="167"/>
      <c r="D125" s="184"/>
      <c r="E125" s="167"/>
      <c r="F125" s="160"/>
      <c r="G125" s="168"/>
      <c r="H125" s="160"/>
      <c r="I125" s="169"/>
      <c r="J125" s="160"/>
      <c r="K125" s="169"/>
    </row>
    <row r="126" spans="2:11" x14ac:dyDescent="0.25">
      <c r="B126" s="161">
        <f t="shared" si="1"/>
        <v>0</v>
      </c>
      <c r="C126" s="167"/>
      <c r="D126" s="184"/>
      <c r="E126" s="167"/>
      <c r="F126" s="160"/>
      <c r="G126" s="168"/>
      <c r="H126" s="160"/>
      <c r="I126" s="169"/>
      <c r="J126" s="160"/>
      <c r="K126" s="169"/>
    </row>
    <row r="127" spans="2:11" x14ac:dyDescent="0.25">
      <c r="B127" s="161">
        <f t="shared" si="1"/>
        <v>0</v>
      </c>
      <c r="C127" s="167"/>
      <c r="D127" s="184"/>
      <c r="E127" s="167"/>
      <c r="F127" s="160"/>
      <c r="G127" s="168"/>
      <c r="H127" s="160"/>
      <c r="I127" s="169"/>
      <c r="J127" s="160"/>
      <c r="K127" s="169"/>
    </row>
    <row r="128" spans="2:11" x14ac:dyDescent="0.25">
      <c r="B128" s="161">
        <f t="shared" si="1"/>
        <v>0</v>
      </c>
      <c r="C128" s="167"/>
      <c r="D128" s="184"/>
      <c r="E128" s="167"/>
      <c r="F128" s="160"/>
      <c r="G128" s="168"/>
      <c r="H128" s="160"/>
      <c r="I128" s="169"/>
      <c r="J128" s="160"/>
      <c r="K128" s="169"/>
    </row>
    <row r="129" spans="2:11" x14ac:dyDescent="0.25">
      <c r="B129" s="161">
        <f t="shared" si="1"/>
        <v>0</v>
      </c>
      <c r="C129" s="167"/>
      <c r="D129" s="184"/>
      <c r="E129" s="167"/>
      <c r="F129" s="160"/>
      <c r="G129" s="168"/>
      <c r="H129" s="160"/>
      <c r="I129" s="169"/>
      <c r="J129" s="160"/>
      <c r="K129" s="169"/>
    </row>
    <row r="130" spans="2:11" x14ac:dyDescent="0.25">
      <c r="B130" s="161">
        <f t="shared" si="1"/>
        <v>0</v>
      </c>
      <c r="C130" s="167"/>
      <c r="D130" s="184"/>
      <c r="E130" s="167"/>
      <c r="F130" s="160"/>
      <c r="G130" s="168"/>
      <c r="H130" s="160"/>
      <c r="I130" s="169"/>
      <c r="J130" s="160"/>
      <c r="K130" s="169"/>
    </row>
    <row r="131" spans="2:11" x14ac:dyDescent="0.25">
      <c r="B131" s="161">
        <f t="shared" si="1"/>
        <v>0</v>
      </c>
      <c r="C131" s="167"/>
      <c r="D131" s="184"/>
      <c r="E131" s="167"/>
      <c r="F131" s="160"/>
      <c r="G131" s="168"/>
      <c r="H131" s="160"/>
      <c r="I131" s="169"/>
      <c r="J131" s="160"/>
      <c r="K131" s="169"/>
    </row>
    <row r="132" spans="2:11" x14ac:dyDescent="0.25">
      <c r="B132" s="161">
        <f t="shared" si="1"/>
        <v>0</v>
      </c>
      <c r="C132" s="167"/>
      <c r="D132" s="184"/>
      <c r="E132" s="167"/>
      <c r="F132" s="160"/>
      <c r="G132" s="168"/>
      <c r="H132" s="160"/>
      <c r="I132" s="169"/>
      <c r="J132" s="160"/>
      <c r="K132" s="169"/>
    </row>
    <row r="133" spans="2:11" x14ac:dyDescent="0.25">
      <c r="B133" s="161">
        <f t="shared" si="1"/>
        <v>0</v>
      </c>
      <c r="C133" s="167"/>
      <c r="D133" s="184"/>
      <c r="E133" s="167"/>
      <c r="F133" s="160"/>
      <c r="G133" s="168"/>
      <c r="H133" s="160"/>
      <c r="I133" s="169"/>
      <c r="J133" s="160"/>
      <c r="K133" s="169"/>
    </row>
    <row r="134" spans="2:11" x14ac:dyDescent="0.25">
      <c r="B134" s="161">
        <f t="shared" si="1"/>
        <v>0</v>
      </c>
      <c r="C134" s="167"/>
      <c r="D134" s="184"/>
      <c r="E134" s="167"/>
      <c r="F134" s="160"/>
      <c r="G134" s="168"/>
      <c r="H134" s="160"/>
      <c r="I134" s="169"/>
      <c r="J134" s="160"/>
      <c r="K134" s="169"/>
    </row>
    <row r="135" spans="2:11" x14ac:dyDescent="0.25">
      <c r="B135" s="161">
        <f t="shared" si="1"/>
        <v>0</v>
      </c>
      <c r="C135" s="167"/>
      <c r="D135" s="184"/>
      <c r="E135" s="167"/>
      <c r="F135" s="160"/>
      <c r="G135" s="168"/>
      <c r="H135" s="160"/>
      <c r="I135" s="169"/>
      <c r="J135" s="160"/>
      <c r="K135" s="169"/>
    </row>
    <row r="136" spans="2:11" x14ac:dyDescent="0.25">
      <c r="B136" s="161">
        <f t="shared" ref="B136:B199" si="2">IF(NOT(ISBLANK(C136)),(C136-C135),0)</f>
        <v>0</v>
      </c>
      <c r="C136" s="167"/>
      <c r="D136" s="184"/>
      <c r="E136" s="167"/>
      <c r="F136" s="160"/>
      <c r="G136" s="168"/>
      <c r="H136" s="160"/>
      <c r="I136" s="169"/>
      <c r="J136" s="160"/>
      <c r="K136" s="169"/>
    </row>
    <row r="137" spans="2:11" x14ac:dyDescent="0.25">
      <c r="B137" s="161">
        <f t="shared" si="2"/>
        <v>0</v>
      </c>
      <c r="C137" s="167"/>
      <c r="D137" s="184"/>
      <c r="E137" s="167"/>
      <c r="F137" s="160"/>
      <c r="G137" s="168"/>
      <c r="H137" s="160"/>
      <c r="I137" s="169"/>
      <c r="J137" s="160"/>
      <c r="K137" s="169"/>
    </row>
    <row r="138" spans="2:11" x14ac:dyDescent="0.25">
      <c r="B138" s="161">
        <f t="shared" si="2"/>
        <v>0</v>
      </c>
      <c r="C138" s="167"/>
      <c r="D138" s="184"/>
      <c r="E138" s="167"/>
      <c r="F138" s="160"/>
      <c r="G138" s="168"/>
      <c r="H138" s="160"/>
      <c r="I138" s="169"/>
      <c r="J138" s="160"/>
      <c r="K138" s="169"/>
    </row>
    <row r="139" spans="2:11" x14ac:dyDescent="0.25">
      <c r="B139" s="161">
        <f t="shared" si="2"/>
        <v>0</v>
      </c>
      <c r="C139" s="167"/>
      <c r="D139" s="184"/>
      <c r="E139" s="167"/>
      <c r="F139" s="160"/>
      <c r="G139" s="168"/>
      <c r="H139" s="160"/>
      <c r="I139" s="169"/>
      <c r="J139" s="160"/>
      <c r="K139" s="169"/>
    </row>
    <row r="140" spans="2:11" x14ac:dyDescent="0.25">
      <c r="B140" s="161">
        <f t="shared" si="2"/>
        <v>0</v>
      </c>
      <c r="C140" s="167"/>
      <c r="D140" s="184"/>
      <c r="E140" s="167"/>
      <c r="F140" s="160"/>
      <c r="G140" s="168"/>
      <c r="H140" s="160"/>
      <c r="I140" s="169"/>
      <c r="J140" s="160"/>
      <c r="K140" s="169"/>
    </row>
    <row r="141" spans="2:11" x14ac:dyDescent="0.25">
      <c r="B141" s="161">
        <f t="shared" si="2"/>
        <v>0</v>
      </c>
      <c r="C141" s="167"/>
      <c r="D141" s="184"/>
      <c r="E141" s="167"/>
      <c r="F141" s="160"/>
      <c r="G141" s="168"/>
      <c r="H141" s="160"/>
      <c r="I141" s="169"/>
      <c r="J141" s="160"/>
      <c r="K141" s="169"/>
    </row>
    <row r="142" spans="2:11" x14ac:dyDescent="0.25">
      <c r="B142" s="161">
        <f t="shared" si="2"/>
        <v>0</v>
      </c>
      <c r="C142" s="167"/>
      <c r="D142" s="184"/>
      <c r="E142" s="167"/>
      <c r="F142" s="160"/>
      <c r="G142" s="168"/>
      <c r="H142" s="160"/>
      <c r="I142" s="169"/>
      <c r="J142" s="160"/>
      <c r="K142" s="169"/>
    </row>
    <row r="143" spans="2:11" x14ac:dyDescent="0.25">
      <c r="B143" s="161">
        <f t="shared" si="2"/>
        <v>0</v>
      </c>
      <c r="C143" s="167"/>
      <c r="D143" s="184"/>
      <c r="E143" s="167"/>
      <c r="F143" s="160"/>
      <c r="G143" s="168"/>
      <c r="H143" s="160"/>
      <c r="I143" s="169"/>
      <c r="J143" s="160"/>
      <c r="K143" s="169"/>
    </row>
    <row r="144" spans="2:11" x14ac:dyDescent="0.25">
      <c r="B144" s="161">
        <f t="shared" si="2"/>
        <v>0</v>
      </c>
      <c r="C144" s="167"/>
      <c r="D144" s="184"/>
      <c r="E144" s="167"/>
      <c r="F144" s="160"/>
      <c r="G144" s="168"/>
      <c r="H144" s="160"/>
      <c r="I144" s="169"/>
      <c r="J144" s="160"/>
      <c r="K144" s="169"/>
    </row>
    <row r="145" spans="2:11" x14ac:dyDescent="0.25">
      <c r="B145" s="161">
        <f t="shared" si="2"/>
        <v>0</v>
      </c>
      <c r="C145" s="167"/>
      <c r="D145" s="184"/>
      <c r="E145" s="167"/>
      <c r="F145" s="160"/>
      <c r="G145" s="168"/>
      <c r="H145" s="160"/>
      <c r="I145" s="169"/>
      <c r="J145" s="160"/>
      <c r="K145" s="169"/>
    </row>
    <row r="146" spans="2:11" x14ac:dyDescent="0.25">
      <c r="B146" s="161">
        <f t="shared" si="2"/>
        <v>0</v>
      </c>
      <c r="C146" s="167"/>
      <c r="D146" s="184"/>
      <c r="E146" s="167"/>
      <c r="F146" s="160"/>
      <c r="G146" s="168"/>
      <c r="H146" s="160"/>
      <c r="I146" s="169"/>
      <c r="J146" s="160"/>
      <c r="K146" s="169"/>
    </row>
    <row r="147" spans="2:11" x14ac:dyDescent="0.25">
      <c r="B147" s="161">
        <f t="shared" si="2"/>
        <v>0</v>
      </c>
      <c r="C147" s="167"/>
      <c r="D147" s="184"/>
      <c r="E147" s="167"/>
      <c r="F147" s="160"/>
      <c r="G147" s="168"/>
      <c r="H147" s="160"/>
      <c r="I147" s="169"/>
      <c r="J147" s="160"/>
      <c r="K147" s="169"/>
    </row>
    <row r="148" spans="2:11" x14ac:dyDescent="0.25">
      <c r="B148" s="161">
        <f t="shared" si="2"/>
        <v>0</v>
      </c>
      <c r="C148" s="167"/>
      <c r="D148" s="184"/>
      <c r="E148" s="167"/>
      <c r="F148" s="160"/>
      <c r="G148" s="168"/>
      <c r="H148" s="160"/>
      <c r="I148" s="169"/>
      <c r="J148" s="160"/>
      <c r="K148" s="169"/>
    </row>
    <row r="149" spans="2:11" x14ac:dyDescent="0.25">
      <c r="B149" s="161">
        <f t="shared" si="2"/>
        <v>0</v>
      </c>
      <c r="C149" s="167"/>
      <c r="D149" s="184"/>
      <c r="E149" s="167"/>
      <c r="F149" s="160"/>
      <c r="G149" s="168"/>
      <c r="H149" s="160"/>
      <c r="I149" s="169"/>
      <c r="J149" s="160"/>
      <c r="K149" s="169"/>
    </row>
    <row r="150" spans="2:11" x14ac:dyDescent="0.25">
      <c r="B150" s="161">
        <f t="shared" si="2"/>
        <v>0</v>
      </c>
      <c r="C150" s="167"/>
      <c r="D150" s="184"/>
      <c r="E150" s="167"/>
      <c r="F150" s="160"/>
      <c r="G150" s="168"/>
      <c r="H150" s="160"/>
      <c r="I150" s="169"/>
      <c r="J150" s="160"/>
      <c r="K150" s="169"/>
    </row>
    <row r="151" spans="2:11" x14ac:dyDescent="0.25">
      <c r="B151" s="161">
        <f t="shared" si="2"/>
        <v>0</v>
      </c>
      <c r="C151" s="167"/>
      <c r="D151" s="184"/>
      <c r="E151" s="167"/>
      <c r="F151" s="160"/>
      <c r="G151" s="168"/>
      <c r="H151" s="160"/>
      <c r="I151" s="169"/>
      <c r="J151" s="160"/>
      <c r="K151" s="169"/>
    </row>
    <row r="152" spans="2:11" x14ac:dyDescent="0.25">
      <c r="B152" s="161">
        <f t="shared" si="2"/>
        <v>0</v>
      </c>
      <c r="C152" s="167"/>
      <c r="D152" s="184"/>
      <c r="E152" s="167"/>
      <c r="F152" s="160"/>
      <c r="G152" s="168"/>
      <c r="H152" s="160"/>
      <c r="I152" s="169"/>
      <c r="J152" s="160"/>
      <c r="K152" s="169"/>
    </row>
    <row r="153" spans="2:11" x14ac:dyDescent="0.25">
      <c r="B153" s="161">
        <f t="shared" si="2"/>
        <v>0</v>
      </c>
      <c r="C153" s="167"/>
      <c r="D153" s="184"/>
      <c r="E153" s="167"/>
      <c r="F153" s="160"/>
      <c r="G153" s="168"/>
      <c r="H153" s="160"/>
      <c r="I153" s="169"/>
      <c r="J153" s="160"/>
      <c r="K153" s="169"/>
    </row>
    <row r="154" spans="2:11" x14ac:dyDescent="0.25">
      <c r="B154" s="161">
        <f t="shared" si="2"/>
        <v>0</v>
      </c>
      <c r="C154" s="167"/>
      <c r="D154" s="184"/>
      <c r="E154" s="167"/>
      <c r="F154" s="160"/>
      <c r="G154" s="168"/>
      <c r="H154" s="160"/>
      <c r="I154" s="169"/>
      <c r="J154" s="160"/>
      <c r="K154" s="169"/>
    </row>
    <row r="155" spans="2:11" x14ac:dyDescent="0.25">
      <c r="B155" s="161">
        <f t="shared" si="2"/>
        <v>0</v>
      </c>
      <c r="C155" s="167"/>
      <c r="D155" s="184"/>
      <c r="E155" s="167"/>
      <c r="F155" s="160"/>
      <c r="G155" s="168"/>
      <c r="H155" s="160"/>
      <c r="I155" s="169"/>
      <c r="J155" s="160"/>
      <c r="K155" s="169"/>
    </row>
    <row r="156" spans="2:11" x14ac:dyDescent="0.25">
      <c r="B156" s="161">
        <f t="shared" si="2"/>
        <v>0</v>
      </c>
      <c r="C156" s="167"/>
      <c r="D156" s="184"/>
      <c r="E156" s="167"/>
      <c r="F156" s="160"/>
      <c r="G156" s="168"/>
      <c r="H156" s="160"/>
      <c r="I156" s="169"/>
      <c r="J156" s="160"/>
      <c r="K156" s="169"/>
    </row>
    <row r="157" spans="2:11" x14ac:dyDescent="0.25">
      <c r="B157" s="161">
        <f t="shared" si="2"/>
        <v>0</v>
      </c>
      <c r="C157" s="167"/>
      <c r="D157" s="184"/>
      <c r="E157" s="167"/>
      <c r="F157" s="160"/>
      <c r="G157" s="168"/>
      <c r="H157" s="160"/>
      <c r="I157" s="169"/>
      <c r="J157" s="160"/>
      <c r="K157" s="169"/>
    </row>
    <row r="158" spans="2:11" x14ac:dyDescent="0.25">
      <c r="B158" s="161">
        <f t="shared" si="2"/>
        <v>0</v>
      </c>
      <c r="C158" s="167"/>
      <c r="D158" s="184"/>
      <c r="E158" s="167"/>
      <c r="F158" s="160"/>
      <c r="G158" s="168"/>
      <c r="H158" s="160"/>
      <c r="I158" s="169"/>
      <c r="J158" s="160"/>
      <c r="K158" s="169"/>
    </row>
    <row r="159" spans="2:11" x14ac:dyDescent="0.25">
      <c r="B159" s="161">
        <f t="shared" si="2"/>
        <v>0</v>
      </c>
      <c r="C159" s="167"/>
      <c r="D159" s="184"/>
      <c r="E159" s="167"/>
      <c r="F159" s="160"/>
      <c r="G159" s="168"/>
      <c r="H159" s="160"/>
      <c r="I159" s="169"/>
      <c r="J159" s="160"/>
      <c r="K159" s="169"/>
    </row>
    <row r="160" spans="2:11" x14ac:dyDescent="0.25">
      <c r="B160" s="161">
        <f t="shared" si="2"/>
        <v>0</v>
      </c>
      <c r="C160" s="167"/>
      <c r="D160" s="184"/>
      <c r="E160" s="167"/>
      <c r="F160" s="160"/>
      <c r="G160" s="168"/>
      <c r="H160" s="160"/>
      <c r="I160" s="169"/>
      <c r="J160" s="160"/>
      <c r="K160" s="169"/>
    </row>
    <row r="161" spans="2:11" x14ac:dyDescent="0.25">
      <c r="B161" s="161">
        <f t="shared" si="2"/>
        <v>0</v>
      </c>
      <c r="C161" s="167"/>
      <c r="D161" s="184"/>
      <c r="E161" s="167"/>
      <c r="F161" s="160"/>
      <c r="G161" s="168"/>
      <c r="H161" s="160"/>
      <c r="I161" s="169"/>
      <c r="J161" s="160"/>
      <c r="K161" s="169"/>
    </row>
    <row r="162" spans="2:11" x14ac:dyDescent="0.25">
      <c r="B162" s="161">
        <f t="shared" si="2"/>
        <v>0</v>
      </c>
      <c r="C162" s="167"/>
      <c r="D162" s="184"/>
      <c r="E162" s="167"/>
      <c r="F162" s="160"/>
      <c r="G162" s="168"/>
      <c r="H162" s="160"/>
      <c r="I162" s="169"/>
      <c r="J162" s="160"/>
      <c r="K162" s="169"/>
    </row>
    <row r="163" spans="2:11" x14ac:dyDescent="0.25">
      <c r="B163" s="161">
        <f t="shared" si="2"/>
        <v>0</v>
      </c>
      <c r="C163" s="167"/>
      <c r="D163" s="184"/>
      <c r="E163" s="167"/>
      <c r="F163" s="160"/>
      <c r="G163" s="168"/>
      <c r="H163" s="160"/>
      <c r="I163" s="169"/>
      <c r="J163" s="160"/>
      <c r="K163" s="169"/>
    </row>
    <row r="164" spans="2:11" x14ac:dyDescent="0.25">
      <c r="B164" s="161">
        <f t="shared" si="2"/>
        <v>0</v>
      </c>
      <c r="C164" s="167"/>
      <c r="D164" s="184"/>
      <c r="E164" s="167"/>
      <c r="F164" s="160"/>
      <c r="G164" s="168"/>
      <c r="H164" s="160"/>
      <c r="I164" s="169"/>
      <c r="J164" s="160"/>
      <c r="K164" s="169"/>
    </row>
    <row r="165" spans="2:11" x14ac:dyDescent="0.25">
      <c r="B165" s="161">
        <f t="shared" si="2"/>
        <v>0</v>
      </c>
      <c r="C165" s="167"/>
      <c r="D165" s="184"/>
      <c r="E165" s="167"/>
      <c r="F165" s="160"/>
      <c r="G165" s="168"/>
      <c r="H165" s="160"/>
      <c r="I165" s="169"/>
      <c r="J165" s="160"/>
      <c r="K165" s="169"/>
    </row>
    <row r="166" spans="2:11" x14ac:dyDescent="0.25">
      <c r="B166" s="161">
        <f t="shared" si="2"/>
        <v>0</v>
      </c>
      <c r="C166" s="167"/>
      <c r="D166" s="184"/>
      <c r="E166" s="167"/>
      <c r="F166" s="160"/>
      <c r="G166" s="168"/>
      <c r="H166" s="160"/>
      <c r="I166" s="169"/>
      <c r="J166" s="160"/>
      <c r="K166" s="169"/>
    </row>
    <row r="167" spans="2:11" x14ac:dyDescent="0.25">
      <c r="B167" s="161">
        <f t="shared" si="2"/>
        <v>0</v>
      </c>
      <c r="C167" s="167"/>
      <c r="D167" s="184"/>
      <c r="E167" s="167"/>
      <c r="F167" s="160"/>
      <c r="G167" s="168"/>
      <c r="H167" s="160"/>
      <c r="I167" s="169"/>
      <c r="J167" s="160"/>
      <c r="K167" s="169"/>
    </row>
    <row r="168" spans="2:11" x14ac:dyDescent="0.25">
      <c r="B168" s="161">
        <f t="shared" si="2"/>
        <v>0</v>
      </c>
      <c r="C168" s="167"/>
      <c r="D168" s="184"/>
      <c r="E168" s="167"/>
      <c r="F168" s="160"/>
      <c r="G168" s="168"/>
      <c r="H168" s="160"/>
      <c r="I168" s="169"/>
      <c r="J168" s="160"/>
      <c r="K168" s="169"/>
    </row>
    <row r="169" spans="2:11" x14ac:dyDescent="0.25">
      <c r="B169" s="161">
        <f t="shared" si="2"/>
        <v>0</v>
      </c>
      <c r="C169" s="167"/>
      <c r="D169" s="184"/>
      <c r="E169" s="167"/>
      <c r="F169" s="160"/>
      <c r="G169" s="168"/>
      <c r="H169" s="160"/>
      <c r="I169" s="169"/>
      <c r="J169" s="160"/>
      <c r="K169" s="169"/>
    </row>
    <row r="170" spans="2:11" x14ac:dyDescent="0.25">
      <c r="B170" s="161">
        <f t="shared" si="2"/>
        <v>0</v>
      </c>
      <c r="C170" s="167"/>
      <c r="D170" s="184"/>
      <c r="E170" s="167"/>
      <c r="F170" s="160"/>
      <c r="G170" s="168"/>
      <c r="H170" s="160"/>
      <c r="I170" s="169"/>
      <c r="J170" s="160"/>
      <c r="K170" s="169"/>
    </row>
    <row r="171" spans="2:11" x14ac:dyDescent="0.25">
      <c r="B171" s="161">
        <f t="shared" si="2"/>
        <v>0</v>
      </c>
      <c r="C171" s="167"/>
      <c r="D171" s="184"/>
      <c r="E171" s="167"/>
      <c r="F171" s="160"/>
      <c r="G171" s="168"/>
      <c r="H171" s="160"/>
      <c r="I171" s="169"/>
      <c r="J171" s="160"/>
      <c r="K171" s="169"/>
    </row>
    <row r="172" spans="2:11" x14ac:dyDescent="0.25">
      <c r="B172" s="161">
        <f t="shared" si="2"/>
        <v>0</v>
      </c>
      <c r="C172" s="167"/>
      <c r="D172" s="184"/>
      <c r="E172" s="167"/>
      <c r="F172" s="160"/>
      <c r="G172" s="168"/>
      <c r="H172" s="160"/>
      <c r="I172" s="169"/>
      <c r="J172" s="160"/>
      <c r="K172" s="169"/>
    </row>
    <row r="173" spans="2:11" x14ac:dyDescent="0.25">
      <c r="B173" s="161">
        <f t="shared" si="2"/>
        <v>0</v>
      </c>
      <c r="C173" s="167"/>
      <c r="D173" s="184"/>
      <c r="E173" s="167"/>
      <c r="F173" s="160"/>
      <c r="G173" s="168"/>
      <c r="H173" s="160"/>
      <c r="I173" s="169"/>
      <c r="J173" s="160"/>
      <c r="K173" s="169"/>
    </row>
    <row r="174" spans="2:11" x14ac:dyDescent="0.25">
      <c r="B174" s="161">
        <f t="shared" si="2"/>
        <v>0</v>
      </c>
      <c r="C174" s="167"/>
      <c r="D174" s="184"/>
      <c r="E174" s="167"/>
      <c r="F174" s="160"/>
      <c r="G174" s="168"/>
      <c r="H174" s="160"/>
      <c r="I174" s="169"/>
      <c r="J174" s="160"/>
      <c r="K174" s="169"/>
    </row>
    <row r="175" spans="2:11" x14ac:dyDescent="0.25">
      <c r="B175" s="161">
        <f t="shared" si="2"/>
        <v>0</v>
      </c>
      <c r="C175" s="167"/>
      <c r="D175" s="184"/>
      <c r="E175" s="167"/>
      <c r="F175" s="160"/>
      <c r="G175" s="168"/>
      <c r="H175" s="160"/>
      <c r="I175" s="169"/>
      <c r="J175" s="160"/>
      <c r="K175" s="169"/>
    </row>
    <row r="176" spans="2:11" x14ac:dyDescent="0.25">
      <c r="B176" s="161">
        <f t="shared" si="2"/>
        <v>0</v>
      </c>
      <c r="C176" s="167"/>
      <c r="D176" s="184"/>
      <c r="E176" s="167"/>
      <c r="F176" s="160"/>
      <c r="G176" s="168"/>
      <c r="H176" s="160"/>
      <c r="I176" s="169"/>
      <c r="J176" s="160"/>
      <c r="K176" s="169"/>
    </row>
    <row r="177" spans="2:11" x14ac:dyDescent="0.25">
      <c r="B177" s="161">
        <f t="shared" si="2"/>
        <v>0</v>
      </c>
      <c r="C177" s="167"/>
      <c r="D177" s="184"/>
      <c r="E177" s="167"/>
      <c r="F177" s="160"/>
      <c r="G177" s="168"/>
      <c r="H177" s="160"/>
      <c r="I177" s="169"/>
      <c r="J177" s="160"/>
      <c r="K177" s="169"/>
    </row>
    <row r="178" spans="2:11" x14ac:dyDescent="0.25">
      <c r="B178" s="161">
        <f t="shared" si="2"/>
        <v>0</v>
      </c>
      <c r="C178" s="167"/>
      <c r="D178" s="184"/>
      <c r="E178" s="167"/>
      <c r="F178" s="160"/>
      <c r="G178" s="168"/>
      <c r="H178" s="160"/>
      <c r="I178" s="169"/>
      <c r="J178" s="160"/>
      <c r="K178" s="169"/>
    </row>
    <row r="179" spans="2:11" x14ac:dyDescent="0.25">
      <c r="B179" s="161">
        <f t="shared" si="2"/>
        <v>0</v>
      </c>
      <c r="C179" s="167"/>
      <c r="D179" s="184"/>
      <c r="E179" s="167"/>
      <c r="F179" s="160"/>
      <c r="G179" s="168"/>
      <c r="H179" s="160"/>
      <c r="I179" s="169"/>
      <c r="J179" s="160"/>
      <c r="K179" s="169"/>
    </row>
    <row r="180" spans="2:11" x14ac:dyDescent="0.25">
      <c r="B180" s="161">
        <f t="shared" si="2"/>
        <v>0</v>
      </c>
      <c r="C180" s="167"/>
      <c r="D180" s="184"/>
      <c r="E180" s="167"/>
      <c r="F180" s="160"/>
      <c r="G180" s="168"/>
      <c r="H180" s="160"/>
      <c r="I180" s="169"/>
      <c r="J180" s="160"/>
      <c r="K180" s="169"/>
    </row>
    <row r="181" spans="2:11" x14ac:dyDescent="0.25">
      <c r="B181" s="161">
        <f t="shared" si="2"/>
        <v>0</v>
      </c>
      <c r="C181" s="167"/>
      <c r="D181" s="184"/>
      <c r="E181" s="167"/>
      <c r="F181" s="160"/>
      <c r="G181" s="168"/>
      <c r="H181" s="160"/>
      <c r="I181" s="169"/>
      <c r="J181" s="160"/>
      <c r="K181" s="169"/>
    </row>
    <row r="182" spans="2:11" x14ac:dyDescent="0.25">
      <c r="B182" s="161">
        <f t="shared" si="2"/>
        <v>0</v>
      </c>
      <c r="C182" s="167"/>
      <c r="D182" s="184"/>
      <c r="E182" s="167"/>
      <c r="F182" s="160"/>
      <c r="G182" s="168"/>
      <c r="H182" s="160"/>
      <c r="I182" s="169"/>
      <c r="J182" s="160"/>
      <c r="K182" s="169"/>
    </row>
    <row r="183" spans="2:11" x14ac:dyDescent="0.25">
      <c r="B183" s="161">
        <f t="shared" si="2"/>
        <v>0</v>
      </c>
      <c r="C183" s="167"/>
      <c r="D183" s="184"/>
      <c r="E183" s="167"/>
      <c r="F183" s="160"/>
      <c r="G183" s="168"/>
      <c r="H183" s="160"/>
      <c r="I183" s="169"/>
      <c r="J183" s="160"/>
      <c r="K183" s="169"/>
    </row>
    <row r="184" spans="2:11" x14ac:dyDescent="0.25">
      <c r="B184" s="161">
        <f t="shared" si="2"/>
        <v>0</v>
      </c>
      <c r="C184" s="167"/>
      <c r="D184" s="184"/>
      <c r="E184" s="167"/>
      <c r="F184" s="160"/>
      <c r="G184" s="168"/>
      <c r="H184" s="160"/>
      <c r="I184" s="169"/>
      <c r="J184" s="160"/>
      <c r="K184" s="169"/>
    </row>
    <row r="185" spans="2:11" x14ac:dyDescent="0.25">
      <c r="B185" s="161">
        <f t="shared" si="2"/>
        <v>0</v>
      </c>
      <c r="C185" s="167"/>
      <c r="D185" s="184"/>
      <c r="E185" s="167"/>
      <c r="F185" s="160"/>
      <c r="G185" s="168"/>
      <c r="H185" s="160"/>
      <c r="I185" s="169"/>
      <c r="J185" s="160"/>
      <c r="K185" s="169"/>
    </row>
    <row r="186" spans="2:11" x14ac:dyDescent="0.25">
      <c r="B186" s="161">
        <f t="shared" si="2"/>
        <v>0</v>
      </c>
      <c r="C186" s="167"/>
      <c r="D186" s="184"/>
      <c r="E186" s="167"/>
      <c r="F186" s="160"/>
      <c r="G186" s="168"/>
      <c r="H186" s="160"/>
      <c r="I186" s="169"/>
      <c r="J186" s="160"/>
      <c r="K186" s="169"/>
    </row>
    <row r="187" spans="2:11" x14ac:dyDescent="0.25">
      <c r="B187" s="161">
        <f t="shared" si="2"/>
        <v>0</v>
      </c>
      <c r="C187" s="167"/>
      <c r="D187" s="184"/>
      <c r="E187" s="167"/>
      <c r="F187" s="160"/>
      <c r="G187" s="168"/>
      <c r="H187" s="160"/>
      <c r="I187" s="169"/>
      <c r="J187" s="160"/>
      <c r="K187" s="169"/>
    </row>
    <row r="188" spans="2:11" x14ac:dyDescent="0.25">
      <c r="B188" s="161">
        <f t="shared" si="2"/>
        <v>0</v>
      </c>
      <c r="C188" s="167"/>
      <c r="D188" s="184"/>
      <c r="E188" s="167"/>
      <c r="F188" s="160"/>
      <c r="G188" s="168"/>
      <c r="H188" s="160"/>
      <c r="I188" s="169"/>
      <c r="J188" s="160"/>
      <c r="K188" s="169"/>
    </row>
    <row r="189" spans="2:11" x14ac:dyDescent="0.25">
      <c r="B189" s="161">
        <f t="shared" si="2"/>
        <v>0</v>
      </c>
      <c r="C189" s="167"/>
      <c r="D189" s="184"/>
      <c r="E189" s="167"/>
      <c r="F189" s="160"/>
      <c r="G189" s="168"/>
      <c r="H189" s="160"/>
      <c r="I189" s="169"/>
      <c r="J189" s="160"/>
      <c r="K189" s="169"/>
    </row>
    <row r="190" spans="2:11" x14ac:dyDescent="0.25">
      <c r="B190" s="161">
        <f t="shared" si="2"/>
        <v>0</v>
      </c>
      <c r="C190" s="167"/>
      <c r="D190" s="184"/>
      <c r="E190" s="167"/>
      <c r="F190" s="160"/>
      <c r="G190" s="168"/>
      <c r="H190" s="160"/>
      <c r="I190" s="169"/>
      <c r="J190" s="160"/>
      <c r="K190" s="169"/>
    </row>
    <row r="191" spans="2:11" x14ac:dyDescent="0.25">
      <c r="B191" s="161">
        <f t="shared" si="2"/>
        <v>0</v>
      </c>
      <c r="C191" s="167"/>
      <c r="D191" s="184"/>
      <c r="E191" s="167"/>
      <c r="F191" s="160"/>
      <c r="G191" s="168"/>
      <c r="H191" s="160"/>
      <c r="I191" s="169"/>
      <c r="J191" s="160"/>
      <c r="K191" s="169"/>
    </row>
    <row r="192" spans="2:11" x14ac:dyDescent="0.25">
      <c r="B192" s="161">
        <f t="shared" si="2"/>
        <v>0</v>
      </c>
      <c r="C192" s="167"/>
      <c r="D192" s="184"/>
      <c r="E192" s="167"/>
      <c r="F192" s="160"/>
      <c r="G192" s="168"/>
      <c r="H192" s="160"/>
      <c r="I192" s="169"/>
      <c r="J192" s="160"/>
      <c r="K192" s="169"/>
    </row>
    <row r="193" spans="2:11" x14ac:dyDescent="0.25">
      <c r="B193" s="161">
        <f t="shared" si="2"/>
        <v>0</v>
      </c>
      <c r="C193" s="167"/>
      <c r="D193" s="184"/>
      <c r="E193" s="167"/>
      <c r="F193" s="160"/>
      <c r="G193" s="168"/>
      <c r="H193" s="160"/>
      <c r="I193" s="169"/>
      <c r="J193" s="160"/>
      <c r="K193" s="169"/>
    </row>
    <row r="194" spans="2:11" x14ac:dyDescent="0.25">
      <c r="B194" s="161">
        <f t="shared" si="2"/>
        <v>0</v>
      </c>
      <c r="C194" s="167"/>
      <c r="D194" s="184"/>
      <c r="E194" s="167"/>
      <c r="F194" s="160"/>
      <c r="G194" s="168"/>
      <c r="H194" s="160"/>
      <c r="I194" s="169"/>
      <c r="J194" s="160"/>
      <c r="K194" s="169"/>
    </row>
    <row r="195" spans="2:11" x14ac:dyDescent="0.25">
      <c r="B195" s="161">
        <f t="shared" si="2"/>
        <v>0</v>
      </c>
      <c r="C195" s="167"/>
      <c r="D195" s="184"/>
      <c r="E195" s="167"/>
      <c r="F195" s="160"/>
      <c r="G195" s="168"/>
      <c r="H195" s="160"/>
      <c r="I195" s="169"/>
      <c r="J195" s="160"/>
      <c r="K195" s="169"/>
    </row>
    <row r="196" spans="2:11" x14ac:dyDescent="0.25">
      <c r="B196" s="161">
        <f t="shared" si="2"/>
        <v>0</v>
      </c>
      <c r="C196" s="167"/>
      <c r="D196" s="184"/>
      <c r="E196" s="167"/>
      <c r="F196" s="160"/>
      <c r="G196" s="168"/>
      <c r="H196" s="160"/>
      <c r="I196" s="169"/>
      <c r="J196" s="160"/>
      <c r="K196" s="169"/>
    </row>
    <row r="197" spans="2:11" x14ac:dyDescent="0.25">
      <c r="B197" s="161">
        <f t="shared" si="2"/>
        <v>0</v>
      </c>
      <c r="C197" s="167"/>
      <c r="D197" s="184"/>
      <c r="E197" s="167"/>
      <c r="F197" s="160"/>
      <c r="G197" s="168"/>
      <c r="H197" s="160"/>
      <c r="I197" s="169"/>
      <c r="J197" s="160"/>
      <c r="K197" s="169"/>
    </row>
    <row r="198" spans="2:11" x14ac:dyDescent="0.25">
      <c r="B198" s="161">
        <f t="shared" si="2"/>
        <v>0</v>
      </c>
      <c r="C198" s="167"/>
      <c r="D198" s="184"/>
      <c r="E198" s="167"/>
      <c r="F198" s="160"/>
      <c r="G198" s="168"/>
      <c r="H198" s="160"/>
      <c r="I198" s="169"/>
      <c r="J198" s="160"/>
      <c r="K198" s="169"/>
    </row>
    <row r="199" spans="2:11" x14ac:dyDescent="0.25">
      <c r="B199" s="161">
        <f t="shared" si="2"/>
        <v>0</v>
      </c>
      <c r="C199" s="167"/>
      <c r="D199" s="184"/>
      <c r="E199" s="167"/>
      <c r="F199" s="160"/>
      <c r="G199" s="168"/>
      <c r="H199" s="160"/>
      <c r="I199" s="169"/>
      <c r="J199" s="160"/>
      <c r="K199" s="169"/>
    </row>
    <row r="200" spans="2:11" x14ac:dyDescent="0.25">
      <c r="B200" s="161">
        <f t="shared" ref="B200:B226" si="3">IF(NOT(ISBLANK(C200)),(C200-C199),0)</f>
        <v>0</v>
      </c>
      <c r="C200" s="167"/>
      <c r="D200" s="184"/>
      <c r="E200" s="167"/>
      <c r="F200" s="160"/>
      <c r="G200" s="168"/>
      <c r="H200" s="160"/>
      <c r="I200" s="169"/>
      <c r="J200" s="160"/>
      <c r="K200" s="169"/>
    </row>
    <row r="201" spans="2:11" x14ac:dyDescent="0.25">
      <c r="B201" s="161">
        <f t="shared" si="3"/>
        <v>0</v>
      </c>
      <c r="C201" s="167"/>
      <c r="D201" s="184"/>
      <c r="E201" s="167"/>
      <c r="F201" s="160"/>
      <c r="G201" s="168"/>
      <c r="H201" s="160"/>
      <c r="I201" s="169"/>
      <c r="J201" s="160"/>
      <c r="K201" s="169"/>
    </row>
    <row r="202" spans="2:11" x14ac:dyDescent="0.25">
      <c r="B202" s="161">
        <f t="shared" si="3"/>
        <v>0</v>
      </c>
      <c r="C202" s="167"/>
      <c r="D202" s="184"/>
      <c r="E202" s="167"/>
      <c r="F202" s="160"/>
      <c r="G202" s="168"/>
      <c r="H202" s="160"/>
      <c r="I202" s="169"/>
      <c r="J202" s="160"/>
      <c r="K202" s="169"/>
    </row>
    <row r="203" spans="2:11" x14ac:dyDescent="0.25">
      <c r="B203" s="161">
        <f t="shared" si="3"/>
        <v>0</v>
      </c>
      <c r="C203" s="167"/>
      <c r="D203" s="184"/>
      <c r="E203" s="167"/>
      <c r="F203" s="160"/>
      <c r="G203" s="168"/>
      <c r="H203" s="160"/>
      <c r="I203" s="169"/>
      <c r="J203" s="160"/>
      <c r="K203" s="169"/>
    </row>
    <row r="204" spans="2:11" x14ac:dyDescent="0.25">
      <c r="B204" s="161">
        <f t="shared" si="3"/>
        <v>0</v>
      </c>
      <c r="C204" s="167"/>
      <c r="D204" s="184"/>
      <c r="E204" s="167"/>
      <c r="F204" s="160"/>
      <c r="G204" s="168"/>
      <c r="H204" s="160"/>
      <c r="I204" s="169"/>
      <c r="J204" s="160"/>
      <c r="K204" s="169"/>
    </row>
    <row r="205" spans="2:11" x14ac:dyDescent="0.25">
      <c r="B205" s="161">
        <f t="shared" si="3"/>
        <v>0</v>
      </c>
      <c r="C205" s="167"/>
      <c r="D205" s="184"/>
      <c r="E205" s="167"/>
      <c r="F205" s="160"/>
      <c r="G205" s="168"/>
      <c r="H205" s="160"/>
      <c r="I205" s="169"/>
      <c r="J205" s="160"/>
      <c r="K205" s="169"/>
    </row>
    <row r="206" spans="2:11" x14ac:dyDescent="0.25">
      <c r="B206" s="161">
        <f t="shared" si="3"/>
        <v>0</v>
      </c>
      <c r="C206" s="167"/>
      <c r="D206" s="184"/>
      <c r="E206" s="167"/>
      <c r="F206" s="160"/>
      <c r="G206" s="168"/>
      <c r="H206" s="160"/>
      <c r="I206" s="169"/>
      <c r="J206" s="160"/>
      <c r="K206" s="169"/>
    </row>
    <row r="207" spans="2:11" x14ac:dyDescent="0.25">
      <c r="B207" s="161">
        <f t="shared" si="3"/>
        <v>0</v>
      </c>
      <c r="C207" s="167"/>
      <c r="D207" s="184"/>
      <c r="E207" s="167"/>
      <c r="F207" s="160"/>
      <c r="G207" s="168"/>
      <c r="H207" s="160"/>
      <c r="I207" s="169"/>
      <c r="J207" s="160"/>
      <c r="K207" s="169"/>
    </row>
    <row r="208" spans="2:11" x14ac:dyDescent="0.25">
      <c r="B208" s="161">
        <f t="shared" si="3"/>
        <v>0</v>
      </c>
      <c r="C208" s="167"/>
      <c r="D208" s="184"/>
      <c r="E208" s="167"/>
      <c r="F208" s="160"/>
      <c r="G208" s="168"/>
      <c r="H208" s="160"/>
      <c r="I208" s="169"/>
      <c r="J208" s="160"/>
      <c r="K208" s="169"/>
    </row>
    <row r="209" spans="2:11" x14ac:dyDescent="0.25">
      <c r="B209" s="161">
        <f t="shared" si="3"/>
        <v>0</v>
      </c>
      <c r="C209" s="167"/>
      <c r="D209" s="184"/>
      <c r="E209" s="167"/>
      <c r="F209" s="160"/>
      <c r="G209" s="168"/>
      <c r="H209" s="160"/>
      <c r="I209" s="169"/>
      <c r="J209" s="160"/>
      <c r="K209" s="169"/>
    </row>
    <row r="210" spans="2:11" x14ac:dyDescent="0.25">
      <c r="B210" s="161">
        <f t="shared" si="3"/>
        <v>0</v>
      </c>
      <c r="C210" s="167"/>
      <c r="D210" s="184"/>
      <c r="E210" s="167"/>
      <c r="F210" s="160"/>
      <c r="G210" s="168"/>
      <c r="H210" s="160"/>
      <c r="I210" s="169"/>
      <c r="J210" s="160"/>
      <c r="K210" s="169"/>
    </row>
    <row r="211" spans="2:11" x14ac:dyDescent="0.25">
      <c r="B211" s="161">
        <f t="shared" si="3"/>
        <v>0</v>
      </c>
      <c r="C211" s="167"/>
      <c r="D211" s="184"/>
      <c r="E211" s="167"/>
      <c r="F211" s="160"/>
      <c r="G211" s="168"/>
      <c r="H211" s="160"/>
      <c r="I211" s="169"/>
      <c r="J211" s="160"/>
      <c r="K211" s="169"/>
    </row>
    <row r="212" spans="2:11" x14ac:dyDescent="0.25">
      <c r="B212" s="161">
        <f t="shared" si="3"/>
        <v>0</v>
      </c>
      <c r="C212" s="167"/>
      <c r="D212" s="184"/>
      <c r="E212" s="167"/>
      <c r="F212" s="160"/>
      <c r="G212" s="168"/>
      <c r="H212" s="160"/>
      <c r="I212" s="169"/>
      <c r="J212" s="160"/>
      <c r="K212" s="169"/>
    </row>
    <row r="213" spans="2:11" x14ac:dyDescent="0.25">
      <c r="B213" s="161">
        <f t="shared" si="3"/>
        <v>0</v>
      </c>
      <c r="C213" s="167"/>
      <c r="D213" s="184"/>
      <c r="E213" s="167"/>
      <c r="F213" s="160"/>
      <c r="G213" s="168"/>
      <c r="H213" s="160"/>
      <c r="I213" s="169"/>
      <c r="J213" s="160"/>
      <c r="K213" s="169"/>
    </row>
    <row r="214" spans="2:11" x14ac:dyDescent="0.25">
      <c r="B214" s="161">
        <f t="shared" si="3"/>
        <v>0</v>
      </c>
      <c r="C214" s="167"/>
      <c r="D214" s="184"/>
      <c r="E214" s="167"/>
      <c r="F214" s="160"/>
      <c r="G214" s="168"/>
      <c r="H214" s="160"/>
      <c r="I214" s="169"/>
      <c r="J214" s="160"/>
      <c r="K214" s="169"/>
    </row>
    <row r="215" spans="2:11" x14ac:dyDescent="0.25">
      <c r="B215" s="161">
        <f t="shared" si="3"/>
        <v>0</v>
      </c>
      <c r="C215" s="167"/>
      <c r="D215" s="184"/>
      <c r="E215" s="167"/>
      <c r="F215" s="160"/>
      <c r="G215" s="168"/>
      <c r="H215" s="160"/>
      <c r="I215" s="169"/>
      <c r="J215" s="160"/>
      <c r="K215" s="169"/>
    </row>
    <row r="216" spans="2:11" x14ac:dyDescent="0.25">
      <c r="B216" s="161">
        <f t="shared" si="3"/>
        <v>0</v>
      </c>
      <c r="C216" s="167"/>
      <c r="D216" s="184"/>
      <c r="E216" s="167"/>
      <c r="F216" s="160"/>
      <c r="G216" s="168"/>
      <c r="H216" s="160"/>
      <c r="I216" s="169"/>
      <c r="J216" s="160"/>
      <c r="K216" s="169"/>
    </row>
    <row r="217" spans="2:11" x14ac:dyDescent="0.25">
      <c r="B217" s="161">
        <f t="shared" si="3"/>
        <v>0</v>
      </c>
      <c r="C217" s="167"/>
      <c r="D217" s="184"/>
      <c r="E217" s="167"/>
      <c r="F217" s="160"/>
      <c r="G217" s="168"/>
      <c r="H217" s="160"/>
      <c r="I217" s="169"/>
      <c r="J217" s="160"/>
      <c r="K217" s="169"/>
    </row>
    <row r="218" spans="2:11" x14ac:dyDescent="0.25">
      <c r="B218" s="161">
        <f t="shared" si="3"/>
        <v>0</v>
      </c>
      <c r="C218" s="167"/>
      <c r="D218" s="184"/>
      <c r="E218" s="167"/>
      <c r="F218" s="160"/>
      <c r="G218" s="168"/>
      <c r="H218" s="160"/>
      <c r="I218" s="169"/>
      <c r="J218" s="160"/>
      <c r="K218" s="169"/>
    </row>
    <row r="219" spans="2:11" x14ac:dyDescent="0.25">
      <c r="B219" s="161">
        <f t="shared" si="3"/>
        <v>0</v>
      </c>
      <c r="C219" s="167"/>
      <c r="D219" s="184"/>
      <c r="E219" s="167"/>
      <c r="F219" s="160"/>
      <c r="G219" s="168"/>
      <c r="H219" s="160"/>
      <c r="I219" s="169"/>
      <c r="J219" s="160"/>
      <c r="K219" s="169"/>
    </row>
    <row r="220" spans="2:11" x14ac:dyDescent="0.25">
      <c r="B220" s="161">
        <f t="shared" si="3"/>
        <v>0</v>
      </c>
      <c r="C220" s="167"/>
      <c r="D220" s="184"/>
      <c r="E220" s="167"/>
      <c r="F220" s="160"/>
      <c r="G220" s="168"/>
      <c r="H220" s="160"/>
      <c r="I220" s="169"/>
      <c r="J220" s="160"/>
      <c r="K220" s="169"/>
    </row>
    <row r="221" spans="2:11" x14ac:dyDescent="0.25">
      <c r="B221" s="161">
        <f t="shared" si="3"/>
        <v>0</v>
      </c>
      <c r="C221" s="167"/>
      <c r="D221" s="184"/>
      <c r="E221" s="167"/>
      <c r="F221" s="160"/>
      <c r="G221" s="168"/>
      <c r="H221" s="160"/>
      <c r="I221" s="169"/>
      <c r="J221" s="160"/>
      <c r="K221" s="169"/>
    </row>
    <row r="222" spans="2:11" x14ac:dyDescent="0.25">
      <c r="B222" s="161">
        <f t="shared" si="3"/>
        <v>0</v>
      </c>
      <c r="C222" s="167"/>
      <c r="D222" s="184"/>
      <c r="E222" s="167"/>
      <c r="F222" s="160"/>
      <c r="G222" s="168"/>
      <c r="H222" s="160"/>
      <c r="I222" s="169"/>
      <c r="J222" s="160"/>
      <c r="K222" s="169"/>
    </row>
    <row r="223" spans="2:11" x14ac:dyDescent="0.25">
      <c r="B223" s="161">
        <f t="shared" si="3"/>
        <v>0</v>
      </c>
      <c r="C223" s="167"/>
      <c r="D223" s="184"/>
      <c r="E223" s="167"/>
      <c r="F223" s="160"/>
      <c r="G223" s="168"/>
      <c r="H223" s="160"/>
      <c r="I223" s="169"/>
      <c r="J223" s="160"/>
      <c r="K223" s="169"/>
    </row>
    <row r="224" spans="2:11" x14ac:dyDescent="0.25">
      <c r="B224" s="161">
        <f t="shared" si="3"/>
        <v>0</v>
      </c>
      <c r="C224" s="167"/>
      <c r="D224" s="184"/>
      <c r="E224" s="167"/>
      <c r="F224" s="160"/>
      <c r="G224" s="168"/>
      <c r="H224" s="160"/>
      <c r="I224" s="169"/>
      <c r="J224" s="160"/>
      <c r="K224" s="169"/>
    </row>
    <row r="225" spans="2:11" x14ac:dyDescent="0.25">
      <c r="B225" s="161">
        <f t="shared" si="3"/>
        <v>0</v>
      </c>
      <c r="C225" s="167"/>
      <c r="D225" s="184"/>
      <c r="E225" s="167"/>
      <c r="F225" s="160"/>
      <c r="G225" s="168"/>
      <c r="H225" s="160"/>
      <c r="I225" s="169"/>
      <c r="J225" s="160"/>
      <c r="K225" s="169"/>
    </row>
    <row r="226" spans="2:11" x14ac:dyDescent="0.25">
      <c r="B226" s="161">
        <f t="shared" si="3"/>
        <v>0</v>
      </c>
      <c r="C226" s="167"/>
      <c r="D226" s="184"/>
      <c r="E226" s="167"/>
      <c r="F226" s="160"/>
      <c r="G226" s="168"/>
      <c r="H226" s="160"/>
      <c r="I226" s="169"/>
      <c r="J226" s="160"/>
      <c r="K226" s="169"/>
    </row>
  </sheetData>
  <conditionalFormatting sqref="A5:A7">
    <cfRule type="timePeriod" dxfId="44" priority="7" timePeriod="today">
      <formula>FLOOR(A5,1)=TODAY()</formula>
    </cfRule>
    <cfRule type="timePeriod" dxfId="43" priority="8" timePeriod="tomorrow">
      <formula>FLOOR(A5,1)=TODAY()+1</formula>
    </cfRule>
    <cfRule type="timePeriod" dxfId="42" priority="9" timePeriod="yesterday">
      <formula>FLOOR(A5,1)=TODAY()-1</formula>
    </cfRule>
  </conditionalFormatting>
  <conditionalFormatting sqref="A8:A19 A21:A31">
    <cfRule type="expression" dxfId="41" priority="4">
      <formula>INDIRECT("A"&amp;3) = INDIRECT("A"&amp;ROW())</formula>
    </cfRule>
  </conditionalFormatting>
  <conditionalFormatting sqref="A3:A4">
    <cfRule type="expression" dxfId="40" priority="5">
      <formula xml:space="preserve"> INDIRECT(CHAR(COLUMN()+96) &amp; 4) = TODAY() * ISBLANK(INDIRECT(CHAR(COLUMN()+96) &amp; ROW()))</formula>
    </cfRule>
  </conditionalFormatting>
  <conditionalFormatting sqref="A32">
    <cfRule type="colorScale" priority="6">
      <colorScale>
        <cfvo type="num" val="0"/>
        <cfvo type="num" val="0.5"/>
        <cfvo type="num" val="1"/>
        <color rgb="FFF8696B"/>
        <color rgb="FFFFEB84"/>
        <color rgb="FF63BE7B"/>
      </colorScale>
    </cfRule>
  </conditionalFormatting>
  <conditionalFormatting sqref="A1:XFD2">
    <cfRule type="expression" dxfId="39" priority="3">
      <formula xml:space="preserve"> INDIRECT(CHAR(COLUMN()+96) &amp; 4) = TODAY() * ISBLANK(INDIRECT(CHAR(COLUMN()+96) &amp; ROW()))</formula>
    </cfRule>
  </conditionalFormatting>
  <conditionalFormatting sqref="B6:B19 B21:B226">
    <cfRule type="colorScale" priority="2">
      <colorScale>
        <cfvo type="num" val="0"/>
        <cfvo type="num" val="2"/>
        <cfvo type="num" val="5"/>
        <color theme="9"/>
        <color rgb="FFFFEB84"/>
        <color rgb="FFFF5050"/>
      </colorScale>
    </cfRule>
  </conditionalFormatting>
  <conditionalFormatting sqref="B20">
    <cfRule type="colorScale" priority="1">
      <colorScale>
        <cfvo type="num" val="0"/>
        <cfvo type="num" val="2"/>
        <cfvo type="num" val="5"/>
        <color theme="9"/>
        <color rgb="FFFFEB84"/>
        <color rgb="FFFF5050"/>
      </colorScale>
    </cfRule>
  </conditionalFormatting>
  <pageMargins left="0.7" right="0.7" top="0.75" bottom="0.75"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6"/>
  <sheetViews>
    <sheetView topLeftCell="A4" zoomScale="85" zoomScaleNormal="85" zoomScalePageLayoutView="115" workbookViewId="0">
      <selection activeCell="B31" sqref="B31"/>
    </sheetView>
  </sheetViews>
  <sheetFormatPr defaultColWidth="9.140625" defaultRowHeight="15" x14ac:dyDescent="0.2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84" t="s">
        <v>55</v>
      </c>
      <c r="F3" s="83" t="s">
        <v>54</v>
      </c>
      <c r="G3" s="12"/>
      <c r="H3" s="6">
        <v>381</v>
      </c>
      <c r="I3" s="6"/>
      <c r="J3" s="6">
        <v>378</v>
      </c>
      <c r="K3" s="6"/>
      <c r="L3" s="6"/>
      <c r="M3" s="6" t="s">
        <v>53</v>
      </c>
      <c r="N3" s="82">
        <v>2</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43279</v>
      </c>
      <c r="D4" s="37" t="s">
        <v>7</v>
      </c>
      <c r="E4" s="29"/>
      <c r="F4" s="20"/>
      <c r="G4" s="12"/>
      <c r="H4" s="6">
        <f>$H$3 - 365</f>
        <v>16</v>
      </c>
      <c r="K4" s="81"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01"/>
      <c r="B6" s="98"/>
      <c r="C6" s="98"/>
      <c r="D6" s="98"/>
      <c r="E6" s="98"/>
      <c r="F6" s="99"/>
      <c r="G6" s="15"/>
      <c r="H6" s="14">
        <f t="shared" ref="H6:N6" ca="1" si="0">TODAY()+((COLUMN()-$H$4)*$N$3)</f>
        <v>43263</v>
      </c>
      <c r="I6" s="14">
        <f t="shared" ca="1" si="0"/>
        <v>43265</v>
      </c>
      <c r="J6" s="14">
        <f t="shared" ca="1" si="0"/>
        <v>43267</v>
      </c>
      <c r="K6" s="14">
        <f t="shared" ca="1" si="0"/>
        <v>43269</v>
      </c>
      <c r="L6" s="14">
        <f t="shared" ca="1" si="0"/>
        <v>43271</v>
      </c>
      <c r="M6" s="14">
        <f t="shared" ca="1" si="0"/>
        <v>43273</v>
      </c>
      <c r="N6" s="14">
        <f t="shared" ca="1" si="0"/>
        <v>43275</v>
      </c>
      <c r="O6" s="14">
        <f t="shared" ref="O6:BZ6" ca="1" si="1">TODAY()+((COLUMN()-$H$4)*$N$3)</f>
        <v>43277</v>
      </c>
      <c r="P6" s="14">
        <f t="shared" ca="1" si="1"/>
        <v>43279</v>
      </c>
      <c r="Q6" s="14">
        <f t="shared" ca="1" si="1"/>
        <v>43281</v>
      </c>
      <c r="R6" s="14">
        <f t="shared" ca="1" si="1"/>
        <v>43283</v>
      </c>
      <c r="S6" s="14">
        <f t="shared" ca="1" si="1"/>
        <v>43285</v>
      </c>
      <c r="T6" s="14">
        <f ca="1">TODAY()+((COLUMN()-$H$4)*$N$3)</f>
        <v>43287</v>
      </c>
      <c r="U6" s="14">
        <f t="shared" ca="1" si="1"/>
        <v>43289</v>
      </c>
      <c r="V6" s="14">
        <f t="shared" ca="1" si="1"/>
        <v>43291</v>
      </c>
      <c r="W6" s="14">
        <f t="shared" ca="1" si="1"/>
        <v>43293</v>
      </c>
      <c r="X6" s="14">
        <f t="shared" ca="1" si="1"/>
        <v>43295</v>
      </c>
      <c r="Y6" s="14">
        <f t="shared" ca="1" si="1"/>
        <v>43297</v>
      </c>
      <c r="Z6" s="14">
        <f t="shared" ca="1" si="1"/>
        <v>43299</v>
      </c>
      <c r="AA6" s="14">
        <f t="shared" ca="1" si="1"/>
        <v>43301</v>
      </c>
      <c r="AB6" s="14">
        <f t="shared" ca="1" si="1"/>
        <v>43303</v>
      </c>
      <c r="AC6" s="14">
        <f t="shared" ca="1" si="1"/>
        <v>43305</v>
      </c>
      <c r="AD6" s="14">
        <f t="shared" ca="1" si="1"/>
        <v>43307</v>
      </c>
      <c r="AE6" s="14">
        <f t="shared" ca="1" si="1"/>
        <v>43309</v>
      </c>
      <c r="AF6" s="14">
        <f t="shared" ca="1" si="1"/>
        <v>43311</v>
      </c>
      <c r="AG6" s="14">
        <f t="shared" ca="1" si="1"/>
        <v>43313</v>
      </c>
      <c r="AH6" s="14">
        <f t="shared" ca="1" si="1"/>
        <v>43315</v>
      </c>
      <c r="AI6" s="14">
        <f t="shared" ca="1" si="1"/>
        <v>43317</v>
      </c>
      <c r="AJ6" s="14">
        <f t="shared" ca="1" si="1"/>
        <v>43319</v>
      </c>
      <c r="AK6" s="14">
        <f t="shared" ca="1" si="1"/>
        <v>43321</v>
      </c>
      <c r="AL6" s="14">
        <f t="shared" ca="1" si="1"/>
        <v>43323</v>
      </c>
      <c r="AM6" s="14">
        <f t="shared" ca="1" si="1"/>
        <v>43325</v>
      </c>
      <c r="AN6" s="14">
        <f t="shared" ca="1" si="1"/>
        <v>43327</v>
      </c>
      <c r="AO6" s="14">
        <f t="shared" ca="1" si="1"/>
        <v>43329</v>
      </c>
      <c r="AP6" s="14">
        <f t="shared" ca="1" si="1"/>
        <v>43331</v>
      </c>
      <c r="AQ6" s="14">
        <f t="shared" ca="1" si="1"/>
        <v>43333</v>
      </c>
      <c r="AR6" s="14">
        <f t="shared" ca="1" si="1"/>
        <v>43335</v>
      </c>
      <c r="AS6" s="14">
        <f t="shared" ca="1" si="1"/>
        <v>43337</v>
      </c>
      <c r="AT6" s="14">
        <f t="shared" ca="1" si="1"/>
        <v>43339</v>
      </c>
      <c r="AU6" s="14">
        <f t="shared" ca="1" si="1"/>
        <v>43341</v>
      </c>
      <c r="AV6" s="14">
        <f t="shared" ca="1" si="1"/>
        <v>43343</v>
      </c>
      <c r="AW6" s="14">
        <f t="shared" ca="1" si="1"/>
        <v>43345</v>
      </c>
      <c r="AX6" s="14">
        <f t="shared" ca="1" si="1"/>
        <v>43347</v>
      </c>
      <c r="AY6" s="14">
        <f t="shared" ca="1" si="1"/>
        <v>43349</v>
      </c>
      <c r="AZ6" s="14">
        <f t="shared" ca="1" si="1"/>
        <v>43351</v>
      </c>
      <c r="BA6" s="14">
        <f t="shared" ca="1" si="1"/>
        <v>43353</v>
      </c>
      <c r="BB6" s="14">
        <f t="shared" ca="1" si="1"/>
        <v>43355</v>
      </c>
      <c r="BC6" s="14">
        <f t="shared" ca="1" si="1"/>
        <v>43357</v>
      </c>
      <c r="BD6" s="14">
        <f t="shared" ca="1" si="1"/>
        <v>43359</v>
      </c>
      <c r="BE6" s="14">
        <f t="shared" ca="1" si="1"/>
        <v>43361</v>
      </c>
      <c r="BF6" s="14">
        <f t="shared" ca="1" si="1"/>
        <v>43363</v>
      </c>
      <c r="BG6" s="14">
        <f t="shared" ca="1" si="1"/>
        <v>43365</v>
      </c>
      <c r="BH6" s="14">
        <f t="shared" ca="1" si="1"/>
        <v>43367</v>
      </c>
      <c r="BI6" s="14">
        <f t="shared" ca="1" si="1"/>
        <v>43369</v>
      </c>
      <c r="BJ6" s="14">
        <f t="shared" ca="1" si="1"/>
        <v>43371</v>
      </c>
      <c r="BK6" s="14">
        <f t="shared" ca="1" si="1"/>
        <v>43373</v>
      </c>
      <c r="BL6" s="14">
        <f t="shared" ca="1" si="1"/>
        <v>43375</v>
      </c>
      <c r="BM6" s="14">
        <f t="shared" ca="1" si="1"/>
        <v>43377</v>
      </c>
      <c r="BN6" s="14">
        <f t="shared" ca="1" si="1"/>
        <v>43379</v>
      </c>
      <c r="BO6" s="14">
        <f t="shared" ca="1" si="1"/>
        <v>43381</v>
      </c>
      <c r="BP6" s="14">
        <f t="shared" ca="1" si="1"/>
        <v>43383</v>
      </c>
      <c r="BQ6" s="14">
        <f t="shared" ca="1" si="1"/>
        <v>43385</v>
      </c>
      <c r="BR6" s="14">
        <f t="shared" ca="1" si="1"/>
        <v>43387</v>
      </c>
      <c r="BS6" s="14">
        <f t="shared" ca="1" si="1"/>
        <v>43389</v>
      </c>
      <c r="BT6" s="14">
        <f t="shared" ca="1" si="1"/>
        <v>43391</v>
      </c>
      <c r="BU6" s="14">
        <f t="shared" ca="1" si="1"/>
        <v>43393</v>
      </c>
      <c r="BV6" s="14">
        <f t="shared" ca="1" si="1"/>
        <v>43395</v>
      </c>
      <c r="BW6" s="14">
        <f t="shared" ca="1" si="1"/>
        <v>43397</v>
      </c>
      <c r="BX6" s="14">
        <f t="shared" ca="1" si="1"/>
        <v>43399</v>
      </c>
      <c r="BY6" s="14">
        <f t="shared" ca="1" si="1"/>
        <v>43401</v>
      </c>
      <c r="BZ6" s="14">
        <f t="shared" ca="1" si="1"/>
        <v>43403</v>
      </c>
      <c r="CA6" s="14">
        <f t="shared" ref="CA6:EL6" ca="1" si="2">TODAY()+((COLUMN()-$H$4)*$N$3)</f>
        <v>43405</v>
      </c>
      <c r="CB6" s="14">
        <f t="shared" ca="1" si="2"/>
        <v>43407</v>
      </c>
      <c r="CC6" s="14">
        <f t="shared" ca="1" si="2"/>
        <v>43409</v>
      </c>
      <c r="CD6" s="14">
        <f t="shared" ca="1" si="2"/>
        <v>43411</v>
      </c>
      <c r="CE6" s="14">
        <f t="shared" ca="1" si="2"/>
        <v>43413</v>
      </c>
      <c r="CF6" s="14">
        <f t="shared" ca="1" si="2"/>
        <v>43415</v>
      </c>
      <c r="CG6" s="14">
        <f t="shared" ca="1" si="2"/>
        <v>43417</v>
      </c>
      <c r="CH6" s="14">
        <f t="shared" ca="1" si="2"/>
        <v>43419</v>
      </c>
      <c r="CI6" s="14">
        <f t="shared" ca="1" si="2"/>
        <v>43421</v>
      </c>
      <c r="CJ6" s="14">
        <f t="shared" ca="1" si="2"/>
        <v>43423</v>
      </c>
      <c r="CK6" s="14">
        <f t="shared" ca="1" si="2"/>
        <v>43425</v>
      </c>
      <c r="CL6" s="14">
        <f t="shared" ca="1" si="2"/>
        <v>43427</v>
      </c>
      <c r="CM6" s="14">
        <f t="shared" ca="1" si="2"/>
        <v>43429</v>
      </c>
      <c r="CN6" s="14">
        <f t="shared" ca="1" si="2"/>
        <v>43431</v>
      </c>
      <c r="CO6" s="14">
        <f t="shared" ca="1" si="2"/>
        <v>43433</v>
      </c>
      <c r="CP6" s="14">
        <f t="shared" ca="1" si="2"/>
        <v>43435</v>
      </c>
      <c r="CQ6" s="14">
        <f t="shared" ca="1" si="2"/>
        <v>43437</v>
      </c>
      <c r="CR6" s="14">
        <f t="shared" ca="1" si="2"/>
        <v>43439</v>
      </c>
      <c r="CS6" s="14">
        <f t="shared" ca="1" si="2"/>
        <v>43441</v>
      </c>
      <c r="CT6" s="14">
        <f t="shared" ca="1" si="2"/>
        <v>43443</v>
      </c>
      <c r="CU6" s="14">
        <f t="shared" ca="1" si="2"/>
        <v>43445</v>
      </c>
      <c r="CV6" s="14">
        <f t="shared" ca="1" si="2"/>
        <v>43447</v>
      </c>
      <c r="CW6" s="14">
        <f t="shared" ca="1" si="2"/>
        <v>43449</v>
      </c>
      <c r="CX6" s="14">
        <f t="shared" ca="1" si="2"/>
        <v>43451</v>
      </c>
      <c r="CY6" s="14">
        <f t="shared" ca="1" si="2"/>
        <v>43453</v>
      </c>
      <c r="CZ6" s="14">
        <f t="shared" ca="1" si="2"/>
        <v>43455</v>
      </c>
      <c r="DA6" s="14">
        <f t="shared" ca="1" si="2"/>
        <v>43457</v>
      </c>
      <c r="DB6" s="14">
        <f t="shared" ca="1" si="2"/>
        <v>43459</v>
      </c>
      <c r="DC6" s="14">
        <f t="shared" ca="1" si="2"/>
        <v>43461</v>
      </c>
      <c r="DD6" s="14">
        <f t="shared" ca="1" si="2"/>
        <v>43463</v>
      </c>
      <c r="DE6" s="14">
        <f t="shared" ca="1" si="2"/>
        <v>43465</v>
      </c>
      <c r="DF6" s="14">
        <f t="shared" ca="1" si="2"/>
        <v>43467</v>
      </c>
      <c r="DG6" s="14">
        <f t="shared" ca="1" si="2"/>
        <v>43469</v>
      </c>
      <c r="DH6" s="14">
        <f t="shared" ca="1" si="2"/>
        <v>43471</v>
      </c>
      <c r="DI6" s="14">
        <f t="shared" ca="1" si="2"/>
        <v>43473</v>
      </c>
      <c r="DJ6" s="14">
        <f t="shared" ca="1" si="2"/>
        <v>43475</v>
      </c>
      <c r="DK6" s="14">
        <f t="shared" ca="1" si="2"/>
        <v>43477</v>
      </c>
      <c r="DL6" s="14">
        <f t="shared" ca="1" si="2"/>
        <v>43479</v>
      </c>
      <c r="DM6" s="14">
        <f t="shared" ca="1" si="2"/>
        <v>43481</v>
      </c>
      <c r="DN6" s="14">
        <f t="shared" ca="1" si="2"/>
        <v>43483</v>
      </c>
      <c r="DO6" s="14">
        <f t="shared" ca="1" si="2"/>
        <v>43485</v>
      </c>
      <c r="DP6" s="14">
        <f t="shared" ca="1" si="2"/>
        <v>43487</v>
      </c>
      <c r="DQ6" s="14">
        <f t="shared" ca="1" si="2"/>
        <v>43489</v>
      </c>
      <c r="DR6" s="14">
        <f t="shared" ca="1" si="2"/>
        <v>43491</v>
      </c>
      <c r="DS6" s="14">
        <f t="shared" ca="1" si="2"/>
        <v>43493</v>
      </c>
      <c r="DT6" s="14">
        <f t="shared" ca="1" si="2"/>
        <v>43495</v>
      </c>
      <c r="DU6" s="14">
        <f t="shared" ca="1" si="2"/>
        <v>43497</v>
      </c>
      <c r="DV6" s="14">
        <f t="shared" ca="1" si="2"/>
        <v>43499</v>
      </c>
      <c r="DW6" s="14">
        <f t="shared" ca="1" si="2"/>
        <v>43501</v>
      </c>
      <c r="DX6" s="14">
        <f t="shared" ca="1" si="2"/>
        <v>43503</v>
      </c>
      <c r="DY6" s="14">
        <f t="shared" ca="1" si="2"/>
        <v>43505</v>
      </c>
      <c r="DZ6" s="14">
        <f t="shared" ca="1" si="2"/>
        <v>43507</v>
      </c>
      <c r="EA6" s="14">
        <f t="shared" ca="1" si="2"/>
        <v>43509</v>
      </c>
      <c r="EB6" s="14">
        <f t="shared" ca="1" si="2"/>
        <v>43511</v>
      </c>
      <c r="EC6" s="14">
        <f t="shared" ca="1" si="2"/>
        <v>43513</v>
      </c>
      <c r="ED6" s="14">
        <f t="shared" ca="1" si="2"/>
        <v>43515</v>
      </c>
      <c r="EE6" s="14">
        <f t="shared" ca="1" si="2"/>
        <v>43517</v>
      </c>
      <c r="EF6" s="14">
        <f t="shared" ca="1" si="2"/>
        <v>43519</v>
      </c>
      <c r="EG6" s="14">
        <f t="shared" ca="1" si="2"/>
        <v>43521</v>
      </c>
      <c r="EH6" s="14">
        <f t="shared" ca="1" si="2"/>
        <v>43523</v>
      </c>
      <c r="EI6" s="14">
        <f t="shared" ca="1" si="2"/>
        <v>43525</v>
      </c>
      <c r="EJ6" s="14">
        <f t="shared" ca="1" si="2"/>
        <v>43527</v>
      </c>
      <c r="EK6" s="14">
        <f t="shared" ca="1" si="2"/>
        <v>43529</v>
      </c>
      <c r="EL6" s="14">
        <f t="shared" ca="1" si="2"/>
        <v>43531</v>
      </c>
      <c r="EM6" s="14">
        <f t="shared" ref="EM6:GX6" ca="1" si="3">TODAY()+((COLUMN()-$H$4)*$N$3)</f>
        <v>43533</v>
      </c>
      <c r="EN6" s="14">
        <f t="shared" ca="1" si="3"/>
        <v>43535</v>
      </c>
      <c r="EO6" s="14">
        <f t="shared" ca="1" si="3"/>
        <v>43537</v>
      </c>
      <c r="EP6" s="14">
        <f t="shared" ca="1" si="3"/>
        <v>43539</v>
      </c>
      <c r="EQ6" s="14">
        <f t="shared" ca="1" si="3"/>
        <v>43541</v>
      </c>
      <c r="ER6" s="14">
        <f t="shared" ca="1" si="3"/>
        <v>43543</v>
      </c>
      <c r="ES6" s="14">
        <f t="shared" ca="1" si="3"/>
        <v>43545</v>
      </c>
      <c r="ET6" s="14">
        <f t="shared" ca="1" si="3"/>
        <v>43547</v>
      </c>
      <c r="EU6" s="14">
        <f t="shared" ca="1" si="3"/>
        <v>43549</v>
      </c>
      <c r="EV6" s="14">
        <f t="shared" ca="1" si="3"/>
        <v>43551</v>
      </c>
      <c r="EW6" s="14">
        <f t="shared" ca="1" si="3"/>
        <v>43553</v>
      </c>
      <c r="EX6" s="14">
        <f t="shared" ca="1" si="3"/>
        <v>43555</v>
      </c>
      <c r="EY6" s="14">
        <f t="shared" ca="1" si="3"/>
        <v>43557</v>
      </c>
      <c r="EZ6" s="14">
        <f t="shared" ca="1" si="3"/>
        <v>43559</v>
      </c>
      <c r="FA6" s="14">
        <f t="shared" ca="1" si="3"/>
        <v>43561</v>
      </c>
      <c r="FB6" s="14">
        <f t="shared" ca="1" si="3"/>
        <v>43563</v>
      </c>
      <c r="FC6" s="14">
        <f t="shared" ca="1" si="3"/>
        <v>43565</v>
      </c>
      <c r="FD6" s="14">
        <f t="shared" ca="1" si="3"/>
        <v>43567</v>
      </c>
      <c r="FE6" s="14">
        <f t="shared" ca="1" si="3"/>
        <v>43569</v>
      </c>
      <c r="FF6" s="14">
        <f t="shared" ca="1" si="3"/>
        <v>43571</v>
      </c>
      <c r="FG6" s="14">
        <f t="shared" ca="1" si="3"/>
        <v>43573</v>
      </c>
      <c r="FH6" s="14">
        <f t="shared" ca="1" si="3"/>
        <v>43575</v>
      </c>
      <c r="FI6" s="14">
        <f t="shared" ca="1" si="3"/>
        <v>43577</v>
      </c>
      <c r="FJ6" s="14">
        <f t="shared" ca="1" si="3"/>
        <v>43579</v>
      </c>
      <c r="FK6" s="14">
        <f t="shared" ca="1" si="3"/>
        <v>43581</v>
      </c>
      <c r="FL6" s="14">
        <f t="shared" ca="1" si="3"/>
        <v>43583</v>
      </c>
      <c r="FM6" s="14">
        <f t="shared" ca="1" si="3"/>
        <v>43585</v>
      </c>
      <c r="FN6" s="14">
        <f t="shared" ca="1" si="3"/>
        <v>43587</v>
      </c>
      <c r="FO6" s="14">
        <f t="shared" ca="1" si="3"/>
        <v>43589</v>
      </c>
      <c r="FP6" s="14">
        <f t="shared" ca="1" si="3"/>
        <v>43591</v>
      </c>
      <c r="FQ6" s="14">
        <f t="shared" ca="1" si="3"/>
        <v>43593</v>
      </c>
      <c r="FR6" s="14">
        <f t="shared" ca="1" si="3"/>
        <v>43595</v>
      </c>
      <c r="FS6" s="14">
        <f t="shared" ca="1" si="3"/>
        <v>43597</v>
      </c>
      <c r="FT6" s="14">
        <f t="shared" ca="1" si="3"/>
        <v>43599</v>
      </c>
      <c r="FU6" s="14">
        <f t="shared" ca="1" si="3"/>
        <v>43601</v>
      </c>
      <c r="FV6" s="14">
        <f t="shared" ca="1" si="3"/>
        <v>43603</v>
      </c>
      <c r="FW6" s="14">
        <f t="shared" ca="1" si="3"/>
        <v>43605</v>
      </c>
      <c r="FX6" s="14">
        <f t="shared" ca="1" si="3"/>
        <v>43607</v>
      </c>
      <c r="FY6" s="14">
        <f t="shared" ca="1" si="3"/>
        <v>43609</v>
      </c>
      <c r="FZ6" s="14">
        <f t="shared" ca="1" si="3"/>
        <v>43611</v>
      </c>
      <c r="GA6" s="14">
        <f t="shared" ca="1" si="3"/>
        <v>43613</v>
      </c>
      <c r="GB6" s="14">
        <f t="shared" ca="1" si="3"/>
        <v>43615</v>
      </c>
      <c r="GC6" s="14">
        <f t="shared" ca="1" si="3"/>
        <v>43617</v>
      </c>
      <c r="GD6" s="14">
        <f t="shared" ca="1" si="3"/>
        <v>43619</v>
      </c>
      <c r="GE6" s="14">
        <f t="shared" ca="1" si="3"/>
        <v>43621</v>
      </c>
      <c r="GF6" s="14">
        <f t="shared" ca="1" si="3"/>
        <v>43623</v>
      </c>
      <c r="GG6" s="14">
        <f t="shared" ca="1" si="3"/>
        <v>43625</v>
      </c>
      <c r="GH6" s="14">
        <f t="shared" ca="1" si="3"/>
        <v>43627</v>
      </c>
      <c r="GI6" s="14">
        <f t="shared" ca="1" si="3"/>
        <v>43629</v>
      </c>
      <c r="GJ6" s="14">
        <f t="shared" ca="1" si="3"/>
        <v>43631</v>
      </c>
      <c r="GK6" s="14">
        <f t="shared" ca="1" si="3"/>
        <v>43633</v>
      </c>
      <c r="GL6" s="14">
        <f t="shared" ca="1" si="3"/>
        <v>43635</v>
      </c>
      <c r="GM6" s="14">
        <f t="shared" ca="1" si="3"/>
        <v>43637</v>
      </c>
      <c r="GN6" s="14">
        <f t="shared" ca="1" si="3"/>
        <v>43639</v>
      </c>
      <c r="GO6" s="14">
        <f t="shared" ca="1" si="3"/>
        <v>43641</v>
      </c>
      <c r="GP6" s="14">
        <f t="shared" ca="1" si="3"/>
        <v>43643</v>
      </c>
      <c r="GQ6" s="14">
        <f t="shared" ca="1" si="3"/>
        <v>43645</v>
      </c>
      <c r="GR6" s="14">
        <f t="shared" ca="1" si="3"/>
        <v>43647</v>
      </c>
      <c r="GS6" s="14">
        <f t="shared" ca="1" si="3"/>
        <v>43649</v>
      </c>
      <c r="GT6" s="14">
        <f t="shared" ca="1" si="3"/>
        <v>43651</v>
      </c>
      <c r="GU6" s="14">
        <f t="shared" ca="1" si="3"/>
        <v>43653</v>
      </c>
      <c r="GV6" s="14">
        <f t="shared" ca="1" si="3"/>
        <v>43655</v>
      </c>
      <c r="GW6" s="14">
        <f t="shared" ca="1" si="3"/>
        <v>43657</v>
      </c>
      <c r="GX6" s="14">
        <f t="shared" ca="1" si="3"/>
        <v>43659</v>
      </c>
      <c r="GY6" s="14">
        <f t="shared" ref="GY6:JJ6" ca="1" si="4">TODAY()+((COLUMN()-$H$4)*$N$3)</f>
        <v>43661</v>
      </c>
      <c r="GZ6" s="14">
        <f t="shared" ca="1" si="4"/>
        <v>43663</v>
      </c>
      <c r="HA6" s="14">
        <f t="shared" ca="1" si="4"/>
        <v>43665</v>
      </c>
      <c r="HB6" s="14">
        <f t="shared" ca="1" si="4"/>
        <v>43667</v>
      </c>
      <c r="HC6" s="14">
        <f t="shared" ca="1" si="4"/>
        <v>43669</v>
      </c>
      <c r="HD6" s="14">
        <f t="shared" ca="1" si="4"/>
        <v>43671</v>
      </c>
      <c r="HE6" s="14">
        <f t="shared" ca="1" si="4"/>
        <v>43673</v>
      </c>
      <c r="HF6" s="14">
        <f t="shared" ca="1" si="4"/>
        <v>43675</v>
      </c>
      <c r="HG6" s="14">
        <f t="shared" ca="1" si="4"/>
        <v>43677</v>
      </c>
      <c r="HH6" s="14">
        <f t="shared" ca="1" si="4"/>
        <v>43679</v>
      </c>
      <c r="HI6" s="14">
        <f t="shared" ca="1" si="4"/>
        <v>43681</v>
      </c>
      <c r="HJ6" s="14">
        <f t="shared" ca="1" si="4"/>
        <v>43683</v>
      </c>
      <c r="HK6" s="14">
        <f t="shared" ca="1" si="4"/>
        <v>43685</v>
      </c>
      <c r="HL6" s="14">
        <f t="shared" ca="1" si="4"/>
        <v>43687</v>
      </c>
      <c r="HM6" s="14">
        <f t="shared" ca="1" si="4"/>
        <v>43689</v>
      </c>
      <c r="HN6" s="14">
        <f t="shared" ca="1" si="4"/>
        <v>43691</v>
      </c>
      <c r="HO6" s="14">
        <f t="shared" ca="1" si="4"/>
        <v>43693</v>
      </c>
      <c r="HP6" s="14">
        <f t="shared" ca="1" si="4"/>
        <v>43695</v>
      </c>
      <c r="HQ6" s="14">
        <f t="shared" ca="1" si="4"/>
        <v>43697</v>
      </c>
      <c r="HR6" s="14">
        <f t="shared" ca="1" si="4"/>
        <v>43699</v>
      </c>
      <c r="HS6" s="14">
        <f t="shared" ca="1" si="4"/>
        <v>43701</v>
      </c>
      <c r="HT6" s="14">
        <f t="shared" ca="1" si="4"/>
        <v>43703</v>
      </c>
      <c r="HU6" s="14">
        <f t="shared" ca="1" si="4"/>
        <v>43705</v>
      </c>
      <c r="HV6" s="14">
        <f t="shared" ca="1" si="4"/>
        <v>43707</v>
      </c>
      <c r="HW6" s="14">
        <f t="shared" ca="1" si="4"/>
        <v>43709</v>
      </c>
      <c r="HX6" s="14">
        <f t="shared" ca="1" si="4"/>
        <v>43711</v>
      </c>
      <c r="HY6" s="14">
        <f t="shared" ca="1" si="4"/>
        <v>43713</v>
      </c>
      <c r="HZ6" s="14">
        <f t="shared" ca="1" si="4"/>
        <v>43715</v>
      </c>
      <c r="IA6" s="14">
        <f t="shared" ca="1" si="4"/>
        <v>43717</v>
      </c>
      <c r="IB6" s="14">
        <f t="shared" ca="1" si="4"/>
        <v>43719</v>
      </c>
      <c r="IC6" s="14">
        <f t="shared" ca="1" si="4"/>
        <v>43721</v>
      </c>
      <c r="ID6" s="14">
        <f t="shared" ca="1" si="4"/>
        <v>43723</v>
      </c>
      <c r="IE6" s="14">
        <f t="shared" ca="1" si="4"/>
        <v>43725</v>
      </c>
      <c r="IF6" s="14">
        <f t="shared" ca="1" si="4"/>
        <v>43727</v>
      </c>
      <c r="IG6" s="14">
        <f t="shared" ca="1" si="4"/>
        <v>43729</v>
      </c>
      <c r="IH6" s="14">
        <f t="shared" ca="1" si="4"/>
        <v>43731</v>
      </c>
      <c r="II6" s="14">
        <f t="shared" ca="1" si="4"/>
        <v>43733</v>
      </c>
      <c r="IJ6" s="14">
        <f t="shared" ca="1" si="4"/>
        <v>43735</v>
      </c>
      <c r="IK6" s="14">
        <f t="shared" ca="1" si="4"/>
        <v>43737</v>
      </c>
      <c r="IL6" s="14">
        <f t="shared" ca="1" si="4"/>
        <v>43739</v>
      </c>
      <c r="IM6" s="14">
        <f t="shared" ca="1" si="4"/>
        <v>43741</v>
      </c>
      <c r="IN6" s="14">
        <f t="shared" ca="1" si="4"/>
        <v>43743</v>
      </c>
      <c r="IO6" s="14">
        <f t="shared" ca="1" si="4"/>
        <v>43745</v>
      </c>
      <c r="IP6" s="14">
        <f t="shared" ca="1" si="4"/>
        <v>43747</v>
      </c>
      <c r="IQ6" s="14">
        <f t="shared" ca="1" si="4"/>
        <v>43749</v>
      </c>
      <c r="IR6" s="14">
        <f t="shared" ca="1" si="4"/>
        <v>43751</v>
      </c>
      <c r="IS6" s="14">
        <f t="shared" ca="1" si="4"/>
        <v>43753</v>
      </c>
      <c r="IT6" s="14">
        <f t="shared" ca="1" si="4"/>
        <v>43755</v>
      </c>
      <c r="IU6" s="14">
        <f t="shared" ca="1" si="4"/>
        <v>43757</v>
      </c>
      <c r="IV6" s="14">
        <f t="shared" ca="1" si="4"/>
        <v>43759</v>
      </c>
      <c r="IW6" s="14">
        <f t="shared" ca="1" si="4"/>
        <v>43761</v>
      </c>
      <c r="IX6" s="14">
        <f t="shared" ca="1" si="4"/>
        <v>43763</v>
      </c>
      <c r="IY6" s="14">
        <f t="shared" ca="1" si="4"/>
        <v>43765</v>
      </c>
      <c r="IZ6" s="14">
        <f t="shared" ca="1" si="4"/>
        <v>43767</v>
      </c>
      <c r="JA6" s="14">
        <f t="shared" ca="1" si="4"/>
        <v>43769</v>
      </c>
      <c r="JB6" s="14">
        <f t="shared" ca="1" si="4"/>
        <v>43771</v>
      </c>
      <c r="JC6" s="14">
        <f t="shared" ca="1" si="4"/>
        <v>43773</v>
      </c>
      <c r="JD6" s="14">
        <f t="shared" ca="1" si="4"/>
        <v>43775</v>
      </c>
      <c r="JE6" s="14">
        <f t="shared" ca="1" si="4"/>
        <v>43777</v>
      </c>
      <c r="JF6" s="14">
        <f t="shared" ca="1" si="4"/>
        <v>43779</v>
      </c>
      <c r="JG6" s="14">
        <f t="shared" ca="1" si="4"/>
        <v>43781</v>
      </c>
      <c r="JH6" s="14">
        <f t="shared" ca="1" si="4"/>
        <v>43783</v>
      </c>
      <c r="JI6" s="14">
        <f t="shared" ca="1" si="4"/>
        <v>43785</v>
      </c>
      <c r="JJ6" s="14">
        <f t="shared" ca="1" si="4"/>
        <v>43787</v>
      </c>
      <c r="JK6" s="14">
        <f t="shared" ref="JK6:LV6" ca="1" si="5">TODAY()+((COLUMN()-$H$4)*$N$3)</f>
        <v>43789</v>
      </c>
      <c r="JL6" s="14">
        <f t="shared" ca="1" si="5"/>
        <v>43791</v>
      </c>
      <c r="JM6" s="14">
        <f t="shared" ca="1" si="5"/>
        <v>43793</v>
      </c>
      <c r="JN6" s="14">
        <f t="shared" ca="1" si="5"/>
        <v>43795</v>
      </c>
      <c r="JO6" s="14">
        <f t="shared" ca="1" si="5"/>
        <v>43797</v>
      </c>
      <c r="JP6" s="14">
        <f t="shared" ca="1" si="5"/>
        <v>43799</v>
      </c>
      <c r="JQ6" s="14">
        <f t="shared" ca="1" si="5"/>
        <v>43801</v>
      </c>
      <c r="JR6" s="14">
        <f t="shared" ca="1" si="5"/>
        <v>43803</v>
      </c>
      <c r="JS6" s="14">
        <f t="shared" ca="1" si="5"/>
        <v>43805</v>
      </c>
      <c r="JT6" s="14">
        <f t="shared" ca="1" si="5"/>
        <v>43807</v>
      </c>
      <c r="JU6" s="14">
        <f t="shared" ca="1" si="5"/>
        <v>43809</v>
      </c>
      <c r="JV6" s="14">
        <f t="shared" ca="1" si="5"/>
        <v>43811</v>
      </c>
      <c r="JW6" s="14">
        <f t="shared" ca="1" si="5"/>
        <v>43813</v>
      </c>
      <c r="JX6" s="14">
        <f t="shared" ca="1" si="5"/>
        <v>43815</v>
      </c>
      <c r="JY6" s="14">
        <f t="shared" ca="1" si="5"/>
        <v>43817</v>
      </c>
      <c r="JZ6" s="14">
        <f t="shared" ca="1" si="5"/>
        <v>43819</v>
      </c>
      <c r="KA6" s="14">
        <f t="shared" ca="1" si="5"/>
        <v>43821</v>
      </c>
      <c r="KB6" s="14">
        <f t="shared" ca="1" si="5"/>
        <v>43823</v>
      </c>
      <c r="KC6" s="14">
        <f t="shared" ca="1" si="5"/>
        <v>43825</v>
      </c>
      <c r="KD6" s="14">
        <f t="shared" ca="1" si="5"/>
        <v>43827</v>
      </c>
      <c r="KE6" s="14">
        <f t="shared" ca="1" si="5"/>
        <v>43829</v>
      </c>
      <c r="KF6" s="14">
        <f t="shared" ca="1" si="5"/>
        <v>43831</v>
      </c>
      <c r="KG6" s="14">
        <f t="shared" ca="1" si="5"/>
        <v>43833</v>
      </c>
      <c r="KH6" s="14">
        <f t="shared" ca="1" si="5"/>
        <v>43835</v>
      </c>
      <c r="KI6" s="14">
        <f t="shared" ca="1" si="5"/>
        <v>43837</v>
      </c>
      <c r="KJ6" s="14">
        <f t="shared" ca="1" si="5"/>
        <v>43839</v>
      </c>
      <c r="KK6" s="14">
        <f t="shared" ca="1" si="5"/>
        <v>43841</v>
      </c>
      <c r="KL6" s="14">
        <f t="shared" ca="1" si="5"/>
        <v>43843</v>
      </c>
      <c r="KM6" s="14">
        <f t="shared" ca="1" si="5"/>
        <v>43845</v>
      </c>
      <c r="KN6" s="14">
        <f t="shared" ca="1" si="5"/>
        <v>43847</v>
      </c>
      <c r="KO6" s="14">
        <f t="shared" ca="1" si="5"/>
        <v>43849</v>
      </c>
      <c r="KP6" s="14">
        <f t="shared" ca="1" si="5"/>
        <v>43851</v>
      </c>
      <c r="KQ6" s="14">
        <f t="shared" ca="1" si="5"/>
        <v>43853</v>
      </c>
      <c r="KR6" s="14">
        <f t="shared" ca="1" si="5"/>
        <v>43855</v>
      </c>
      <c r="KS6" s="14">
        <f t="shared" ca="1" si="5"/>
        <v>43857</v>
      </c>
      <c r="KT6" s="14">
        <f t="shared" ca="1" si="5"/>
        <v>43859</v>
      </c>
      <c r="KU6" s="14">
        <f t="shared" ca="1" si="5"/>
        <v>43861</v>
      </c>
      <c r="KV6" s="14">
        <f t="shared" ca="1" si="5"/>
        <v>43863</v>
      </c>
      <c r="KW6" s="14">
        <f t="shared" ca="1" si="5"/>
        <v>43865</v>
      </c>
      <c r="KX6" s="14">
        <f t="shared" ca="1" si="5"/>
        <v>43867</v>
      </c>
      <c r="KY6" s="14">
        <f t="shared" ca="1" si="5"/>
        <v>43869</v>
      </c>
      <c r="KZ6" s="14">
        <f t="shared" ca="1" si="5"/>
        <v>43871</v>
      </c>
      <c r="LA6" s="14">
        <f t="shared" ca="1" si="5"/>
        <v>43873</v>
      </c>
      <c r="LB6" s="14">
        <f t="shared" ca="1" si="5"/>
        <v>43875</v>
      </c>
      <c r="LC6" s="14">
        <f t="shared" ca="1" si="5"/>
        <v>43877</v>
      </c>
      <c r="LD6" s="14">
        <f t="shared" ca="1" si="5"/>
        <v>43879</v>
      </c>
      <c r="LE6" s="14">
        <f t="shared" ca="1" si="5"/>
        <v>43881</v>
      </c>
      <c r="LF6" s="14">
        <f t="shared" ca="1" si="5"/>
        <v>43883</v>
      </c>
      <c r="LG6" s="14">
        <f t="shared" ca="1" si="5"/>
        <v>43885</v>
      </c>
      <c r="LH6" s="14">
        <f t="shared" ca="1" si="5"/>
        <v>43887</v>
      </c>
      <c r="LI6" s="14">
        <f t="shared" ca="1" si="5"/>
        <v>43889</v>
      </c>
      <c r="LJ6" s="14">
        <f t="shared" ca="1" si="5"/>
        <v>43891</v>
      </c>
      <c r="LK6" s="14">
        <f t="shared" ca="1" si="5"/>
        <v>43893</v>
      </c>
      <c r="LL6" s="14">
        <f t="shared" ca="1" si="5"/>
        <v>43895</v>
      </c>
      <c r="LM6" s="14">
        <f t="shared" ca="1" si="5"/>
        <v>43897</v>
      </c>
      <c r="LN6" s="14">
        <f t="shared" ca="1" si="5"/>
        <v>43899</v>
      </c>
      <c r="LO6" s="14">
        <f t="shared" ca="1" si="5"/>
        <v>43901</v>
      </c>
      <c r="LP6" s="14">
        <f t="shared" ca="1" si="5"/>
        <v>43903</v>
      </c>
      <c r="LQ6" s="14">
        <f t="shared" ca="1" si="5"/>
        <v>43905</v>
      </c>
      <c r="LR6" s="14">
        <f t="shared" ca="1" si="5"/>
        <v>43907</v>
      </c>
      <c r="LS6" s="14">
        <f t="shared" ca="1" si="5"/>
        <v>43909</v>
      </c>
      <c r="LT6" s="14">
        <f t="shared" ca="1" si="5"/>
        <v>43911</v>
      </c>
      <c r="LU6" s="14">
        <f t="shared" ca="1" si="5"/>
        <v>43913</v>
      </c>
      <c r="LV6" s="14">
        <f t="shared" ca="1" si="5"/>
        <v>43915</v>
      </c>
      <c r="LW6" s="14">
        <f t="shared" ref="LW6:NA6" ca="1" si="6">TODAY()+((COLUMN()-$H$4)*$N$3)</f>
        <v>43917</v>
      </c>
      <c r="LX6" s="14">
        <f t="shared" ca="1" si="6"/>
        <v>43919</v>
      </c>
      <c r="LY6" s="14">
        <f t="shared" ca="1" si="6"/>
        <v>43921</v>
      </c>
      <c r="LZ6" s="14">
        <f t="shared" ca="1" si="6"/>
        <v>43923</v>
      </c>
      <c r="MA6" s="14">
        <f t="shared" ca="1" si="6"/>
        <v>43925</v>
      </c>
      <c r="MB6" s="14">
        <f t="shared" ca="1" si="6"/>
        <v>43927</v>
      </c>
      <c r="MC6" s="14">
        <f t="shared" ca="1" si="6"/>
        <v>43929</v>
      </c>
      <c r="MD6" s="14">
        <f t="shared" ca="1" si="6"/>
        <v>43931</v>
      </c>
      <c r="ME6" s="14">
        <f t="shared" ca="1" si="6"/>
        <v>43933</v>
      </c>
      <c r="MF6" s="14">
        <f t="shared" ca="1" si="6"/>
        <v>43935</v>
      </c>
      <c r="MG6" s="14">
        <f t="shared" ca="1" si="6"/>
        <v>43937</v>
      </c>
      <c r="MH6" s="14">
        <f t="shared" ca="1" si="6"/>
        <v>43939</v>
      </c>
      <c r="MI6" s="14">
        <f t="shared" ca="1" si="6"/>
        <v>43941</v>
      </c>
      <c r="MJ6" s="14">
        <f t="shared" ca="1" si="6"/>
        <v>43943</v>
      </c>
      <c r="MK6" s="14">
        <f t="shared" ca="1" si="6"/>
        <v>43945</v>
      </c>
      <c r="ML6" s="14">
        <f t="shared" ca="1" si="6"/>
        <v>43947</v>
      </c>
      <c r="MM6" s="14">
        <f t="shared" ca="1" si="6"/>
        <v>43949</v>
      </c>
      <c r="MN6" s="14">
        <f t="shared" ca="1" si="6"/>
        <v>43951</v>
      </c>
      <c r="MO6" s="14">
        <f t="shared" ca="1" si="6"/>
        <v>43953</v>
      </c>
      <c r="MP6" s="14">
        <f t="shared" ca="1" si="6"/>
        <v>43955</v>
      </c>
      <c r="MQ6" s="14">
        <f t="shared" ca="1" si="6"/>
        <v>43957</v>
      </c>
      <c r="MR6" s="14">
        <f t="shared" ca="1" si="6"/>
        <v>43959</v>
      </c>
      <c r="MS6" s="14">
        <f t="shared" ca="1" si="6"/>
        <v>43961</v>
      </c>
      <c r="MT6" s="14">
        <f t="shared" ca="1" si="6"/>
        <v>43963</v>
      </c>
      <c r="MU6" s="14">
        <f t="shared" ca="1" si="6"/>
        <v>43965</v>
      </c>
      <c r="MV6" s="14">
        <f t="shared" ca="1" si="6"/>
        <v>43967</v>
      </c>
      <c r="MW6" s="14">
        <f t="shared" ca="1" si="6"/>
        <v>43969</v>
      </c>
      <c r="MX6" s="14">
        <f t="shared" ca="1" si="6"/>
        <v>43971</v>
      </c>
      <c r="MY6" s="14">
        <f t="shared" ca="1" si="6"/>
        <v>43973</v>
      </c>
      <c r="MZ6" s="14">
        <f t="shared" ca="1" si="6"/>
        <v>43975</v>
      </c>
      <c r="NA6" s="14">
        <f t="shared" ca="1" si="6"/>
        <v>43977</v>
      </c>
    </row>
    <row r="7" spans="1:367" s="2" customFormat="1" ht="24" customHeight="1" x14ac:dyDescent="0.25">
      <c r="A7" s="100" t="s">
        <v>296</v>
      </c>
      <c r="B7" s="34" t="s">
        <v>4</v>
      </c>
      <c r="C7" s="34" t="s">
        <v>0</v>
      </c>
      <c r="D7" s="33" t="s">
        <v>1</v>
      </c>
      <c r="E7" s="33" t="s">
        <v>2</v>
      </c>
      <c r="F7" s="35" t="s">
        <v>3</v>
      </c>
      <c r="G7" s="80"/>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102"/>
      <c r="B8" s="34"/>
      <c r="C8" s="34"/>
      <c r="D8" s="33"/>
      <c r="E8" s="33"/>
      <c r="F8" s="126"/>
      <c r="G8" s="80"/>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ht="20.100000000000001" customHeight="1" x14ac:dyDescent="0.25">
      <c r="A9" s="102" t="s">
        <v>392</v>
      </c>
      <c r="B9" s="30"/>
      <c r="C9" s="16"/>
      <c r="D9" s="16"/>
      <c r="E9" s="17"/>
      <c r="F9" s="4"/>
      <c r="G9" s="80"/>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row>
    <row r="10" spans="1:367" ht="20.100000000000001" customHeight="1" x14ac:dyDescent="0.25">
      <c r="A10" s="102"/>
      <c r="B10" s="30"/>
      <c r="C10" s="16"/>
      <c r="D10" s="16"/>
      <c r="E10" s="17"/>
      <c r="F10" s="4"/>
      <c r="G10" s="80"/>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row>
    <row r="11" spans="1:367" ht="20.100000000000001" customHeight="1" x14ac:dyDescent="0.25">
      <c r="A11" s="102"/>
      <c r="B11" s="30"/>
      <c r="C11" s="16"/>
      <c r="D11" s="16"/>
      <c r="E11" s="17"/>
      <c r="F11" s="4"/>
      <c r="G11" s="80"/>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102"/>
      <c r="B12" s="30"/>
      <c r="C12" s="16"/>
      <c r="D12" s="16"/>
      <c r="E12" s="17"/>
      <c r="F12" s="4"/>
      <c r="G12" s="80"/>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102"/>
      <c r="B13" s="30"/>
      <c r="C13" s="16"/>
      <c r="D13" s="16"/>
      <c r="E13" s="17"/>
      <c r="F13" s="4"/>
      <c r="G13" s="80"/>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30.2" customHeight="1" x14ac:dyDescent="0.25">
      <c r="A14" s="102"/>
      <c r="B14" s="30"/>
      <c r="C14" s="16"/>
      <c r="D14" s="16"/>
      <c r="E14" s="17"/>
      <c r="F14" s="4"/>
      <c r="G14" s="80"/>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19.5" customHeight="1" x14ac:dyDescent="0.25">
      <c r="A15" s="102"/>
      <c r="B15" s="30"/>
      <c r="C15" s="16"/>
      <c r="D15" s="16"/>
      <c r="E15" s="17"/>
      <c r="F15" s="4"/>
      <c r="G15" s="80"/>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37.5" customHeight="1" x14ac:dyDescent="0.25">
      <c r="A16" s="102"/>
      <c r="B16" s="30"/>
      <c r="C16" s="16"/>
      <c r="D16" s="16"/>
      <c r="E16" s="17"/>
      <c r="F16" s="4"/>
      <c r="G16" s="80"/>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20.100000000000001" customHeight="1" x14ac:dyDescent="0.25">
      <c r="A17" s="102"/>
      <c r="B17" s="30"/>
      <c r="C17" s="16"/>
      <c r="D17" s="16"/>
      <c r="E17" s="17"/>
      <c r="F17" s="4"/>
      <c r="G17" s="80"/>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20.100000000000001" customHeight="1" x14ac:dyDescent="0.25">
      <c r="A18" s="102"/>
      <c r="B18" s="30"/>
      <c r="C18" s="16"/>
      <c r="D18" s="16"/>
      <c r="E18" s="17"/>
      <c r="F18" s="4"/>
      <c r="G18" s="80"/>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102"/>
      <c r="B19" s="30"/>
      <c r="C19" s="16"/>
      <c r="D19" s="16"/>
      <c r="E19" s="17"/>
      <c r="F19" s="4"/>
      <c r="G19" s="80"/>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51.75" customHeight="1" x14ac:dyDescent="0.25">
      <c r="A20" s="102"/>
      <c r="B20" s="30"/>
      <c r="C20" s="16"/>
      <c r="D20" s="16"/>
      <c r="E20" s="17"/>
      <c r="F20" s="4"/>
      <c r="G20" s="80"/>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39" customHeight="1" x14ac:dyDescent="0.25">
      <c r="A21" s="102"/>
      <c r="B21" s="30"/>
      <c r="C21" s="16"/>
      <c r="D21" s="16"/>
      <c r="E21" s="17"/>
      <c r="F21" s="4"/>
      <c r="G21" s="80"/>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18" customHeight="1" x14ac:dyDescent="0.25">
      <c r="A22" s="102"/>
      <c r="B22" s="30"/>
      <c r="C22" s="16"/>
      <c r="D22" s="16"/>
      <c r="E22" s="17"/>
      <c r="F22" s="4"/>
      <c r="G22" s="80"/>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20.100000000000001" customHeight="1" x14ac:dyDescent="0.25">
      <c r="A23" s="102"/>
      <c r="B23" s="30"/>
      <c r="C23" s="16"/>
      <c r="D23" s="16"/>
      <c r="E23" s="17"/>
      <c r="F23" s="4"/>
      <c r="G23" s="80"/>
    </row>
    <row r="24" spans="1:45" ht="20.100000000000001" customHeight="1" x14ac:dyDescent="0.25">
      <c r="A24" s="102"/>
      <c r="B24" s="30"/>
      <c r="C24" s="16"/>
      <c r="D24" s="16"/>
      <c r="E24" s="17"/>
      <c r="F24" s="4"/>
      <c r="G24" s="80"/>
    </row>
    <row r="25" spans="1:45" ht="20.100000000000001" customHeight="1" x14ac:dyDescent="0.25">
      <c r="A25" s="102"/>
      <c r="B25" s="30"/>
      <c r="C25" s="16"/>
      <c r="D25" s="16"/>
      <c r="E25" s="17"/>
      <c r="F25" s="4"/>
      <c r="G25" s="80"/>
    </row>
    <row r="26" spans="1:45" ht="20.100000000000001" customHeight="1" x14ac:dyDescent="0.25">
      <c r="A26" s="102"/>
      <c r="B26" s="30"/>
      <c r="C26" s="16"/>
      <c r="D26" s="16"/>
      <c r="E26" s="17"/>
      <c r="F26" s="4"/>
      <c r="G26" s="80"/>
    </row>
    <row r="27" spans="1:45" ht="20.100000000000001" customHeight="1" x14ac:dyDescent="0.25">
      <c r="A27" s="102"/>
      <c r="B27" s="103"/>
      <c r="C27" s="104"/>
      <c r="D27" s="104"/>
      <c r="E27" s="104"/>
      <c r="F27" s="130"/>
      <c r="G27" s="80"/>
    </row>
    <row r="28" spans="1:45" ht="20.100000000000001" customHeight="1" x14ac:dyDescent="0.25">
      <c r="A28" s="102"/>
      <c r="B28" s="30"/>
      <c r="C28" s="16"/>
      <c r="D28" s="16"/>
      <c r="E28" s="17"/>
      <c r="F28" s="4"/>
      <c r="G28" s="80"/>
    </row>
    <row r="29" spans="1:45" ht="20.100000000000001" customHeight="1" x14ac:dyDescent="0.25">
      <c r="A29" s="102"/>
      <c r="B29" s="30"/>
      <c r="C29" s="16"/>
      <c r="D29" s="16"/>
      <c r="E29" s="17"/>
      <c r="F29" s="4"/>
      <c r="G29" s="80"/>
    </row>
    <row r="30" spans="1:45" ht="20.100000000000001" customHeight="1" x14ac:dyDescent="0.25">
      <c r="A30" s="102"/>
      <c r="B30" s="30"/>
      <c r="C30" s="16"/>
      <c r="D30" s="16"/>
      <c r="E30" s="17"/>
      <c r="F30" s="4"/>
      <c r="G30" s="80"/>
    </row>
    <row r="31" spans="1:45" ht="20.100000000000001" customHeight="1" x14ac:dyDescent="0.25">
      <c r="A31" s="102"/>
      <c r="B31" s="30"/>
      <c r="C31" s="16"/>
      <c r="D31" s="16"/>
      <c r="E31" s="17"/>
      <c r="F31" s="4"/>
      <c r="G31" s="80"/>
    </row>
    <row r="32" spans="1:45" ht="20.100000000000001" customHeight="1" x14ac:dyDescent="0.25">
      <c r="A32" s="102"/>
      <c r="B32" s="30"/>
      <c r="C32" s="16"/>
      <c r="D32" s="16"/>
      <c r="E32" s="17"/>
      <c r="F32" s="4"/>
      <c r="G32" s="80"/>
    </row>
    <row r="33" spans="1:14" ht="20.100000000000001" customHeight="1" x14ac:dyDescent="0.25">
      <c r="A33" s="102"/>
      <c r="B33" s="30"/>
      <c r="C33" s="16"/>
      <c r="D33" s="16"/>
      <c r="E33" s="17"/>
      <c r="F33" s="4"/>
      <c r="G33" s="80"/>
    </row>
    <row r="34" spans="1:14" ht="38.25" customHeight="1" x14ac:dyDescent="0.25">
      <c r="A34" s="102"/>
      <c r="B34" s="30"/>
      <c r="C34" s="16"/>
      <c r="D34" s="16"/>
      <c r="E34" s="17"/>
      <c r="F34" s="4"/>
      <c r="G34" s="80"/>
    </row>
    <row r="35" spans="1:14" ht="20.100000000000001" customHeight="1" x14ac:dyDescent="0.25">
      <c r="A35" s="102"/>
      <c r="B35" s="30"/>
      <c r="C35" s="16"/>
      <c r="D35" s="16"/>
      <c r="E35" s="17"/>
      <c r="F35" s="4"/>
      <c r="G35" s="80"/>
    </row>
    <row r="36" spans="1:14" ht="20.100000000000001" customHeight="1" x14ac:dyDescent="0.25">
      <c r="A36" s="102"/>
      <c r="B36" s="30"/>
      <c r="C36" s="16"/>
      <c r="D36" s="16"/>
      <c r="E36" s="17"/>
      <c r="F36" s="4"/>
      <c r="G36" s="80"/>
      <c r="N36" s="2" t="s">
        <v>303</v>
      </c>
    </row>
    <row r="37" spans="1:14" ht="48.2" customHeight="1" x14ac:dyDescent="0.25">
      <c r="A37" s="102"/>
      <c r="B37" s="30"/>
      <c r="C37" s="16"/>
      <c r="D37" s="16"/>
      <c r="E37" s="17"/>
      <c r="F37" s="4"/>
      <c r="G37" s="80"/>
    </row>
    <row r="38" spans="1:14" ht="20.100000000000001" customHeight="1" x14ac:dyDescent="0.25">
      <c r="A38" s="102"/>
      <c r="B38" s="30"/>
      <c r="C38" s="16"/>
      <c r="D38" s="16"/>
      <c r="E38" s="17"/>
      <c r="F38" s="4"/>
      <c r="G38" s="80"/>
    </row>
    <row r="39" spans="1:14" ht="20.100000000000001" customHeight="1" x14ac:dyDescent="0.25">
      <c r="A39" s="102"/>
      <c r="B39" s="30"/>
      <c r="C39" s="16"/>
      <c r="D39" s="16"/>
      <c r="E39" s="17"/>
      <c r="F39" s="4"/>
      <c r="G39" s="80"/>
    </row>
    <row r="40" spans="1:14" ht="20.100000000000001" customHeight="1" x14ac:dyDescent="0.25">
      <c r="A40" s="102"/>
      <c r="B40" s="30"/>
      <c r="C40" s="16"/>
      <c r="D40" s="16"/>
      <c r="E40" s="17"/>
      <c r="F40" s="4"/>
      <c r="G40" s="80"/>
    </row>
    <row r="41" spans="1:14" ht="20.100000000000001" customHeight="1" x14ac:dyDescent="0.25">
      <c r="A41" s="102"/>
      <c r="B41" s="103"/>
      <c r="C41" s="104"/>
      <c r="D41" s="104"/>
      <c r="E41" s="104"/>
      <c r="F41" s="4"/>
      <c r="G41" s="80"/>
    </row>
    <row r="42" spans="1:14" ht="20.100000000000001" customHeight="1" x14ac:dyDescent="0.25">
      <c r="A42" s="102"/>
      <c r="B42" s="30"/>
      <c r="C42" s="16"/>
      <c r="D42" s="16"/>
      <c r="E42" s="104"/>
      <c r="F42" s="4"/>
      <c r="G42" s="80"/>
    </row>
    <row r="43" spans="1:14" ht="20.100000000000001" customHeight="1" x14ac:dyDescent="0.25">
      <c r="A43" s="102"/>
      <c r="B43" s="30"/>
      <c r="C43" s="16"/>
      <c r="D43" s="16"/>
      <c r="E43" s="104"/>
      <c r="F43" s="4"/>
      <c r="G43" s="80"/>
    </row>
    <row r="44" spans="1:14" ht="20.100000000000001" customHeight="1" x14ac:dyDescent="0.25">
      <c r="A44" s="102"/>
      <c r="B44" s="30"/>
      <c r="C44" s="16"/>
      <c r="D44" s="16"/>
      <c r="E44" s="104"/>
      <c r="F44" s="4"/>
      <c r="G44" s="80"/>
    </row>
    <row r="45" spans="1:14" ht="20.100000000000001" customHeight="1" x14ac:dyDescent="0.25">
      <c r="A45" s="102"/>
      <c r="B45" s="30"/>
      <c r="C45" s="16"/>
      <c r="D45" s="16"/>
      <c r="E45" s="104"/>
      <c r="F45" s="4"/>
      <c r="G45" s="80"/>
    </row>
    <row r="46" spans="1:14" ht="20.100000000000001" customHeight="1" x14ac:dyDescent="0.25">
      <c r="A46" s="102"/>
      <c r="B46" s="30"/>
      <c r="C46" s="16"/>
      <c r="D46" s="16"/>
      <c r="E46" s="104"/>
      <c r="F46" s="4"/>
      <c r="G46" s="80"/>
    </row>
    <row r="47" spans="1:14" ht="20.100000000000001" customHeight="1" x14ac:dyDescent="0.25">
      <c r="A47" s="102"/>
      <c r="B47" s="30"/>
      <c r="C47" s="16"/>
      <c r="D47" s="16"/>
      <c r="E47" s="104"/>
      <c r="F47" s="4"/>
      <c r="G47" s="80"/>
    </row>
    <row r="48" spans="1:14" ht="20.100000000000001" customHeight="1" x14ac:dyDescent="0.25">
      <c r="A48" s="102"/>
      <c r="B48" s="30"/>
      <c r="C48" s="16"/>
      <c r="D48" s="16"/>
      <c r="E48" s="17"/>
      <c r="F48" s="4"/>
      <c r="G48" s="80"/>
    </row>
    <row r="49" spans="1:7" ht="20.100000000000001" customHeight="1" x14ac:dyDescent="0.25">
      <c r="A49" s="102"/>
      <c r="B49" s="30"/>
      <c r="C49" s="16"/>
      <c r="D49" s="16"/>
      <c r="E49" s="17"/>
      <c r="F49" s="4"/>
      <c r="G49" s="80"/>
    </row>
    <row r="50" spans="1:7" ht="20.100000000000001" customHeight="1" x14ac:dyDescent="0.25">
      <c r="A50" s="102"/>
      <c r="B50" s="30"/>
      <c r="C50" s="16"/>
      <c r="D50" s="16"/>
      <c r="E50" s="17"/>
      <c r="F50" s="4"/>
      <c r="G50" s="80"/>
    </row>
    <row r="51" spans="1:7" ht="20.100000000000001" customHeight="1" x14ac:dyDescent="0.25">
      <c r="A51" s="102"/>
      <c r="B51" s="30"/>
      <c r="C51" s="16"/>
      <c r="D51" s="16"/>
      <c r="E51" s="17"/>
      <c r="F51" s="4"/>
      <c r="G51" s="80"/>
    </row>
    <row r="52" spans="1:7" ht="20.100000000000001" customHeight="1" x14ac:dyDescent="0.25">
      <c r="A52" s="102"/>
      <c r="B52" s="30"/>
      <c r="C52" s="16"/>
      <c r="D52" s="16"/>
      <c r="E52" s="17"/>
      <c r="F52" s="4"/>
      <c r="G52" s="80"/>
    </row>
    <row r="53" spans="1:7" ht="20.100000000000001" customHeight="1" x14ac:dyDescent="0.25">
      <c r="A53" s="102"/>
      <c r="B53" s="30"/>
      <c r="C53" s="16"/>
      <c r="D53" s="16"/>
      <c r="E53" s="17"/>
      <c r="F53" s="4"/>
      <c r="G53" s="80"/>
    </row>
    <row r="54" spans="1:7" ht="20.100000000000001" customHeight="1" x14ac:dyDescent="0.25">
      <c r="A54" s="102"/>
      <c r="B54" s="30"/>
      <c r="C54" s="16"/>
      <c r="D54" s="16"/>
      <c r="E54" s="17"/>
      <c r="F54" s="4"/>
      <c r="G54" s="80"/>
    </row>
    <row r="55" spans="1:7" ht="20.100000000000001" customHeight="1" x14ac:dyDescent="0.25">
      <c r="A55" s="102"/>
      <c r="B55" s="30"/>
      <c r="C55" s="16"/>
      <c r="D55" s="16"/>
      <c r="E55" s="17"/>
      <c r="F55" s="4"/>
      <c r="G55" s="80"/>
    </row>
    <row r="56" spans="1:7" ht="20.100000000000001" customHeight="1" x14ac:dyDescent="0.25">
      <c r="A56" s="102"/>
      <c r="B56" s="30"/>
      <c r="C56" s="16"/>
      <c r="D56" s="16"/>
      <c r="E56" s="17"/>
      <c r="F56" s="4"/>
      <c r="G56" s="80"/>
    </row>
    <row r="57" spans="1:7" ht="20.100000000000001" customHeight="1" x14ac:dyDescent="0.25">
      <c r="A57" s="102"/>
      <c r="B57" s="30"/>
      <c r="C57" s="16"/>
      <c r="D57" s="16"/>
      <c r="E57" s="17"/>
      <c r="F57" s="4"/>
      <c r="G57" s="80"/>
    </row>
    <row r="58" spans="1:7" ht="20.100000000000001" customHeight="1" x14ac:dyDescent="0.25">
      <c r="A58" s="102"/>
      <c r="B58" s="30"/>
      <c r="C58" s="16"/>
      <c r="D58" s="16"/>
      <c r="E58" s="17"/>
      <c r="F58" s="4"/>
      <c r="G58" s="80"/>
    </row>
    <row r="59" spans="1:7" ht="20.100000000000001" customHeight="1" x14ac:dyDescent="0.25">
      <c r="A59" s="102"/>
      <c r="B59" s="30"/>
      <c r="C59" s="16"/>
      <c r="D59" s="16"/>
      <c r="E59" s="17"/>
      <c r="F59" s="4"/>
      <c r="G59" s="80"/>
    </row>
    <row r="60" spans="1:7" ht="20.100000000000001" customHeight="1" x14ac:dyDescent="0.25">
      <c r="A60" s="102"/>
      <c r="B60" s="30"/>
      <c r="C60" s="16"/>
      <c r="D60" s="16"/>
      <c r="E60" s="17"/>
      <c r="F60" s="4"/>
      <c r="G60" s="80"/>
    </row>
    <row r="61" spans="1:7" ht="20.100000000000001" customHeight="1" x14ac:dyDescent="0.25">
      <c r="A61" s="102"/>
      <c r="B61" s="30"/>
      <c r="C61" s="16"/>
      <c r="D61" s="16"/>
      <c r="E61" s="17"/>
      <c r="F61" s="4"/>
      <c r="G61" s="80"/>
    </row>
    <row r="62" spans="1:7" ht="20.100000000000001" customHeight="1" x14ac:dyDescent="0.25">
      <c r="A62" s="102"/>
      <c r="B62" s="30"/>
      <c r="C62" s="16"/>
      <c r="D62" s="16"/>
      <c r="E62" s="17"/>
      <c r="F62" s="4"/>
      <c r="G62" s="80"/>
    </row>
    <row r="63" spans="1:7" ht="20.100000000000001" customHeight="1" x14ac:dyDescent="0.25">
      <c r="A63" s="102"/>
      <c r="B63" s="30"/>
      <c r="C63" s="16"/>
      <c r="D63" s="16"/>
      <c r="E63" s="17"/>
      <c r="F63" s="4"/>
      <c r="G63" s="80"/>
    </row>
    <row r="64" spans="1:7" ht="20.100000000000001" customHeight="1" x14ac:dyDescent="0.25">
      <c r="A64" s="102"/>
      <c r="B64" s="30"/>
      <c r="C64" s="16"/>
      <c r="D64" s="16"/>
      <c r="E64" s="17"/>
      <c r="F64" s="4"/>
      <c r="G64" s="80"/>
    </row>
    <row r="65" spans="1:7" ht="20.100000000000001" customHeight="1" x14ac:dyDescent="0.25">
      <c r="A65" s="102"/>
      <c r="B65" s="30"/>
      <c r="C65" s="16"/>
      <c r="D65" s="16"/>
      <c r="E65" s="17"/>
      <c r="F65" s="4"/>
      <c r="G65" s="80"/>
    </row>
    <row r="66" spans="1:7" ht="20.100000000000001" customHeight="1" x14ac:dyDescent="0.25">
      <c r="A66" s="102"/>
      <c r="B66" s="30"/>
      <c r="C66" s="16"/>
      <c r="D66" s="16"/>
      <c r="E66" s="17"/>
      <c r="F66" s="4"/>
      <c r="G66" s="80"/>
    </row>
    <row r="67" spans="1:7" ht="20.100000000000001" customHeight="1" x14ac:dyDescent="0.25">
      <c r="A67" s="102"/>
      <c r="B67" s="30"/>
      <c r="C67" s="16"/>
      <c r="D67" s="16"/>
      <c r="E67" s="17"/>
      <c r="F67" s="4"/>
      <c r="G67" s="80"/>
    </row>
    <row r="68" spans="1:7" ht="20.100000000000001" customHeight="1" x14ac:dyDescent="0.25">
      <c r="A68" s="102"/>
      <c r="B68" s="30"/>
      <c r="C68" s="16"/>
      <c r="D68" s="16"/>
      <c r="E68" s="17"/>
      <c r="F68" s="4"/>
      <c r="G68" s="80"/>
    </row>
    <row r="69" spans="1:7" ht="20.100000000000001" customHeight="1" x14ac:dyDescent="0.25">
      <c r="A69" s="102"/>
      <c r="B69" s="30"/>
      <c r="C69" s="16"/>
      <c r="D69" s="16"/>
      <c r="E69" s="17"/>
      <c r="F69" s="4"/>
      <c r="G69" s="80"/>
    </row>
    <row r="70" spans="1:7" ht="20.100000000000001" customHeight="1" x14ac:dyDescent="0.25">
      <c r="A70" s="102"/>
      <c r="B70" s="30"/>
      <c r="C70" s="16"/>
      <c r="D70" s="16"/>
      <c r="E70" s="17"/>
      <c r="F70" s="4"/>
      <c r="G70" s="80"/>
    </row>
    <row r="71" spans="1:7" ht="20.100000000000001" customHeight="1" x14ac:dyDescent="0.25">
      <c r="A71" s="102"/>
      <c r="B71" s="30"/>
      <c r="C71" s="16"/>
      <c r="D71" s="16"/>
      <c r="E71" s="17"/>
      <c r="F71" s="4"/>
      <c r="G71" s="80"/>
    </row>
    <row r="72" spans="1:7" ht="20.100000000000001" customHeight="1" x14ac:dyDescent="0.25">
      <c r="A72" s="102"/>
      <c r="B72" s="30"/>
      <c r="C72" s="16"/>
      <c r="D72" s="16"/>
      <c r="E72" s="17"/>
      <c r="F72" s="4"/>
      <c r="G72" s="80"/>
    </row>
    <row r="73" spans="1:7" ht="20.100000000000001" customHeight="1" x14ac:dyDescent="0.25">
      <c r="A73" s="102"/>
      <c r="B73" s="30"/>
      <c r="C73" s="16"/>
      <c r="D73" s="16"/>
      <c r="E73" s="17"/>
      <c r="F73" s="4"/>
      <c r="G73" s="80"/>
    </row>
    <row r="74" spans="1:7" ht="20.100000000000001" customHeight="1" x14ac:dyDescent="0.25">
      <c r="A74" s="102"/>
      <c r="B74" s="30"/>
      <c r="C74" s="16"/>
      <c r="D74" s="16"/>
      <c r="E74" s="17"/>
      <c r="F74" s="4"/>
      <c r="G74" s="80"/>
    </row>
    <row r="75" spans="1:7" ht="20.100000000000001" customHeight="1" x14ac:dyDescent="0.25">
      <c r="A75" s="102"/>
      <c r="B75" s="30"/>
      <c r="C75" s="16"/>
      <c r="D75" s="16"/>
      <c r="E75" s="17"/>
      <c r="F75" s="4"/>
      <c r="G75" s="80"/>
    </row>
    <row r="76" spans="1:7" ht="20.100000000000001" customHeight="1" x14ac:dyDescent="0.25">
      <c r="A76" s="102"/>
      <c r="B76" s="30"/>
      <c r="C76" s="16"/>
      <c r="D76" s="16"/>
      <c r="E76" s="17"/>
      <c r="F76" s="4"/>
      <c r="G76" s="80"/>
    </row>
    <row r="77" spans="1:7" ht="20.100000000000001" customHeight="1" x14ac:dyDescent="0.25">
      <c r="A77" s="102"/>
      <c r="B77" s="30"/>
      <c r="C77" s="16"/>
      <c r="D77" s="16"/>
      <c r="E77" s="17"/>
      <c r="F77" s="4"/>
      <c r="G77" s="80"/>
    </row>
    <row r="78" spans="1:7" ht="20.100000000000001" customHeight="1" x14ac:dyDescent="0.25">
      <c r="A78" s="102"/>
      <c r="B78" s="30"/>
      <c r="C78" s="16"/>
      <c r="D78" s="16"/>
      <c r="E78" s="17"/>
      <c r="F78" s="4"/>
      <c r="G78" s="80"/>
    </row>
    <row r="79" spans="1:7" ht="20.100000000000001" customHeight="1" x14ac:dyDescent="0.25">
      <c r="A79" s="102"/>
      <c r="B79" s="30"/>
      <c r="C79" s="16"/>
      <c r="D79" s="16"/>
      <c r="E79" s="17"/>
      <c r="F79" s="4"/>
      <c r="G79" s="80"/>
    </row>
    <row r="80" spans="1:7" ht="20.100000000000001" customHeight="1" x14ac:dyDescent="0.25">
      <c r="A80" s="102"/>
      <c r="B80" s="30"/>
      <c r="C80" s="16"/>
      <c r="D80" s="16"/>
      <c r="E80" s="17"/>
      <c r="F80" s="4"/>
      <c r="G80" s="80"/>
    </row>
    <row r="81" spans="1:7" ht="20.100000000000001" customHeight="1" x14ac:dyDescent="0.25">
      <c r="A81" s="102"/>
      <c r="B81" s="30"/>
      <c r="C81" s="16"/>
      <c r="D81" s="16"/>
      <c r="E81" s="17"/>
      <c r="F81" s="4"/>
      <c r="G81" s="80"/>
    </row>
    <row r="82" spans="1:7" ht="20.100000000000001" customHeight="1" x14ac:dyDescent="0.25">
      <c r="A82" s="102"/>
      <c r="B82" s="30"/>
      <c r="C82" s="16"/>
      <c r="D82" s="16"/>
      <c r="E82" s="17"/>
      <c r="F82" s="4"/>
      <c r="G82" s="80"/>
    </row>
    <row r="83" spans="1:7" ht="20.100000000000001" customHeight="1" x14ac:dyDescent="0.25">
      <c r="A83" s="102"/>
      <c r="B83" s="30"/>
      <c r="C83" s="16"/>
      <c r="D83" s="16"/>
      <c r="E83" s="17"/>
      <c r="F83" s="4"/>
      <c r="G83" s="80"/>
    </row>
    <row r="84" spans="1:7" ht="20.100000000000001" customHeight="1" x14ac:dyDescent="0.25">
      <c r="A84" s="102"/>
      <c r="B84" s="30"/>
      <c r="C84" s="16"/>
      <c r="D84" s="16"/>
      <c r="E84" s="17"/>
      <c r="F84" s="4"/>
      <c r="G84" s="80"/>
    </row>
    <row r="85" spans="1:7" ht="20.100000000000001" customHeight="1" x14ac:dyDescent="0.25">
      <c r="A85" s="102"/>
      <c r="B85" s="30"/>
      <c r="C85" s="16"/>
      <c r="D85" s="16"/>
      <c r="E85" s="17"/>
      <c r="F85" s="4"/>
      <c r="G85" s="80"/>
    </row>
    <row r="86" spans="1:7" ht="20.100000000000001" customHeight="1" x14ac:dyDescent="0.25">
      <c r="A86" s="102"/>
      <c r="B86" s="30"/>
      <c r="C86" s="16"/>
      <c r="D86" s="16"/>
      <c r="E86" s="17"/>
      <c r="F86" s="4"/>
      <c r="G86" s="80"/>
    </row>
    <row r="87" spans="1:7" ht="20.100000000000001" customHeight="1" x14ac:dyDescent="0.25">
      <c r="A87" s="102"/>
      <c r="B87" s="30"/>
      <c r="C87" s="16"/>
      <c r="D87" s="16"/>
      <c r="E87" s="17"/>
      <c r="F87" s="4"/>
      <c r="G87" s="80"/>
    </row>
    <row r="88" spans="1:7" ht="20.100000000000001" customHeight="1" x14ac:dyDescent="0.25">
      <c r="A88" s="102"/>
      <c r="B88" s="30"/>
      <c r="C88" s="16"/>
      <c r="D88" s="16"/>
      <c r="E88" s="17"/>
      <c r="F88" s="4"/>
      <c r="G88" s="80"/>
    </row>
    <row r="89" spans="1:7" ht="20.100000000000001" customHeight="1" x14ac:dyDescent="0.25">
      <c r="A89" s="102"/>
      <c r="B89" s="30"/>
      <c r="C89" s="16"/>
      <c r="D89" s="16"/>
      <c r="E89" s="17"/>
      <c r="F89" s="4"/>
      <c r="G89" s="80"/>
    </row>
    <row r="90" spans="1:7" ht="20.100000000000001" customHeight="1" x14ac:dyDescent="0.25">
      <c r="A90" s="102"/>
      <c r="B90" s="30"/>
      <c r="C90" s="16"/>
      <c r="D90" s="16"/>
      <c r="E90" s="17"/>
      <c r="F90" s="4"/>
      <c r="G90" s="80"/>
    </row>
    <row r="91" spans="1:7" ht="20.100000000000001" customHeight="1" x14ac:dyDescent="0.25">
      <c r="A91" s="102"/>
      <c r="B91" s="30"/>
      <c r="C91" s="16"/>
      <c r="D91" s="16"/>
      <c r="E91" s="17"/>
      <c r="F91" s="4"/>
      <c r="G91" s="80"/>
    </row>
    <row r="92" spans="1:7" ht="20.100000000000001" customHeight="1" x14ac:dyDescent="0.25">
      <c r="A92" s="102"/>
      <c r="B92" s="30"/>
      <c r="C92" s="16"/>
      <c r="D92" s="16"/>
      <c r="E92" s="17"/>
      <c r="F92" s="4"/>
      <c r="G92" s="80"/>
    </row>
    <row r="93" spans="1:7" ht="20.100000000000001" customHeight="1" x14ac:dyDescent="0.25">
      <c r="A93" s="102"/>
      <c r="B93" s="30"/>
      <c r="C93" s="16"/>
      <c r="D93" s="16"/>
      <c r="E93" s="17"/>
      <c r="F93" s="4"/>
      <c r="G93" s="80"/>
    </row>
    <row r="94" spans="1:7" ht="20.100000000000001" customHeight="1" x14ac:dyDescent="0.25">
      <c r="A94" s="102"/>
      <c r="B94" s="30"/>
      <c r="C94" s="16"/>
      <c r="D94" s="16"/>
      <c r="E94" s="17"/>
      <c r="F94" s="4"/>
      <c r="G94" s="80"/>
    </row>
    <row r="95" spans="1:7" ht="20.100000000000001" customHeight="1" x14ac:dyDescent="0.25">
      <c r="A95" s="102"/>
      <c r="B95" s="30"/>
      <c r="C95" s="16"/>
      <c r="D95" s="16"/>
      <c r="E95" s="17"/>
      <c r="F95" s="4"/>
      <c r="G95" s="80"/>
    </row>
    <row r="96" spans="1:7" ht="20.100000000000001" customHeight="1" x14ac:dyDescent="0.25">
      <c r="A96" s="102"/>
      <c r="B96" s="30"/>
      <c r="C96" s="16"/>
      <c r="D96" s="16"/>
      <c r="E96" s="17"/>
      <c r="F96" s="4"/>
      <c r="G96" s="80"/>
    </row>
    <row r="97" spans="1:7" ht="20.100000000000001" customHeight="1" x14ac:dyDescent="0.25">
      <c r="A97" s="102"/>
      <c r="B97" s="30"/>
      <c r="C97" s="16"/>
      <c r="D97" s="16"/>
      <c r="E97" s="17"/>
      <c r="F97" s="4"/>
      <c r="G97" s="80"/>
    </row>
    <row r="98" spans="1:7" ht="20.100000000000001" customHeight="1" x14ac:dyDescent="0.25">
      <c r="A98" s="102"/>
      <c r="B98" s="30"/>
      <c r="C98" s="16"/>
      <c r="D98" s="16"/>
      <c r="E98" s="17"/>
      <c r="F98" s="4"/>
      <c r="G98" s="80"/>
    </row>
    <row r="99" spans="1:7" ht="20.100000000000001" customHeight="1" x14ac:dyDescent="0.25">
      <c r="A99" s="102"/>
      <c r="B99" s="30"/>
      <c r="C99" s="16"/>
      <c r="D99" s="16"/>
      <c r="E99" s="17"/>
      <c r="F99" s="4"/>
      <c r="G99" s="80"/>
    </row>
    <row r="100" spans="1:7" ht="20.100000000000001" customHeight="1" x14ac:dyDescent="0.25">
      <c r="A100" s="102"/>
      <c r="B100" s="30"/>
      <c r="C100" s="16"/>
      <c r="D100" s="16"/>
      <c r="E100" s="17"/>
      <c r="F100" s="4"/>
      <c r="G100" s="80"/>
    </row>
    <row r="101" spans="1:7" ht="20.100000000000001" customHeight="1" x14ac:dyDescent="0.25">
      <c r="A101" s="102"/>
      <c r="B101" s="30"/>
      <c r="C101" s="16"/>
      <c r="D101" s="16"/>
      <c r="E101" s="17"/>
      <c r="F101" s="4"/>
      <c r="G101" s="80"/>
    </row>
    <row r="102" spans="1:7" ht="20.100000000000001" customHeight="1" x14ac:dyDescent="0.25">
      <c r="A102" s="102"/>
      <c r="B102" s="30"/>
      <c r="C102" s="16"/>
      <c r="D102" s="16"/>
      <c r="E102" s="17"/>
      <c r="F102" s="4"/>
      <c r="G102" s="80"/>
    </row>
    <row r="103" spans="1:7" ht="20.100000000000001" customHeight="1" x14ac:dyDescent="0.25">
      <c r="A103" s="102"/>
      <c r="B103" s="30"/>
      <c r="C103" s="16"/>
      <c r="D103" s="16"/>
      <c r="E103" s="17"/>
      <c r="F103" s="4"/>
      <c r="G103" s="80"/>
    </row>
    <row r="104" spans="1:7" ht="20.100000000000001" customHeight="1" x14ac:dyDescent="0.25">
      <c r="A104" s="102"/>
      <c r="B104" s="30"/>
      <c r="C104" s="16"/>
      <c r="D104" s="16"/>
      <c r="E104" s="17"/>
      <c r="F104" s="4"/>
      <c r="G104" s="80"/>
    </row>
    <row r="105" spans="1:7" ht="20.100000000000001" customHeight="1" x14ac:dyDescent="0.25">
      <c r="A105" s="102"/>
      <c r="B105" s="30"/>
      <c r="C105" s="16"/>
      <c r="D105" s="16"/>
      <c r="E105" s="17"/>
      <c r="F105" s="4"/>
      <c r="G105" s="80"/>
    </row>
    <row r="106" spans="1:7" ht="20.100000000000001" customHeight="1" x14ac:dyDescent="0.25">
      <c r="A106" s="102"/>
      <c r="B106" s="30"/>
      <c r="C106" s="16"/>
      <c r="D106" s="16"/>
      <c r="E106" s="17"/>
      <c r="F106" s="4"/>
      <c r="G106" s="80"/>
    </row>
    <row r="107" spans="1:7" ht="20.100000000000001" customHeight="1" x14ac:dyDescent="0.25">
      <c r="A107" s="102"/>
      <c r="B107" s="30"/>
      <c r="C107" s="16"/>
      <c r="D107" s="16"/>
      <c r="E107" s="17"/>
      <c r="F107" s="4"/>
      <c r="G107" s="80"/>
    </row>
    <row r="108" spans="1:7" ht="20.100000000000001" customHeight="1" x14ac:dyDescent="0.25">
      <c r="A108" s="102"/>
      <c r="B108" s="30"/>
      <c r="C108" s="16"/>
      <c r="D108" s="16"/>
      <c r="E108" s="17"/>
      <c r="F108" s="4"/>
      <c r="G108" s="80"/>
    </row>
    <row r="109" spans="1:7" ht="20.100000000000001" customHeight="1" x14ac:dyDescent="0.25">
      <c r="A109" s="102"/>
      <c r="B109" s="30"/>
      <c r="C109" s="16"/>
      <c r="D109" s="16"/>
      <c r="E109" s="17"/>
      <c r="F109" s="4"/>
      <c r="G109" s="80"/>
    </row>
    <row r="110" spans="1:7" ht="20.100000000000001" customHeight="1" x14ac:dyDescent="0.25">
      <c r="A110" s="102"/>
      <c r="B110" s="30"/>
      <c r="C110" s="16"/>
      <c r="D110" s="16"/>
      <c r="E110" s="17"/>
      <c r="F110" s="4"/>
      <c r="G110" s="80"/>
    </row>
    <row r="111" spans="1:7" ht="20.100000000000001" customHeight="1" x14ac:dyDescent="0.25">
      <c r="A111" s="102"/>
      <c r="B111" s="30"/>
      <c r="C111" s="16"/>
      <c r="D111" s="16"/>
      <c r="E111" s="17"/>
      <c r="F111" s="4"/>
      <c r="G111" s="80"/>
    </row>
    <row r="112" spans="1:7" ht="20.100000000000001" customHeight="1" x14ac:dyDescent="0.25">
      <c r="A112" s="102"/>
      <c r="B112" s="30"/>
      <c r="C112" s="16"/>
      <c r="D112" s="16"/>
      <c r="E112" s="17"/>
      <c r="F112" s="4"/>
      <c r="G112" s="80"/>
    </row>
    <row r="113" spans="1:7" ht="20.100000000000001" customHeight="1" x14ac:dyDescent="0.25">
      <c r="A113" s="102"/>
      <c r="B113" s="30"/>
      <c r="C113" s="16"/>
      <c r="D113" s="16"/>
      <c r="E113" s="17"/>
      <c r="F113" s="4"/>
      <c r="G113" s="80"/>
    </row>
    <row r="114" spans="1:7" ht="20.100000000000001" customHeight="1" x14ac:dyDescent="0.25">
      <c r="A114" s="102"/>
      <c r="B114" s="30"/>
      <c r="C114" s="16"/>
      <c r="D114" s="16"/>
      <c r="E114" s="17"/>
      <c r="F114" s="4"/>
      <c r="G114" s="80"/>
    </row>
    <row r="115" spans="1:7" ht="20.100000000000001" customHeight="1" x14ac:dyDescent="0.25">
      <c r="A115" s="102"/>
      <c r="B115" s="30"/>
      <c r="C115" s="16"/>
      <c r="D115" s="16"/>
      <c r="E115" s="17"/>
      <c r="F115" s="4"/>
      <c r="G115" s="80"/>
    </row>
    <row r="116" spans="1:7" ht="20.100000000000001" customHeight="1" x14ac:dyDescent="0.25">
      <c r="A116" s="102"/>
      <c r="B116" s="30"/>
      <c r="C116" s="16"/>
      <c r="D116" s="16"/>
      <c r="E116" s="17"/>
      <c r="F116" s="4"/>
      <c r="G116" s="80"/>
    </row>
    <row r="117" spans="1:7" ht="20.100000000000001" customHeight="1" x14ac:dyDescent="0.25">
      <c r="A117" s="102"/>
      <c r="B117" s="30"/>
      <c r="C117" s="16"/>
      <c r="D117" s="16"/>
      <c r="E117" s="17"/>
      <c r="F117" s="4"/>
      <c r="G117" s="80"/>
    </row>
    <row r="118" spans="1:7" ht="20.100000000000001" customHeight="1" x14ac:dyDescent="0.25">
      <c r="A118" s="102"/>
      <c r="B118" s="30"/>
      <c r="C118" s="16"/>
      <c r="D118" s="16"/>
      <c r="E118" s="17"/>
      <c r="F118" s="4"/>
      <c r="G118" s="80"/>
    </row>
    <row r="119" spans="1:7" ht="20.100000000000001" customHeight="1" x14ac:dyDescent="0.25">
      <c r="A119" s="102"/>
      <c r="B119" s="30"/>
      <c r="C119" s="16"/>
      <c r="D119" s="16"/>
      <c r="E119" s="17"/>
      <c r="F119" s="4"/>
      <c r="G119" s="80"/>
    </row>
    <row r="120" spans="1:7" ht="20.100000000000001" customHeight="1" x14ac:dyDescent="0.25">
      <c r="A120" s="102"/>
      <c r="B120" s="30"/>
      <c r="C120" s="16"/>
      <c r="D120" s="16"/>
      <c r="E120" s="17"/>
      <c r="F120" s="4"/>
      <c r="G120" s="80"/>
    </row>
    <row r="121" spans="1:7" ht="20.100000000000001" customHeight="1" x14ac:dyDescent="0.25">
      <c r="A121" s="102"/>
      <c r="B121" s="30"/>
      <c r="C121" s="16"/>
      <c r="D121" s="16"/>
      <c r="E121" s="17"/>
      <c r="F121" s="4"/>
      <c r="G121" s="80"/>
    </row>
    <row r="122" spans="1:7" ht="20.100000000000001" customHeight="1" x14ac:dyDescent="0.25">
      <c r="A122" s="102"/>
      <c r="B122" s="30"/>
      <c r="C122" s="16"/>
      <c r="D122" s="16"/>
      <c r="E122" s="17"/>
      <c r="F122" s="4"/>
      <c r="G122" s="80"/>
    </row>
    <row r="123" spans="1:7" ht="20.100000000000001" customHeight="1" x14ac:dyDescent="0.25">
      <c r="A123" s="102"/>
      <c r="B123" s="30"/>
      <c r="C123" s="16"/>
      <c r="D123" s="16"/>
      <c r="E123" s="17"/>
      <c r="F123" s="4"/>
      <c r="G123" s="80"/>
    </row>
    <row r="124" spans="1:7" ht="20.100000000000001" customHeight="1" x14ac:dyDescent="0.25">
      <c r="A124" s="102"/>
      <c r="B124" s="30"/>
      <c r="C124" s="16"/>
      <c r="D124" s="16"/>
      <c r="E124" s="17"/>
      <c r="F124" s="4"/>
      <c r="G124" s="80"/>
    </row>
    <row r="125" spans="1:7" ht="20.100000000000001" customHeight="1" x14ac:dyDescent="0.25">
      <c r="A125" s="102"/>
      <c r="B125" s="30"/>
      <c r="C125" s="16"/>
      <c r="D125" s="16"/>
      <c r="E125" s="17"/>
      <c r="F125" s="4"/>
      <c r="G125" s="80"/>
    </row>
    <row r="126" spans="1:7" ht="20.100000000000001" customHeight="1" x14ac:dyDescent="0.25">
      <c r="A126" s="102"/>
      <c r="B126" s="30"/>
      <c r="C126" s="16"/>
      <c r="D126" s="16"/>
      <c r="E126" s="17"/>
      <c r="F126" s="4"/>
      <c r="G126" s="80"/>
    </row>
    <row r="127" spans="1:7" ht="20.100000000000001" customHeight="1" x14ac:dyDescent="0.25">
      <c r="A127" s="102"/>
      <c r="B127" s="30"/>
      <c r="C127" s="16"/>
      <c r="D127" s="16"/>
      <c r="E127" s="17"/>
      <c r="F127" s="4"/>
      <c r="G127" s="80"/>
    </row>
    <row r="128" spans="1:7" ht="20.100000000000001" customHeight="1" x14ac:dyDescent="0.25">
      <c r="A128" s="102"/>
      <c r="B128" s="30"/>
      <c r="C128" s="16"/>
      <c r="D128" s="16"/>
      <c r="E128" s="17"/>
      <c r="F128" s="4"/>
      <c r="G128" s="80"/>
    </row>
    <row r="129" spans="1:7" ht="20.100000000000001" customHeight="1" x14ac:dyDescent="0.25">
      <c r="A129" s="102"/>
      <c r="B129" s="30"/>
      <c r="C129" s="16"/>
      <c r="D129" s="16"/>
      <c r="E129" s="17"/>
      <c r="F129" s="4"/>
      <c r="G129" s="80"/>
    </row>
    <row r="130" spans="1:7" ht="20.100000000000001" customHeight="1" x14ac:dyDescent="0.25">
      <c r="A130" s="102"/>
      <c r="B130" s="30"/>
      <c r="C130" s="16"/>
      <c r="D130" s="16"/>
      <c r="E130" s="17"/>
      <c r="F130" s="4"/>
      <c r="G130" s="80"/>
    </row>
    <row r="131" spans="1:7" ht="20.100000000000001" customHeight="1" x14ac:dyDescent="0.25">
      <c r="A131" s="102"/>
      <c r="B131" s="30"/>
      <c r="C131" s="16"/>
      <c r="D131" s="16"/>
      <c r="E131" s="17"/>
      <c r="F131" s="4"/>
      <c r="G131" s="80"/>
    </row>
    <row r="132" spans="1:7" ht="20.100000000000001" customHeight="1" x14ac:dyDescent="0.25">
      <c r="A132" s="102"/>
      <c r="B132" s="30"/>
      <c r="C132" s="16"/>
      <c r="D132" s="16"/>
      <c r="E132" s="17"/>
      <c r="F132" s="4"/>
      <c r="G132" s="80"/>
    </row>
    <row r="133" spans="1:7" ht="20.100000000000001" customHeight="1" x14ac:dyDescent="0.25">
      <c r="A133" s="102"/>
      <c r="B133" s="30"/>
      <c r="C133" s="16"/>
      <c r="D133" s="16"/>
      <c r="E133" s="17"/>
      <c r="F133" s="4"/>
      <c r="G133" s="80"/>
    </row>
    <row r="134" spans="1:7" ht="20.100000000000001" customHeight="1" x14ac:dyDescent="0.25">
      <c r="A134" s="102"/>
      <c r="B134" s="30"/>
      <c r="C134" s="16"/>
      <c r="D134" s="16"/>
      <c r="E134" s="17"/>
      <c r="F134" s="4"/>
      <c r="G134" s="80"/>
    </row>
    <row r="135" spans="1:7" ht="20.100000000000001" customHeight="1" x14ac:dyDescent="0.25">
      <c r="A135" s="102"/>
      <c r="B135" s="30"/>
      <c r="C135" s="16"/>
      <c r="D135" s="16"/>
      <c r="E135" s="17"/>
      <c r="F135" s="4"/>
      <c r="G135" s="80"/>
    </row>
    <row r="136" spans="1:7" ht="20.100000000000001" customHeight="1" x14ac:dyDescent="0.25">
      <c r="A136" s="102"/>
      <c r="B136" s="30"/>
      <c r="C136" s="16"/>
      <c r="D136" s="16"/>
      <c r="E136" s="17"/>
      <c r="F136" s="4"/>
      <c r="G136" s="80"/>
    </row>
    <row r="137" spans="1:7" ht="20.100000000000001" customHeight="1" x14ac:dyDescent="0.25">
      <c r="A137" s="102"/>
      <c r="B137" s="30"/>
      <c r="C137" s="16"/>
      <c r="D137" s="16"/>
      <c r="E137" s="17"/>
      <c r="F137" s="4"/>
      <c r="G137" s="80"/>
    </row>
    <row r="138" spans="1:7" ht="20.100000000000001" customHeight="1" x14ac:dyDescent="0.25">
      <c r="A138" s="102"/>
      <c r="B138" s="30"/>
      <c r="C138" s="16"/>
      <c r="D138" s="16"/>
      <c r="E138" s="17"/>
      <c r="F138" s="4"/>
      <c r="G138" s="80"/>
    </row>
    <row r="139" spans="1:7" ht="20.100000000000001" customHeight="1" x14ac:dyDescent="0.25">
      <c r="A139" s="102"/>
      <c r="B139" s="30"/>
      <c r="C139" s="16"/>
      <c r="D139" s="16"/>
      <c r="E139" s="17"/>
      <c r="F139" s="4"/>
      <c r="G139" s="80"/>
    </row>
    <row r="140" spans="1:7" ht="20.100000000000001" customHeight="1" x14ac:dyDescent="0.25">
      <c r="A140" s="102"/>
      <c r="B140" s="30"/>
      <c r="C140" s="16"/>
      <c r="D140" s="16"/>
      <c r="E140" s="17"/>
      <c r="F140" s="4"/>
      <c r="G140" s="80"/>
    </row>
    <row r="141" spans="1:7" ht="20.100000000000001" customHeight="1" x14ac:dyDescent="0.25">
      <c r="A141" s="102"/>
      <c r="B141" s="30"/>
      <c r="C141" s="16"/>
      <c r="D141" s="16"/>
      <c r="E141" s="17"/>
      <c r="F141" s="4"/>
      <c r="G141" s="80"/>
    </row>
    <row r="142" spans="1:7" ht="20.100000000000001" customHeight="1" x14ac:dyDescent="0.25">
      <c r="A142" s="102"/>
      <c r="B142" s="30"/>
      <c r="C142" s="16"/>
      <c r="D142" s="16"/>
      <c r="E142" s="17"/>
      <c r="F142" s="4"/>
      <c r="G142" s="80"/>
    </row>
    <row r="143" spans="1:7" ht="20.100000000000001" customHeight="1" x14ac:dyDescent="0.25">
      <c r="A143" s="102"/>
      <c r="B143" s="30"/>
      <c r="C143" s="16"/>
      <c r="D143" s="16"/>
      <c r="E143" s="17"/>
      <c r="F143" s="4"/>
      <c r="G143" s="80"/>
    </row>
    <row r="144" spans="1:7" ht="20.100000000000001" customHeight="1" x14ac:dyDescent="0.25">
      <c r="A144" s="102"/>
      <c r="B144" s="30"/>
      <c r="C144" s="16"/>
      <c r="D144" s="16"/>
      <c r="E144" s="17"/>
      <c r="F144" s="4"/>
      <c r="G144" s="80"/>
    </row>
    <row r="145" spans="1:7" ht="20.100000000000001" customHeight="1" x14ac:dyDescent="0.25">
      <c r="A145" s="102"/>
      <c r="B145" s="30"/>
      <c r="C145" s="16"/>
      <c r="D145" s="16"/>
      <c r="E145" s="17"/>
      <c r="F145" s="4"/>
      <c r="G145" s="80"/>
    </row>
    <row r="146" spans="1:7" ht="20.100000000000001" customHeight="1" x14ac:dyDescent="0.25">
      <c r="A146" s="102"/>
      <c r="B146" s="30"/>
      <c r="C146" s="16"/>
      <c r="D146" s="16"/>
      <c r="E146" s="17"/>
      <c r="F146" s="4"/>
      <c r="G146" s="80"/>
    </row>
    <row r="147" spans="1:7" ht="20.100000000000001" customHeight="1" x14ac:dyDescent="0.25">
      <c r="A147" s="102"/>
      <c r="B147" s="30"/>
      <c r="C147" s="16"/>
      <c r="D147" s="16"/>
      <c r="E147" s="17"/>
      <c r="F147" s="4"/>
      <c r="G147" s="80"/>
    </row>
    <row r="148" spans="1:7" ht="20.100000000000001" customHeight="1" x14ac:dyDescent="0.25">
      <c r="A148" s="102"/>
      <c r="B148" s="30"/>
      <c r="C148" s="16"/>
      <c r="D148" s="16"/>
      <c r="E148" s="17"/>
      <c r="F148" s="4"/>
      <c r="G148" s="80"/>
    </row>
    <row r="149" spans="1:7" ht="20.100000000000001" customHeight="1" x14ac:dyDescent="0.25">
      <c r="A149" s="102"/>
      <c r="B149" s="30"/>
      <c r="C149" s="16"/>
      <c r="D149" s="16"/>
      <c r="E149" s="17"/>
      <c r="F149" s="4"/>
      <c r="G149" s="80"/>
    </row>
    <row r="150" spans="1:7" ht="20.100000000000001" customHeight="1" x14ac:dyDescent="0.25">
      <c r="A150" s="102"/>
      <c r="B150" s="30"/>
      <c r="C150" s="16"/>
      <c r="D150" s="16"/>
      <c r="E150" s="17"/>
      <c r="F150" s="4"/>
      <c r="G150" s="80"/>
    </row>
    <row r="151" spans="1:7" ht="20.100000000000001" customHeight="1" x14ac:dyDescent="0.25">
      <c r="A151" s="102"/>
      <c r="B151" s="30"/>
      <c r="C151" s="16"/>
      <c r="D151" s="16"/>
      <c r="E151" s="17"/>
      <c r="F151" s="4"/>
      <c r="G151" s="80"/>
    </row>
    <row r="152" spans="1:7" ht="20.100000000000001" customHeight="1" x14ac:dyDescent="0.25">
      <c r="A152" s="102"/>
      <c r="B152" s="30"/>
      <c r="C152" s="16"/>
      <c r="D152" s="16"/>
      <c r="E152" s="17"/>
      <c r="F152" s="4"/>
      <c r="G152" s="80"/>
    </row>
    <row r="153" spans="1:7" ht="20.100000000000001" customHeight="1" x14ac:dyDescent="0.25">
      <c r="A153" s="102"/>
      <c r="B153" s="30"/>
      <c r="C153" s="16"/>
      <c r="D153" s="16"/>
      <c r="E153" s="17"/>
      <c r="F153" s="4"/>
      <c r="G153" s="80"/>
    </row>
    <row r="154" spans="1:7" ht="20.100000000000001" customHeight="1" x14ac:dyDescent="0.25">
      <c r="A154" s="102"/>
      <c r="B154" s="30"/>
      <c r="C154" s="16"/>
      <c r="D154" s="16"/>
      <c r="E154" s="17"/>
      <c r="F154" s="4"/>
      <c r="G154" s="80"/>
    </row>
    <row r="155" spans="1:7" ht="20.100000000000001" customHeight="1" x14ac:dyDescent="0.25">
      <c r="A155" s="102"/>
      <c r="B155" s="30"/>
      <c r="C155" s="16"/>
      <c r="D155" s="16"/>
      <c r="E155" s="17"/>
      <c r="F155" s="4"/>
      <c r="G155" s="80"/>
    </row>
    <row r="156" spans="1:7" ht="20.100000000000001" customHeight="1" x14ac:dyDescent="0.25">
      <c r="A156" s="102"/>
      <c r="B156" s="30"/>
      <c r="C156" s="16"/>
      <c r="D156" s="16"/>
      <c r="E156" s="17"/>
      <c r="F156" s="4"/>
      <c r="G156" s="80"/>
    </row>
    <row r="157" spans="1:7" ht="20.100000000000001" customHeight="1" x14ac:dyDescent="0.25">
      <c r="A157" s="102"/>
      <c r="B157" s="30"/>
      <c r="C157" s="16"/>
      <c r="D157" s="16"/>
      <c r="E157" s="17"/>
      <c r="F157" s="4"/>
      <c r="G157" s="80"/>
    </row>
    <row r="158" spans="1:7" ht="20.100000000000001" customHeight="1" x14ac:dyDescent="0.25">
      <c r="A158" s="102"/>
      <c r="B158" s="30"/>
      <c r="C158" s="16"/>
      <c r="D158" s="16"/>
      <c r="E158" s="17"/>
      <c r="F158" s="4"/>
      <c r="G158" s="80"/>
    </row>
    <row r="159" spans="1:7" ht="20.100000000000001" customHeight="1" x14ac:dyDescent="0.25">
      <c r="A159" s="102"/>
      <c r="B159" s="30"/>
      <c r="C159" s="16"/>
      <c r="D159" s="16"/>
      <c r="E159" s="17"/>
      <c r="F159" s="4"/>
      <c r="G159" s="80"/>
    </row>
    <row r="160" spans="1:7" ht="20.100000000000001" customHeight="1" x14ac:dyDescent="0.25">
      <c r="A160" s="102"/>
      <c r="B160" s="30"/>
      <c r="C160" s="16"/>
      <c r="D160" s="16"/>
      <c r="E160" s="17"/>
      <c r="F160" s="4"/>
      <c r="G160" s="80"/>
    </row>
    <row r="161" spans="1:7" ht="20.100000000000001" customHeight="1" x14ac:dyDescent="0.25">
      <c r="A161" s="102"/>
      <c r="B161" s="30"/>
      <c r="C161" s="16"/>
      <c r="D161" s="16"/>
      <c r="E161" s="17"/>
      <c r="F161" s="4"/>
      <c r="G161" s="80"/>
    </row>
    <row r="162" spans="1:7" ht="20.100000000000001" customHeight="1" x14ac:dyDescent="0.25">
      <c r="A162" s="102"/>
      <c r="B162" s="30"/>
      <c r="C162" s="16"/>
      <c r="D162" s="16"/>
      <c r="E162" s="17"/>
      <c r="F162" s="4"/>
      <c r="G162" s="80"/>
    </row>
    <row r="163" spans="1:7" ht="20.100000000000001" customHeight="1" x14ac:dyDescent="0.25">
      <c r="A163" s="102"/>
      <c r="B163" s="30"/>
      <c r="C163" s="16"/>
      <c r="D163" s="16"/>
      <c r="E163" s="17"/>
      <c r="F163" s="4"/>
      <c r="G163" s="80"/>
    </row>
    <row r="164" spans="1:7" ht="20.100000000000001" customHeight="1" x14ac:dyDescent="0.25">
      <c r="A164" s="102"/>
      <c r="B164" s="30"/>
      <c r="C164" s="16"/>
      <c r="D164" s="16"/>
      <c r="E164" s="17"/>
      <c r="F164" s="4"/>
      <c r="G164" s="80"/>
    </row>
    <row r="165" spans="1:7" ht="20.100000000000001" customHeight="1" x14ac:dyDescent="0.25">
      <c r="A165" s="102"/>
      <c r="B165" s="30"/>
      <c r="C165" s="16"/>
      <c r="D165" s="16"/>
      <c r="E165" s="17"/>
      <c r="F165" s="4"/>
      <c r="G165" s="80"/>
    </row>
    <row r="166" spans="1:7" ht="20.100000000000001" customHeight="1" x14ac:dyDescent="0.25">
      <c r="A166" s="102"/>
      <c r="B166" s="30"/>
      <c r="C166" s="16"/>
      <c r="D166" s="16"/>
      <c r="E166" s="17"/>
      <c r="F166" s="4"/>
      <c r="G166" s="80"/>
    </row>
    <row r="167" spans="1:7" ht="20.100000000000001" customHeight="1" x14ac:dyDescent="0.25">
      <c r="A167" s="102"/>
      <c r="B167" s="30"/>
      <c r="C167" s="16"/>
      <c r="D167" s="16"/>
      <c r="E167" s="17"/>
      <c r="F167" s="4"/>
      <c r="G167" s="80"/>
    </row>
    <row r="168" spans="1:7" ht="20.100000000000001" customHeight="1" x14ac:dyDescent="0.25">
      <c r="A168" s="102"/>
      <c r="B168" s="30"/>
      <c r="C168" s="16"/>
      <c r="D168" s="16"/>
      <c r="E168" s="17"/>
      <c r="F168" s="4"/>
      <c r="G168" s="80"/>
    </row>
    <row r="169" spans="1:7" ht="20.100000000000001" customHeight="1" x14ac:dyDescent="0.25">
      <c r="A169" s="102"/>
      <c r="B169" s="30"/>
      <c r="C169" s="16"/>
      <c r="D169" s="16"/>
      <c r="E169" s="17"/>
      <c r="F169" s="4"/>
      <c r="G169" s="80"/>
    </row>
    <row r="170" spans="1:7" ht="20.100000000000001" customHeight="1" x14ac:dyDescent="0.25">
      <c r="A170" s="102"/>
      <c r="B170" s="30"/>
      <c r="C170" s="16"/>
      <c r="D170" s="16"/>
      <c r="E170" s="17"/>
      <c r="F170" s="4"/>
      <c r="G170" s="80"/>
    </row>
    <row r="171" spans="1:7" ht="20.100000000000001" customHeight="1" x14ac:dyDescent="0.25">
      <c r="A171" s="102"/>
      <c r="B171" s="30"/>
      <c r="C171" s="16"/>
      <c r="D171" s="16"/>
      <c r="E171" s="17"/>
      <c r="F171" s="4"/>
      <c r="G171" s="80"/>
    </row>
    <row r="172" spans="1:7" ht="20.100000000000001" customHeight="1" x14ac:dyDescent="0.25">
      <c r="A172" s="102"/>
      <c r="B172" s="30"/>
      <c r="C172" s="16"/>
      <c r="D172" s="16"/>
      <c r="E172" s="17"/>
      <c r="F172" s="4"/>
      <c r="G172" s="80"/>
    </row>
    <row r="173" spans="1:7" ht="20.100000000000001" customHeight="1" x14ac:dyDescent="0.25">
      <c r="A173" s="102"/>
      <c r="B173" s="30"/>
      <c r="C173" s="16"/>
      <c r="D173" s="16"/>
      <c r="E173" s="17"/>
      <c r="F173" s="4"/>
      <c r="G173" s="80"/>
    </row>
    <row r="174" spans="1:7" ht="20.100000000000001" customHeight="1" x14ac:dyDescent="0.25">
      <c r="A174" s="102"/>
      <c r="B174" s="30"/>
      <c r="C174" s="16"/>
      <c r="D174" s="16"/>
      <c r="E174" s="17"/>
      <c r="F174" s="4"/>
      <c r="G174" s="80"/>
    </row>
    <row r="175" spans="1:7" ht="20.100000000000001" customHeight="1" x14ac:dyDescent="0.25">
      <c r="A175" s="102"/>
      <c r="B175" s="30"/>
      <c r="C175" s="16"/>
      <c r="D175" s="16"/>
      <c r="E175" s="17"/>
      <c r="F175" s="4"/>
      <c r="G175" s="80"/>
    </row>
    <row r="176" spans="1:7" ht="20.100000000000001" customHeight="1" x14ac:dyDescent="0.25">
      <c r="A176" s="102"/>
      <c r="B176" s="30"/>
      <c r="C176" s="16"/>
      <c r="D176" s="16"/>
      <c r="E176" s="17"/>
      <c r="F176" s="4"/>
      <c r="G176" s="80"/>
    </row>
    <row r="177" spans="1:7" ht="20.100000000000001" customHeight="1" x14ac:dyDescent="0.25">
      <c r="A177" s="102"/>
      <c r="B177" s="30"/>
      <c r="C177" s="16"/>
      <c r="D177" s="16"/>
      <c r="E177" s="17"/>
      <c r="F177" s="4"/>
      <c r="G177" s="80"/>
    </row>
    <row r="178" spans="1:7" ht="20.100000000000001" customHeight="1" x14ac:dyDescent="0.25">
      <c r="A178" s="102"/>
      <c r="B178" s="30"/>
      <c r="C178" s="16"/>
      <c r="D178" s="16"/>
      <c r="E178" s="17"/>
      <c r="F178" s="4"/>
      <c r="G178" s="80"/>
    </row>
    <row r="179" spans="1:7" ht="20.100000000000001" customHeight="1" x14ac:dyDescent="0.25">
      <c r="A179" s="102"/>
      <c r="B179" s="30"/>
      <c r="C179" s="16"/>
      <c r="D179" s="16"/>
      <c r="E179" s="17"/>
      <c r="F179" s="4"/>
      <c r="G179" s="80"/>
    </row>
    <row r="180" spans="1:7" ht="20.100000000000001" customHeight="1" x14ac:dyDescent="0.25">
      <c r="A180" s="102"/>
      <c r="B180" s="30"/>
      <c r="C180" s="16"/>
      <c r="D180" s="16"/>
      <c r="E180" s="17"/>
      <c r="F180" s="4"/>
      <c r="G180" s="80"/>
    </row>
    <row r="181" spans="1:7" ht="20.100000000000001" customHeight="1" x14ac:dyDescent="0.25">
      <c r="A181" s="102"/>
      <c r="B181" s="30"/>
      <c r="C181" s="16"/>
      <c r="D181" s="16"/>
      <c r="E181" s="17"/>
      <c r="F181" s="4"/>
      <c r="G181" s="80"/>
    </row>
    <row r="182" spans="1:7" ht="20.100000000000001" customHeight="1" x14ac:dyDescent="0.25">
      <c r="A182" s="102"/>
      <c r="B182" s="30"/>
      <c r="C182" s="16"/>
      <c r="D182" s="16"/>
      <c r="E182" s="17"/>
      <c r="F182" s="4"/>
      <c r="G182" s="80"/>
    </row>
    <row r="183" spans="1:7" ht="20.100000000000001" customHeight="1" x14ac:dyDescent="0.25">
      <c r="A183" s="102"/>
      <c r="B183" s="30"/>
      <c r="C183" s="16"/>
      <c r="D183" s="16"/>
      <c r="E183" s="17"/>
      <c r="F183" s="4"/>
      <c r="G183" s="80"/>
    </row>
    <row r="184" spans="1:7" ht="20.100000000000001" customHeight="1" x14ac:dyDescent="0.25">
      <c r="A184" s="102"/>
      <c r="B184" s="30"/>
      <c r="C184" s="16"/>
      <c r="D184" s="16"/>
      <c r="E184" s="17"/>
      <c r="F184" s="4"/>
      <c r="G184" s="80"/>
    </row>
    <row r="185" spans="1:7" ht="20.100000000000001" customHeight="1" x14ac:dyDescent="0.25">
      <c r="A185" s="102"/>
      <c r="B185" s="30"/>
      <c r="C185" s="16"/>
      <c r="D185" s="16"/>
      <c r="E185" s="17"/>
      <c r="F185" s="4"/>
      <c r="G185" s="80"/>
    </row>
    <row r="186" spans="1:7" ht="20.100000000000001" customHeight="1" x14ac:dyDescent="0.25">
      <c r="A186" s="102"/>
      <c r="B186" s="30"/>
      <c r="C186" s="16"/>
      <c r="D186" s="16"/>
      <c r="E186" s="17"/>
      <c r="F186" s="4"/>
      <c r="G186" s="80"/>
    </row>
    <row r="187" spans="1:7" ht="20.100000000000001" customHeight="1" x14ac:dyDescent="0.25">
      <c r="A187" s="102"/>
      <c r="B187" s="30"/>
      <c r="C187" s="16"/>
      <c r="D187" s="16"/>
      <c r="E187" s="17"/>
      <c r="F187" s="4"/>
      <c r="G187" s="80"/>
    </row>
    <row r="188" spans="1:7" ht="20.100000000000001" customHeight="1" x14ac:dyDescent="0.25">
      <c r="A188" s="102"/>
      <c r="B188" s="30"/>
      <c r="C188" s="16"/>
      <c r="D188" s="16"/>
      <c r="E188" s="17"/>
      <c r="F188" s="4"/>
      <c r="G188" s="80"/>
    </row>
    <row r="189" spans="1:7" ht="20.100000000000001" customHeight="1" x14ac:dyDescent="0.25">
      <c r="A189" s="102"/>
      <c r="B189" s="30"/>
      <c r="C189" s="16"/>
      <c r="D189" s="16"/>
      <c r="E189" s="17"/>
      <c r="F189" s="4"/>
      <c r="G189" s="80"/>
    </row>
    <row r="190" spans="1:7" ht="20.100000000000001" customHeight="1" x14ac:dyDescent="0.25">
      <c r="A190" s="102"/>
      <c r="B190" s="30"/>
      <c r="C190" s="16"/>
      <c r="D190" s="16"/>
      <c r="E190" s="17"/>
      <c r="F190" s="4"/>
      <c r="G190" s="80"/>
    </row>
    <row r="191" spans="1:7" ht="20.100000000000001" customHeight="1" x14ac:dyDescent="0.25">
      <c r="A191" s="102"/>
      <c r="B191" s="30"/>
      <c r="C191" s="16"/>
      <c r="D191" s="16"/>
      <c r="E191" s="17"/>
      <c r="F191" s="4"/>
      <c r="G191" s="80"/>
    </row>
    <row r="192" spans="1:7" ht="20.100000000000001" customHeight="1" x14ac:dyDescent="0.25">
      <c r="A192" s="102"/>
      <c r="B192" s="30"/>
      <c r="C192" s="16"/>
      <c r="D192" s="16"/>
      <c r="E192" s="17"/>
      <c r="F192" s="4"/>
      <c r="G192" s="80"/>
    </row>
    <row r="193" spans="1:7" ht="20.100000000000001" customHeight="1" x14ac:dyDescent="0.25">
      <c r="A193" s="102"/>
      <c r="B193" s="30"/>
      <c r="C193" s="16"/>
      <c r="D193" s="16"/>
      <c r="E193" s="17"/>
      <c r="F193" s="4"/>
      <c r="G193" s="80"/>
    </row>
    <row r="194" spans="1:7" ht="20.100000000000001" customHeight="1" x14ac:dyDescent="0.25">
      <c r="A194" s="102"/>
      <c r="B194" s="30"/>
      <c r="C194" s="16"/>
      <c r="D194" s="16"/>
      <c r="E194" s="17"/>
      <c r="F194" s="4"/>
      <c r="G194" s="80"/>
    </row>
    <row r="195" spans="1:7" ht="20.100000000000001" customHeight="1" x14ac:dyDescent="0.25">
      <c r="A195" s="102"/>
      <c r="B195" s="30"/>
      <c r="C195" s="16"/>
      <c r="D195" s="16"/>
      <c r="E195" s="17"/>
      <c r="F195" s="4"/>
      <c r="G195" s="80"/>
    </row>
    <row r="196" spans="1:7" ht="20.100000000000001" customHeight="1" x14ac:dyDescent="0.25">
      <c r="A196" s="102"/>
      <c r="B196" s="30"/>
      <c r="C196" s="16"/>
      <c r="D196" s="16"/>
      <c r="E196" s="17"/>
      <c r="F196" s="4"/>
      <c r="G196" s="80"/>
    </row>
    <row r="197" spans="1:7" ht="20.100000000000001" customHeight="1" x14ac:dyDescent="0.25">
      <c r="A197" s="102"/>
      <c r="B197" s="30"/>
      <c r="C197" s="16"/>
      <c r="D197" s="16"/>
      <c r="E197" s="17"/>
      <c r="F197" s="4"/>
      <c r="G197" s="80"/>
    </row>
    <row r="198" spans="1:7" ht="20.100000000000001" customHeight="1" x14ac:dyDescent="0.25">
      <c r="A198" s="102"/>
      <c r="B198" s="30"/>
      <c r="C198" s="16"/>
      <c r="D198" s="16"/>
      <c r="E198" s="17"/>
      <c r="F198" s="4"/>
      <c r="G198" s="80"/>
    </row>
    <row r="199" spans="1:7" ht="20.100000000000001" customHeight="1" x14ac:dyDescent="0.25">
      <c r="A199" s="102"/>
      <c r="B199" s="30"/>
      <c r="C199" s="16"/>
      <c r="D199" s="16"/>
      <c r="E199" s="17"/>
      <c r="F199" s="4"/>
      <c r="G199" s="80"/>
    </row>
    <row r="200" spans="1:7" ht="20.100000000000001" customHeight="1" x14ac:dyDescent="0.25">
      <c r="A200" s="102"/>
      <c r="B200" s="30"/>
      <c r="C200" s="16"/>
      <c r="D200" s="16"/>
      <c r="E200" s="17"/>
      <c r="F200" s="4"/>
      <c r="G200" s="80"/>
    </row>
    <row r="201" spans="1:7" ht="20.100000000000001" customHeight="1" x14ac:dyDescent="0.25">
      <c r="A201" s="102"/>
      <c r="B201" s="30"/>
      <c r="C201" s="16"/>
      <c r="D201" s="16"/>
      <c r="E201" s="17"/>
      <c r="F201" s="4"/>
      <c r="G201" s="80"/>
    </row>
    <row r="202" spans="1:7" ht="20.100000000000001" customHeight="1" x14ac:dyDescent="0.25">
      <c r="A202" s="102"/>
      <c r="B202" s="30"/>
      <c r="C202" s="16"/>
      <c r="D202" s="16"/>
      <c r="E202" s="17"/>
      <c r="F202" s="4"/>
      <c r="G202" s="80"/>
    </row>
    <row r="203" spans="1:7" ht="20.100000000000001" customHeight="1" x14ac:dyDescent="0.25">
      <c r="A203" s="102"/>
      <c r="B203" s="30"/>
      <c r="C203" s="16"/>
      <c r="D203" s="16"/>
      <c r="E203" s="17"/>
      <c r="F203" s="4"/>
      <c r="G203" s="80"/>
    </row>
    <row r="204" spans="1:7" ht="20.100000000000001" customHeight="1" x14ac:dyDescent="0.25">
      <c r="A204" s="102"/>
      <c r="B204" s="30"/>
      <c r="C204" s="16"/>
      <c r="D204" s="16"/>
      <c r="E204" s="17"/>
      <c r="F204" s="4"/>
      <c r="G204" s="80"/>
    </row>
    <row r="205" spans="1:7" ht="20.100000000000001" customHeight="1" x14ac:dyDescent="0.25">
      <c r="A205" s="102"/>
      <c r="B205" s="30"/>
      <c r="C205" s="16"/>
      <c r="D205" s="16"/>
      <c r="E205" s="17"/>
      <c r="F205" s="4"/>
      <c r="G205" s="80"/>
    </row>
    <row r="206" spans="1:7" ht="20.100000000000001" customHeight="1" x14ac:dyDescent="0.25">
      <c r="A206" s="102"/>
      <c r="B206" s="30"/>
      <c r="C206" s="16"/>
      <c r="D206" s="16"/>
      <c r="E206" s="17"/>
      <c r="F206" s="4"/>
      <c r="G206" s="80"/>
    </row>
    <row r="207" spans="1:7" ht="20.100000000000001" customHeight="1" x14ac:dyDescent="0.25">
      <c r="A207" s="102"/>
      <c r="B207" s="30"/>
      <c r="C207" s="16"/>
      <c r="D207" s="16"/>
      <c r="E207" s="17"/>
      <c r="F207" s="4"/>
      <c r="G207" s="80"/>
    </row>
    <row r="208" spans="1:7" ht="20.100000000000001" customHeight="1" x14ac:dyDescent="0.25">
      <c r="A208" s="102"/>
      <c r="B208" s="30"/>
      <c r="C208" s="16"/>
      <c r="D208" s="16"/>
      <c r="E208" s="17"/>
      <c r="F208" s="4"/>
      <c r="G208" s="80"/>
    </row>
    <row r="209" spans="1:7" ht="20.100000000000001" customHeight="1" x14ac:dyDescent="0.25">
      <c r="A209" s="102"/>
      <c r="B209" s="30"/>
      <c r="C209" s="16"/>
      <c r="D209" s="16"/>
      <c r="E209" s="17"/>
      <c r="F209" s="4"/>
      <c r="G209" s="80"/>
    </row>
    <row r="210" spans="1:7" ht="20.100000000000001" customHeight="1" x14ac:dyDescent="0.25">
      <c r="A210" s="102"/>
      <c r="B210" s="30"/>
      <c r="C210" s="16"/>
      <c r="D210" s="16"/>
      <c r="E210" s="17"/>
      <c r="F210" s="4"/>
      <c r="G210" s="80"/>
    </row>
    <row r="211" spans="1:7" ht="20.100000000000001" customHeight="1" x14ac:dyDescent="0.25">
      <c r="A211" s="102"/>
      <c r="B211" s="30"/>
      <c r="C211" s="16"/>
      <c r="D211" s="16"/>
      <c r="E211" s="17"/>
      <c r="F211" s="4"/>
      <c r="G211" s="80"/>
    </row>
    <row r="212" spans="1:7" ht="20.100000000000001" customHeight="1" x14ac:dyDescent="0.25">
      <c r="A212" s="102"/>
      <c r="B212" s="30"/>
      <c r="C212" s="16"/>
      <c r="D212" s="16"/>
      <c r="E212" s="17"/>
      <c r="F212" s="4"/>
      <c r="G212" s="80"/>
    </row>
    <row r="213" spans="1:7" ht="20.100000000000001" customHeight="1" x14ac:dyDescent="0.25">
      <c r="A213" s="102"/>
      <c r="B213" s="30"/>
      <c r="C213" s="16"/>
      <c r="D213" s="16"/>
      <c r="E213" s="17"/>
      <c r="F213" s="4"/>
      <c r="G213" s="80"/>
    </row>
    <row r="214" spans="1:7" ht="20.100000000000001" customHeight="1" x14ac:dyDescent="0.25">
      <c r="A214" s="102"/>
      <c r="B214" s="30"/>
      <c r="C214" s="16"/>
      <c r="D214" s="16"/>
      <c r="E214" s="17"/>
      <c r="F214" s="4"/>
      <c r="G214" s="80"/>
    </row>
    <row r="215" spans="1:7" ht="20.100000000000001" customHeight="1" x14ac:dyDescent="0.25">
      <c r="A215" s="102"/>
      <c r="B215" s="30"/>
      <c r="C215" s="16"/>
      <c r="D215" s="16"/>
      <c r="E215" s="17"/>
      <c r="F215" s="4"/>
      <c r="G215" s="80"/>
    </row>
    <row r="216" spans="1:7" ht="20.100000000000001" customHeight="1" x14ac:dyDescent="0.25">
      <c r="A216" s="102"/>
      <c r="B216" s="30"/>
      <c r="C216" s="16"/>
      <c r="D216" s="16"/>
      <c r="E216" s="17"/>
      <c r="F216" s="4"/>
      <c r="G216" s="80"/>
    </row>
    <row r="217" spans="1:7" ht="20.100000000000001" customHeight="1" x14ac:dyDescent="0.25">
      <c r="A217" s="102"/>
      <c r="B217" s="30"/>
      <c r="C217" s="16"/>
      <c r="D217" s="16"/>
      <c r="E217" s="17"/>
      <c r="F217" s="4"/>
      <c r="G217" s="80"/>
    </row>
    <row r="218" spans="1:7" ht="20.100000000000001" customHeight="1" x14ac:dyDescent="0.25">
      <c r="A218" s="102"/>
      <c r="B218" s="30"/>
      <c r="C218" s="16"/>
      <c r="D218" s="16"/>
      <c r="E218" s="17"/>
      <c r="F218" s="4"/>
      <c r="G218" s="80"/>
    </row>
    <row r="219" spans="1:7" ht="20.100000000000001" customHeight="1" x14ac:dyDescent="0.25">
      <c r="A219" s="102"/>
      <c r="B219" s="30"/>
      <c r="C219" s="16"/>
      <c r="D219" s="16"/>
      <c r="E219" s="17"/>
      <c r="F219" s="4"/>
      <c r="G219" s="80"/>
    </row>
    <row r="220" spans="1:7" ht="20.100000000000001" customHeight="1" x14ac:dyDescent="0.25">
      <c r="A220" s="102"/>
      <c r="B220" s="30"/>
      <c r="C220" s="16"/>
      <c r="D220" s="16"/>
      <c r="E220" s="17"/>
      <c r="F220" s="4"/>
      <c r="G220" s="80"/>
    </row>
    <row r="221" spans="1:7" ht="20.100000000000001" customHeight="1" x14ac:dyDescent="0.25">
      <c r="A221" s="102"/>
      <c r="B221" s="30"/>
      <c r="C221" s="16"/>
      <c r="D221" s="16"/>
      <c r="E221" s="17"/>
      <c r="F221" s="4"/>
      <c r="G221" s="80"/>
    </row>
    <row r="222" spans="1:7" ht="20.100000000000001" customHeight="1" x14ac:dyDescent="0.25">
      <c r="A222" s="102"/>
      <c r="B222" s="30"/>
      <c r="C222" s="16"/>
      <c r="D222" s="16"/>
      <c r="E222" s="17"/>
      <c r="F222" s="4"/>
      <c r="G222" s="80"/>
    </row>
    <row r="223" spans="1:7" ht="20.100000000000001" customHeight="1" x14ac:dyDescent="0.25">
      <c r="A223" s="102"/>
      <c r="B223" s="30"/>
      <c r="C223" s="16"/>
      <c r="D223" s="16"/>
      <c r="E223" s="17"/>
      <c r="F223" s="4"/>
      <c r="G223" s="80"/>
    </row>
    <row r="224" spans="1:7" ht="20.100000000000001" customHeight="1" x14ac:dyDescent="0.25">
      <c r="A224" s="102"/>
      <c r="B224" s="30"/>
      <c r="C224" s="16"/>
      <c r="D224" s="16"/>
      <c r="E224" s="17"/>
      <c r="F224" s="4"/>
      <c r="G224" s="80"/>
    </row>
    <row r="225" spans="1:7" ht="20.100000000000001" customHeight="1" x14ac:dyDescent="0.25">
      <c r="A225" s="102"/>
      <c r="B225" s="30"/>
      <c r="C225" s="16"/>
      <c r="D225" s="16"/>
      <c r="E225" s="17"/>
      <c r="F225" s="4"/>
      <c r="G225" s="80"/>
    </row>
    <row r="226" spans="1:7" ht="20.100000000000001" customHeight="1" x14ac:dyDescent="0.25">
      <c r="A226" s="102"/>
      <c r="B226" s="30"/>
      <c r="C226" s="16"/>
      <c r="D226" s="16"/>
      <c r="E226" s="17"/>
      <c r="F226" s="4"/>
      <c r="G226" s="80"/>
    </row>
    <row r="227" spans="1:7" ht="20.100000000000001" customHeight="1" x14ac:dyDescent="0.25">
      <c r="A227" s="102"/>
      <c r="B227" s="30"/>
      <c r="C227" s="16"/>
      <c r="D227" s="16"/>
      <c r="E227" s="17"/>
      <c r="F227" s="4"/>
      <c r="G227" s="80"/>
    </row>
    <row r="228" spans="1:7" ht="20.100000000000001" customHeight="1" x14ac:dyDescent="0.25">
      <c r="A228" s="102"/>
      <c r="B228" s="30"/>
      <c r="C228" s="16"/>
      <c r="D228" s="16"/>
      <c r="E228" s="17"/>
      <c r="F228" s="4"/>
      <c r="G228" s="80"/>
    </row>
    <row r="229" spans="1:7" ht="20.100000000000001" customHeight="1" x14ac:dyDescent="0.25">
      <c r="A229" s="102"/>
      <c r="B229" s="30"/>
      <c r="C229" s="16"/>
      <c r="D229" s="16"/>
      <c r="E229" s="17"/>
      <c r="F229" s="4"/>
      <c r="G229" s="80"/>
    </row>
    <row r="230" spans="1:7" ht="20.100000000000001" customHeight="1" x14ac:dyDescent="0.25">
      <c r="A230" s="102"/>
      <c r="B230" s="30"/>
      <c r="C230" s="16"/>
      <c r="D230" s="16"/>
      <c r="E230" s="17"/>
      <c r="F230" s="4"/>
      <c r="G230" s="80"/>
    </row>
    <row r="231" spans="1:7" ht="20.100000000000001" customHeight="1" x14ac:dyDescent="0.25">
      <c r="A231" s="102"/>
      <c r="B231" s="30"/>
      <c r="C231" s="16"/>
      <c r="D231" s="16"/>
      <c r="E231" s="17"/>
      <c r="F231" s="4"/>
      <c r="G231" s="80"/>
    </row>
    <row r="232" spans="1:7" ht="20.100000000000001" customHeight="1" x14ac:dyDescent="0.25">
      <c r="A232" s="102"/>
      <c r="B232" s="30"/>
      <c r="C232" s="16"/>
      <c r="D232" s="16"/>
      <c r="E232" s="17"/>
      <c r="F232" s="4"/>
      <c r="G232" s="80"/>
    </row>
    <row r="233" spans="1:7" ht="20.100000000000001" customHeight="1" x14ac:dyDescent="0.25">
      <c r="A233" s="102"/>
      <c r="B233" s="30"/>
      <c r="C233" s="16"/>
      <c r="D233" s="16"/>
      <c r="E233" s="17"/>
      <c r="F233" s="4"/>
      <c r="G233" s="80"/>
    </row>
    <row r="234" spans="1:7" ht="20.100000000000001" customHeight="1" x14ac:dyDescent="0.25">
      <c r="A234" s="102"/>
      <c r="B234" s="30"/>
      <c r="C234" s="16"/>
      <c r="D234" s="16"/>
      <c r="E234" s="17"/>
      <c r="F234" s="4"/>
      <c r="G234" s="80"/>
    </row>
    <row r="235" spans="1:7" ht="20.100000000000001" customHeight="1" x14ac:dyDescent="0.25">
      <c r="A235" s="102"/>
      <c r="B235" s="30"/>
      <c r="C235" s="16"/>
      <c r="D235" s="16"/>
      <c r="E235" s="17"/>
      <c r="F235" s="4"/>
      <c r="G235" s="80"/>
    </row>
    <row r="236" spans="1:7" ht="20.100000000000001" customHeight="1" x14ac:dyDescent="0.25">
      <c r="A236" s="102"/>
      <c r="B236" s="30"/>
      <c r="C236" s="16"/>
      <c r="D236" s="16"/>
      <c r="E236" s="17"/>
      <c r="F236" s="4"/>
      <c r="G236" s="80"/>
    </row>
    <row r="237" spans="1:7" ht="20.100000000000001" customHeight="1" x14ac:dyDescent="0.25">
      <c r="A237" s="102"/>
      <c r="B237" s="30"/>
      <c r="C237" s="16"/>
      <c r="D237" s="16"/>
      <c r="E237" s="17"/>
      <c r="F237" s="4"/>
      <c r="G237" s="80"/>
    </row>
    <row r="238" spans="1:7" ht="20.100000000000001" customHeight="1" x14ac:dyDescent="0.25">
      <c r="A238" s="102"/>
      <c r="B238" s="30"/>
      <c r="C238" s="16"/>
      <c r="D238" s="16"/>
      <c r="E238" s="17"/>
      <c r="F238" s="4"/>
      <c r="G238" s="80"/>
    </row>
    <row r="239" spans="1:7" ht="20.100000000000001" customHeight="1" x14ac:dyDescent="0.25">
      <c r="A239" s="102"/>
      <c r="B239" s="30"/>
      <c r="C239" s="16"/>
      <c r="D239" s="16"/>
      <c r="E239" s="17"/>
      <c r="F239" s="4"/>
      <c r="G239" s="80"/>
    </row>
    <row r="240" spans="1:7" ht="20.100000000000001" customHeight="1" x14ac:dyDescent="0.25">
      <c r="A240" s="102"/>
      <c r="B240" s="30"/>
      <c r="C240" s="16"/>
      <c r="D240" s="16"/>
      <c r="E240" s="17"/>
      <c r="F240" s="4"/>
      <c r="G240" s="80"/>
    </row>
    <row r="241" spans="1:7" ht="20.100000000000001" customHeight="1" x14ac:dyDescent="0.25">
      <c r="A241" s="102"/>
      <c r="B241" s="30"/>
      <c r="C241" s="16"/>
      <c r="D241" s="16"/>
      <c r="E241" s="17"/>
      <c r="F241" s="4"/>
      <c r="G241" s="80"/>
    </row>
    <row r="242" spans="1:7" ht="20.100000000000001" customHeight="1" x14ac:dyDescent="0.25">
      <c r="A242" s="102"/>
      <c r="B242" s="30"/>
      <c r="C242" s="16"/>
      <c r="D242" s="16"/>
      <c r="E242" s="17"/>
      <c r="F242" s="4"/>
      <c r="G242" s="80"/>
    </row>
    <row r="243" spans="1:7" ht="20.100000000000001" customHeight="1" x14ac:dyDescent="0.25">
      <c r="A243" s="102"/>
      <c r="B243" s="30"/>
      <c r="C243" s="16"/>
      <c r="D243" s="16"/>
      <c r="E243" s="17"/>
      <c r="F243" s="4"/>
      <c r="G243" s="80"/>
    </row>
    <row r="244" spans="1:7" ht="20.100000000000001" customHeight="1" x14ac:dyDescent="0.25">
      <c r="A244" s="102"/>
      <c r="B244" s="30"/>
      <c r="C244" s="16"/>
      <c r="D244" s="16"/>
      <c r="E244" s="17"/>
      <c r="F244" s="4"/>
      <c r="G244" s="80"/>
    </row>
    <row r="245" spans="1:7" ht="20.100000000000001" customHeight="1" x14ac:dyDescent="0.25">
      <c r="A245" s="102"/>
      <c r="B245" s="30"/>
      <c r="C245" s="16"/>
      <c r="D245" s="16"/>
      <c r="E245" s="17"/>
      <c r="F245" s="4"/>
      <c r="G245" s="80"/>
    </row>
    <row r="246" spans="1:7" ht="20.100000000000001" customHeight="1" x14ac:dyDescent="0.25">
      <c r="A246" s="102"/>
      <c r="B246" s="30"/>
      <c r="C246" s="16"/>
      <c r="D246" s="16"/>
      <c r="E246" s="17"/>
      <c r="F246" s="4"/>
      <c r="G246" s="80"/>
    </row>
    <row r="247" spans="1:7" ht="20.100000000000001" customHeight="1" x14ac:dyDescent="0.25">
      <c r="A247" s="102"/>
      <c r="B247" s="30"/>
      <c r="C247" s="16"/>
      <c r="D247" s="16"/>
      <c r="E247" s="17"/>
      <c r="F247" s="4"/>
      <c r="G247" s="80"/>
    </row>
    <row r="248" spans="1:7" ht="20.100000000000001" customHeight="1" x14ac:dyDescent="0.25">
      <c r="A248" s="102"/>
      <c r="B248" s="30"/>
      <c r="C248" s="16"/>
      <c r="D248" s="16"/>
      <c r="E248" s="17"/>
      <c r="F248" s="4"/>
      <c r="G248" s="80"/>
    </row>
    <row r="249" spans="1:7" ht="20.100000000000001" customHeight="1" x14ac:dyDescent="0.25">
      <c r="A249" s="102"/>
      <c r="B249" s="30"/>
      <c r="C249" s="16"/>
      <c r="D249" s="16"/>
      <c r="E249" s="17"/>
      <c r="F249" s="4"/>
      <c r="G249" s="80"/>
    </row>
    <row r="250" spans="1:7" ht="20.100000000000001" customHeight="1" x14ac:dyDescent="0.25">
      <c r="A250" s="102"/>
      <c r="B250" s="30"/>
      <c r="C250" s="16"/>
      <c r="D250" s="16"/>
      <c r="E250" s="17"/>
      <c r="F250" s="4"/>
      <c r="G250" s="80"/>
    </row>
    <row r="251" spans="1:7" ht="20.100000000000001" customHeight="1" x14ac:dyDescent="0.25">
      <c r="A251" s="102"/>
      <c r="B251" s="30"/>
      <c r="C251" s="16"/>
      <c r="D251" s="16"/>
      <c r="E251" s="17"/>
      <c r="F251" s="4"/>
      <c r="G251" s="80"/>
    </row>
    <row r="252" spans="1:7" ht="20.100000000000001" customHeight="1" x14ac:dyDescent="0.25">
      <c r="A252" s="102"/>
      <c r="B252" s="30"/>
      <c r="C252" s="16"/>
      <c r="D252" s="16"/>
      <c r="E252" s="17"/>
      <c r="F252" s="4"/>
      <c r="G252" s="80"/>
    </row>
    <row r="253" spans="1:7" ht="20.100000000000001" customHeight="1" x14ac:dyDescent="0.25">
      <c r="A253" s="102"/>
      <c r="B253" s="30"/>
      <c r="C253" s="16"/>
      <c r="D253" s="16"/>
      <c r="E253" s="17"/>
      <c r="F253" s="4"/>
      <c r="G253" s="80"/>
    </row>
    <row r="254" spans="1:7" ht="20.100000000000001" customHeight="1" x14ac:dyDescent="0.25">
      <c r="A254" s="102"/>
      <c r="B254" s="30"/>
      <c r="C254" s="16"/>
      <c r="D254" s="16"/>
      <c r="E254" s="17"/>
      <c r="F254" s="4"/>
      <c r="G254" s="80"/>
    </row>
    <row r="255" spans="1:7" ht="20.100000000000001" customHeight="1" x14ac:dyDescent="0.25">
      <c r="A255" s="102"/>
      <c r="B255" s="30"/>
      <c r="C255" s="16"/>
      <c r="D255" s="16"/>
      <c r="E255" s="17"/>
      <c r="F255" s="4"/>
      <c r="G255" s="80"/>
    </row>
    <row r="256" spans="1:7" ht="20.100000000000001" customHeight="1" x14ac:dyDescent="0.25">
      <c r="A256" s="102"/>
      <c r="B256" s="30"/>
      <c r="C256" s="16"/>
      <c r="D256" s="16"/>
      <c r="E256" s="17"/>
      <c r="F256" s="4"/>
      <c r="G256" s="80"/>
    </row>
    <row r="257" spans="1:7" ht="20.100000000000001" customHeight="1" x14ac:dyDescent="0.25">
      <c r="A257" s="102"/>
      <c r="B257" s="30"/>
      <c r="C257" s="16"/>
      <c r="D257" s="16"/>
      <c r="E257" s="17"/>
      <c r="F257" s="4"/>
      <c r="G257" s="80"/>
    </row>
    <row r="258" spans="1:7" ht="20.100000000000001" customHeight="1" x14ac:dyDescent="0.25">
      <c r="A258" s="102"/>
      <c r="B258" s="30"/>
      <c r="C258" s="16"/>
      <c r="D258" s="16"/>
      <c r="E258" s="17"/>
      <c r="F258" s="4"/>
      <c r="G258" s="80"/>
    </row>
    <row r="259" spans="1:7" ht="20.100000000000001" customHeight="1" x14ac:dyDescent="0.25">
      <c r="A259" s="102"/>
      <c r="B259" s="30"/>
      <c r="C259" s="16"/>
      <c r="D259" s="16"/>
      <c r="E259" s="17"/>
      <c r="F259" s="4"/>
      <c r="G259" s="80"/>
    </row>
    <row r="260" spans="1:7" ht="20.100000000000001" customHeight="1" x14ac:dyDescent="0.25">
      <c r="A260" s="102"/>
      <c r="B260" s="30"/>
      <c r="C260" s="16"/>
      <c r="D260" s="16"/>
      <c r="E260" s="17"/>
      <c r="F260" s="4"/>
      <c r="G260" s="80"/>
    </row>
    <row r="261" spans="1:7" ht="20.100000000000001" customHeight="1" x14ac:dyDescent="0.25">
      <c r="A261" s="102"/>
      <c r="B261" s="30"/>
      <c r="C261" s="16"/>
      <c r="D261" s="16"/>
      <c r="E261" s="17"/>
      <c r="F261" s="4"/>
      <c r="G261" s="80"/>
    </row>
    <row r="262" spans="1:7" ht="20.100000000000001" customHeight="1" x14ac:dyDescent="0.25">
      <c r="A262" s="102"/>
      <c r="B262" s="30"/>
      <c r="C262" s="16"/>
      <c r="D262" s="16"/>
      <c r="E262" s="17"/>
      <c r="F262" s="4"/>
      <c r="G262" s="80"/>
    </row>
    <row r="263" spans="1:7" ht="20.100000000000001" customHeight="1" x14ac:dyDescent="0.25">
      <c r="A263" s="102"/>
      <c r="B263" s="30"/>
      <c r="C263" s="16"/>
      <c r="D263" s="16"/>
      <c r="E263" s="17"/>
      <c r="F263" s="4"/>
      <c r="G263" s="80"/>
    </row>
    <row r="264" spans="1:7" ht="20.100000000000001" customHeight="1" x14ac:dyDescent="0.25">
      <c r="A264" s="102"/>
      <c r="B264" s="30"/>
      <c r="C264" s="16"/>
      <c r="D264" s="16"/>
      <c r="E264" s="17"/>
      <c r="F264" s="4"/>
      <c r="G264" s="80"/>
    </row>
    <row r="265" spans="1:7" ht="20.100000000000001" customHeight="1" x14ac:dyDescent="0.25">
      <c r="A265" s="102"/>
      <c r="B265" s="30"/>
      <c r="C265" s="16"/>
      <c r="D265" s="16"/>
      <c r="E265" s="17"/>
      <c r="F265" s="4"/>
      <c r="G265" s="80"/>
    </row>
    <row r="266" spans="1:7" ht="20.100000000000001" customHeight="1" x14ac:dyDescent="0.25">
      <c r="A266" s="102"/>
      <c r="B266" s="30"/>
      <c r="C266" s="16"/>
      <c r="D266" s="16"/>
      <c r="E266" s="17"/>
      <c r="F266" s="4"/>
      <c r="G266" s="80"/>
    </row>
    <row r="267" spans="1:7" ht="20.100000000000001" customHeight="1" x14ac:dyDescent="0.25">
      <c r="A267" s="102"/>
      <c r="B267" s="30"/>
      <c r="C267" s="16"/>
      <c r="D267" s="16"/>
      <c r="E267" s="17"/>
      <c r="F267" s="4"/>
      <c r="G267" s="80"/>
    </row>
    <row r="268" spans="1:7" ht="20.100000000000001" customHeight="1" x14ac:dyDescent="0.25">
      <c r="A268" s="102"/>
      <c r="B268" s="30"/>
      <c r="C268" s="16"/>
      <c r="D268" s="16"/>
      <c r="E268" s="17"/>
      <c r="F268" s="4"/>
      <c r="G268" s="80"/>
    </row>
    <row r="269" spans="1:7" ht="20.100000000000001" customHeight="1" x14ac:dyDescent="0.25">
      <c r="A269" s="102"/>
      <c r="B269" s="30"/>
      <c r="C269" s="16"/>
      <c r="D269" s="16"/>
      <c r="E269" s="17"/>
      <c r="F269" s="4"/>
      <c r="G269" s="80"/>
    </row>
    <row r="270" spans="1:7" ht="20.100000000000001" customHeight="1" x14ac:dyDescent="0.25">
      <c r="A270" s="102"/>
      <c r="B270" s="30"/>
      <c r="C270" s="16"/>
      <c r="D270" s="16"/>
      <c r="E270" s="17"/>
      <c r="F270" s="4"/>
      <c r="G270" s="80"/>
    </row>
    <row r="271" spans="1:7" ht="20.100000000000001" customHeight="1" x14ac:dyDescent="0.25">
      <c r="A271" s="102"/>
      <c r="B271" s="30"/>
      <c r="C271" s="16"/>
      <c r="D271" s="16"/>
      <c r="E271" s="17"/>
      <c r="F271" s="4"/>
      <c r="G271" s="80"/>
    </row>
    <row r="272" spans="1:7" ht="20.100000000000001" customHeight="1" x14ac:dyDescent="0.25">
      <c r="A272" s="102"/>
      <c r="B272" s="30"/>
      <c r="C272" s="16"/>
      <c r="D272" s="16"/>
      <c r="E272" s="17"/>
      <c r="F272" s="4"/>
      <c r="G272" s="80"/>
    </row>
    <row r="273" spans="1:7" ht="20.100000000000001" customHeight="1" x14ac:dyDescent="0.25">
      <c r="A273" s="102"/>
      <c r="B273" s="30"/>
      <c r="C273" s="16"/>
      <c r="D273" s="16"/>
      <c r="E273" s="17"/>
      <c r="F273" s="4"/>
      <c r="G273" s="80"/>
    </row>
    <row r="274" spans="1:7" ht="20.100000000000001" customHeight="1" x14ac:dyDescent="0.25">
      <c r="A274" s="102"/>
      <c r="B274" s="30"/>
      <c r="C274" s="16"/>
      <c r="D274" s="16"/>
      <c r="E274" s="17"/>
      <c r="F274" s="4"/>
      <c r="G274" s="80"/>
    </row>
    <row r="275" spans="1:7" ht="20.100000000000001" customHeight="1" x14ac:dyDescent="0.25">
      <c r="A275" s="102"/>
      <c r="B275" s="30"/>
      <c r="C275" s="16"/>
      <c r="D275" s="16"/>
      <c r="E275" s="17"/>
      <c r="F275" s="4"/>
      <c r="G275" s="80"/>
    </row>
    <row r="276" spans="1:7" ht="20.100000000000001" customHeight="1" x14ac:dyDescent="0.25">
      <c r="A276" s="102"/>
      <c r="B276" s="30"/>
      <c r="C276" s="16"/>
      <c r="D276" s="16"/>
      <c r="E276" s="17"/>
      <c r="F276" s="4"/>
      <c r="G276" s="80"/>
    </row>
    <row r="277" spans="1:7" ht="20.100000000000001" customHeight="1" x14ac:dyDescent="0.25">
      <c r="A277" s="102"/>
      <c r="B277" s="30"/>
      <c r="C277" s="16"/>
      <c r="D277" s="16"/>
      <c r="E277" s="17"/>
      <c r="F277" s="4"/>
      <c r="G277" s="80"/>
    </row>
    <row r="278" spans="1:7" ht="20.100000000000001" customHeight="1" x14ac:dyDescent="0.25">
      <c r="A278" s="102"/>
      <c r="B278" s="30"/>
      <c r="C278" s="16"/>
      <c r="D278" s="16"/>
      <c r="E278" s="17"/>
      <c r="F278" s="4"/>
      <c r="G278" s="80"/>
    </row>
    <row r="279" spans="1:7" ht="20.100000000000001" customHeight="1" x14ac:dyDescent="0.25">
      <c r="A279" s="102"/>
      <c r="B279" s="30"/>
      <c r="C279" s="16"/>
      <c r="D279" s="16"/>
      <c r="E279" s="17"/>
      <c r="F279" s="4"/>
      <c r="G279" s="80"/>
    </row>
    <row r="280" spans="1:7" ht="20.100000000000001" customHeight="1" x14ac:dyDescent="0.25">
      <c r="A280" s="102"/>
      <c r="B280" s="30"/>
      <c r="C280" s="16"/>
      <c r="D280" s="16"/>
      <c r="E280" s="17"/>
      <c r="F280" s="4"/>
      <c r="G280" s="80"/>
    </row>
    <row r="281" spans="1:7" ht="20.100000000000001" customHeight="1" x14ac:dyDescent="0.25">
      <c r="A281" s="102"/>
      <c r="B281" s="30"/>
      <c r="C281" s="16"/>
      <c r="D281" s="16"/>
      <c r="E281" s="17"/>
      <c r="F281" s="4"/>
      <c r="G281" s="80"/>
    </row>
    <row r="282" spans="1:7" ht="20.100000000000001" customHeight="1" x14ac:dyDescent="0.25">
      <c r="A282" s="102"/>
      <c r="B282" s="30"/>
      <c r="C282" s="16"/>
      <c r="D282" s="16"/>
      <c r="E282" s="17"/>
      <c r="F282" s="4"/>
      <c r="G282" s="80"/>
    </row>
    <row r="283" spans="1:7" ht="20.100000000000001" customHeight="1" x14ac:dyDescent="0.25">
      <c r="A283" s="102"/>
      <c r="B283" s="30"/>
      <c r="C283" s="16"/>
      <c r="D283" s="16"/>
      <c r="E283" s="17"/>
      <c r="F283" s="4"/>
      <c r="G283" s="80"/>
    </row>
    <row r="284" spans="1:7" ht="20.100000000000001" customHeight="1" x14ac:dyDescent="0.25">
      <c r="A284" s="102"/>
      <c r="B284" s="30"/>
      <c r="C284" s="16"/>
      <c r="D284" s="16"/>
      <c r="E284" s="17"/>
      <c r="F284" s="4"/>
      <c r="G284" s="80"/>
    </row>
    <row r="285" spans="1:7" ht="20.100000000000001" customHeight="1" x14ac:dyDescent="0.25">
      <c r="A285" s="102"/>
      <c r="B285" s="30"/>
      <c r="C285" s="16"/>
      <c r="D285" s="16"/>
      <c r="E285" s="17"/>
      <c r="F285" s="4"/>
      <c r="G285" s="80"/>
    </row>
    <row r="286" spans="1:7" ht="20.100000000000001" customHeight="1" x14ac:dyDescent="0.25">
      <c r="A286" s="102"/>
      <c r="B286" s="30"/>
      <c r="C286" s="16"/>
      <c r="D286" s="16"/>
      <c r="E286" s="17"/>
      <c r="F286" s="4"/>
      <c r="G286" s="80"/>
    </row>
    <row r="287" spans="1:7" ht="20.100000000000001" customHeight="1" x14ac:dyDescent="0.25">
      <c r="A287" s="102"/>
      <c r="B287" s="30"/>
      <c r="C287" s="16"/>
      <c r="D287" s="16"/>
      <c r="E287" s="17"/>
      <c r="F287" s="4"/>
      <c r="G287" s="80"/>
    </row>
    <row r="288" spans="1:7" ht="20.100000000000001" customHeight="1" x14ac:dyDescent="0.25">
      <c r="A288" s="102"/>
      <c r="B288" s="30"/>
      <c r="C288" s="16"/>
      <c r="D288" s="16"/>
      <c r="E288" s="17"/>
      <c r="F288" s="4"/>
      <c r="G288" s="80"/>
    </row>
    <row r="289" spans="1:7" ht="20.100000000000001" customHeight="1" x14ac:dyDescent="0.25">
      <c r="A289" s="102"/>
      <c r="B289" s="30"/>
      <c r="C289" s="16"/>
      <c r="D289" s="16"/>
      <c r="E289" s="17"/>
      <c r="F289" s="4"/>
      <c r="G289" s="80"/>
    </row>
    <row r="290" spans="1:7" ht="20.100000000000001" customHeight="1" x14ac:dyDescent="0.25">
      <c r="A290" s="102"/>
      <c r="B290" s="30"/>
      <c r="C290" s="16"/>
      <c r="D290" s="16"/>
      <c r="E290" s="17"/>
      <c r="F290" s="4"/>
      <c r="G290" s="80"/>
    </row>
    <row r="291" spans="1:7" ht="20.100000000000001" customHeight="1" x14ac:dyDescent="0.25">
      <c r="A291" s="102"/>
      <c r="B291" s="30"/>
      <c r="C291" s="16"/>
      <c r="D291" s="16"/>
      <c r="E291" s="17"/>
      <c r="F291" s="4"/>
      <c r="G291" s="80"/>
    </row>
    <row r="292" spans="1:7" ht="20.100000000000001" customHeight="1" x14ac:dyDescent="0.25">
      <c r="A292" s="102"/>
      <c r="B292" s="30"/>
      <c r="C292" s="16"/>
      <c r="D292" s="16"/>
      <c r="E292" s="17"/>
      <c r="F292" s="4"/>
      <c r="G292" s="80"/>
    </row>
    <row r="293" spans="1:7" ht="20.100000000000001" customHeight="1" x14ac:dyDescent="0.25">
      <c r="A293" s="102"/>
      <c r="B293" s="30"/>
      <c r="C293" s="16"/>
      <c r="D293" s="16"/>
      <c r="E293" s="17"/>
      <c r="F293" s="4"/>
      <c r="G293" s="80"/>
    </row>
    <row r="294" spans="1:7" ht="20.100000000000001" customHeight="1" x14ac:dyDescent="0.25">
      <c r="A294" s="102"/>
      <c r="B294" s="30"/>
      <c r="C294" s="16"/>
      <c r="D294" s="16"/>
      <c r="E294" s="17"/>
      <c r="F294" s="4"/>
      <c r="G294" s="80"/>
    </row>
    <row r="295" spans="1:7" ht="20.100000000000001" customHeight="1" x14ac:dyDescent="0.25">
      <c r="A295" s="102"/>
      <c r="B295" s="30"/>
      <c r="C295" s="16"/>
      <c r="D295" s="16"/>
      <c r="E295" s="17"/>
      <c r="F295" s="4"/>
      <c r="G295" s="80"/>
    </row>
    <row r="296" spans="1:7" ht="20.100000000000001" customHeight="1" x14ac:dyDescent="0.25">
      <c r="A296" s="102"/>
      <c r="B296" s="30"/>
      <c r="C296" s="16"/>
      <c r="D296" s="16"/>
      <c r="E296" s="17"/>
      <c r="F296" s="4"/>
      <c r="G296" s="80"/>
    </row>
    <row r="297" spans="1:7" ht="20.100000000000001" customHeight="1" x14ac:dyDescent="0.25">
      <c r="A297" s="102"/>
      <c r="B297" s="30"/>
      <c r="C297" s="16"/>
      <c r="D297" s="16"/>
      <c r="E297" s="17"/>
      <c r="F297" s="4"/>
      <c r="G297" s="80"/>
    </row>
    <row r="298" spans="1:7" ht="20.100000000000001" customHeight="1" x14ac:dyDescent="0.25">
      <c r="A298" s="102"/>
      <c r="B298" s="30"/>
      <c r="C298" s="16"/>
      <c r="D298" s="16"/>
      <c r="E298" s="17"/>
      <c r="F298" s="4"/>
      <c r="G298" s="80"/>
    </row>
    <row r="299" spans="1:7" ht="20.100000000000001" customHeight="1" x14ac:dyDescent="0.25">
      <c r="A299" s="102"/>
      <c r="B299" s="30"/>
      <c r="C299" s="16"/>
      <c r="D299" s="16"/>
      <c r="E299" s="17"/>
      <c r="F299" s="4"/>
      <c r="G299" s="80"/>
    </row>
    <row r="300" spans="1:7" ht="20.100000000000001" customHeight="1" x14ac:dyDescent="0.25">
      <c r="A300" s="102"/>
      <c r="B300" s="30"/>
      <c r="C300" s="16"/>
      <c r="D300" s="16"/>
      <c r="E300" s="17"/>
      <c r="F300" s="4"/>
      <c r="G300" s="80"/>
    </row>
    <row r="301" spans="1:7" ht="20.100000000000001" customHeight="1" x14ac:dyDescent="0.25">
      <c r="A301" s="102"/>
      <c r="B301" s="30"/>
      <c r="C301" s="16"/>
      <c r="D301" s="16"/>
      <c r="E301" s="17"/>
      <c r="F301" s="4"/>
      <c r="G301" s="80"/>
    </row>
    <row r="302" spans="1:7" ht="20.100000000000001" customHeight="1" x14ac:dyDescent="0.25">
      <c r="A302" s="102"/>
      <c r="B302" s="30"/>
      <c r="C302" s="16"/>
      <c r="D302" s="16"/>
      <c r="E302" s="17"/>
      <c r="F302" s="4"/>
      <c r="G302" s="80"/>
    </row>
    <row r="303" spans="1:7" ht="20.100000000000001" customHeight="1" x14ac:dyDescent="0.25">
      <c r="A303" s="102"/>
      <c r="B303" s="30"/>
      <c r="C303" s="16"/>
      <c r="D303" s="16"/>
      <c r="E303" s="17"/>
      <c r="F303" s="4"/>
      <c r="G303" s="80"/>
    </row>
    <row r="304" spans="1:7" ht="20.100000000000001" customHeight="1" x14ac:dyDescent="0.25">
      <c r="A304" s="102"/>
      <c r="B304" s="30"/>
      <c r="C304" s="16"/>
      <c r="D304" s="16"/>
      <c r="E304" s="17"/>
      <c r="F304" s="4"/>
      <c r="G304" s="80"/>
    </row>
    <row r="305" spans="1:7" ht="20.100000000000001" customHeight="1" x14ac:dyDescent="0.25">
      <c r="A305" s="102"/>
      <c r="B305" s="30"/>
      <c r="C305" s="16"/>
      <c r="D305" s="16"/>
      <c r="E305" s="17"/>
      <c r="F305" s="4"/>
      <c r="G305" s="80"/>
    </row>
    <row r="306" spans="1:7" ht="20.100000000000001" customHeight="1" x14ac:dyDescent="0.25">
      <c r="A306" s="102"/>
      <c r="B306" s="30"/>
      <c r="C306" s="16"/>
      <c r="D306" s="16"/>
      <c r="E306" s="17"/>
      <c r="F306" s="4"/>
      <c r="G306" s="80"/>
    </row>
    <row r="307" spans="1:7" ht="20.100000000000001" customHeight="1" x14ac:dyDescent="0.25">
      <c r="A307" s="102"/>
      <c r="B307" s="30"/>
      <c r="C307" s="16"/>
      <c r="D307" s="16"/>
      <c r="E307" s="17"/>
      <c r="F307" s="4"/>
      <c r="G307" s="80"/>
    </row>
    <row r="308" spans="1:7" ht="20.100000000000001" customHeight="1" x14ac:dyDescent="0.25">
      <c r="A308" s="102"/>
      <c r="B308" s="30"/>
      <c r="C308" s="16"/>
      <c r="D308" s="16"/>
      <c r="E308" s="17"/>
      <c r="F308" s="4"/>
      <c r="G308" s="80"/>
    </row>
    <row r="309" spans="1:7" ht="20.100000000000001" customHeight="1" x14ac:dyDescent="0.25">
      <c r="A309" s="102"/>
      <c r="B309" s="30"/>
      <c r="C309" s="16"/>
      <c r="D309" s="16"/>
      <c r="E309" s="17"/>
      <c r="F309" s="4"/>
      <c r="G309" s="80"/>
    </row>
    <row r="310" spans="1:7" ht="20.100000000000001" customHeight="1" x14ac:dyDescent="0.25">
      <c r="A310" s="102"/>
      <c r="B310" s="30"/>
      <c r="C310" s="16"/>
      <c r="D310" s="16"/>
      <c r="E310" s="17"/>
      <c r="F310" s="4"/>
      <c r="G310" s="80"/>
    </row>
    <row r="311" spans="1:7" ht="20.100000000000001" customHeight="1" x14ac:dyDescent="0.25">
      <c r="A311" s="102"/>
      <c r="B311" s="30"/>
      <c r="C311" s="16"/>
      <c r="D311" s="16"/>
      <c r="E311" s="17"/>
      <c r="F311" s="4"/>
      <c r="G311" s="80"/>
    </row>
    <row r="312" spans="1:7" ht="20.100000000000001" customHeight="1" x14ac:dyDescent="0.25">
      <c r="A312" s="102"/>
      <c r="B312" s="30"/>
      <c r="C312" s="16"/>
      <c r="D312" s="16"/>
      <c r="E312" s="17"/>
      <c r="F312" s="4"/>
      <c r="G312" s="80"/>
    </row>
    <row r="313" spans="1:7" ht="20.100000000000001" customHeight="1" x14ac:dyDescent="0.25">
      <c r="A313" s="102"/>
      <c r="B313" s="30"/>
      <c r="C313" s="16"/>
      <c r="D313" s="16"/>
      <c r="E313" s="17"/>
      <c r="F313" s="4"/>
      <c r="G313" s="80"/>
    </row>
    <row r="314" spans="1:7" ht="20.100000000000001" customHeight="1" x14ac:dyDescent="0.25">
      <c r="A314" s="102"/>
      <c r="B314" s="30"/>
      <c r="C314" s="16"/>
      <c r="D314" s="16"/>
      <c r="E314" s="17"/>
      <c r="F314" s="4"/>
      <c r="G314" s="80"/>
    </row>
    <row r="315" spans="1:7" ht="20.100000000000001" customHeight="1" x14ac:dyDescent="0.25">
      <c r="A315" s="102"/>
      <c r="B315" s="30"/>
      <c r="C315" s="16"/>
      <c r="D315" s="16"/>
      <c r="E315" s="17"/>
      <c r="F315" s="4"/>
      <c r="G315" s="80"/>
    </row>
    <row r="316" spans="1:7" ht="20.100000000000001" customHeight="1" x14ac:dyDescent="0.25">
      <c r="A316" s="102"/>
      <c r="B316" s="30"/>
      <c r="C316" s="16"/>
      <c r="D316" s="16"/>
      <c r="E316" s="17"/>
      <c r="F316" s="4"/>
      <c r="G316" s="80"/>
    </row>
    <row r="317" spans="1:7" ht="20.100000000000001" customHeight="1" x14ac:dyDescent="0.25">
      <c r="A317" s="102"/>
      <c r="B317" s="30"/>
      <c r="C317" s="16"/>
      <c r="D317" s="16"/>
      <c r="E317" s="17"/>
      <c r="F317" s="4"/>
      <c r="G317" s="80"/>
    </row>
    <row r="318" spans="1:7" ht="20.100000000000001" customHeight="1" x14ac:dyDescent="0.25">
      <c r="A318" s="102"/>
      <c r="B318" s="30"/>
      <c r="C318" s="16"/>
      <c r="D318" s="16"/>
      <c r="E318" s="17"/>
      <c r="F318" s="4"/>
      <c r="G318" s="80"/>
    </row>
    <row r="319" spans="1:7" ht="20.100000000000001" customHeight="1" x14ac:dyDescent="0.25">
      <c r="A319" s="102"/>
      <c r="B319" s="30"/>
      <c r="C319" s="16"/>
      <c r="D319" s="16"/>
      <c r="E319" s="17"/>
      <c r="F319" s="4"/>
      <c r="G319" s="80"/>
    </row>
    <row r="320" spans="1:7" ht="20.100000000000001" customHeight="1" x14ac:dyDescent="0.25">
      <c r="A320" s="102"/>
      <c r="B320" s="30"/>
      <c r="C320" s="16"/>
      <c r="D320" s="16"/>
      <c r="E320" s="17"/>
      <c r="F320" s="4"/>
      <c r="G320" s="80"/>
    </row>
    <row r="321" spans="1:7" ht="20.100000000000001" customHeight="1" x14ac:dyDescent="0.25">
      <c r="A321" s="102"/>
      <c r="B321" s="30"/>
      <c r="C321" s="16"/>
      <c r="D321" s="16"/>
      <c r="E321" s="17"/>
      <c r="F321" s="4"/>
      <c r="G321" s="80"/>
    </row>
    <row r="322" spans="1:7" ht="20.100000000000001" customHeight="1" x14ac:dyDescent="0.25">
      <c r="A322" s="102"/>
      <c r="B322" s="30"/>
      <c r="C322" s="16"/>
      <c r="D322" s="16"/>
      <c r="E322" s="17"/>
      <c r="F322" s="4"/>
      <c r="G322" s="80"/>
    </row>
    <row r="323" spans="1:7" ht="20.100000000000001" customHeight="1" x14ac:dyDescent="0.25">
      <c r="A323" s="102"/>
      <c r="B323" s="30"/>
      <c r="C323" s="16"/>
      <c r="D323" s="16"/>
      <c r="E323" s="17"/>
      <c r="F323" s="4"/>
      <c r="G323" s="80"/>
    </row>
    <row r="324" spans="1:7" ht="20.100000000000001" customHeight="1" x14ac:dyDescent="0.25">
      <c r="A324" s="102"/>
      <c r="B324" s="30"/>
      <c r="C324" s="16"/>
      <c r="D324" s="16"/>
      <c r="E324" s="17"/>
      <c r="F324" s="4"/>
      <c r="G324" s="80"/>
    </row>
    <row r="325" spans="1:7" ht="20.100000000000001" customHeight="1" x14ac:dyDescent="0.25">
      <c r="A325" s="102"/>
      <c r="B325" s="30"/>
      <c r="C325" s="16"/>
      <c r="D325" s="16"/>
      <c r="E325" s="17"/>
      <c r="F325" s="4"/>
      <c r="G325" s="80"/>
    </row>
    <row r="326" spans="1:7" ht="20.100000000000001" customHeight="1" x14ac:dyDescent="0.25">
      <c r="A326" s="102"/>
      <c r="B326" s="30"/>
      <c r="C326" s="16"/>
      <c r="D326" s="16"/>
      <c r="E326" s="17"/>
      <c r="F326" s="4"/>
      <c r="G326" s="80"/>
    </row>
    <row r="327" spans="1:7" ht="20.100000000000001" customHeight="1" x14ac:dyDescent="0.25">
      <c r="A327" s="102"/>
      <c r="B327" s="30"/>
      <c r="C327" s="16"/>
      <c r="D327" s="16"/>
      <c r="E327" s="17"/>
      <c r="F327" s="4"/>
      <c r="G327" s="80"/>
    </row>
    <row r="328" spans="1:7" ht="20.100000000000001" customHeight="1" x14ac:dyDescent="0.25">
      <c r="A328" s="102"/>
      <c r="B328" s="30"/>
      <c r="C328" s="16"/>
      <c r="D328" s="16"/>
      <c r="E328" s="17"/>
      <c r="F328" s="4"/>
      <c r="G328" s="80"/>
    </row>
    <row r="329" spans="1:7" ht="20.100000000000001" customHeight="1" x14ac:dyDescent="0.25">
      <c r="A329" s="102"/>
      <c r="B329" s="30"/>
      <c r="C329" s="16"/>
      <c r="D329" s="16"/>
      <c r="E329" s="17"/>
      <c r="F329" s="4"/>
      <c r="G329" s="80"/>
    </row>
    <row r="330" spans="1:7" ht="20.100000000000001" customHeight="1" x14ac:dyDescent="0.25">
      <c r="A330" s="102"/>
      <c r="B330" s="30"/>
      <c r="C330" s="16"/>
      <c r="D330" s="16"/>
      <c r="E330" s="17"/>
      <c r="F330" s="4"/>
      <c r="G330" s="80"/>
    </row>
    <row r="331" spans="1:7" ht="20.100000000000001" customHeight="1" x14ac:dyDescent="0.25">
      <c r="A331" s="102"/>
      <c r="B331" s="30"/>
      <c r="C331" s="16"/>
      <c r="D331" s="16"/>
      <c r="E331" s="17"/>
      <c r="F331" s="4"/>
      <c r="G331" s="80"/>
    </row>
    <row r="332" spans="1:7" ht="20.100000000000001" customHeight="1" x14ac:dyDescent="0.25">
      <c r="A332" s="102"/>
      <c r="B332" s="30"/>
      <c r="C332" s="16"/>
      <c r="D332" s="16"/>
      <c r="E332" s="17"/>
      <c r="F332" s="4"/>
      <c r="G332" s="80"/>
    </row>
    <row r="333" spans="1:7" ht="20.100000000000001" customHeight="1" x14ac:dyDescent="0.25">
      <c r="A333" s="102"/>
      <c r="B333" s="30"/>
      <c r="C333" s="16"/>
      <c r="D333" s="16"/>
      <c r="E333" s="17"/>
      <c r="F333" s="4"/>
      <c r="G333" s="80"/>
    </row>
    <row r="334" spans="1:7" ht="20.100000000000001" customHeight="1" x14ac:dyDescent="0.25">
      <c r="A334" s="102"/>
      <c r="B334" s="30"/>
      <c r="C334" s="16"/>
      <c r="D334" s="16"/>
      <c r="E334" s="17"/>
      <c r="F334" s="4"/>
      <c r="G334" s="80"/>
    </row>
    <row r="335" spans="1:7" ht="20.100000000000001" customHeight="1" x14ac:dyDescent="0.25">
      <c r="A335" s="102"/>
      <c r="B335" s="30"/>
      <c r="C335" s="16"/>
      <c r="D335" s="16"/>
      <c r="E335" s="17"/>
      <c r="F335" s="4"/>
      <c r="G335" s="80"/>
    </row>
    <row r="336" spans="1:7" ht="20.100000000000001" customHeight="1" x14ac:dyDescent="0.25">
      <c r="A336" s="102"/>
      <c r="B336" s="30"/>
      <c r="C336" s="16"/>
      <c r="D336" s="16"/>
      <c r="E336" s="17"/>
      <c r="F336" s="4"/>
      <c r="G336" s="80"/>
    </row>
    <row r="337" spans="1:7" ht="20.100000000000001" customHeight="1" x14ac:dyDescent="0.25">
      <c r="A337" s="102"/>
      <c r="G337" s="80"/>
    </row>
    <row r="338" spans="1:7" ht="20.100000000000001" customHeight="1" x14ac:dyDescent="0.25">
      <c r="A338" s="102"/>
      <c r="G338" s="80"/>
    </row>
    <row r="339" spans="1:7" ht="20.100000000000001" customHeight="1" x14ac:dyDescent="0.25">
      <c r="A339" s="102"/>
      <c r="G339" s="80"/>
    </row>
    <row r="340" spans="1:7" ht="20.100000000000001" customHeight="1" x14ac:dyDescent="0.25">
      <c r="A340" s="102"/>
      <c r="G340" s="80"/>
    </row>
    <row r="341" spans="1:7" ht="20.100000000000001" customHeight="1" x14ac:dyDescent="0.25">
      <c r="A341" s="102"/>
      <c r="G341" s="80"/>
    </row>
    <row r="342" spans="1:7" ht="20.100000000000001" customHeight="1" x14ac:dyDescent="0.25">
      <c r="A342" s="102"/>
      <c r="G342" s="80"/>
    </row>
    <row r="343" spans="1:7" ht="20.100000000000001" customHeight="1" x14ac:dyDescent="0.25">
      <c r="A343" s="102"/>
      <c r="G343" s="80"/>
    </row>
    <row r="344" spans="1:7" ht="20.100000000000001" customHeight="1" x14ac:dyDescent="0.25">
      <c r="A344" s="102"/>
      <c r="G344" s="80"/>
    </row>
    <row r="345" spans="1:7" ht="20.100000000000001" customHeight="1" x14ac:dyDescent="0.25">
      <c r="A345" s="102"/>
      <c r="G345" s="80"/>
    </row>
    <row r="346" spans="1:7" ht="20.100000000000001" customHeight="1" x14ac:dyDescent="0.25">
      <c r="A346" s="102"/>
      <c r="G346" s="80"/>
    </row>
    <row r="347" spans="1:7" ht="20.100000000000001" customHeight="1" x14ac:dyDescent="0.25">
      <c r="A347" s="102"/>
      <c r="G347" s="80"/>
    </row>
    <row r="348" spans="1:7" ht="20.100000000000001" customHeight="1" x14ac:dyDescent="0.25">
      <c r="A348" s="102"/>
      <c r="G348" s="80"/>
    </row>
    <row r="349" spans="1:7" ht="20.100000000000001" customHeight="1" x14ac:dyDescent="0.25">
      <c r="A349" s="102"/>
      <c r="G349" s="80"/>
    </row>
    <row r="350" spans="1:7" ht="20.100000000000001" customHeight="1" x14ac:dyDescent="0.25">
      <c r="A350" s="102"/>
      <c r="G350" s="80"/>
    </row>
    <row r="351" spans="1:7" ht="20.100000000000001" customHeight="1" x14ac:dyDescent="0.25">
      <c r="A351" s="102"/>
      <c r="G351" s="80"/>
    </row>
    <row r="352" spans="1:7" ht="20.100000000000001" customHeight="1" x14ac:dyDescent="0.25">
      <c r="A352" s="102"/>
      <c r="G352" s="80"/>
    </row>
    <row r="353" spans="1:7" ht="20.100000000000001" customHeight="1" x14ac:dyDescent="0.25">
      <c r="A353" s="102"/>
      <c r="G353" s="80"/>
    </row>
    <row r="354" spans="1:7" ht="20.100000000000001" customHeight="1" x14ac:dyDescent="0.25">
      <c r="A354" s="102"/>
      <c r="G354" s="80"/>
    </row>
    <row r="355" spans="1:7" ht="20.100000000000001" customHeight="1" x14ac:dyDescent="0.25">
      <c r="A355" s="102"/>
      <c r="G355" s="80"/>
    </row>
    <row r="356" spans="1:7" ht="20.100000000000001" customHeight="1" x14ac:dyDescent="0.25">
      <c r="A356" s="102"/>
      <c r="G356" s="80"/>
    </row>
    <row r="357" spans="1:7" ht="20.100000000000001" customHeight="1" x14ac:dyDescent="0.25">
      <c r="A357" s="102"/>
      <c r="G357" s="80"/>
    </row>
    <row r="358" spans="1:7" ht="20.100000000000001" customHeight="1" x14ac:dyDescent="0.25">
      <c r="A358" s="102"/>
      <c r="G358" s="80"/>
    </row>
    <row r="359" spans="1:7" ht="20.100000000000001" customHeight="1" x14ac:dyDescent="0.25">
      <c r="A359" s="102"/>
      <c r="G359" s="80"/>
    </row>
    <row r="360" spans="1:7" ht="20.100000000000001" customHeight="1" x14ac:dyDescent="0.25">
      <c r="A360" s="102"/>
      <c r="G360" s="80"/>
    </row>
    <row r="361" spans="1:7" ht="20.100000000000001" customHeight="1" x14ac:dyDescent="0.25">
      <c r="A361" s="102"/>
      <c r="G361" s="80"/>
    </row>
    <row r="362" spans="1:7" ht="20.100000000000001" customHeight="1" x14ac:dyDescent="0.25">
      <c r="A362" s="102"/>
      <c r="G362" s="80"/>
    </row>
    <row r="363" spans="1:7" ht="20.100000000000001" customHeight="1" x14ac:dyDescent="0.25">
      <c r="A363" s="102"/>
      <c r="G363" s="80"/>
    </row>
    <row r="364" spans="1:7" ht="20.100000000000001" customHeight="1" x14ac:dyDescent="0.25">
      <c r="A364" s="102"/>
      <c r="G364" s="80"/>
    </row>
    <row r="365" spans="1:7" ht="20.100000000000001" customHeight="1" x14ac:dyDescent="0.25">
      <c r="A365" s="102"/>
      <c r="G365" s="80"/>
    </row>
    <row r="366" spans="1:7" ht="20.100000000000001" customHeight="1" x14ac:dyDescent="0.25">
      <c r="A366" s="102"/>
      <c r="G366" s="80"/>
    </row>
    <row r="367" spans="1:7" ht="20.100000000000001" customHeight="1" x14ac:dyDescent="0.25">
      <c r="A367" s="102"/>
      <c r="G367" s="80"/>
    </row>
    <row r="368" spans="1:7" ht="20.100000000000001" customHeight="1" x14ac:dyDescent="0.25">
      <c r="A368" s="102"/>
      <c r="G368" s="80"/>
    </row>
    <row r="369" spans="1:7" ht="20.100000000000001" customHeight="1" x14ac:dyDescent="0.25">
      <c r="A369" s="102"/>
      <c r="G369" s="80"/>
    </row>
    <row r="370" spans="1:7" ht="20.100000000000001" customHeight="1" x14ac:dyDescent="0.25">
      <c r="A370" s="102"/>
      <c r="G370" s="80"/>
    </row>
    <row r="371" spans="1:7" ht="20.100000000000001" customHeight="1" x14ac:dyDescent="0.25">
      <c r="A371" s="102"/>
      <c r="G371" s="80"/>
    </row>
    <row r="372" spans="1:7" ht="20.100000000000001" customHeight="1" x14ac:dyDescent="0.25">
      <c r="A372" s="102"/>
      <c r="G372" s="80"/>
    </row>
    <row r="373" spans="1:7" ht="20.100000000000001" customHeight="1" x14ac:dyDescent="0.25">
      <c r="A373" s="102"/>
      <c r="G373" s="80"/>
    </row>
    <row r="374" spans="1:7" ht="20.100000000000001" customHeight="1" x14ac:dyDescent="0.25">
      <c r="A374" s="102"/>
      <c r="G374" s="80"/>
    </row>
    <row r="375" spans="1:7" ht="20.100000000000001" customHeight="1" x14ac:dyDescent="0.25">
      <c r="A375" s="102"/>
      <c r="G375" s="80"/>
    </row>
    <row r="376" spans="1:7" ht="20.100000000000001" customHeight="1" x14ac:dyDescent="0.25">
      <c r="A376" s="102"/>
      <c r="G376" s="80"/>
    </row>
    <row r="377" spans="1:7" ht="20.100000000000001" customHeight="1" x14ac:dyDescent="0.25">
      <c r="A377" s="102"/>
      <c r="G377" s="80"/>
    </row>
    <row r="378" spans="1:7" ht="20.100000000000001" customHeight="1" x14ac:dyDescent="0.25">
      <c r="A378" s="102"/>
      <c r="G378" s="80"/>
    </row>
    <row r="379" spans="1:7" ht="20.100000000000001" customHeight="1" x14ac:dyDescent="0.25">
      <c r="A379" s="102"/>
      <c r="G379" s="80"/>
    </row>
    <row r="380" spans="1:7" ht="20.100000000000001" customHeight="1" x14ac:dyDescent="0.25">
      <c r="A380" s="102"/>
      <c r="G380" s="80"/>
    </row>
    <row r="381" spans="1:7" ht="20.100000000000001" customHeight="1" x14ac:dyDescent="0.25">
      <c r="A381" s="102"/>
      <c r="G381" s="80"/>
    </row>
    <row r="382" spans="1:7" ht="20.100000000000001" customHeight="1" x14ac:dyDescent="0.25">
      <c r="A382" s="102"/>
      <c r="G382" s="80"/>
    </row>
    <row r="383" spans="1:7" ht="20.100000000000001" customHeight="1" x14ac:dyDescent="0.25">
      <c r="A383" s="102"/>
      <c r="G383" s="80"/>
    </row>
    <row r="384" spans="1:7" ht="20.100000000000001" customHeight="1" x14ac:dyDescent="0.25">
      <c r="A384" s="102"/>
      <c r="G384" s="80"/>
    </row>
    <row r="385" spans="1:7" ht="20.100000000000001" customHeight="1" x14ac:dyDescent="0.25">
      <c r="A385" s="102"/>
      <c r="G385" s="80"/>
    </row>
    <row r="386" spans="1:7" ht="20.100000000000001" customHeight="1" x14ac:dyDescent="0.25">
      <c r="A386" s="102"/>
      <c r="G386" s="80"/>
    </row>
    <row r="387" spans="1:7" ht="20.100000000000001" customHeight="1" x14ac:dyDescent="0.25">
      <c r="A387" s="102"/>
      <c r="G387" s="80"/>
    </row>
    <row r="388" spans="1:7" ht="20.100000000000001" customHeight="1" x14ac:dyDescent="0.25">
      <c r="A388" s="102"/>
      <c r="G388" s="80"/>
    </row>
    <row r="389" spans="1:7" ht="20.100000000000001" customHeight="1" x14ac:dyDescent="0.25">
      <c r="A389" s="102"/>
      <c r="G389" s="80"/>
    </row>
    <row r="390" spans="1:7" ht="20.100000000000001" customHeight="1" x14ac:dyDescent="0.25">
      <c r="A390" s="102"/>
      <c r="G390" s="80"/>
    </row>
    <row r="391" spans="1:7" ht="20.100000000000001" customHeight="1" x14ac:dyDescent="0.25">
      <c r="A391" s="102"/>
      <c r="G391" s="80"/>
    </row>
    <row r="392" spans="1:7" ht="20.100000000000001" customHeight="1" x14ac:dyDescent="0.25">
      <c r="A392" s="102"/>
      <c r="G392" s="80"/>
    </row>
    <row r="393" spans="1:7" ht="20.100000000000001" customHeight="1" x14ac:dyDescent="0.25">
      <c r="A393" s="102"/>
      <c r="G393" s="80"/>
    </row>
    <row r="394" spans="1:7" ht="20.100000000000001" customHeight="1" x14ac:dyDescent="0.25">
      <c r="A394" s="102"/>
      <c r="G394" s="80"/>
    </row>
    <row r="395" spans="1:7" ht="20.100000000000001" customHeight="1" x14ac:dyDescent="0.25">
      <c r="A395" s="102"/>
      <c r="G395" s="80"/>
    </row>
    <row r="396" spans="1:7" ht="20.100000000000001" customHeight="1" x14ac:dyDescent="0.25">
      <c r="A396" s="102"/>
      <c r="G396" s="80"/>
    </row>
    <row r="397" spans="1:7" ht="20.100000000000001" customHeight="1" x14ac:dyDescent="0.25">
      <c r="A397" s="102"/>
      <c r="G397" s="80"/>
    </row>
    <row r="398" spans="1:7" ht="20.100000000000001" customHeight="1" x14ac:dyDescent="0.25">
      <c r="A398" s="102"/>
      <c r="G398" s="80"/>
    </row>
    <row r="399" spans="1:7" ht="20.100000000000001" customHeight="1" x14ac:dyDescent="0.25">
      <c r="A399" s="102"/>
      <c r="G399" s="80"/>
    </row>
    <row r="400" spans="1:7" ht="20.100000000000001" customHeight="1" x14ac:dyDescent="0.25">
      <c r="A400" s="102"/>
      <c r="G400" s="80"/>
    </row>
    <row r="401" spans="1:7" ht="20.100000000000001" customHeight="1" x14ac:dyDescent="0.25">
      <c r="A401" s="102"/>
      <c r="G401" s="80"/>
    </row>
    <row r="402" spans="1:7" ht="20.100000000000001" customHeight="1" x14ac:dyDescent="0.25">
      <c r="A402" s="102"/>
      <c r="G402" s="80"/>
    </row>
    <row r="403" spans="1:7" ht="20.100000000000001" customHeight="1" x14ac:dyDescent="0.25">
      <c r="A403" s="102"/>
      <c r="G403" s="80"/>
    </row>
    <row r="404" spans="1:7" ht="20.100000000000001" customHeight="1" x14ac:dyDescent="0.25">
      <c r="A404" s="102"/>
      <c r="G404" s="80"/>
    </row>
    <row r="405" spans="1:7" ht="20.100000000000001" customHeight="1" x14ac:dyDescent="0.25">
      <c r="A405" s="102"/>
      <c r="G405" s="80"/>
    </row>
    <row r="406" spans="1:7" ht="20.100000000000001" customHeight="1" x14ac:dyDescent="0.25">
      <c r="A406" s="102"/>
      <c r="G406" s="80"/>
    </row>
    <row r="407" spans="1:7" ht="20.100000000000001" customHeight="1" x14ac:dyDescent="0.25">
      <c r="A407" s="102"/>
      <c r="G407" s="80"/>
    </row>
    <row r="408" spans="1:7" ht="20.100000000000001" customHeight="1" x14ac:dyDescent="0.25">
      <c r="A408" s="102"/>
      <c r="G408" s="80"/>
    </row>
    <row r="409" spans="1:7" ht="20.100000000000001" customHeight="1" x14ac:dyDescent="0.25">
      <c r="A409" s="102"/>
      <c r="G409" s="80"/>
    </row>
    <row r="410" spans="1:7" ht="20.100000000000001" customHeight="1" x14ac:dyDescent="0.25">
      <c r="A410" s="102"/>
      <c r="G410" s="80"/>
    </row>
    <row r="411" spans="1:7" ht="20.100000000000001" customHeight="1" x14ac:dyDescent="0.25">
      <c r="A411" s="102"/>
      <c r="G411" s="80"/>
    </row>
    <row r="412" spans="1:7" ht="20.100000000000001" customHeight="1" x14ac:dyDescent="0.25">
      <c r="A412" s="102"/>
      <c r="G412" s="80"/>
    </row>
    <row r="413" spans="1:7" ht="20.100000000000001" customHeight="1" x14ac:dyDescent="0.25">
      <c r="A413" s="102"/>
      <c r="G413" s="80"/>
    </row>
    <row r="414" spans="1:7" ht="20.100000000000001" customHeight="1" x14ac:dyDescent="0.25">
      <c r="A414" s="102"/>
      <c r="G414" s="80"/>
    </row>
    <row r="415" spans="1:7" ht="20.100000000000001" customHeight="1" x14ac:dyDescent="0.25">
      <c r="A415" s="102"/>
      <c r="G415" s="80"/>
    </row>
    <row r="416" spans="1:7" ht="20.100000000000001" customHeight="1" x14ac:dyDescent="0.25">
      <c r="A416" s="102"/>
      <c r="G416" s="80"/>
    </row>
    <row r="417" spans="1:7" ht="20.100000000000001" customHeight="1" x14ac:dyDescent="0.25">
      <c r="A417" s="102"/>
      <c r="G417" s="80"/>
    </row>
    <row r="418" spans="1:7" ht="20.100000000000001" customHeight="1" x14ac:dyDescent="0.25">
      <c r="A418" s="102"/>
      <c r="G418" s="80"/>
    </row>
    <row r="419" spans="1:7" ht="20.100000000000001" customHeight="1" x14ac:dyDescent="0.25">
      <c r="A419" s="102"/>
      <c r="G419" s="80"/>
    </row>
    <row r="420" spans="1:7" ht="20.100000000000001" customHeight="1" x14ac:dyDescent="0.25">
      <c r="A420" s="102"/>
      <c r="G420" s="80"/>
    </row>
    <row r="421" spans="1:7" ht="20.100000000000001" customHeight="1" x14ac:dyDescent="0.25">
      <c r="A421" s="102"/>
      <c r="G421" s="80"/>
    </row>
    <row r="422" spans="1:7" ht="20.100000000000001" customHeight="1" x14ac:dyDescent="0.25">
      <c r="A422" s="102"/>
      <c r="G422" s="80"/>
    </row>
    <row r="423" spans="1:7" ht="20.100000000000001" customHeight="1" x14ac:dyDescent="0.25">
      <c r="A423" s="102"/>
      <c r="G423" s="80"/>
    </row>
    <row r="424" spans="1:7" ht="20.100000000000001" customHeight="1" x14ac:dyDescent="0.25">
      <c r="A424" s="102"/>
      <c r="G424" s="80"/>
    </row>
    <row r="425" spans="1:7" ht="20.100000000000001" customHeight="1" x14ac:dyDescent="0.25">
      <c r="A425" s="102"/>
      <c r="G425" s="80"/>
    </row>
    <row r="426" spans="1:7" ht="20.100000000000001" customHeight="1" x14ac:dyDescent="0.25">
      <c r="A426" s="102"/>
      <c r="G426" s="80"/>
    </row>
    <row r="427" spans="1:7" ht="20.100000000000001" customHeight="1" x14ac:dyDescent="0.25">
      <c r="A427" s="102"/>
      <c r="G427" s="80"/>
    </row>
    <row r="428" spans="1:7" ht="20.100000000000001" customHeight="1" x14ac:dyDescent="0.25">
      <c r="A428" s="102"/>
      <c r="G428" s="80"/>
    </row>
    <row r="429" spans="1:7" ht="20.100000000000001" customHeight="1" x14ac:dyDescent="0.25">
      <c r="A429" s="102"/>
      <c r="G429" s="80"/>
    </row>
    <row r="430" spans="1:7" ht="20.100000000000001" customHeight="1" x14ac:dyDescent="0.25">
      <c r="A430" s="102"/>
      <c r="G430" s="80"/>
    </row>
    <row r="431" spans="1:7" ht="20.100000000000001" customHeight="1" x14ac:dyDescent="0.25">
      <c r="A431" s="102"/>
      <c r="G431" s="80"/>
    </row>
    <row r="432" spans="1:7" ht="20.100000000000001" customHeight="1" x14ac:dyDescent="0.25">
      <c r="A432" s="102"/>
      <c r="G432" s="80"/>
    </row>
    <row r="433" spans="1:7" ht="20.100000000000001" customHeight="1" x14ac:dyDescent="0.25">
      <c r="A433" s="102"/>
      <c r="G433" s="80"/>
    </row>
    <row r="434" spans="1:7" ht="20.100000000000001" customHeight="1" x14ac:dyDescent="0.25">
      <c r="A434" s="102"/>
      <c r="G434" s="80"/>
    </row>
    <row r="435" spans="1:7" ht="20.100000000000001" customHeight="1" x14ac:dyDescent="0.25">
      <c r="A435" s="102"/>
      <c r="G435" s="80"/>
    </row>
    <row r="436" spans="1:7" ht="20.100000000000001" customHeight="1" x14ac:dyDescent="0.25">
      <c r="A436" s="102"/>
      <c r="G436" s="80"/>
    </row>
    <row r="437" spans="1:7" ht="20.100000000000001" customHeight="1" x14ac:dyDescent="0.25">
      <c r="A437" s="102"/>
      <c r="G437" s="80"/>
    </row>
    <row r="438" spans="1:7" ht="20.100000000000001" customHeight="1" x14ac:dyDescent="0.25">
      <c r="A438" s="102"/>
      <c r="G438" s="80"/>
    </row>
    <row r="439" spans="1:7" ht="20.100000000000001" customHeight="1" x14ac:dyDescent="0.25">
      <c r="A439" s="102"/>
      <c r="G439" s="80"/>
    </row>
    <row r="440" spans="1:7" ht="20.100000000000001" customHeight="1" x14ac:dyDescent="0.25">
      <c r="A440" s="102"/>
      <c r="G440" s="80"/>
    </row>
    <row r="441" spans="1:7" ht="20.100000000000001" customHeight="1" x14ac:dyDescent="0.25">
      <c r="A441" s="102"/>
      <c r="G441" s="80"/>
    </row>
    <row r="442" spans="1:7" ht="20.100000000000001" customHeight="1" x14ac:dyDescent="0.25">
      <c r="A442" s="102"/>
      <c r="G442" s="80"/>
    </row>
    <row r="443" spans="1:7" ht="20.100000000000001" customHeight="1" x14ac:dyDescent="0.25">
      <c r="A443" s="102"/>
      <c r="G443" s="80"/>
    </row>
    <row r="444" spans="1:7" ht="20.100000000000001" customHeight="1" x14ac:dyDescent="0.25">
      <c r="A444" s="102"/>
      <c r="G444" s="80"/>
    </row>
    <row r="445" spans="1:7" ht="20.100000000000001" customHeight="1" x14ac:dyDescent="0.25">
      <c r="A445" s="102"/>
      <c r="G445" s="80"/>
    </row>
    <row r="446" spans="1:7" ht="20.100000000000001" customHeight="1" x14ac:dyDescent="0.25">
      <c r="A446" s="102"/>
      <c r="G446" s="80"/>
    </row>
    <row r="447" spans="1:7" ht="20.100000000000001" customHeight="1" x14ac:dyDescent="0.25">
      <c r="A447" s="102"/>
      <c r="G447" s="80"/>
    </row>
    <row r="448" spans="1:7" ht="20.100000000000001" customHeight="1" x14ac:dyDescent="0.25">
      <c r="A448" s="102"/>
      <c r="G448" s="80"/>
    </row>
    <row r="449" spans="1:7" ht="20.100000000000001" customHeight="1" x14ac:dyDescent="0.25">
      <c r="A449" s="102"/>
      <c r="G449" s="80"/>
    </row>
    <row r="450" spans="1:7" ht="20.100000000000001" customHeight="1" x14ac:dyDescent="0.25">
      <c r="A450" s="102"/>
      <c r="G450" s="80"/>
    </row>
    <row r="451" spans="1:7" ht="20.100000000000001" customHeight="1" x14ac:dyDescent="0.25">
      <c r="A451" s="102"/>
      <c r="G451" s="80"/>
    </row>
    <row r="452" spans="1:7" ht="20.100000000000001" customHeight="1" x14ac:dyDescent="0.25">
      <c r="A452" s="102"/>
      <c r="G452" s="80"/>
    </row>
    <row r="453" spans="1:7" ht="20.100000000000001" customHeight="1" x14ac:dyDescent="0.25">
      <c r="A453" s="102"/>
      <c r="G453" s="80"/>
    </row>
    <row r="454" spans="1:7" ht="20.100000000000001" customHeight="1" x14ac:dyDescent="0.25">
      <c r="A454" s="102"/>
      <c r="G454" s="80"/>
    </row>
    <row r="455" spans="1:7" ht="20.100000000000001" customHeight="1" x14ac:dyDescent="0.25">
      <c r="A455" s="102"/>
      <c r="G455" s="80"/>
    </row>
    <row r="456" spans="1:7" ht="20.100000000000001" customHeight="1" x14ac:dyDescent="0.25">
      <c r="A456" s="102"/>
      <c r="G456" s="80"/>
    </row>
    <row r="457" spans="1:7" ht="20.100000000000001" customHeight="1" x14ac:dyDescent="0.25">
      <c r="A457" s="102"/>
      <c r="G457" s="80"/>
    </row>
    <row r="458" spans="1:7" ht="20.100000000000001" customHeight="1" x14ac:dyDescent="0.25">
      <c r="A458" s="102"/>
      <c r="G458" s="80"/>
    </row>
    <row r="459" spans="1:7" ht="20.100000000000001" customHeight="1" x14ac:dyDescent="0.25">
      <c r="A459" s="102"/>
      <c r="G459" s="80"/>
    </row>
    <row r="460" spans="1:7" ht="20.100000000000001" customHeight="1" x14ac:dyDescent="0.25">
      <c r="A460" s="102"/>
      <c r="G460" s="80"/>
    </row>
    <row r="461" spans="1:7" ht="20.100000000000001" customHeight="1" x14ac:dyDescent="0.25">
      <c r="A461" s="102"/>
      <c r="G461" s="80"/>
    </row>
    <row r="462" spans="1:7" ht="20.100000000000001" customHeight="1" x14ac:dyDescent="0.25">
      <c r="A462" s="102"/>
      <c r="G462" s="80"/>
    </row>
    <row r="463" spans="1:7" ht="20.100000000000001" customHeight="1" x14ac:dyDescent="0.25">
      <c r="A463" s="102"/>
      <c r="G463" s="80"/>
    </row>
    <row r="464" spans="1:7" ht="20.100000000000001" customHeight="1" x14ac:dyDescent="0.25">
      <c r="A464" s="102"/>
      <c r="G464" s="80"/>
    </row>
    <row r="465" spans="1:7" ht="20.100000000000001" customHeight="1" x14ac:dyDescent="0.25">
      <c r="A465" s="102"/>
      <c r="G465" s="80"/>
    </row>
    <row r="466" spans="1:7" ht="20.100000000000001" customHeight="1" x14ac:dyDescent="0.25">
      <c r="A466" s="102"/>
      <c r="G466" s="80"/>
    </row>
    <row r="467" spans="1:7" ht="20.100000000000001" customHeight="1" x14ac:dyDescent="0.25">
      <c r="A467" s="102"/>
      <c r="G467" s="80"/>
    </row>
    <row r="468" spans="1:7" ht="20.100000000000001" customHeight="1" x14ac:dyDescent="0.25">
      <c r="A468" s="102"/>
      <c r="G468" s="80"/>
    </row>
    <row r="469" spans="1:7" ht="20.100000000000001" customHeight="1" x14ac:dyDescent="0.25">
      <c r="A469" s="102"/>
      <c r="G469" s="80"/>
    </row>
    <row r="470" spans="1:7" ht="20.100000000000001" customHeight="1" x14ac:dyDescent="0.25">
      <c r="A470" s="102"/>
      <c r="G470" s="80"/>
    </row>
    <row r="471" spans="1:7" ht="20.100000000000001" customHeight="1" x14ac:dyDescent="0.25">
      <c r="A471" s="102"/>
      <c r="G471" s="80"/>
    </row>
    <row r="472" spans="1:7" ht="20.100000000000001" customHeight="1" x14ac:dyDescent="0.25">
      <c r="A472" s="102"/>
      <c r="G472" s="80"/>
    </row>
    <row r="473" spans="1:7" ht="20.100000000000001" customHeight="1" x14ac:dyDescent="0.25">
      <c r="A473" s="102"/>
      <c r="G473" s="80"/>
    </row>
    <row r="474" spans="1:7" ht="20.100000000000001" customHeight="1" x14ac:dyDescent="0.25">
      <c r="A474" s="102"/>
      <c r="G474" s="80"/>
    </row>
    <row r="475" spans="1:7" ht="20.100000000000001" customHeight="1" x14ac:dyDescent="0.25">
      <c r="A475" s="102"/>
      <c r="G475" s="80"/>
    </row>
    <row r="476" spans="1:7" ht="20.100000000000001" customHeight="1" x14ac:dyDescent="0.25">
      <c r="A476" s="102"/>
      <c r="G476" s="80"/>
    </row>
    <row r="477" spans="1:7" ht="20.100000000000001" customHeight="1" x14ac:dyDescent="0.25">
      <c r="A477" s="102"/>
      <c r="G477" s="80"/>
    </row>
    <row r="478" spans="1:7" ht="20.100000000000001" customHeight="1" x14ac:dyDescent="0.25">
      <c r="A478" s="102"/>
      <c r="G478" s="80"/>
    </row>
    <row r="479" spans="1:7" ht="20.100000000000001" customHeight="1" x14ac:dyDescent="0.25">
      <c r="A479" s="102"/>
      <c r="G479" s="80"/>
    </row>
    <row r="480" spans="1:7" ht="20.100000000000001" customHeight="1" x14ac:dyDescent="0.25">
      <c r="A480" s="102"/>
      <c r="G480" s="80"/>
    </row>
    <row r="481" spans="1:7" ht="20.100000000000001" customHeight="1" x14ac:dyDescent="0.25">
      <c r="A481" s="102"/>
      <c r="G481" s="80"/>
    </row>
    <row r="482" spans="1:7" ht="20.100000000000001" customHeight="1" x14ac:dyDescent="0.25">
      <c r="A482" s="102"/>
      <c r="G482" s="80"/>
    </row>
    <row r="483" spans="1:7" ht="20.100000000000001" customHeight="1" x14ac:dyDescent="0.25">
      <c r="A483" s="102"/>
      <c r="G483" s="80"/>
    </row>
    <row r="484" spans="1:7" ht="20.100000000000001" customHeight="1" x14ac:dyDescent="0.25">
      <c r="A484" s="102"/>
      <c r="G484" s="80"/>
    </row>
    <row r="485" spans="1:7" ht="20.100000000000001" customHeight="1" x14ac:dyDescent="0.25">
      <c r="A485" s="102"/>
      <c r="G485" s="80"/>
    </row>
    <row r="486" spans="1:7" ht="20.100000000000001" customHeight="1" x14ac:dyDescent="0.25">
      <c r="A486" s="102"/>
      <c r="G486" s="80"/>
    </row>
    <row r="487" spans="1:7" ht="20.100000000000001" customHeight="1" x14ac:dyDescent="0.25">
      <c r="A487" s="102"/>
      <c r="G487" s="80"/>
    </row>
    <row r="488" spans="1:7" ht="20.100000000000001" customHeight="1" x14ac:dyDescent="0.25">
      <c r="A488" s="102"/>
      <c r="G488" s="80"/>
    </row>
    <row r="489" spans="1:7" ht="20.100000000000001" customHeight="1" x14ac:dyDescent="0.25">
      <c r="A489" s="102"/>
      <c r="G489" s="80"/>
    </row>
    <row r="490" spans="1:7" ht="20.100000000000001" customHeight="1" x14ac:dyDescent="0.25">
      <c r="A490" s="102"/>
      <c r="G490" s="80"/>
    </row>
    <row r="491" spans="1:7" ht="20.100000000000001" customHeight="1" x14ac:dyDescent="0.25">
      <c r="A491" s="102"/>
      <c r="G491" s="80"/>
    </row>
    <row r="492" spans="1:7" ht="20.100000000000001" customHeight="1" x14ac:dyDescent="0.25">
      <c r="A492" s="102"/>
      <c r="G492" s="80"/>
    </row>
    <row r="493" spans="1:7" ht="20.100000000000001" customHeight="1" x14ac:dyDescent="0.25">
      <c r="A493" s="102"/>
      <c r="G493" s="80"/>
    </row>
    <row r="494" spans="1:7" ht="20.100000000000001" customHeight="1" x14ac:dyDescent="0.25">
      <c r="A494" s="102"/>
      <c r="G494" s="80"/>
    </row>
    <row r="495" spans="1:7" ht="20.100000000000001" customHeight="1" x14ac:dyDescent="0.25">
      <c r="A495" s="102"/>
      <c r="G495" s="80"/>
    </row>
    <row r="496" spans="1:7" ht="20.100000000000001" customHeight="1" x14ac:dyDescent="0.25">
      <c r="A496" s="102"/>
      <c r="G496" s="80"/>
    </row>
    <row r="497" spans="1:7" ht="20.100000000000001" customHeight="1" x14ac:dyDescent="0.25">
      <c r="A497" s="102"/>
      <c r="G497" s="80"/>
    </row>
    <row r="498" spans="1:7" ht="20.100000000000001" customHeight="1" x14ac:dyDescent="0.25">
      <c r="A498" s="102"/>
      <c r="G498" s="80"/>
    </row>
    <row r="499" spans="1:7" ht="20.100000000000001" customHeight="1" x14ac:dyDescent="0.25">
      <c r="A499" s="102"/>
      <c r="G499" s="80"/>
    </row>
    <row r="500" spans="1:7" ht="20.100000000000001" customHeight="1" x14ac:dyDescent="0.25">
      <c r="A500" s="102"/>
      <c r="G500" s="80"/>
    </row>
    <row r="501" spans="1:7" ht="20.100000000000001" customHeight="1" x14ac:dyDescent="0.25">
      <c r="A501" s="102"/>
      <c r="G501" s="80"/>
    </row>
    <row r="502" spans="1:7" ht="20.100000000000001" customHeight="1" x14ac:dyDescent="0.25">
      <c r="A502" s="102"/>
      <c r="G502" s="80"/>
    </row>
    <row r="503" spans="1:7" ht="20.100000000000001" customHeight="1" x14ac:dyDescent="0.25">
      <c r="A503" s="102"/>
      <c r="G503" s="80"/>
    </row>
    <row r="504" spans="1:7" ht="20.100000000000001" customHeight="1" x14ac:dyDescent="0.25">
      <c r="A504" s="102"/>
      <c r="G504" s="80"/>
    </row>
    <row r="505" spans="1:7" ht="20.100000000000001" customHeight="1" x14ac:dyDescent="0.25">
      <c r="A505" s="102"/>
      <c r="G505" s="80"/>
    </row>
    <row r="506" spans="1:7" ht="20.100000000000001" customHeight="1" x14ac:dyDescent="0.25">
      <c r="A506" s="102"/>
      <c r="G506" s="80"/>
    </row>
    <row r="507" spans="1:7" ht="20.100000000000001" customHeight="1" x14ac:dyDescent="0.25">
      <c r="A507" s="102"/>
      <c r="G507" s="80"/>
    </row>
    <row r="508" spans="1:7" ht="20.100000000000001" customHeight="1" x14ac:dyDescent="0.25">
      <c r="A508" s="102"/>
      <c r="G508" s="80"/>
    </row>
    <row r="509" spans="1:7" ht="20.100000000000001" customHeight="1" x14ac:dyDescent="0.25">
      <c r="A509" s="102"/>
      <c r="G509" s="80"/>
    </row>
    <row r="510" spans="1:7" ht="20.100000000000001" customHeight="1" x14ac:dyDescent="0.25">
      <c r="A510" s="102"/>
      <c r="G510" s="80"/>
    </row>
    <row r="511" spans="1:7" ht="20.100000000000001" customHeight="1" x14ac:dyDescent="0.25">
      <c r="A511" s="102"/>
      <c r="G511" s="80"/>
    </row>
    <row r="512" spans="1:7" ht="20.100000000000001" customHeight="1" x14ac:dyDescent="0.25">
      <c r="A512" s="102"/>
      <c r="G512" s="80"/>
    </row>
    <row r="513" spans="1:7" ht="20.100000000000001" customHeight="1" x14ac:dyDescent="0.25">
      <c r="A513" s="102"/>
      <c r="G513" s="80"/>
    </row>
    <row r="514" spans="1:7" ht="20.100000000000001" customHeight="1" x14ac:dyDescent="0.25">
      <c r="A514" s="102"/>
      <c r="G514" s="80"/>
    </row>
    <row r="515" spans="1:7" ht="20.100000000000001" customHeight="1" x14ac:dyDescent="0.25">
      <c r="A515" s="102"/>
      <c r="G515" s="80"/>
    </row>
    <row r="516" spans="1:7" ht="20.100000000000001" customHeight="1" x14ac:dyDescent="0.25">
      <c r="A516" s="102"/>
      <c r="G516" s="80"/>
    </row>
    <row r="517" spans="1:7" ht="20.100000000000001" customHeight="1" x14ac:dyDescent="0.25">
      <c r="A517" s="102"/>
      <c r="G517" s="80"/>
    </row>
    <row r="518" spans="1:7" ht="20.100000000000001" customHeight="1" x14ac:dyDescent="0.25">
      <c r="A518" s="102"/>
      <c r="G518" s="80"/>
    </row>
    <row r="519" spans="1:7" ht="20.100000000000001" customHeight="1" x14ac:dyDescent="0.25">
      <c r="A519" s="102"/>
      <c r="G519" s="80"/>
    </row>
    <row r="520" spans="1:7" ht="20.100000000000001" customHeight="1" x14ac:dyDescent="0.25">
      <c r="A520" s="102"/>
      <c r="G520" s="80"/>
    </row>
    <row r="521" spans="1:7" ht="20.100000000000001" customHeight="1" x14ac:dyDescent="0.25">
      <c r="A521" s="102"/>
      <c r="G521" s="80"/>
    </row>
    <row r="522" spans="1:7" ht="20.100000000000001" customHeight="1" x14ac:dyDescent="0.25">
      <c r="A522" s="102"/>
      <c r="G522" s="80"/>
    </row>
    <row r="523" spans="1:7" ht="20.100000000000001" customHeight="1" x14ac:dyDescent="0.25">
      <c r="A523" s="102"/>
      <c r="G523" s="80"/>
    </row>
    <row r="524" spans="1:7" ht="20.100000000000001" customHeight="1" x14ac:dyDescent="0.25">
      <c r="A524" s="102"/>
      <c r="G524" s="80"/>
    </row>
    <row r="525" spans="1:7" ht="20.100000000000001" customHeight="1" x14ac:dyDescent="0.25">
      <c r="A525" s="102"/>
      <c r="G525" s="80"/>
    </row>
    <row r="526" spans="1:7" ht="20.100000000000001" customHeight="1" x14ac:dyDescent="0.25">
      <c r="A526" s="102"/>
      <c r="G526" s="80"/>
    </row>
    <row r="527" spans="1:7" ht="20.100000000000001" customHeight="1" x14ac:dyDescent="0.25">
      <c r="A527" s="102"/>
      <c r="G527" s="80"/>
    </row>
    <row r="528" spans="1:7" ht="20.100000000000001" customHeight="1" x14ac:dyDescent="0.25">
      <c r="A528" s="102"/>
      <c r="G528" s="80"/>
    </row>
    <row r="529" spans="1:7" ht="20.100000000000001" customHeight="1" x14ac:dyDescent="0.25">
      <c r="A529" s="102"/>
      <c r="G529" s="80"/>
    </row>
    <row r="530" spans="1:7" ht="20.100000000000001" customHeight="1" x14ac:dyDescent="0.25">
      <c r="A530" s="102"/>
      <c r="G530" s="80"/>
    </row>
    <row r="531" spans="1:7" ht="20.100000000000001" customHeight="1" x14ac:dyDescent="0.25">
      <c r="A531" s="102"/>
      <c r="G531" s="80"/>
    </row>
    <row r="532" spans="1:7" ht="20.100000000000001" customHeight="1" x14ac:dyDescent="0.25">
      <c r="A532" s="102"/>
      <c r="G532" s="80"/>
    </row>
    <row r="533" spans="1:7" ht="20.100000000000001" customHeight="1" x14ac:dyDescent="0.25">
      <c r="A533" s="102"/>
      <c r="G533" s="80"/>
    </row>
    <row r="534" spans="1:7" ht="20.100000000000001" customHeight="1" x14ac:dyDescent="0.25">
      <c r="A534" s="102"/>
      <c r="G534" s="80"/>
    </row>
    <row r="535" spans="1:7" ht="20.100000000000001" customHeight="1" x14ac:dyDescent="0.25">
      <c r="A535" s="102"/>
      <c r="G535" s="80"/>
    </row>
    <row r="536" spans="1:7" ht="20.100000000000001" customHeight="1" x14ac:dyDescent="0.25">
      <c r="A536" s="102"/>
      <c r="G536" s="80"/>
    </row>
    <row r="537" spans="1:7" ht="20.100000000000001" customHeight="1" x14ac:dyDescent="0.25">
      <c r="A537" s="102"/>
      <c r="G537" s="80"/>
    </row>
    <row r="538" spans="1:7" ht="20.100000000000001" customHeight="1" x14ac:dyDescent="0.25">
      <c r="A538" s="102"/>
      <c r="G538" s="80"/>
    </row>
    <row r="539" spans="1:7" ht="20.100000000000001" customHeight="1" x14ac:dyDescent="0.25">
      <c r="A539" s="102"/>
      <c r="G539" s="80"/>
    </row>
    <row r="540" spans="1:7" ht="20.100000000000001" customHeight="1" x14ac:dyDescent="0.25">
      <c r="A540" s="102"/>
      <c r="G540" s="80"/>
    </row>
    <row r="541" spans="1:7" ht="20.100000000000001" customHeight="1" x14ac:dyDescent="0.25">
      <c r="A541" s="102"/>
      <c r="G541" s="80"/>
    </row>
    <row r="542" spans="1:7" ht="20.100000000000001" customHeight="1" x14ac:dyDescent="0.25">
      <c r="A542" s="102"/>
      <c r="G542" s="80"/>
    </row>
    <row r="543" spans="1:7" ht="20.100000000000001" customHeight="1" x14ac:dyDescent="0.25">
      <c r="A543" s="102"/>
      <c r="G543" s="80"/>
    </row>
    <row r="544" spans="1:7" ht="20.100000000000001" customHeight="1" x14ac:dyDescent="0.25">
      <c r="A544" s="102"/>
      <c r="G544" s="80"/>
    </row>
    <row r="545" spans="1:7" ht="20.100000000000001" customHeight="1" x14ac:dyDescent="0.25">
      <c r="A545" s="102"/>
      <c r="G545" s="80"/>
    </row>
    <row r="546" spans="1:7" ht="20.100000000000001" customHeight="1" x14ac:dyDescent="0.25">
      <c r="A546" s="102"/>
      <c r="G546" s="80"/>
    </row>
    <row r="547" spans="1:7" ht="20.100000000000001" customHeight="1" x14ac:dyDescent="0.25">
      <c r="A547" s="102"/>
      <c r="G547" s="80"/>
    </row>
    <row r="548" spans="1:7" ht="20.100000000000001" customHeight="1" x14ac:dyDescent="0.25">
      <c r="A548" s="102"/>
      <c r="G548" s="80"/>
    </row>
    <row r="549" spans="1:7" ht="20.100000000000001" customHeight="1" x14ac:dyDescent="0.25">
      <c r="A549" s="102"/>
      <c r="G549" s="80"/>
    </row>
    <row r="550" spans="1:7" ht="20.100000000000001" customHeight="1" x14ac:dyDescent="0.25">
      <c r="A550" s="102"/>
      <c r="G550" s="80"/>
    </row>
    <row r="551" spans="1:7" ht="20.100000000000001" customHeight="1" x14ac:dyDescent="0.25">
      <c r="A551" s="102"/>
      <c r="G551" s="80"/>
    </row>
    <row r="552" spans="1:7" ht="20.100000000000001" customHeight="1" x14ac:dyDescent="0.25">
      <c r="A552" s="102"/>
      <c r="G552" s="80"/>
    </row>
    <row r="553" spans="1:7" ht="20.100000000000001" customHeight="1" x14ac:dyDescent="0.25">
      <c r="A553" s="102"/>
      <c r="G553" s="80"/>
    </row>
    <row r="554" spans="1:7" ht="20.100000000000001" customHeight="1" x14ac:dyDescent="0.25">
      <c r="A554" s="102"/>
      <c r="G554" s="80"/>
    </row>
    <row r="555" spans="1:7" ht="20.100000000000001" customHeight="1" x14ac:dyDescent="0.25">
      <c r="A555" s="102"/>
      <c r="G555" s="80"/>
    </row>
    <row r="556" spans="1:7" ht="20.100000000000001" customHeight="1" x14ac:dyDescent="0.25">
      <c r="A556" s="102"/>
      <c r="G556" s="80"/>
    </row>
    <row r="557" spans="1:7" ht="20.100000000000001" customHeight="1" x14ac:dyDescent="0.25">
      <c r="A557" s="102"/>
      <c r="G557" s="80"/>
    </row>
    <row r="558" spans="1:7" ht="20.100000000000001" customHeight="1" x14ac:dyDescent="0.25">
      <c r="A558" s="102"/>
      <c r="G558" s="80"/>
    </row>
    <row r="559" spans="1:7" ht="20.100000000000001" customHeight="1" x14ac:dyDescent="0.25">
      <c r="A559" s="102"/>
      <c r="G559" s="80"/>
    </row>
    <row r="560" spans="1:7" ht="20.100000000000001" customHeight="1" x14ac:dyDescent="0.25">
      <c r="A560" s="102"/>
      <c r="G560" s="80"/>
    </row>
    <row r="561" spans="1:7" ht="20.100000000000001" customHeight="1" x14ac:dyDescent="0.25">
      <c r="A561" s="102"/>
      <c r="G561" s="80"/>
    </row>
    <row r="562" spans="1:7" ht="20.100000000000001" customHeight="1" x14ac:dyDescent="0.25">
      <c r="A562" s="102"/>
      <c r="G562" s="80"/>
    </row>
    <row r="563" spans="1:7" ht="20.100000000000001" customHeight="1" x14ac:dyDescent="0.25">
      <c r="A563" s="102"/>
      <c r="G563" s="80"/>
    </row>
    <row r="564" spans="1:7" ht="20.100000000000001" customHeight="1" x14ac:dyDescent="0.25">
      <c r="A564" s="102"/>
      <c r="G564" s="80"/>
    </row>
    <row r="565" spans="1:7" ht="20.100000000000001" customHeight="1" x14ac:dyDescent="0.25">
      <c r="A565" s="102"/>
      <c r="G565" s="80"/>
    </row>
    <row r="566" spans="1:7" ht="20.100000000000001" customHeight="1" x14ac:dyDescent="0.25">
      <c r="A566" s="102"/>
      <c r="G566" s="80"/>
    </row>
    <row r="567" spans="1:7" ht="20.100000000000001" customHeight="1" x14ac:dyDescent="0.25">
      <c r="A567" s="102"/>
      <c r="G567" s="80"/>
    </row>
    <row r="568" spans="1:7" ht="20.100000000000001" customHeight="1" x14ac:dyDescent="0.25">
      <c r="A568" s="102"/>
      <c r="G568" s="80"/>
    </row>
    <row r="569" spans="1:7" ht="20.100000000000001" customHeight="1" x14ac:dyDescent="0.25">
      <c r="A569" s="102"/>
      <c r="G569" s="80"/>
    </row>
    <row r="570" spans="1:7" ht="20.100000000000001" customHeight="1" x14ac:dyDescent="0.25">
      <c r="A570" s="102"/>
      <c r="G570" s="80"/>
    </row>
    <row r="571" spans="1:7" ht="20.100000000000001" customHeight="1" x14ac:dyDescent="0.25">
      <c r="A571" s="102"/>
      <c r="G571" s="80"/>
    </row>
    <row r="572" spans="1:7" ht="20.100000000000001" customHeight="1" x14ac:dyDescent="0.25">
      <c r="A572" s="102"/>
      <c r="G572" s="80"/>
    </row>
    <row r="573" spans="1:7" ht="20.100000000000001" customHeight="1" x14ac:dyDescent="0.25">
      <c r="A573" s="102"/>
      <c r="G573" s="80"/>
    </row>
    <row r="574" spans="1:7" ht="20.100000000000001" customHeight="1" x14ac:dyDescent="0.25">
      <c r="A574" s="102"/>
      <c r="G574" s="80"/>
    </row>
    <row r="575" spans="1:7" ht="20.100000000000001" customHeight="1" x14ac:dyDescent="0.25">
      <c r="A575" s="102"/>
      <c r="G575" s="80"/>
    </row>
    <row r="576" spans="1:7" ht="20.100000000000001" customHeight="1" x14ac:dyDescent="0.25">
      <c r="A576" s="102"/>
      <c r="G576" s="80"/>
    </row>
    <row r="577" spans="1:7" ht="20.100000000000001" customHeight="1" x14ac:dyDescent="0.25">
      <c r="A577" s="102"/>
      <c r="G577" s="80"/>
    </row>
    <row r="578" spans="1:7" ht="20.100000000000001" customHeight="1" x14ac:dyDescent="0.25">
      <c r="A578" s="102"/>
      <c r="G578" s="80"/>
    </row>
    <row r="579" spans="1:7" ht="20.100000000000001" customHeight="1" x14ac:dyDescent="0.25">
      <c r="A579" s="102"/>
      <c r="G579" s="80"/>
    </row>
    <row r="580" spans="1:7" ht="20.100000000000001" customHeight="1" x14ac:dyDescent="0.25">
      <c r="A580" s="102"/>
      <c r="G580" s="80"/>
    </row>
    <row r="581" spans="1:7" ht="20.100000000000001" customHeight="1" x14ac:dyDescent="0.25">
      <c r="A581" s="102"/>
      <c r="G581" s="80"/>
    </row>
    <row r="582" spans="1:7" ht="20.100000000000001" customHeight="1" x14ac:dyDescent="0.25">
      <c r="A582" s="102"/>
      <c r="G582" s="80"/>
    </row>
    <row r="583" spans="1:7" ht="20.100000000000001" customHeight="1" x14ac:dyDescent="0.25">
      <c r="A583" s="102"/>
      <c r="G583" s="80"/>
    </row>
    <row r="584" spans="1:7" ht="20.100000000000001" customHeight="1" x14ac:dyDescent="0.25">
      <c r="A584" s="102"/>
      <c r="G584" s="80"/>
    </row>
    <row r="585" spans="1:7" ht="20.100000000000001" customHeight="1" x14ac:dyDescent="0.25">
      <c r="A585" s="102"/>
      <c r="G585" s="80"/>
    </row>
    <row r="586" spans="1:7" ht="20.100000000000001" customHeight="1" x14ac:dyDescent="0.25">
      <c r="A586" s="102"/>
      <c r="G586" s="80"/>
    </row>
    <row r="587" spans="1:7" ht="20.100000000000001" customHeight="1" x14ac:dyDescent="0.25">
      <c r="A587" s="102"/>
      <c r="G587" s="80"/>
    </row>
    <row r="588" spans="1:7" ht="20.100000000000001" customHeight="1" x14ac:dyDescent="0.25">
      <c r="A588" s="102"/>
      <c r="G588" s="80"/>
    </row>
    <row r="589" spans="1:7" ht="20.100000000000001" customHeight="1" x14ac:dyDescent="0.25">
      <c r="A589" s="102"/>
      <c r="G589" s="80"/>
    </row>
    <row r="590" spans="1:7" ht="20.100000000000001" customHeight="1" x14ac:dyDescent="0.25">
      <c r="A590" s="102"/>
      <c r="G590" s="80"/>
    </row>
    <row r="591" spans="1:7" ht="20.100000000000001" customHeight="1" x14ac:dyDescent="0.25">
      <c r="A591" s="102"/>
      <c r="G591" s="80"/>
    </row>
    <row r="592" spans="1:7" ht="20.100000000000001" customHeight="1" x14ac:dyDescent="0.25">
      <c r="A592" s="102"/>
      <c r="G592" s="80"/>
    </row>
    <row r="593" spans="1:7" ht="20.100000000000001" customHeight="1" x14ac:dyDescent="0.25">
      <c r="A593" s="102"/>
      <c r="G593" s="80"/>
    </row>
    <row r="594" spans="1:7" ht="20.100000000000001" customHeight="1" x14ac:dyDescent="0.25">
      <c r="A594" s="102"/>
      <c r="G594" s="80"/>
    </row>
    <row r="595" spans="1:7" ht="20.100000000000001" customHeight="1" x14ac:dyDescent="0.25">
      <c r="A595" s="102"/>
      <c r="G595" s="80"/>
    </row>
    <row r="596" spans="1:7" ht="20.100000000000001" customHeight="1" x14ac:dyDescent="0.25">
      <c r="A596" s="102"/>
      <c r="G596" s="80"/>
    </row>
    <row r="597" spans="1:7" ht="20.100000000000001" customHeight="1" x14ac:dyDescent="0.25">
      <c r="A597" s="102"/>
      <c r="G597" s="80"/>
    </row>
    <row r="598" spans="1:7" ht="20.100000000000001" customHeight="1" x14ac:dyDescent="0.25">
      <c r="A598" s="102"/>
      <c r="G598" s="80"/>
    </row>
    <row r="599" spans="1:7" ht="20.100000000000001" customHeight="1" x14ac:dyDescent="0.25">
      <c r="A599" s="102"/>
      <c r="G599" s="80"/>
    </row>
    <row r="600" spans="1:7" ht="20.100000000000001" customHeight="1" x14ac:dyDescent="0.25">
      <c r="A600" s="102"/>
      <c r="G600" s="80"/>
    </row>
    <row r="601" spans="1:7" ht="20.100000000000001" customHeight="1" x14ac:dyDescent="0.25">
      <c r="A601" s="102"/>
      <c r="G601" s="80"/>
    </row>
    <row r="602" spans="1:7" ht="20.100000000000001" customHeight="1" x14ac:dyDescent="0.25">
      <c r="A602" s="102"/>
      <c r="G602" s="80"/>
    </row>
    <row r="603" spans="1:7" ht="20.100000000000001" customHeight="1" x14ac:dyDescent="0.25">
      <c r="A603" s="102"/>
      <c r="G603" s="80"/>
    </row>
    <row r="604" spans="1:7" ht="20.100000000000001" customHeight="1" x14ac:dyDescent="0.25">
      <c r="A604" s="102"/>
      <c r="G604" s="80"/>
    </row>
    <row r="605" spans="1:7" ht="20.100000000000001" customHeight="1" x14ac:dyDescent="0.25">
      <c r="A605" s="102"/>
      <c r="G605" s="80"/>
    </row>
    <row r="606" spans="1:7" ht="20.100000000000001" customHeight="1" x14ac:dyDescent="0.25">
      <c r="A606" s="102"/>
      <c r="G606" s="80"/>
    </row>
    <row r="607" spans="1:7" ht="20.100000000000001" customHeight="1" x14ac:dyDescent="0.25">
      <c r="A607" s="102"/>
      <c r="G607" s="80"/>
    </row>
    <row r="608" spans="1:7" ht="20.100000000000001" customHeight="1" x14ac:dyDescent="0.25">
      <c r="A608" s="102"/>
      <c r="G608" s="80"/>
    </row>
    <row r="609" spans="1:7" ht="20.100000000000001" customHeight="1" x14ac:dyDescent="0.25">
      <c r="A609" s="102"/>
      <c r="G609" s="80"/>
    </row>
    <row r="610" spans="1:7" ht="20.100000000000001" customHeight="1" x14ac:dyDescent="0.25">
      <c r="A610" s="102"/>
      <c r="G610" s="80"/>
    </row>
    <row r="611" spans="1:7" ht="20.100000000000001" customHeight="1" x14ac:dyDescent="0.25">
      <c r="A611" s="102"/>
      <c r="G611" s="80"/>
    </row>
    <row r="612" spans="1:7" ht="20.100000000000001" customHeight="1" x14ac:dyDescent="0.25">
      <c r="A612" s="102"/>
      <c r="G612" s="80"/>
    </row>
    <row r="613" spans="1:7" ht="20.100000000000001" customHeight="1" x14ac:dyDescent="0.25">
      <c r="A613" s="102"/>
      <c r="G613" s="80"/>
    </row>
    <row r="614" spans="1:7" ht="20.100000000000001" customHeight="1" x14ac:dyDescent="0.25">
      <c r="A614" s="102"/>
      <c r="G614" s="80"/>
    </row>
    <row r="615" spans="1:7" ht="20.100000000000001" customHeight="1" x14ac:dyDescent="0.25">
      <c r="A615" s="102"/>
      <c r="G615" s="80"/>
    </row>
    <row r="616" spans="1:7" ht="20.100000000000001" customHeight="1" x14ac:dyDescent="0.25">
      <c r="A616" s="102"/>
      <c r="G616" s="80"/>
    </row>
    <row r="617" spans="1:7" ht="20.100000000000001" customHeight="1" x14ac:dyDescent="0.25">
      <c r="A617" s="102"/>
      <c r="G617" s="80"/>
    </row>
    <row r="618" spans="1:7" ht="20.100000000000001" customHeight="1" x14ac:dyDescent="0.25">
      <c r="A618" s="102"/>
      <c r="G618" s="80"/>
    </row>
    <row r="619" spans="1:7" ht="20.100000000000001" customHeight="1" x14ac:dyDescent="0.25">
      <c r="A619" s="102"/>
      <c r="G619" s="80"/>
    </row>
    <row r="620" spans="1:7" ht="20.100000000000001" customHeight="1" x14ac:dyDescent="0.25">
      <c r="A620" s="102"/>
      <c r="G620" s="80"/>
    </row>
    <row r="621" spans="1:7" ht="20.100000000000001" customHeight="1" x14ac:dyDescent="0.25">
      <c r="A621" s="102"/>
      <c r="G621" s="80"/>
    </row>
    <row r="622" spans="1:7" ht="20.100000000000001" customHeight="1" x14ac:dyDescent="0.25">
      <c r="A622" s="102"/>
      <c r="G622" s="80"/>
    </row>
    <row r="623" spans="1:7" ht="20.100000000000001" customHeight="1" x14ac:dyDescent="0.25">
      <c r="A623" s="102"/>
      <c r="G623" s="80"/>
    </row>
    <row r="624" spans="1:7" ht="20.100000000000001" customHeight="1" x14ac:dyDescent="0.25">
      <c r="A624" s="102"/>
      <c r="G624" s="80"/>
    </row>
    <row r="625" spans="1:7" ht="20.100000000000001" customHeight="1" x14ac:dyDescent="0.25">
      <c r="A625" s="102"/>
      <c r="G625" s="80"/>
    </row>
    <row r="626" spans="1:7" ht="20.100000000000001" customHeight="1" x14ac:dyDescent="0.25">
      <c r="A626" s="102"/>
      <c r="G626" s="80"/>
    </row>
    <row r="627" spans="1:7" ht="20.100000000000001" customHeight="1" x14ac:dyDescent="0.25">
      <c r="A627" s="102"/>
      <c r="G627" s="80"/>
    </row>
    <row r="628" spans="1:7" ht="20.100000000000001" customHeight="1" x14ac:dyDescent="0.25">
      <c r="A628" s="102"/>
      <c r="G628" s="80"/>
    </row>
    <row r="629" spans="1:7" ht="20.100000000000001" customHeight="1" x14ac:dyDescent="0.25">
      <c r="A629" s="102"/>
      <c r="G629" s="80"/>
    </row>
    <row r="630" spans="1:7" ht="20.100000000000001" customHeight="1" x14ac:dyDescent="0.25">
      <c r="A630" s="102"/>
      <c r="G630" s="80"/>
    </row>
    <row r="631" spans="1:7" ht="20.100000000000001" customHeight="1" x14ac:dyDescent="0.25">
      <c r="A631" s="102"/>
      <c r="G631" s="80"/>
    </row>
    <row r="632" spans="1:7" ht="20.100000000000001" customHeight="1" x14ac:dyDescent="0.25">
      <c r="A632" s="102"/>
      <c r="G632" s="80"/>
    </row>
    <row r="633" spans="1:7" ht="20.100000000000001" customHeight="1" x14ac:dyDescent="0.25">
      <c r="A633" s="102"/>
      <c r="G633" s="80"/>
    </row>
    <row r="634" spans="1:7" ht="20.100000000000001" customHeight="1" x14ac:dyDescent="0.25">
      <c r="A634" s="102"/>
      <c r="G634" s="80"/>
    </row>
    <row r="635" spans="1:7" ht="20.100000000000001" customHeight="1" x14ac:dyDescent="0.25">
      <c r="A635" s="102"/>
      <c r="G635" s="80"/>
    </row>
    <row r="636" spans="1:7" ht="20.100000000000001" customHeight="1" x14ac:dyDescent="0.25">
      <c r="A636" s="102"/>
      <c r="G636" s="80"/>
    </row>
    <row r="637" spans="1:7" ht="20.100000000000001" customHeight="1" x14ac:dyDescent="0.25">
      <c r="A637" s="102"/>
      <c r="G637" s="80"/>
    </row>
    <row r="638" spans="1:7" ht="20.100000000000001" customHeight="1" x14ac:dyDescent="0.25">
      <c r="A638" s="102"/>
      <c r="G638" s="80"/>
    </row>
    <row r="639" spans="1:7" ht="20.100000000000001" customHeight="1" x14ac:dyDescent="0.25">
      <c r="A639" s="102"/>
      <c r="G639" s="80"/>
    </row>
    <row r="640" spans="1:7" ht="20.100000000000001" customHeight="1" x14ac:dyDescent="0.25">
      <c r="A640" s="102"/>
      <c r="G640" s="80"/>
    </row>
    <row r="641" spans="1:7" ht="20.100000000000001" customHeight="1" x14ac:dyDescent="0.25">
      <c r="A641" s="102"/>
      <c r="G641" s="80"/>
    </row>
    <row r="642" spans="1:7" ht="20.100000000000001" customHeight="1" x14ac:dyDescent="0.25">
      <c r="A642" s="102"/>
      <c r="G642" s="80"/>
    </row>
    <row r="643" spans="1:7" ht="20.100000000000001" customHeight="1" x14ac:dyDescent="0.25">
      <c r="A643" s="102"/>
      <c r="G643" s="80"/>
    </row>
    <row r="644" spans="1:7" ht="20.100000000000001" customHeight="1" x14ac:dyDescent="0.25">
      <c r="A644" s="102"/>
      <c r="G644" s="80"/>
    </row>
    <row r="645" spans="1:7" ht="20.100000000000001" customHeight="1" x14ac:dyDescent="0.25">
      <c r="A645" s="102"/>
      <c r="G645" s="80"/>
    </row>
    <row r="646" spans="1:7" ht="20.100000000000001" customHeight="1" x14ac:dyDescent="0.25">
      <c r="A646" s="102"/>
      <c r="G646" s="80"/>
    </row>
    <row r="647" spans="1:7" ht="20.100000000000001" customHeight="1" x14ac:dyDescent="0.25">
      <c r="A647" s="102"/>
      <c r="G647" s="80"/>
    </row>
    <row r="648" spans="1:7" ht="20.100000000000001" customHeight="1" x14ac:dyDescent="0.25">
      <c r="A648" s="102"/>
      <c r="G648" s="80"/>
    </row>
    <row r="649" spans="1:7" ht="20.100000000000001" customHeight="1" x14ac:dyDescent="0.25">
      <c r="A649" s="102"/>
      <c r="G649" s="80"/>
    </row>
    <row r="650" spans="1:7" ht="20.100000000000001" customHeight="1" x14ac:dyDescent="0.25">
      <c r="A650" s="102"/>
      <c r="G650" s="80"/>
    </row>
    <row r="651" spans="1:7" ht="20.100000000000001" customHeight="1" x14ac:dyDescent="0.25">
      <c r="A651" s="102"/>
      <c r="G651" s="80"/>
    </row>
    <row r="652" spans="1:7" ht="20.100000000000001" customHeight="1" x14ac:dyDescent="0.25">
      <c r="A652" s="102"/>
      <c r="G652" s="80"/>
    </row>
    <row r="653" spans="1:7" ht="20.100000000000001" customHeight="1" x14ac:dyDescent="0.25">
      <c r="A653" s="102"/>
      <c r="G653" s="80"/>
    </row>
    <row r="654" spans="1:7" ht="20.100000000000001" customHeight="1" x14ac:dyDescent="0.25">
      <c r="A654" s="102"/>
      <c r="G654" s="80"/>
    </row>
    <row r="655" spans="1:7" ht="20.100000000000001" customHeight="1" x14ac:dyDescent="0.25">
      <c r="A655" s="102"/>
      <c r="G655" s="80"/>
    </row>
    <row r="656" spans="1:7" ht="20.100000000000001" customHeight="1" x14ac:dyDescent="0.25">
      <c r="A656" s="102"/>
      <c r="G656" s="80"/>
    </row>
    <row r="657" spans="1:7" ht="20.100000000000001" customHeight="1" x14ac:dyDescent="0.25">
      <c r="A657" s="102"/>
      <c r="G657" s="80"/>
    </row>
    <row r="658" spans="1:7" ht="20.100000000000001" customHeight="1" x14ac:dyDescent="0.25">
      <c r="A658" s="102"/>
      <c r="G658" s="80"/>
    </row>
    <row r="659" spans="1:7" ht="20.100000000000001" customHeight="1" x14ac:dyDescent="0.25">
      <c r="A659" s="102"/>
      <c r="G659" s="80"/>
    </row>
    <row r="660" spans="1:7" ht="20.100000000000001" customHeight="1" x14ac:dyDescent="0.25">
      <c r="A660" s="102"/>
      <c r="G660" s="80"/>
    </row>
    <row r="661" spans="1:7" ht="20.100000000000001" customHeight="1" x14ac:dyDescent="0.25">
      <c r="A661" s="102"/>
      <c r="G661" s="80"/>
    </row>
    <row r="662" spans="1:7" ht="20.100000000000001" customHeight="1" x14ac:dyDescent="0.25">
      <c r="A662" s="102"/>
      <c r="G662" s="80"/>
    </row>
    <row r="663" spans="1:7" ht="20.100000000000001" customHeight="1" x14ac:dyDescent="0.25">
      <c r="A663" s="102"/>
      <c r="G663" s="80"/>
    </row>
    <row r="664" spans="1:7" ht="20.100000000000001" customHeight="1" x14ac:dyDescent="0.25">
      <c r="A664" s="102"/>
      <c r="G664" s="80"/>
    </row>
    <row r="665" spans="1:7" ht="20.100000000000001" customHeight="1" x14ac:dyDescent="0.25">
      <c r="A665" s="102"/>
      <c r="G665" s="80"/>
    </row>
    <row r="666" spans="1:7" ht="20.100000000000001" customHeight="1" x14ac:dyDescent="0.25">
      <c r="A666" s="102"/>
      <c r="G666" s="80"/>
    </row>
    <row r="667" spans="1:7" ht="20.100000000000001" customHeight="1" x14ac:dyDescent="0.25">
      <c r="A667" s="102"/>
      <c r="G667" s="80"/>
    </row>
    <row r="668" spans="1:7" ht="20.100000000000001" customHeight="1" x14ac:dyDescent="0.25">
      <c r="A668" s="102"/>
      <c r="G668" s="80"/>
    </row>
    <row r="669" spans="1:7" ht="20.100000000000001" customHeight="1" x14ac:dyDescent="0.25">
      <c r="A669" s="102"/>
      <c r="G669" s="80"/>
    </row>
    <row r="670" spans="1:7" ht="20.100000000000001" customHeight="1" x14ac:dyDescent="0.25">
      <c r="A670" s="102"/>
      <c r="G670" s="80"/>
    </row>
    <row r="671" spans="1:7" ht="20.100000000000001" customHeight="1" x14ac:dyDescent="0.25">
      <c r="A671" s="102"/>
      <c r="G671" s="80"/>
    </row>
    <row r="672" spans="1:7" ht="20.100000000000001" customHeight="1" x14ac:dyDescent="0.25">
      <c r="A672" s="102"/>
      <c r="G672" s="80"/>
    </row>
    <row r="673" spans="1:7" ht="20.100000000000001" customHeight="1" x14ac:dyDescent="0.25">
      <c r="A673" s="102"/>
      <c r="G673" s="80"/>
    </row>
    <row r="674" spans="1:7" ht="20.100000000000001" customHeight="1" x14ac:dyDescent="0.25">
      <c r="A674" s="102"/>
      <c r="G674" s="80"/>
    </row>
    <row r="675" spans="1:7" ht="20.100000000000001" customHeight="1" x14ac:dyDescent="0.25">
      <c r="A675" s="102"/>
      <c r="G675" s="80"/>
    </row>
    <row r="676" spans="1:7" ht="20.100000000000001" customHeight="1" x14ac:dyDescent="0.25">
      <c r="A676" s="102"/>
      <c r="G676" s="80"/>
    </row>
    <row r="677" spans="1:7" ht="20.100000000000001" customHeight="1" x14ac:dyDescent="0.25">
      <c r="A677" s="102"/>
      <c r="G677" s="80"/>
    </row>
    <row r="678" spans="1:7" ht="20.100000000000001" customHeight="1" x14ac:dyDescent="0.25">
      <c r="A678" s="102"/>
      <c r="G678" s="80"/>
    </row>
    <row r="679" spans="1:7" ht="20.100000000000001" customHeight="1" x14ac:dyDescent="0.25">
      <c r="A679" s="102"/>
      <c r="G679" s="80"/>
    </row>
    <row r="680" spans="1:7" ht="20.100000000000001" customHeight="1" x14ac:dyDescent="0.25">
      <c r="A680" s="102"/>
      <c r="G680" s="80"/>
    </row>
    <row r="681" spans="1:7" ht="20.100000000000001" customHeight="1" x14ac:dyDescent="0.25">
      <c r="A681" s="102"/>
      <c r="G681" s="80"/>
    </row>
    <row r="682" spans="1:7" ht="20.100000000000001" customHeight="1" x14ac:dyDescent="0.25">
      <c r="A682" s="102"/>
      <c r="G682" s="80"/>
    </row>
    <row r="683" spans="1:7" ht="20.100000000000001" customHeight="1" x14ac:dyDescent="0.25">
      <c r="A683" s="102"/>
      <c r="G683" s="80"/>
    </row>
    <row r="684" spans="1:7" ht="20.100000000000001" customHeight="1" x14ac:dyDescent="0.25">
      <c r="A684" s="102"/>
      <c r="G684" s="80"/>
    </row>
    <row r="685" spans="1:7" ht="20.100000000000001" customHeight="1" x14ac:dyDescent="0.25">
      <c r="A685" s="102"/>
      <c r="G685" s="80"/>
    </row>
    <row r="686" spans="1:7" ht="20.100000000000001" customHeight="1" x14ac:dyDescent="0.25">
      <c r="A686" s="102"/>
      <c r="G686" s="80"/>
    </row>
    <row r="687" spans="1:7" ht="20.100000000000001" customHeight="1" x14ac:dyDescent="0.25">
      <c r="A687" s="102"/>
      <c r="G687" s="80"/>
    </row>
    <row r="688" spans="1:7" ht="20.100000000000001" customHeight="1" x14ac:dyDescent="0.25">
      <c r="A688" s="102"/>
      <c r="G688" s="80"/>
    </row>
    <row r="689" spans="1:7" ht="20.100000000000001" customHeight="1" x14ac:dyDescent="0.25">
      <c r="A689" s="102"/>
      <c r="G689" s="80"/>
    </row>
    <row r="690" spans="1:7" ht="20.100000000000001" customHeight="1" x14ac:dyDescent="0.25">
      <c r="A690" s="102"/>
      <c r="G690" s="80"/>
    </row>
    <row r="691" spans="1:7" ht="20.100000000000001" customHeight="1" x14ac:dyDescent="0.25">
      <c r="A691" s="102"/>
      <c r="G691" s="80"/>
    </row>
    <row r="692" spans="1:7" ht="20.100000000000001" customHeight="1" x14ac:dyDescent="0.25">
      <c r="A692" s="102"/>
      <c r="G692" s="80"/>
    </row>
    <row r="693" spans="1:7" ht="20.100000000000001" customHeight="1" x14ac:dyDescent="0.25">
      <c r="A693" s="102"/>
      <c r="G693" s="80"/>
    </row>
    <row r="694" spans="1:7" ht="20.100000000000001" customHeight="1" x14ac:dyDescent="0.25">
      <c r="A694" s="102"/>
      <c r="G694" s="80"/>
    </row>
    <row r="695" spans="1:7" ht="20.100000000000001" customHeight="1" x14ac:dyDescent="0.25">
      <c r="A695" s="102"/>
      <c r="G695" s="80"/>
    </row>
    <row r="696" spans="1:7" ht="20.100000000000001" customHeight="1" x14ac:dyDescent="0.25">
      <c r="A696" s="102"/>
      <c r="G696" s="80"/>
    </row>
    <row r="697" spans="1:7" ht="20.100000000000001" customHeight="1" x14ac:dyDescent="0.25">
      <c r="A697" s="102"/>
      <c r="G697" s="80"/>
    </row>
    <row r="698" spans="1:7" ht="20.100000000000001" customHeight="1" x14ac:dyDescent="0.25">
      <c r="A698" s="102"/>
      <c r="G698" s="80"/>
    </row>
    <row r="699" spans="1:7" ht="20.100000000000001" customHeight="1" x14ac:dyDescent="0.25">
      <c r="A699" s="102"/>
      <c r="G699" s="80"/>
    </row>
    <row r="700" spans="1:7" ht="20.100000000000001" customHeight="1" x14ac:dyDescent="0.25">
      <c r="A700" s="102"/>
      <c r="G700" s="80"/>
    </row>
    <row r="701" spans="1:7" ht="20.100000000000001" customHeight="1" x14ac:dyDescent="0.25">
      <c r="A701" s="102"/>
      <c r="G701" s="80"/>
    </row>
    <row r="702" spans="1:7" ht="20.100000000000001" customHeight="1" x14ac:dyDescent="0.25">
      <c r="A702" s="102"/>
      <c r="G702" s="80"/>
    </row>
    <row r="703" spans="1:7" ht="20.100000000000001" customHeight="1" x14ac:dyDescent="0.25">
      <c r="A703" s="102"/>
      <c r="G703" s="80"/>
    </row>
    <row r="704" spans="1:7" ht="20.100000000000001" customHeight="1" x14ac:dyDescent="0.25">
      <c r="A704" s="102"/>
      <c r="G704" s="80"/>
    </row>
    <row r="705" spans="1:7" ht="20.100000000000001" customHeight="1" x14ac:dyDescent="0.25">
      <c r="A705" s="102"/>
      <c r="G705" s="80"/>
    </row>
    <row r="706" spans="1:7" ht="20.100000000000001" customHeight="1" x14ac:dyDescent="0.25">
      <c r="A706" s="102"/>
      <c r="G706" s="80"/>
    </row>
    <row r="707" spans="1:7" ht="20.100000000000001" customHeight="1" x14ac:dyDescent="0.25">
      <c r="A707" s="102"/>
      <c r="G707" s="80"/>
    </row>
    <row r="708" spans="1:7" ht="20.100000000000001" customHeight="1" x14ac:dyDescent="0.25">
      <c r="A708" s="102"/>
      <c r="G708" s="80"/>
    </row>
    <row r="709" spans="1:7" ht="20.100000000000001" customHeight="1" x14ac:dyDescent="0.25">
      <c r="A709" s="102"/>
      <c r="G709" s="80"/>
    </row>
    <row r="710" spans="1:7" ht="20.100000000000001" customHeight="1" x14ac:dyDescent="0.25">
      <c r="A710" s="102"/>
      <c r="G710" s="80"/>
    </row>
    <row r="711" spans="1:7" ht="20.100000000000001" customHeight="1" x14ac:dyDescent="0.25">
      <c r="A711" s="102"/>
      <c r="G711" s="80"/>
    </row>
    <row r="712" spans="1:7" ht="20.100000000000001" customHeight="1" x14ac:dyDescent="0.25">
      <c r="A712" s="102"/>
      <c r="G712" s="80"/>
    </row>
    <row r="713" spans="1:7" ht="20.100000000000001" customHeight="1" x14ac:dyDescent="0.25">
      <c r="A713" s="102"/>
      <c r="G713" s="80"/>
    </row>
    <row r="714" spans="1:7" ht="20.100000000000001" customHeight="1" x14ac:dyDescent="0.25">
      <c r="A714" s="102"/>
      <c r="G714" s="80"/>
    </row>
    <row r="715" spans="1:7" ht="20.100000000000001" customHeight="1" x14ac:dyDescent="0.25">
      <c r="A715" s="102"/>
      <c r="G715" s="80"/>
    </row>
    <row r="716" spans="1:7" ht="20.100000000000001" customHeight="1" x14ac:dyDescent="0.25">
      <c r="A716" s="102"/>
      <c r="G716" s="80"/>
    </row>
    <row r="717" spans="1:7" ht="20.100000000000001" customHeight="1" x14ac:dyDescent="0.25">
      <c r="A717" s="102"/>
      <c r="G717" s="80"/>
    </row>
    <row r="718" spans="1:7" ht="20.100000000000001" customHeight="1" x14ac:dyDescent="0.25">
      <c r="A718" s="102"/>
      <c r="G718" s="80"/>
    </row>
    <row r="719" spans="1:7" ht="20.100000000000001" customHeight="1" x14ac:dyDescent="0.25">
      <c r="A719" s="102"/>
      <c r="G719" s="80"/>
    </row>
    <row r="720" spans="1:7" ht="20.100000000000001" customHeight="1" x14ac:dyDescent="0.25">
      <c r="A720" s="102"/>
      <c r="G720" s="80"/>
    </row>
    <row r="721" spans="1:7" ht="20.100000000000001" customHeight="1" x14ac:dyDescent="0.25">
      <c r="A721" s="102"/>
      <c r="G721" s="80"/>
    </row>
    <row r="722" spans="1:7" ht="20.100000000000001" customHeight="1" x14ac:dyDescent="0.25">
      <c r="A722" s="102"/>
      <c r="G722" s="80"/>
    </row>
    <row r="723" spans="1:7" ht="20.100000000000001" customHeight="1" x14ac:dyDescent="0.25">
      <c r="A723" s="102"/>
      <c r="G723" s="80"/>
    </row>
    <row r="724" spans="1:7" ht="20.100000000000001" customHeight="1" x14ac:dyDescent="0.25"/>
    <row r="725" spans="1:7" ht="20.100000000000001" customHeight="1" x14ac:dyDescent="0.25"/>
    <row r="726" spans="1:7" ht="20.100000000000001" customHeight="1" x14ac:dyDescent="0.25"/>
  </sheetData>
  <conditionalFormatting sqref="A6:XFD6">
    <cfRule type="timePeriod" dxfId="38" priority="147" timePeriod="yesterday">
      <formula>FLOOR(A6,1)=TODAY()-1</formula>
    </cfRule>
    <cfRule type="timePeriod" dxfId="37" priority="190" timePeriod="tomorrow">
      <formula>FLOOR(A6,1)=TODAY()+1</formula>
    </cfRule>
    <cfRule type="timePeriod" dxfId="36" priority="191" timePeriod="yesterday">
      <formula>FLOOR(A6,1)=TODAY()-1</formula>
    </cfRule>
    <cfRule type="timePeriod" dxfId="35" priority="192" timePeriod="yesterday">
      <formula>FLOOR(A6,1)=TODAY()-1</formula>
    </cfRule>
    <cfRule type="timePeriod" dxfId="34" priority="193" timePeriod="today">
      <formula>FLOOR(A6,1)=TODAY()</formula>
    </cfRule>
  </conditionalFormatting>
  <conditionalFormatting sqref="F9:F333">
    <cfRule type="colorScale" priority="184">
      <colorScale>
        <cfvo type="num" val="0"/>
        <cfvo type="num" val="0.5"/>
        <cfvo type="num" val="1"/>
        <color rgb="FFFF3300"/>
        <color rgb="FFFFC000"/>
        <color rgb="FF92D050"/>
      </colorScale>
    </cfRule>
  </conditionalFormatting>
  <conditionalFormatting sqref="F1:F2 F4:F1048576">
    <cfRule type="colorScale" priority="183">
      <colorScale>
        <cfvo type="num" val="0"/>
        <cfvo type="num" val="0.5"/>
        <cfvo type="num" val="1"/>
        <color rgb="FFF8696B"/>
        <color rgb="FFFFEB84"/>
        <color rgb="FF63BE7B"/>
      </colorScale>
    </cfRule>
  </conditionalFormatting>
  <conditionalFormatting sqref="E1:E8 E334:E1048576">
    <cfRule type="cellIs" priority="179" operator="lessThan">
      <formula>TODAY()</formula>
    </cfRule>
  </conditionalFormatting>
  <conditionalFormatting sqref="E9:E333">
    <cfRule type="cellIs" dxfId="33" priority="173" operator="lessThanOrEqual">
      <formula>TODAY()</formula>
    </cfRule>
    <cfRule type="cellIs" dxfId="32" priority="174" operator="greaterThan">
      <formula>TODAY()</formula>
    </cfRule>
  </conditionalFormatting>
  <conditionalFormatting sqref="E9:E333">
    <cfRule type="expression" dxfId="31" priority="157">
      <formula>ISBLANK(INDIRECT("E"&amp;ROW()))</formula>
    </cfRule>
  </conditionalFormatting>
  <conditionalFormatting sqref="B9:D333">
    <cfRule type="expression" dxfId="30" priority="149">
      <formula>ISBLANK(INDIRECT("E"&amp;ROW()))*ISBLANK(INDIRECT("F"&amp;ROW()))</formula>
    </cfRule>
    <cfRule type="expression" dxfId="29" priority="150">
      <formula>INDIRECT("F"&amp;ROW()) &gt;= 0.9</formula>
    </cfRule>
    <cfRule type="expression" dxfId="28" priority="151">
      <formula>INDIRECT("F"&amp;ROW())&lt;0.9</formula>
    </cfRule>
    <cfRule type="expression" dxfId="27" priority="152">
      <formula>INDIRECT("E"&amp;ROW())&lt;TODAY() * NOT(ISBLANK(INDIRECT("E"&amp;ROW())))</formula>
    </cfRule>
  </conditionalFormatting>
  <conditionalFormatting sqref="B1:D1048576">
    <cfRule type="expression" dxfId="26" priority="143">
      <formula xml:space="preserve"> (INDIRECT("F" &amp; ROW()) &lt; 0.9) * (INDIRECT("E" &amp; ROW()) &gt; TODAY())</formula>
    </cfRule>
  </conditionalFormatting>
  <conditionalFormatting sqref="I7:DZ8 H9:DZ723">
    <cfRule type="expression" dxfId="25" priority="141">
      <formula xml:space="preserve"> INDIRECT(SUBSTITUTE(ADDRESS(1,COLUMN(),4),1,"") &amp; 6) = TODAY()</formula>
    </cfRule>
  </conditionalFormatting>
  <conditionalFormatting sqref="A7:G8 I7:XFD8 A30:XFD30 A38:XFD38 A5:XFD6 A4:T4 V4:XFD4 A1:XFD3 A48:XFD48 A55:XFD55 A59:XFD1048576 B25:XFD29 B31:XFD37 B49:XFD54 B56:XFD58 B39:XFD47 A9:XFD24 D16:E25">
    <cfRule type="expression" dxfId="24" priority="92">
      <formula xml:space="preserve"> NOT(ISBLANK(INDIRECT("D"&amp;ROW()))) * NOT(ISODD(ROW())) *NOT(ISBLANK(INDIRECT("E"&amp;ROW())))*(INDIRECT(SUBSTITUTE(ADDRESS(1,COLUMN(),4),1,"") &amp; 6) &lt;= INDIRECT("E" &amp; ROW()))*(INDIRECT(SUBSTITUTE(ADDRESS(1,COLUMN(),4),1,"") &amp; 6) &gt;= INDIRECT("D" &amp; ROW()))</formula>
    </cfRule>
    <cfRule type="expression" dxfId="23"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9:S21">
    <cfRule type="expression" dxfId="22" priority="130">
      <formula>"'NOT(ISBLANK(INDIRECT(""E"" &amp; ROW()))) * NOT (ISBLANK(INDIRECT(""D"" &amp; ROW() ))) * (INDIRECT(""E"" &amp; ROW()) &lt; TODAY()) * INDIRECT(SUBSTITUTE(ADDRESS(1,COLUMN(),4),1,"""") &amp; 6) &gt; INDIRECT(""E"" &amp; ROW()) "</formula>
    </cfRule>
  </conditionalFormatting>
  <conditionalFormatting sqref="B9:D721">
    <cfRule type="expression" dxfId="21" priority="1">
      <formula xml:space="preserve"> INDIRECT("F" &amp; ROW()) &gt; 0.99</formula>
    </cfRule>
    <cfRule type="expression" dxfId="20" priority="137">
      <formula xml:space="preserve"> NOT(ISBLANK(INDIRECT("F" &amp; ROW()))) *( INDIRECT("D" &amp; ROW()) &gt; TODAY()) * INDIRECT("F"&amp;ROW()) &gt; 0.01 * NOT(INDIRECT("F" &amp; ROW()) &gt; 0.99)</formula>
    </cfRule>
    <cfRule type="expression" dxfId="19" priority="138">
      <formula>INDIRECT("D" &amp; ROW()) &gt; TODAY()</formula>
    </cfRule>
  </conditionalFormatting>
  <conditionalFormatting sqref="E22:E25 E28:E813">
    <cfRule type="expression" dxfId="18" priority="93">
      <formula xml:space="preserve"> INDIRECT("D" &amp; ROW()) &gt; TODAY()</formula>
    </cfRule>
  </conditionalFormatting>
  <conditionalFormatting sqref="A25:A29">
    <cfRule type="expression" dxfId="17" priority="63">
      <formula xml:space="preserve"> NOT(ISBLANK(INDIRECT("D"&amp;ROW()))) * NOT(ISODD(ROW())) *NOT(ISBLANK(INDIRECT("E"&amp;ROW())))*(INDIRECT(SUBSTITUTE(ADDRESS(1,COLUMN(),4),1,"") &amp; 6) &lt;= INDIRECT("E" &amp; ROW()))*(INDIRECT(SUBSTITUTE(ADDRESS(1,COLUMN(),4),1,"") &amp; 6) &gt;= INDIRECT("D" &amp; ROW()))</formula>
    </cfRule>
    <cfRule type="expression" dxfId="16"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A31:A37">
    <cfRule type="expression" dxfId="15" priority="55">
      <formula xml:space="preserve"> NOT(ISBLANK(INDIRECT("D"&amp;ROW()))) * NOT(ISODD(ROW())) *NOT(ISBLANK(INDIRECT("E"&amp;ROW())))*(INDIRECT(SUBSTITUTE(ADDRESS(1,COLUMN(),4),1,"") &amp; 6) &lt;= INDIRECT("E" &amp; ROW()))*(INDIRECT(SUBSTITUTE(ADDRESS(1,COLUMN(),4),1,"") &amp; 6) &gt;= INDIRECT("D" &amp; ROW()))</formula>
    </cfRule>
    <cfRule type="expression" dxfId="14"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A39:A47">
    <cfRule type="expression" dxfId="13" priority="20">
      <formula xml:space="preserve"> NOT(ISBLANK(INDIRECT("D"&amp;ROW()))) * NOT(ISODD(ROW())) *NOT(ISBLANK(INDIRECT("E"&amp;ROW())))*(INDIRECT(SUBSTITUTE(ADDRESS(1,COLUMN(),4),1,"") &amp; 6) &lt;= INDIRECT("E" &amp; ROW()))*(INDIRECT(SUBSTITUTE(ADDRESS(1,COLUMN(),4),1,"") &amp; 6) &gt;= INDIRECT("D" &amp; ROW()))</formula>
    </cfRule>
    <cfRule type="expression" dxfId="12"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A49:A54">
    <cfRule type="expression" dxfId="11" priority="12">
      <formula xml:space="preserve"> NOT(ISBLANK(INDIRECT("D"&amp;ROW()))) * NOT(ISODD(ROW())) *NOT(ISBLANK(INDIRECT("E"&amp;ROW())))*(INDIRECT(SUBSTITUTE(ADDRESS(1,COLUMN(),4),1,"") &amp; 6) &lt;= INDIRECT("E" &amp; ROW()))*(INDIRECT(SUBSTITUTE(ADDRESS(1,COLUMN(),4),1,"") &amp; 6) &gt;= INDIRECT("D" &amp; ROW()))</formula>
    </cfRule>
    <cfRule type="expression" dxfId="10"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A56:A58">
    <cfRule type="expression" dxfId="9" priority="4">
      <formula xml:space="preserve"> NOT(ISBLANK(INDIRECT("D"&amp;ROW()))) * NOT(ISODD(ROW())) *NOT(ISBLANK(INDIRECT("E"&amp;ROW())))*(INDIRECT(SUBSTITUTE(ADDRESS(1,COLUMN(),4),1,"") &amp; 6) &lt;= INDIRECT("E" &amp; ROW()))*(INDIRECT(SUBSTITUTE(ADDRESS(1,COLUMN(),4),1,"") &amp; 6) &gt;= INDIRECT("D" &amp; ROW()))</formula>
    </cfRule>
    <cfRule type="expression" dxfId="8" priority="5">
      <formula xml:space="preserve"> NOT(ISBLANK(INDIRECT("D"&amp;ROW()))) * 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Revision Planning</vt:lpstr>
      <vt:lpstr>Life Planner</vt:lpstr>
      <vt:lpstr>Journal</vt:lpstr>
      <vt:lpstr>Upload Release Sheet</vt:lpstr>
      <vt:lpstr>Life Map</vt:lpstr>
      <vt:lpstr>Current Tasks</vt:lpstr>
      <vt:lpstr>Workout Planner</vt:lpstr>
      <vt:lpstr>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2018-06-28T08:22:11Z</dcterms:modified>
</cp:coreProperties>
</file>