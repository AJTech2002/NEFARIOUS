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3785" windowWidth="28800"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1" i="6" l="1"/>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GN31" i="6"/>
  <c r="GO31" i="6"/>
  <c r="GP31" i="6"/>
  <c r="GQ31" i="6"/>
  <c r="GR31" i="6"/>
  <c r="GS31" i="6"/>
  <c r="C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<sst xmlns="http://schemas.openxmlformats.org/spreadsheetml/2006/main" count="938" uniqueCount="746">
  <si>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</si>
  <si>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</si>
  <si>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</si>
  <si>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</si>
  <si>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</si>
  <si>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</si>
  <si>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</si>
  <si>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</si>
  <si>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</si>
  <si>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</si>
  <si>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</si>
  <si>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</si>
  <si>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</si>
  <si>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</si>
  <si>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</si>
  <si>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</si>
  <si>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</si>
  <si>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</si>
  <si>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</si>
  <si>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</si>
  <si>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</si>
  <si>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</si>
  <si>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</si>
  <si>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</si>
  <si>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</si>
  <si>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</si>
  <si>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</si>
  <si>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</si>
  <si>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</si>
  <si>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</si>
  <si>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</si>
  <si>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</si>
  <si>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</si>
  <si>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</si>
  <si>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</si>
  <si>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</si>
  <si>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</si>
  <si>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</si>
  <si>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</si>
  <si>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</si>
  <si>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</si>
  <si>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</si>
  <si>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</si>
  <si>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</si>
  <si>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</si>
  <si>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</si>
  <si>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</si>
  <si>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</si>
  <si>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</si>
  <si>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</si>
  <si>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</si>
  <si>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</si>
  <si>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</si>
  <si>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</si>
  <si>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</si>
  <si>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</si>
  <si>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</si>
  <si>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</si>
  <si>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</si>
  <si>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</si>
  <si>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</si>
  <si>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</si>
  <si>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</si>
  <si>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</si>
  <si>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</si>
  <si>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</si>
  <si>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</si>
  <si>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</si>
  <si>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</si>
  <si>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</si>
  <si>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</si>
  <si>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</si>
  <si>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</si>
  <si>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</si>
  <si>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</si>
  <si>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</si>
  <si>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</si>
  <si>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</si>
  <si>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</si>
  <si>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</si>
  <si>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</si>
  <si>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</si>
  <si>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</si>
  <si>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</si>
  <si>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</si>
  <si>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</si>
  <si>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</si>
  <si>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</si>
  <si>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</si>
  <si>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</si>
  <si>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</si>
  <si>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</si>
  <si>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</si>
  <si>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</si>
  <si>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</si>
  <si>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</si>
  <si>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</si>
  <si>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</si>
  <si>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</si>
  <si>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</si>
  <si>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</si>
  <si>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</si>
  <si>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</si>
  <si>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</si>
  <si>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</si>
  <si>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</si>
  <si>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</si>
  <si>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</si>
  <si>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</si>
  <si>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</si>
  <si>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</si>
  <si>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</si>
  <si>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</si>
  <si>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</si>
  <si>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</si>
  <si>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</si>
  <si>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</si>
  <si>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</si>
  <si>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</si>
  <si>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</si>
  <si>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</si>
  <si>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</si>
  <si>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</si>
  <si>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</si>
  <si>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</si>
  <si>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</si>
  <si>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</si>
  <si>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</si>
  <si>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</si>
  <si>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</si>
  <si>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</si>
  <si>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</si>
  <si>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</si>
  <si>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</si>
  <si>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</si>
  <si>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</si>
  <si>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</si>
  <si>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</si>
  <si>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</si>
  <si>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</si>
  <si>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</si>
  <si>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</si>
  <si>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</si>
  <si>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</si>
  <si>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</si>
  <si>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</si>
  <si>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</si>
  <si>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</si>
  <si>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</si>
  <si>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</si>
  <si>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</si>
  <si>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</si>
  <si>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</si>
  <si>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</si>
  <si>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</si>
  <si>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</si>
  <si>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</si>
  <si>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</si>
  <si>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</si>
  <si>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</si>
  <si>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</si>
  <si>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</si>
  <si>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</si>
  <si>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</si>
  <si>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</si>
  <si>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</si>
  <si>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</si>
  <si>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</si>
  <si>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</si>
  <si>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</si>
  <si>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</si>
  <si>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</si>
  <si>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</si>
  <si>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</si>
  <si>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</si>
  <si>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</si>
  <si>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</si>
  <si>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</si>
  <si>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</si>
  <si>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</si>
  <si>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</si>
  <si>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</si>
  <si>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</si>
  <si>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</si>
  <si>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</si>
  <si>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</si>
  <si>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</si>
  <si>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</si>
  <si>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</si>
  <si>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</si>
  <si>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</si>
  <si>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</si>
  <si>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</si>
  <si>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</si>
  <si>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</si>
  <si>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</si>
  <si>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</si>
  <si>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</si>
  <si>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</si>
  <si>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</si>
  <si>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</si>
  <si>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</si>
  <si>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</si>
  <si>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</si>
  <si>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</si>
  <si>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</si>
  <si>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</si>
  <si>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</si>
  <si>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</si>
  <si>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</si>
  <si>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</si>
  <si>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</si>
  <si>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</si>
  <si>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</si>
  <si>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</si>
  <si>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</si>
  <si>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</si>
  <si>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</si>
  <si>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</si>
  <si>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</si>
  <si>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</si>
  <si>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</si>
  <si>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</si>
  <si>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</si>
  <si>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</si>
  <si>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</si>
  <si>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</si>
  <si>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</si>
  <si>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</si>
  <si>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</si>
  <si>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</si>
  <si>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</si>
  <si>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</si>
  <si>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</si>
  <si>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</si>
  <si>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</si>
  <si>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</si>
  <si>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</si>
  <si>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</si>
  <si>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</si>
  <si>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</si>
  <si>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</si>
  <si>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</si>
  <si>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</si>
  <si>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</si>
  <si>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</si>
  <si>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</si>
  <si>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</si>
  <si>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</si>
  <si>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</si>
  <si>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</si>
  <si>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</si>
  <si>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</si>
  <si>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</si>
  <si>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</si>
  <si>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</si>
  <si>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</si>
  <si>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</si>
  <si>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</si>
  <si>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</si>
  <si>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</si>
  <si>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</si>
  <si>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</si>
  <si>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</si>
  <si>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</si>
  <si>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</si>
  <si>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</si>
  <si>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</si>
  <si>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</si>
  <si>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</si>
  <si>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</si>
  <si>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</si>
  <si>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</si>
  <si>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</si>
  <si>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</si>
  <si>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</si>
  <si>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</si>
  <si>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</si>
  <si>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</si>
  <si>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</si>
  <si>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</si>
  <si>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</si>
  <si>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</si>
  <si>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</si>
  <si>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</si>
  <si>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</si>
  <si>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</si>
  <si>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</si>
  <si>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</si>
  <si>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</si>
  <si>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</si>
  <si>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</si>
  <si>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</si>
  <si>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</si>
  <si>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</si>
  <si>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</si>
  <si>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</si>
  <si>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</si>
  <si>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</si>
  <si>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</si>
  <si>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</si>
  <si>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</si>
  <si>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</si>
  <si>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</si>
  <si>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</si>
  <si>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</si>
  <si>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</si>
  <si>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</si>
  <si>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</si>
  <si>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</si>
  <si>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</si>
  <si>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</si>
  <si>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</si>
  <si>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</si>
  <si>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</si>
  <si>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</si>
  <si>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</si>
  <si>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</si>
  <si>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</si>
  <si>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</si>
  <si>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</si>
  <si>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</si>
  <si>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</si>
  <si>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</si>
  <si>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</si>
  <si>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</si>
  <si>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</si>
  <si>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</si>
  <si>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</si>
  <si>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</si>
  <si>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</si>
  <si>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</si>
  <si>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</si>
  <si>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</si>
  <si>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</si>
  <si>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</si>
  <si>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</si>
  <si>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</si>
  <si>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</si>
  <si>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</si>
  <si>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</si>
  <si>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</si>
  <si>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</si>
  <si>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</si>
  <si>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</si>
  <si>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</si>
  <si>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</si>
  <si>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</si>
  <si>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</si>
  <si>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</si>
  <si>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</si>
  <si>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</si>
  <si>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</si>
  <si>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</si>
  <si>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</si>
  <si>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</si>
  <si>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</si>
  <si>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</si>
  <si>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</si>
  <si>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</si>
  <si>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</si>
  <si>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</si>
  <si>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</si>
  <si>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</si>
  <si>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</si>
  <si>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</si>
  <si>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</si>
  <si>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</si>
  <si>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</si>
  <si>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</si>
  <si>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</si>
  <si>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</si>
  <si>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</si>
  <si>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</si>
  <si>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</si>
  <si>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</si>
  <si>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</si>
  <si>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</si>
  <si>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</si>
  <si>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</si>
  <si>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</si>
  <si>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</si>
  <si>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</si>
  <si>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</si>
  <si>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</si>
  <si>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</si>
  <si>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</si>
  <si>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</si>
  <si>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</si>
  <si>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</si>
  <si>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</si>
  <si>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</si>
  <si>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</si>
  <si>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</si>
  <si>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</si>
  <si>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</si>
  <si>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</si>
  <si>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</si>
  <si>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</si>
  <si>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</si>
  <si>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</si>
  <si>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</si>
  <si>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</si>
  <si>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</si>
  <si>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</si>
  <si>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</si>
  <si>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</si>
  <si>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</si>
  <si>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</si>
  <si>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</si>
  <si>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</si>
  <si>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</si>
  <si>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</si>
  <si>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</si>
  <si>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</si>
  <si>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</si>
  <si>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</si>
  <si>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</si>
  <si>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</si>
  <si>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</si>
  <si>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</si>
  <si>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</si>
  <si>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</si>
  <si>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</si>
  <si>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</si>
  <si>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</si>
  <si>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</si>
  <si>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</si>
  <si>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</si>
  <si>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</si>
  <si>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</si>
  <si>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</si>
  <si>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</si>
  <si>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</si>
  <si>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</si>
  <si>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</si>
  <si>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</si>
  <si>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</si>
  <si>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</si>
  <si>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</si>
  <si>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</si>
  <si>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</si>
  <si>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</si>
  <si>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</si>
  <si>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</si>
  <si>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</si>
  <si>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</si>
  <si>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</si>
  <si>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</si>
  <si>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</si>
  <si>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</si>
  <si>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</si>
  <si>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</si>
  <si>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</si>
  <si>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</si>
  <si>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</si>
  <si>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</si>
  <si>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</si>
  <si>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</si>
  <si>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</si>
  <si>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</si>
  <si>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</si>
  <si>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</si>
  <si>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</si>
  <si>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</si>
  <si>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</si>
  <si>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</si>
  <si>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</si>
  <si>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</si>
  <si>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</si>
  <si>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</si>
  <si>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</si>
  <si>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</si>
  <si>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</si>
  <si>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</si>
  <si>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</si>
  <si>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</si>
  <si>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</si>
  <si>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</si>
  <si>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</si>
  <si>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</si>
  <si>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</si>
  <si>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</si>
  <si>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</si>
  <si>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</si>
  <si>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</si>
  <si>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</si>
  <si>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</si>
  <si>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</si>
  <si>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</si>
  <si>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</si>
  <si>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</si>
  <si>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</si>
  <si>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</si>
  <si>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</si>
  <si>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</si>
  <si>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</si>
  <si>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</si>
  <si>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</si>
  <si>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</si>
  <si>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</si>
  <si>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</si>
  <si>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</si>
  <si>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</si>
  <si>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</si>
  <si>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</si>
  <si>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</si>
  <si>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</si>
  <si>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</si>
  <si>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</si>
  <si>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</si>
  <si>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</si>
  <si>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</si>
  <si>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</si>
  <si>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</si>
  <si>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</si>
  <si>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</si>
  <si>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</si>
  <si>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</si>
  <si>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</si>
  <si>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</si>
  <si>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</si>
  <si>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</si>
  <si>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</si>
  <si>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</si>
  <si>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</si>
  <si>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</si>
  <si>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</si>
  <si>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</si>
  <si>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</si>
  <si>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</si>
  <si>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</si>
  <si>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</si>
  <si>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</si>
  <si>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</si>
  <si>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</si>
  <si>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</si>
  <si>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</si>
  <si>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</si>
  <si>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</si>
  <si>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</si>
  <si>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</si>
  <si>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</si>
  <si>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</si>
  <si>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</si>
  <si>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</si>
  <si>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</si>
  <si>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</si>
  <si>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</si>
  <si>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</si>
  <si>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</si>
  <si>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</si>
  <si>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</si>
  <si>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</si>
  <si>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</si>
  <si>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</si>
  <si>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</si>
  <si>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</si>
  <si>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</si>
  <si>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</si>
  <si>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</si>
  <si>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</si>
  <si>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</si>
  <si>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</si>
  <si>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</si>
  <si>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</si>
  <si>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</si>
  <si>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</si>
  <si>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</si>
  <si>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</si>
  <si>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</si>
  <si>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</si>
  <si>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</si>
  <si>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</si>
  <si>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</si>
  <si>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</si>
  <si>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</si>
  <si>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</si>
  <si>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</si>
  <si>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</si>
  <si>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</si>
  <si>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</si>
  <si>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</si>
  <si>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</si>
  <si>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</si>
  <si>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</si>
  <si>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</si>
  <si>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</si>
  <si>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</si>
  <si>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</si>
  <si>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</si>
  <si>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</si>
  <si>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</si>
  <si>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</si>
  <si>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</si>
  <si>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</si>
  <si>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</si>
  <si>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</si>
  <si>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</si>
  <si>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</si>
  <si>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</si>
  <si>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</si>
  <si>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</si>
  <si>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</si>
  <si>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</si>
  <si>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</si>
  <si>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</si>
  <si>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</si>
  <si>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</si>
  <si>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</si>
  <si>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</si>
  <si>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</si>
  <si>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</si>
  <si>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</si>
  <si>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</si>
  <si>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</si>
  <si>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</si>
  <si>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</si>
  <si>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</si>
  <si>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</si>
  <si>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</si>
  <si>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</si>
  <si>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</si>
  <si>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</si>
  <si>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</si>
  <si>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</si>
  <si>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</si>
  <si>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</si>
  <si>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</si>
  <si>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</si>
  <si>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</si>
  <si>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</si>
  <si>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</si>
  <si>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</si>
  <si>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</si>
  <si>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</si>
  <si>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8</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</si>
  <si>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</si>
  <si>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</si>
  <si>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</si>
  <si>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</si>
  <si>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</si>
  <si>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</si>
  <si>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</si>
  <si>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</si>
  <si>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</si>
  <si>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</si>
  <si>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</si>
  <si>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</si>
  <si>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</si>
  <si>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</si>
  <si>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</si>
  <si>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</si>
  <si>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</si>
  <si>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</si>
  <si>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</si>
  <si>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</si>
  <si>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</si>
  <si>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</si>
  <si>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</si>
  <si>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</si>
  <si>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</si>
  <si>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</si>
  <si>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</si>
  <si>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</si>
  <si>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</si>
  <si>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</si>
  <si>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</si>
  <si>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</si>
  <si>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</si>
  <si>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</si>
  <si>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</si>
  <si>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</si>
  <si>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</si>
  <si>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</si>
  <si>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</si>
  <si>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</si>
  <si>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</si>
  <si>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</si>
  <si>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</si>
  <si>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</si>
  <si>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</si>
  <si>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</si>
  <si>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</si>
  <si>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</si>
  <si>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</si>
  <si>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</si>
  <si>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</si>
  <si>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</si>
  <si>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</si>
  <si>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</si>
  <si>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</si>
  <si>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</si>
  <si>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</si>
  <si>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</si>
  <si>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</si>
  <si>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</si>
  <si>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</si>
  <si>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</si>
  <si>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</si>
  <si>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</si>
  <si>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</si>
  <si>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</si>
  <si>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</si>
  <si>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</si>
  <si>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</si>
  <si>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</si>
  <si>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</si>
  <si>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</si>
  <si>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</si>
  <si>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</si>
  <si>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</si>
  <si>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</si>
  <si>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FOCUS CODING</t>
  </si>
  <si>
    <t>- Make sure you have an amazing idea
- Build and plan</t>
  </si>
  <si>
    <t>Socket.IO QALINK</t>
  </si>
  <si>
    <t>- Learn Socket.IO
- Create it</t>
  </si>
  <si>
    <t>There's a reason you don't work well in teams. Own it.</t>
  </si>
  <si>
    <t>: Start the maths assignment and plan it out
: Begin writing it
- Go into detail for the explanations of the definitions</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</si>
  <si>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</si>
  <si>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</si>
  <si>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</si>
  <si>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MATHS HANDIN
COMSCI
PHYS</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</si>
  <si>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</si>
  <si>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</si>
  <si>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</si>
  <si>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</si>
  <si>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</si>
  <si>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</si>
  <si>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</si>
  <si>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</si>
  <si>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MATHS HANDIN VIA TURN IT IN</t>
  </si>
  <si>
    <t>SPANISH TEST
HAND IN ENGLISH (PROP) (TURN IT IN)</t>
  </si>
  <si>
    <t>ENGLISH TURN IT IN</t>
  </si>
  <si>
    <t>EXERCISE 4KM</t>
  </si>
  <si>
    <t>BUSINESS MANAGEMENT + PHYSICS (CALCULATOR, RULER)</t>
  </si>
  <si>
    <t xml:space="preserve">Turn it in ID-KEY : 
17432086 - Pfingst </t>
  </si>
  <si>
    <t>PRINT SET PLAN</t>
  </si>
  <si>
    <t>WORK</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</si>
  <si>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</si>
  <si>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</si>
  <si>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 xml:space="preserve">WEBSITE </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</si>
  <si>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</si>
  <si>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</si>
  <si>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WEBSITE WORK</t>
  </si>
  <si>
    <t>PLAYER WORK (MAC)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</si>
</sst>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4">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1"/>
      <color rgb="FFFF0000"/>
      <name val="Calibri"/>
      <family val="2"/>
      <scheme val="minor"/>
    </font>
    <font>
      <b/>
      <u/>
      <sz val="11"/>
      <color theme="10"/>
      <name val="Calibri"/>
      <family val="2"/>
      <scheme val="minor"/>
    </font>
    <font>
      <sz val="11"/>
      <color theme="1"/>
      <name val="Calibri"/>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bgColor indexed="64"/>
      </patternFill>
    </fill>
  </fills>
  <borders count="19">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9" borderId="14" applyNumberFormat="0" applyFont="0" applyAlignment="0" applyProtection="0"/>
    <xf numFmtId="0" fontId="35" fillId="23" borderId="0" applyNumberFormat="0" applyBorder="0" applyAlignment="0" applyProtection="0"/>
    <xf numFmtId="0" fontId="36" fillId="24" borderId="0" applyNumberFormat="0" applyBorder="0" applyAlignment="0" applyProtection="0"/>
  </cellStyleXfs>
  <cellXfs count="26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9"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9" borderId="14" xfId="3" applyFont="1" applyAlignment="1">
      <alignment horizontal="center" vertical="center" wrapText="1"/>
    </xf>
    <xf numFmtId="0" fontId="0" fillId="0" borderId="16" xfId="0" applyBorder="1" applyAlignment="1">
      <alignment horizontal="center" vertical="center" wrapText="1"/>
    </xf>
    <xf numFmtId="0" fontId="29" fillId="19"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9"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9" borderId="14" xfId="3" applyFont="1" applyAlignment="1">
      <alignment horizontal="center" vertical="center" wrapText="1"/>
    </xf>
    <xf numFmtId="0" fontId="28" fillId="19"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66" fontId="34" fillId="7" borderId="0" xfId="0" applyNumberFormat="1" applyFont="1" applyFill="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7" fillId="23" borderId="0" xfId="4" applyFont="1" applyAlignment="1">
      <alignment horizontal="center" vertical="center"/>
    </xf>
    <xf numFmtId="0" fontId="38" fillId="24"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40" fillId="3" borderId="0" xfId="0" applyNumberFormat="1" applyFont="1" applyFill="1" applyAlignment="1">
      <alignment horizontal="center" vertical="center" wrapText="1"/>
    </xf>
    <xf numFmtId="14" fontId="7" fillId="16" borderId="0" xfId="0" applyNumberFormat="1" applyFont="1" applyFill="1" applyBorder="1" applyAlignment="1">
      <alignment horizontal="center" vertical="center" wrapText="1"/>
    </xf>
    <xf numFmtId="166" fontId="0" fillId="16" borderId="0" xfId="0" applyNumberFormat="1" applyFont="1" applyFill="1" applyBorder="1" applyAlignment="1">
      <alignment horizontal="center" vertical="center" wrapText="1"/>
    </xf>
    <xf numFmtId="14" fontId="34" fillId="16" borderId="18" xfId="0" applyNumberFormat="1" applyFont="1" applyFill="1" applyBorder="1" applyAlignment="1">
      <alignment horizontal="center" vertical="center" wrapText="1"/>
    </xf>
    <xf numFmtId="14" fontId="3" fillId="16" borderId="18" xfId="0" applyNumberFormat="1" applyFont="1" applyFill="1" applyBorder="1" applyAlignment="1">
      <alignment horizontal="center" vertical="center" wrapText="1"/>
    </xf>
    <xf numFmtId="14" fontId="41" fillId="16" borderId="18" xfId="0" applyNumberFormat="1" applyFont="1" applyFill="1" applyBorder="1" applyAlignment="1">
      <alignment horizontal="center" vertical="center" wrapText="1"/>
    </xf>
    <xf numFmtId="14" fontId="13" fillId="16"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4" fontId="42" fillId="16" borderId="18" xfId="2" applyNumberFormat="1" applyFont="1" applyFill="1" applyBorder="1" applyAlignment="1">
      <alignment horizontal="center" vertical="center" wrapText="1"/>
    </xf>
    <xf numFmtId="166" fontId="3" fillId="16"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3" fillId="0" borderId="0" xfId="0" applyNumberFormat="1" applyFont="1" applyFill="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25" fillId="25"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3" fillId="18"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3" fillId="22" borderId="0" xfId="0" applyNumberFormat="1" applyFont="1" applyFill="1" applyAlignment="1">
      <alignment horizontal="center" vertical="center" wrapText="1"/>
    </xf>
    <xf numFmtId="2" fontId="33" fillId="21" borderId="0" xfId="0" applyNumberFormat="1" applyFont="1" applyFill="1" applyAlignment="1">
      <alignment horizontal="center" vertical="center" wrapText="1"/>
    </xf>
    <xf numFmtId="2" fontId="34" fillId="14"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8" borderId="0" xfId="0" applyNumberFormat="1" applyFont="1" applyFill="1" applyAlignment="1">
      <alignment horizontal="center" vertical="center" wrapText="1"/>
    </xf>
    <xf numFmtId="2" fontId="34" fillId="21" borderId="0" xfId="0" applyNumberFormat="1" applyFont="1" applyFill="1" applyAlignment="1">
      <alignment horizontal="center" vertical="center" wrapText="1"/>
    </xf>
    <xf numFmtId="2" fontId="34" fillId="16" borderId="0" xfId="0" applyNumberFormat="1" applyFont="1" applyFill="1" applyAlignment="1">
      <alignment horizontal="center" vertical="center" wrapText="1"/>
    </xf>
    <xf numFmtId="2" fontId="33" fillId="14" borderId="0" xfId="0" applyNumberFormat="1" applyFont="1" applyFill="1" applyAlignment="1">
      <alignment horizontal="center" vertical="center" wrapText="1"/>
    </xf>
    <xf numFmtId="2" fontId="19" fillId="11"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0" fillId="26" borderId="0" xfId="0" applyNumberFormat="1" applyFont="1" applyFill="1" applyAlignment="1">
      <alignment horizontal="center" vertical="center" wrapText="1"/>
    </xf>
    <xf numFmtId="2" fontId="0" fillId="27" borderId="0" xfId="0" quotePrefix="1"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4" fillId="11"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25" fillId="20" borderId="0" xfId="0" applyNumberFormat="1" applyFont="1" applyFill="1" applyAlignment="1">
      <alignment horizontal="center" vertical="center" wrapText="1"/>
    </xf>
    <xf numFmtId="2" fontId="31" fillId="13" borderId="0" xfId="0" applyNumberFormat="1" applyFont="1" applyFill="1" applyAlignment="1">
      <alignment horizontal="center" vertical="center" wrapText="1"/>
    </xf>
    <xf numFmtId="2" fontId="43" fillId="8"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811">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2929"/>
      <color rgb="FFFBAFAF"/>
      <color rgb="FFEBDD89"/>
      <color rgb="FF00F66F"/>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U31" totalsRowCount="1" headerRowDxfId="803" dataDxfId="802" totalsRowDxfId="801">
  <autoFilter ref="C3:LU30"/>
  <tableColumns count="331">
    <tableColumn id="23" name="Tuesday13" totalsRowFunction="custom" dataDxfId="800" totalsRowDxfId="330">
      <totalsRowFormula>SUM(C7:C30)</totalsRowFormula>
    </tableColumn>
    <tableColumn id="24" name="Wednesday14" totalsRowFunction="custom" dataDxfId="799" totalsRowDxfId="329">
      <totalsRowFormula>SUM(D7:D30)</totalsRowFormula>
    </tableColumn>
    <tableColumn id="25" name="Thursday15" totalsRowFunction="custom" dataDxfId="798" totalsRowDxfId="328">
      <totalsRowFormula>SUM(E7:E30)</totalsRowFormula>
    </tableColumn>
    <tableColumn id="26" name="Friday16" totalsRowFunction="custom" dataDxfId="797" totalsRowDxfId="327">
      <totalsRowFormula>SUM(F7:F30)</totalsRowFormula>
    </tableColumn>
    <tableColumn id="27" name="Saturday17" totalsRowFunction="custom" totalsRowDxfId="326">
      <totalsRowFormula>SUM(G7:G30)</totalsRowFormula>
    </tableColumn>
    <tableColumn id="28" name="Sunday18" totalsRowFunction="custom" dataDxfId="796" totalsRowDxfId="325">
      <totalsRowFormula>SUM(H7:H30)</totalsRowFormula>
    </tableColumn>
    <tableColumn id="29" name="Monday19" totalsRowFunction="custom" dataDxfId="795" totalsRowDxfId="324">
      <totalsRowFormula>SUM(I7:I30)</totalsRowFormula>
    </tableColumn>
    <tableColumn id="30" name="Tuesday20" totalsRowFunction="custom" dataDxfId="794" totalsRowDxfId="323">
      <totalsRowFormula>SUM(J7:J30)</totalsRowFormula>
    </tableColumn>
    <tableColumn id="31" name="Wednesday21" totalsRowFunction="custom" dataDxfId="793" totalsRowDxfId="322">
      <totalsRowFormula>SUM(K7:K30)</totalsRowFormula>
    </tableColumn>
    <tableColumn id="32" name="Thursday22" totalsRowFunction="custom" dataDxfId="792" totalsRowDxfId="321">
      <totalsRowFormula>SUM(L7:L30)</totalsRowFormula>
    </tableColumn>
    <tableColumn id="33" name="Friday23" totalsRowFunction="custom" dataDxfId="791" totalsRowDxfId="320">
      <totalsRowFormula>SUM(M7:M30)</totalsRowFormula>
    </tableColumn>
    <tableColumn id="34" name="Saturday24" totalsRowFunction="custom" dataDxfId="790" totalsRowDxfId="319">
      <totalsRowFormula>SUM(N7:N30)</totalsRowFormula>
    </tableColumn>
    <tableColumn id="35" name="Sunday25" totalsRowFunction="custom" dataDxfId="789" totalsRowDxfId="318">
      <totalsRowFormula>SUM(O7:O30)</totalsRowFormula>
    </tableColumn>
    <tableColumn id="36" name="Monday26" totalsRowFunction="custom" dataDxfId="788" totalsRowDxfId="317">
      <totalsRowFormula>SUM(P7:P30)</totalsRowFormula>
    </tableColumn>
    <tableColumn id="37" name="Tuesday27" totalsRowFunction="custom" dataDxfId="787" totalsRowDxfId="316">
      <totalsRowFormula>SUM(Q7:Q30)</totalsRowFormula>
    </tableColumn>
    <tableColumn id="38" name="Wednesday28" totalsRowFunction="custom" dataDxfId="786" totalsRowDxfId="315">
      <totalsRowFormula>SUM(R7:R30)</totalsRowFormula>
    </tableColumn>
    <tableColumn id="39" name="Thursday29" totalsRowFunction="custom" dataDxfId="785" totalsRowDxfId="314">
      <totalsRowFormula>SUM(S7:S30)</totalsRowFormula>
    </tableColumn>
    <tableColumn id="40" name="Friday30" totalsRowFunction="custom" dataDxfId="784" totalsRowDxfId="313">
      <totalsRowFormula>SUM(T7:T30)</totalsRowFormula>
    </tableColumn>
    <tableColumn id="41" name="Saturday31" totalsRowFunction="custom" dataDxfId="783" totalsRowDxfId="312">
      <totalsRowFormula>SUM(U7:U30)</totalsRowFormula>
    </tableColumn>
    <tableColumn id="42" name="Sunday32" totalsRowFunction="custom" dataDxfId="782" totalsRowDxfId="311">
      <totalsRowFormula>SUM(V7:V30)</totalsRowFormula>
    </tableColumn>
    <tableColumn id="43" name="Monday33" totalsRowFunction="custom" dataDxfId="781" totalsRowDxfId="310">
      <totalsRowFormula>SUM(W7:W30)</totalsRowFormula>
    </tableColumn>
    <tableColumn id="44" name="Tuesday34" totalsRowFunction="custom" dataDxfId="780" totalsRowDxfId="309">
      <totalsRowFormula>SUM(X7:X30)</totalsRowFormula>
    </tableColumn>
    <tableColumn id="45" name="Wednesday35" totalsRowFunction="custom" dataDxfId="779" totalsRowDxfId="308">
      <totalsRowFormula>SUM(Y7:Y30)</totalsRowFormula>
    </tableColumn>
    <tableColumn id="46" name="Thursday36" totalsRowFunction="custom" dataDxfId="778" totalsRowDxfId="307">
      <totalsRowFormula>SUM(Z7:Z30)</totalsRowFormula>
    </tableColumn>
    <tableColumn id="47" name="Friday37" totalsRowFunction="custom" dataDxfId="777" totalsRowDxfId="306">
      <totalsRowFormula>SUM(AA7:AA30)</totalsRowFormula>
    </tableColumn>
    <tableColumn id="48" name="Saturday38" totalsRowFunction="custom" dataDxfId="776" totalsRowDxfId="305">
      <totalsRowFormula>SUM(AB7:AB30)</totalsRowFormula>
    </tableColumn>
    <tableColumn id="49" name="Sunday39" totalsRowFunction="custom" dataDxfId="775" totalsRowDxfId="304">
      <totalsRowFormula>SUM(AC7:AC30)</totalsRowFormula>
    </tableColumn>
    <tableColumn id="50" name="Monday40" totalsRowFunction="custom" dataDxfId="774" totalsRowDxfId="303">
      <totalsRowFormula>SUM(AD7:AD30)</totalsRowFormula>
    </tableColumn>
    <tableColumn id="51" name="Tuesday41" totalsRowFunction="custom" dataDxfId="773" totalsRowDxfId="302">
      <totalsRowFormula>SUM(AE7:AE30)</totalsRowFormula>
    </tableColumn>
    <tableColumn id="52" name="Wednesday42" totalsRowFunction="custom" dataDxfId="772" totalsRowDxfId="301">
      <totalsRowFormula>SUM(AF7:AF30)</totalsRowFormula>
    </tableColumn>
    <tableColumn id="53" name="Thursday43" totalsRowFunction="custom" dataDxfId="771" totalsRowDxfId="300">
      <totalsRowFormula>SUM(AG7:AG30)</totalsRowFormula>
    </tableColumn>
    <tableColumn id="54" name="Friday44" totalsRowFunction="custom" dataDxfId="770" totalsRowDxfId="299">
      <totalsRowFormula>SUM(AH7:AH30)</totalsRowFormula>
    </tableColumn>
    <tableColumn id="55" name="Saturday45" totalsRowFunction="custom" dataDxfId="769" totalsRowDxfId="298">
      <totalsRowFormula>SUM(AI7:AI30)</totalsRowFormula>
    </tableColumn>
    <tableColumn id="56" name="Sunday46" totalsRowFunction="custom" dataDxfId="768" totalsRowDxfId="297">
      <totalsRowFormula>SUM(AJ7:AJ30)</totalsRowFormula>
    </tableColumn>
    <tableColumn id="57" name="Monday47" totalsRowFunction="custom" dataDxfId="767" totalsRowDxfId="296">
      <totalsRowFormula>SUM(AK7:AK30)</totalsRowFormula>
    </tableColumn>
    <tableColumn id="58" name="Tuesday48" totalsRowFunction="custom" dataDxfId="766" totalsRowDxfId="295">
      <totalsRowFormula>SUM(AL7:AL30)</totalsRowFormula>
    </tableColumn>
    <tableColumn id="59" name="Wednesday49" totalsRowFunction="custom" dataDxfId="765" totalsRowDxfId="294">
      <totalsRowFormula>SUM(AM7:AM30)</totalsRowFormula>
    </tableColumn>
    <tableColumn id="60" name="Thursday50" totalsRowFunction="custom" dataDxfId="764" totalsRowDxfId="293">
      <totalsRowFormula>SUM(AN7:AN30)</totalsRowFormula>
    </tableColumn>
    <tableColumn id="61" name="Friday51" totalsRowFunction="custom" dataDxfId="763" totalsRowDxfId="292">
      <totalsRowFormula>SUM(AO7:AO30)</totalsRowFormula>
    </tableColumn>
    <tableColumn id="62" name="Saturday52" totalsRowFunction="custom" totalsRowDxfId="291">
      <totalsRowFormula>SUM(AP7:AP30)</totalsRowFormula>
    </tableColumn>
    <tableColumn id="63" name="Sunday53" totalsRowFunction="custom" dataDxfId="762" totalsRowDxfId="290">
      <totalsRowFormula>SUM(AQ7:AQ30)</totalsRowFormula>
    </tableColumn>
    <tableColumn id="64" name="Monday54" totalsRowFunction="custom" dataDxfId="761" totalsRowDxfId="289">
      <totalsRowFormula>SUM(AR7:AR30)</totalsRowFormula>
    </tableColumn>
    <tableColumn id="65" name="Tuesday55" totalsRowFunction="custom" dataDxfId="760" totalsRowDxfId="288">
      <totalsRowFormula>SUM(AS7:AS30)</totalsRowFormula>
    </tableColumn>
    <tableColumn id="66" name="Wednesday56" totalsRowFunction="custom" dataDxfId="759" totalsRowDxfId="287">
      <totalsRowFormula>SUM(AT7:AT30)</totalsRowFormula>
    </tableColumn>
    <tableColumn id="67" name="Thursday57" totalsRowFunction="custom" dataDxfId="758" totalsRowDxfId="286">
      <totalsRowFormula>SUM(AU7:AU30)</totalsRowFormula>
    </tableColumn>
    <tableColumn id="68" name="Friday58" totalsRowFunction="custom" dataDxfId="757" totalsRowDxfId="285">
      <totalsRowFormula>SUM(AV7:AV30)</totalsRowFormula>
    </tableColumn>
    <tableColumn id="69" name="Saturday59" totalsRowFunction="custom" dataDxfId="756" totalsRowDxfId="284">
      <totalsRowFormula>SUM(AW7:AW30)</totalsRowFormula>
    </tableColumn>
    <tableColumn id="70" name="Sunday60" totalsRowFunction="custom" dataDxfId="755" totalsRowDxfId="283">
      <totalsRowFormula>SUM(AX7:AX30)</totalsRowFormula>
    </tableColumn>
    <tableColumn id="71" name="Monday61" totalsRowFunction="custom" dataDxfId="754" totalsRowDxfId="282">
      <totalsRowFormula>SUM(AY7:AY30)</totalsRowFormula>
    </tableColumn>
    <tableColumn id="72" name="Tuesday62" totalsRowFunction="custom" dataDxfId="753" totalsRowDxfId="281">
      <totalsRowFormula>SUM(AZ7:AZ30)</totalsRowFormula>
    </tableColumn>
    <tableColumn id="73" name="Wednesday63" totalsRowFunction="custom" dataDxfId="752" totalsRowDxfId="280">
      <totalsRowFormula>SUM(BA7:BA30)</totalsRowFormula>
    </tableColumn>
    <tableColumn id="74" name="Thursday64" totalsRowFunction="custom" dataDxfId="751" totalsRowDxfId="279">
      <totalsRowFormula>SUM(BB7:BB30)</totalsRowFormula>
    </tableColumn>
    <tableColumn id="75" name="Friday65" totalsRowFunction="custom" dataDxfId="750" totalsRowDxfId="278">
      <totalsRowFormula>SUM(BC7:BC30)</totalsRowFormula>
    </tableColumn>
    <tableColumn id="76" name="Saturday66" totalsRowFunction="custom" dataDxfId="749" totalsRowDxfId="277">
      <totalsRowFormula>SUM(BD7:BD30)</totalsRowFormula>
    </tableColumn>
    <tableColumn id="77" name="Sunday67" totalsRowFunction="custom" dataDxfId="748" totalsRowDxfId="276">
      <totalsRowFormula>SUM(BE7:BE30)</totalsRowFormula>
    </tableColumn>
    <tableColumn id="78" name="Monday68" totalsRowFunction="custom" dataDxfId="747" totalsRowDxfId="275">
      <totalsRowFormula>SUM(BF7:BF30)</totalsRowFormula>
    </tableColumn>
    <tableColumn id="79" name="Tuesday69" totalsRowFunction="custom" dataDxfId="746" totalsRowDxfId="274">
      <totalsRowFormula>SUM(BG7:BG30)</totalsRowFormula>
    </tableColumn>
    <tableColumn id="80" name="Wednesday70" totalsRowFunction="custom" dataDxfId="745" totalsRowDxfId="273">
      <totalsRowFormula>SUM(BH7:BH30)</totalsRowFormula>
    </tableColumn>
    <tableColumn id="81" name="Thursday71" totalsRowFunction="custom" dataDxfId="744" totalsRowDxfId="272">
      <totalsRowFormula>SUM(BI7:BI30)</totalsRowFormula>
    </tableColumn>
    <tableColumn id="82" name="Friday72" totalsRowFunction="custom" dataDxfId="743" totalsRowDxfId="271">
      <totalsRowFormula>SUM(BJ7:BJ30)</totalsRowFormula>
    </tableColumn>
    <tableColumn id="83" name="Saturday73" totalsRowFunction="custom" dataDxfId="742" totalsRowDxfId="270">
      <totalsRowFormula>SUM(BK7:BK30)</totalsRowFormula>
    </tableColumn>
    <tableColumn id="84" name="Sunday74" totalsRowFunction="custom" dataDxfId="741" totalsRowDxfId="269">
      <totalsRowFormula>SUM(BL7:BL30)</totalsRowFormula>
    </tableColumn>
    <tableColumn id="85" name="Monday75" totalsRowFunction="custom" dataDxfId="740" totalsRowDxfId="268">
      <totalsRowFormula>SUM(BM7:BM30)</totalsRowFormula>
    </tableColumn>
    <tableColumn id="86" name="Tuesday76" totalsRowFunction="custom" dataDxfId="739" totalsRowDxfId="267">
      <totalsRowFormula>SUM(BN7:BN30)</totalsRowFormula>
    </tableColumn>
    <tableColumn id="87" name="Wednesday77" totalsRowFunction="custom" dataDxfId="738" totalsRowDxfId="266">
      <totalsRowFormula>SUM(BO7:BO30)</totalsRowFormula>
    </tableColumn>
    <tableColumn id="88" name="Thursday78" totalsRowFunction="custom" dataDxfId="737" totalsRowDxfId="265">
      <totalsRowFormula>SUM(BP7:BP30)</totalsRowFormula>
    </tableColumn>
    <tableColumn id="89" name="Friday79" totalsRowFunction="custom" dataDxfId="736" totalsRowDxfId="264">
      <totalsRowFormula>SUM(BQ7:BQ30)</totalsRowFormula>
    </tableColumn>
    <tableColumn id="90" name="Saturday80" totalsRowFunction="custom" dataDxfId="735" totalsRowDxfId="263">
      <totalsRowFormula>SUM(BR7:BR30)</totalsRowFormula>
    </tableColumn>
    <tableColumn id="91" name="Sunday81" totalsRowFunction="custom" dataDxfId="734" totalsRowDxfId="262">
      <totalsRowFormula>SUM(BS7:BS30)</totalsRowFormula>
    </tableColumn>
    <tableColumn id="92" name="Monday82" totalsRowFunction="custom" dataDxfId="733" totalsRowDxfId="261">
      <totalsRowFormula>SUM(BT7:BT30)</totalsRowFormula>
    </tableColumn>
    <tableColumn id="93" name="Tuesday83" totalsRowFunction="custom" dataDxfId="732" totalsRowDxfId="260">
      <totalsRowFormula>SUM(BU7:BU30)</totalsRowFormula>
    </tableColumn>
    <tableColumn id="94" name="Wednesday84" totalsRowFunction="custom" dataDxfId="731" totalsRowDxfId="259">
      <totalsRowFormula>SUM(BV7:BV30)</totalsRowFormula>
    </tableColumn>
    <tableColumn id="95" name="Thursday85" totalsRowFunction="custom" dataDxfId="730" totalsRowDxfId="258">
      <totalsRowFormula>SUM(BW7:BW30)</totalsRowFormula>
    </tableColumn>
    <tableColumn id="96" name="Friday86" totalsRowFunction="custom" dataDxfId="729" totalsRowDxfId="257">
      <totalsRowFormula>SUM(BX7:BX30)</totalsRowFormula>
    </tableColumn>
    <tableColumn id="97" name="Saturday87" totalsRowFunction="custom" dataDxfId="728" totalsRowDxfId="256">
      <totalsRowFormula>SUM(BY7:BY30)</totalsRowFormula>
    </tableColumn>
    <tableColumn id="98" name="Sunday88" totalsRowFunction="custom" dataDxfId="727" totalsRowDxfId="255">
      <totalsRowFormula>SUM(BZ7:BZ30)</totalsRowFormula>
    </tableColumn>
    <tableColumn id="99" name="Monday89" totalsRowFunction="custom" dataDxfId="726" totalsRowDxfId="254">
      <totalsRowFormula>SUM(CA7:CA30)</totalsRowFormula>
    </tableColumn>
    <tableColumn id="100" name="Tuesday90" totalsRowFunction="custom" dataDxfId="725" totalsRowDxfId="253">
      <totalsRowFormula>SUM(CB7:CB30)</totalsRowFormula>
    </tableColumn>
    <tableColumn id="101" name="Wednesday91" totalsRowFunction="custom" dataDxfId="724" totalsRowDxfId="252">
      <totalsRowFormula>SUM(CC7:CC30)</totalsRowFormula>
    </tableColumn>
    <tableColumn id="102" name="Thursday92" totalsRowFunction="custom" dataDxfId="723" totalsRowDxfId="251">
      <totalsRowFormula>SUM(CD7:CD30)</totalsRowFormula>
    </tableColumn>
    <tableColumn id="103" name="Friday93" totalsRowFunction="custom" dataDxfId="722" totalsRowDxfId="250">
      <totalsRowFormula>SUM(CE7:CE30)</totalsRowFormula>
    </tableColumn>
    <tableColumn id="104" name="Saturday94" totalsRowFunction="custom" dataDxfId="721" totalsRowDxfId="249">
      <totalsRowFormula>SUM(CF7:CF30)</totalsRowFormula>
    </tableColumn>
    <tableColumn id="105" name="Sunday95" totalsRowFunction="custom" dataDxfId="720" totalsRowDxfId="248">
      <totalsRowFormula>SUM(CG7:CG30)</totalsRowFormula>
    </tableColumn>
    <tableColumn id="106" name="Monday96" totalsRowFunction="custom" dataDxfId="719" totalsRowDxfId="247">
      <totalsRowFormula>SUM(CH7:CH30)</totalsRowFormula>
    </tableColumn>
    <tableColumn id="107" name="Tuesday97" totalsRowFunction="custom" dataDxfId="718" totalsRowDxfId="246">
      <totalsRowFormula>SUM(CI7:CI30)</totalsRowFormula>
    </tableColumn>
    <tableColumn id="108" name="Wednesday98" totalsRowFunction="custom" dataDxfId="717" totalsRowDxfId="245">
      <totalsRowFormula>SUM(CJ7:CJ30)</totalsRowFormula>
    </tableColumn>
    <tableColumn id="109" name="Thursday99" totalsRowFunction="custom" dataDxfId="716" totalsRowDxfId="244">
      <totalsRowFormula>SUM(CK7:CK30)</totalsRowFormula>
    </tableColumn>
    <tableColumn id="110" name="Friday100" totalsRowFunction="custom" dataDxfId="715" totalsRowDxfId="243">
      <totalsRowFormula>SUM(CL7:CL30)</totalsRowFormula>
    </tableColumn>
    <tableColumn id="111" name="Saturday101" totalsRowFunction="custom" dataDxfId="714" totalsRowDxfId="242">
      <totalsRowFormula>SUM(CM7:CM30)</totalsRowFormula>
    </tableColumn>
    <tableColumn id="112" name="Sunday102" totalsRowFunction="custom" dataDxfId="713" totalsRowDxfId="241">
      <totalsRowFormula>SUM(CN7:CN30)</totalsRowFormula>
    </tableColumn>
    <tableColumn id="113" name="Monday103" totalsRowFunction="custom" dataDxfId="712" totalsRowDxfId="240">
      <totalsRowFormula>SUM(CO7:CO30)</totalsRowFormula>
    </tableColumn>
    <tableColumn id="114" name="Tuesday104" totalsRowFunction="custom" dataDxfId="711" totalsRowDxfId="239">
      <totalsRowFormula>SUM(CP7:CP30)</totalsRowFormula>
    </tableColumn>
    <tableColumn id="115" name="Wednesday105" totalsRowFunction="custom" dataDxfId="710" totalsRowDxfId="238">
      <totalsRowFormula>SUM(CQ7:CQ30)</totalsRowFormula>
    </tableColumn>
    <tableColumn id="116" name="Thursday106" totalsRowFunction="custom" dataDxfId="709" totalsRowDxfId="237">
      <totalsRowFormula>SUM(CR7:CR30)</totalsRowFormula>
    </tableColumn>
    <tableColumn id="117" name="Friday107" totalsRowFunction="custom" dataDxfId="708" totalsRowDxfId="236">
      <totalsRowFormula>SUM(CS7:CS30)</totalsRowFormula>
    </tableColumn>
    <tableColumn id="118" name="Saturday108" totalsRowFunction="custom" dataDxfId="707" totalsRowDxfId="235">
      <totalsRowFormula>SUM(CT7:CT30)</totalsRowFormula>
    </tableColumn>
    <tableColumn id="119" name="Sunday109" totalsRowFunction="custom" dataDxfId="706" totalsRowDxfId="234">
      <totalsRowFormula>SUM(CU7:CU30)</totalsRowFormula>
    </tableColumn>
    <tableColumn id="120" name="Monday110" totalsRowFunction="custom" dataDxfId="705" totalsRowDxfId="233">
      <totalsRowFormula>SUM(CV7:CV30)</totalsRowFormula>
    </tableColumn>
    <tableColumn id="121" name="Tuesday111" totalsRowFunction="custom" dataDxfId="704" totalsRowDxfId="232">
      <totalsRowFormula>SUM(CW7:CW30)</totalsRowFormula>
    </tableColumn>
    <tableColumn id="122" name="Wednesday112" totalsRowFunction="custom" dataDxfId="703" totalsRowDxfId="231">
      <totalsRowFormula>SUM(CX7:CX30)</totalsRowFormula>
    </tableColumn>
    <tableColumn id="123" name="Thursday113" totalsRowFunction="custom" dataDxfId="702" totalsRowDxfId="230">
      <totalsRowFormula>SUM(CY7:CY30)</totalsRowFormula>
    </tableColumn>
    <tableColumn id="124" name="Friday114" totalsRowFunction="custom" dataDxfId="701" totalsRowDxfId="229">
      <totalsRowFormula>SUM(CZ7:CZ30)</totalsRowFormula>
    </tableColumn>
    <tableColumn id="125" name="Saturday115" totalsRowFunction="custom" dataDxfId="700" totalsRowDxfId="228">
      <totalsRowFormula>SUM(DA7:DA30)</totalsRowFormula>
    </tableColumn>
    <tableColumn id="126" name="Sunday116" totalsRowFunction="custom" dataDxfId="699" totalsRowDxfId="227">
      <totalsRowFormula>SUM(DB7:DB30)</totalsRowFormula>
    </tableColumn>
    <tableColumn id="127" name="Monday117" totalsRowFunction="custom" dataDxfId="698" totalsRowDxfId="226">
      <totalsRowFormula>SUM(DC7:DC30)</totalsRowFormula>
    </tableColumn>
    <tableColumn id="128" name="Tuesday118" totalsRowFunction="custom" dataDxfId="697" totalsRowDxfId="225">
      <totalsRowFormula>SUM(DD7:DD30)</totalsRowFormula>
    </tableColumn>
    <tableColumn id="129" name="Wednesday119" totalsRowFunction="custom" dataDxfId="696" totalsRowDxfId="224">
      <totalsRowFormula>SUM(DE7:DE30)</totalsRowFormula>
    </tableColumn>
    <tableColumn id="130" name="Thursday120" totalsRowFunction="custom" dataDxfId="695" totalsRowDxfId="223">
      <totalsRowFormula>SUM(DF7:DF30)</totalsRowFormula>
    </tableColumn>
    <tableColumn id="131" name="Friday121" totalsRowFunction="custom" dataDxfId="694" totalsRowDxfId="222">
      <totalsRowFormula>SUM(DG7:DG30)</totalsRowFormula>
    </tableColumn>
    <tableColumn id="132" name="Saturday122" totalsRowFunction="custom" dataDxfId="693" totalsRowDxfId="221">
      <totalsRowFormula>SUM(DH7:DH30)</totalsRowFormula>
    </tableColumn>
    <tableColumn id="133" name="Sunday123" totalsRowFunction="custom" dataDxfId="692" totalsRowDxfId="220">
      <totalsRowFormula>SUM(DI7:DI30)</totalsRowFormula>
    </tableColumn>
    <tableColumn id="134" name="Monday124" totalsRowFunction="custom" dataDxfId="691" totalsRowDxfId="219">
      <totalsRowFormula>SUM(DJ7:DJ30)</totalsRowFormula>
    </tableColumn>
    <tableColumn id="135" name="Tuesday125" totalsRowFunction="custom" dataDxfId="690" totalsRowDxfId="218">
      <totalsRowFormula>SUM(DK7:DK30)</totalsRowFormula>
    </tableColumn>
    <tableColumn id="136" name="Wednesday126" totalsRowFunction="custom" dataDxfId="689" totalsRowDxfId="217">
      <totalsRowFormula>SUM(DL7:DL30)</totalsRowFormula>
    </tableColumn>
    <tableColumn id="137" name="Thursday127" totalsRowFunction="custom" dataDxfId="688" totalsRowDxfId="216">
      <totalsRowFormula>SUM(DM7:DM30)</totalsRowFormula>
    </tableColumn>
    <tableColumn id="138" name="Friday128" totalsRowFunction="custom" dataDxfId="687" totalsRowDxfId="215">
      <totalsRowFormula>SUM(DN7:DN30)</totalsRowFormula>
    </tableColumn>
    <tableColumn id="139" name="Saturday129" totalsRowFunction="custom" dataDxfId="686" totalsRowDxfId="214">
      <totalsRowFormula>SUM(DO7:DO30)</totalsRowFormula>
    </tableColumn>
    <tableColumn id="140" name="Sunday130" totalsRowFunction="custom" dataDxfId="685" totalsRowDxfId="213">
      <totalsRowFormula>SUM(DP7:DP30)</totalsRowFormula>
    </tableColumn>
    <tableColumn id="141" name="Monday131" totalsRowFunction="custom" dataDxfId="684" totalsRowDxfId="212">
      <totalsRowFormula>SUM(DQ7:DQ30)</totalsRowFormula>
    </tableColumn>
    <tableColumn id="142" name="Tuesday132" totalsRowFunction="custom" dataDxfId="683" totalsRowDxfId="211">
      <totalsRowFormula>SUM(DR7:DR30)</totalsRowFormula>
    </tableColumn>
    <tableColumn id="143" name="Wednesday133" totalsRowFunction="custom" dataDxfId="682" totalsRowDxfId="210">
      <totalsRowFormula>SUM(DS7:DS30)</totalsRowFormula>
    </tableColumn>
    <tableColumn id="144" name="Thursday134" totalsRowFunction="custom" dataDxfId="681" totalsRowDxfId="209">
      <totalsRowFormula>SUM(DT7:DT30)</totalsRowFormula>
    </tableColumn>
    <tableColumn id="145" name="Friday135" totalsRowFunction="custom" dataDxfId="680" totalsRowDxfId="208">
      <totalsRowFormula>SUM(DU7:DU30)</totalsRowFormula>
    </tableColumn>
    <tableColumn id="146" name="Saturday136" totalsRowFunction="custom" dataDxfId="679" totalsRowDxfId="207">
      <totalsRowFormula>SUM(DV7:DV30)</totalsRowFormula>
    </tableColumn>
    <tableColumn id="147" name="Sunday137" totalsRowFunction="custom" dataDxfId="678" totalsRowDxfId="206">
      <totalsRowFormula>SUM(DW7:DW30)</totalsRowFormula>
    </tableColumn>
    <tableColumn id="148" name="Monday138" totalsRowFunction="custom" dataDxfId="677" totalsRowDxfId="205">
      <totalsRowFormula>SUM(DX7:DX30)</totalsRowFormula>
    </tableColumn>
    <tableColumn id="149" name="Tuesday139" totalsRowFunction="custom" dataDxfId="676" totalsRowDxfId="204">
      <totalsRowFormula>SUM(DY7:DY30)</totalsRowFormula>
    </tableColumn>
    <tableColumn id="150" name="Wednesday140" totalsRowFunction="custom" dataDxfId="675" totalsRowDxfId="203">
      <totalsRowFormula>SUM(DZ7:DZ30)</totalsRowFormula>
    </tableColumn>
    <tableColumn id="151" name="Thursday141" totalsRowFunction="custom" dataDxfId="674" totalsRowDxfId="202">
      <totalsRowFormula>SUM(EA7:EA30)</totalsRowFormula>
    </tableColumn>
    <tableColumn id="152" name="Friday142" totalsRowFunction="custom" dataDxfId="673" totalsRowDxfId="201">
      <totalsRowFormula>SUM(EB7:EB30)</totalsRowFormula>
    </tableColumn>
    <tableColumn id="153" name="Saturday143" totalsRowFunction="custom" dataDxfId="672" totalsRowDxfId="200">
      <totalsRowFormula>SUM(EC7:EC30)</totalsRowFormula>
    </tableColumn>
    <tableColumn id="154" name="Sunday144" totalsRowFunction="custom" dataDxfId="671" totalsRowDxfId="199">
      <totalsRowFormula>SUM(ED7:ED30)</totalsRowFormula>
    </tableColumn>
    <tableColumn id="155" name="Monday145" totalsRowFunction="custom" dataDxfId="670" totalsRowDxfId="198">
      <totalsRowFormula>SUM(EE7:EE30)</totalsRowFormula>
    </tableColumn>
    <tableColumn id="156" name="Tuesday146" totalsRowFunction="custom" dataDxfId="669" totalsRowDxfId="197">
      <totalsRowFormula>SUM(EF7:EF30)</totalsRowFormula>
    </tableColumn>
    <tableColumn id="157" name="Wednesday147" totalsRowFunction="custom" dataDxfId="668" totalsRowDxfId="196">
      <totalsRowFormula>SUM(EG7:EG30)</totalsRowFormula>
    </tableColumn>
    <tableColumn id="158" name="Thursday148" totalsRowFunction="custom" dataDxfId="667" totalsRowDxfId="195">
      <totalsRowFormula>SUM(EH7:EH30)</totalsRowFormula>
    </tableColumn>
    <tableColumn id="159" name="Friday149" totalsRowFunction="custom" dataDxfId="666" totalsRowDxfId="194">
      <totalsRowFormula>SUM(EI7:EI30)</totalsRowFormula>
    </tableColumn>
    <tableColumn id="160" name="Saturday150" totalsRowFunction="custom" dataDxfId="665" totalsRowDxfId="193">
      <totalsRowFormula>SUM(EJ7:EJ30)</totalsRowFormula>
    </tableColumn>
    <tableColumn id="161" name="Sunday151" totalsRowFunction="custom" dataDxfId="664" totalsRowDxfId="192">
      <totalsRowFormula>SUM(EK7:EK30)</totalsRowFormula>
    </tableColumn>
    <tableColumn id="162" name="Monday152" totalsRowFunction="custom" dataDxfId="663" totalsRowDxfId="191">
      <totalsRowFormula>SUM(EL7:EL30)</totalsRowFormula>
    </tableColumn>
    <tableColumn id="163" name="Tuesday153" totalsRowFunction="custom" dataDxfId="662" totalsRowDxfId="190">
      <totalsRowFormula>SUM(EM7:EM30)</totalsRowFormula>
    </tableColumn>
    <tableColumn id="164" name="Wednesday154" totalsRowFunction="custom" dataDxfId="661" totalsRowDxfId="189">
      <totalsRowFormula>SUM(EN7:EN30)</totalsRowFormula>
    </tableColumn>
    <tableColumn id="165" name="Thursday155" totalsRowFunction="custom" dataDxfId="660" totalsRowDxfId="188">
      <totalsRowFormula>SUM(EO7:EO30)</totalsRowFormula>
    </tableColumn>
    <tableColumn id="166" name="Friday156" totalsRowFunction="custom" dataDxfId="659" totalsRowDxfId="187">
      <totalsRowFormula>SUM(EP7:EP30)</totalsRowFormula>
    </tableColumn>
    <tableColumn id="167" name="Saturday157" totalsRowFunction="custom" dataDxfId="658" totalsRowDxfId="186">
      <totalsRowFormula>SUM(EQ7:EQ30)</totalsRowFormula>
    </tableColumn>
    <tableColumn id="168" name="Sunday158" totalsRowFunction="custom" dataDxfId="657" totalsRowDxfId="185">
      <totalsRowFormula>SUM(ER7:ER30)</totalsRowFormula>
    </tableColumn>
    <tableColumn id="169" name="Monday159" totalsRowFunction="custom" dataDxfId="656" totalsRowDxfId="184">
      <totalsRowFormula>SUM(ES7:ES30)</totalsRowFormula>
    </tableColumn>
    <tableColumn id="170" name="Tuesday160" totalsRowFunction="custom" dataDxfId="655" totalsRowDxfId="183">
      <totalsRowFormula>SUM(ET7:ET30)</totalsRowFormula>
    </tableColumn>
    <tableColumn id="171" name="Wednesday161" totalsRowFunction="custom" dataDxfId="654" totalsRowDxfId="182">
      <totalsRowFormula>SUM(EU7:EU30)</totalsRowFormula>
    </tableColumn>
    <tableColumn id="172" name="Thursday162" totalsRowFunction="custom" dataDxfId="653" totalsRowDxfId="181">
      <totalsRowFormula>SUM(EV7:EV30)</totalsRowFormula>
    </tableColumn>
    <tableColumn id="173" name="Friday163" totalsRowFunction="custom" dataDxfId="652" totalsRowDxfId="180">
      <totalsRowFormula>SUM(EW7:EW30)</totalsRowFormula>
    </tableColumn>
    <tableColumn id="174" name="Saturday164" totalsRowFunction="custom" dataDxfId="651" totalsRowDxfId="179">
      <totalsRowFormula>SUM(EX7:EX30)</totalsRowFormula>
    </tableColumn>
    <tableColumn id="175" name="Sunday165" totalsRowFunction="custom" dataDxfId="650" totalsRowDxfId="178">
      <totalsRowFormula>SUM(EY7:EY30)</totalsRowFormula>
    </tableColumn>
    <tableColumn id="176" name="Monday166" totalsRowFunction="custom" dataDxfId="649" totalsRowDxfId="177">
      <totalsRowFormula>SUM(EZ7:EZ30)</totalsRowFormula>
    </tableColumn>
    <tableColumn id="177" name="Tuesday167" totalsRowFunction="custom" dataDxfId="648" totalsRowDxfId="176">
      <totalsRowFormula>SUM(FA7:FA30)</totalsRowFormula>
    </tableColumn>
    <tableColumn id="178" name="Wednesday168" totalsRowFunction="custom" dataDxfId="647" totalsRowDxfId="175">
      <totalsRowFormula>SUM(FB7:FB30)</totalsRowFormula>
    </tableColumn>
    <tableColumn id="179" name="Thursday169" totalsRowFunction="custom" dataDxfId="646" totalsRowDxfId="174">
      <totalsRowFormula>SUM(FC7:FC30)</totalsRowFormula>
    </tableColumn>
    <tableColumn id="180" name="Friday170" totalsRowFunction="custom" dataDxfId="645" totalsRowDxfId="173">
      <totalsRowFormula>SUM(FD7:FD30)</totalsRowFormula>
    </tableColumn>
    <tableColumn id="181" name="Saturday171" totalsRowFunction="custom" dataDxfId="644" totalsRowDxfId="172">
      <totalsRowFormula>SUM(FE7:FE30)</totalsRowFormula>
    </tableColumn>
    <tableColumn id="182" name="Sunday172" totalsRowFunction="custom" dataDxfId="643" totalsRowDxfId="171">
      <totalsRowFormula>SUM(FF7:FF30)</totalsRowFormula>
    </tableColumn>
    <tableColumn id="183" name="Monday173" totalsRowFunction="custom" dataDxfId="642" totalsRowDxfId="170">
      <totalsRowFormula>SUM(FG7:FG30)</totalsRowFormula>
    </tableColumn>
    <tableColumn id="184" name="Tuesday174" totalsRowFunction="custom" dataDxfId="641" totalsRowDxfId="169">
      <totalsRowFormula>SUM(FH7:FH30)</totalsRowFormula>
    </tableColumn>
    <tableColumn id="185" name="Wednesday175" totalsRowFunction="custom" dataDxfId="640" totalsRowDxfId="168">
      <totalsRowFormula>SUM(FI7:FI30)</totalsRowFormula>
    </tableColumn>
    <tableColumn id="186" name="Thursday176" totalsRowFunction="custom" dataDxfId="639" totalsRowDxfId="167">
      <totalsRowFormula>SUM(FJ7:FJ30)</totalsRowFormula>
    </tableColumn>
    <tableColumn id="187" name="Friday177" totalsRowFunction="custom" dataDxfId="638" totalsRowDxfId="166">
      <totalsRowFormula>SUM(FK7:FK30)</totalsRowFormula>
    </tableColumn>
    <tableColumn id="188" name="Saturday178" totalsRowFunction="custom" dataDxfId="637" totalsRowDxfId="165">
      <totalsRowFormula>SUM(FL7:FL30)</totalsRowFormula>
    </tableColumn>
    <tableColumn id="189" name="Sunday179" totalsRowFunction="custom" dataDxfId="636" totalsRowDxfId="164">
      <totalsRowFormula>SUM(FM7:FM30)</totalsRowFormula>
    </tableColumn>
    <tableColumn id="190" name="Monday180" totalsRowFunction="custom" dataDxfId="635" totalsRowDxfId="163">
      <totalsRowFormula>SUM(FN7:FN30)</totalsRowFormula>
    </tableColumn>
    <tableColumn id="191" name="Tuesday181" totalsRowFunction="custom" dataDxfId="634" totalsRowDxfId="162">
      <totalsRowFormula>SUM(FO7:FO30)</totalsRowFormula>
    </tableColumn>
    <tableColumn id="192" name="Wednesday182" totalsRowFunction="custom" dataDxfId="633" totalsRowDxfId="161">
      <totalsRowFormula>SUM(FP7:FP30)</totalsRowFormula>
    </tableColumn>
    <tableColumn id="193" name="Thursday183" totalsRowFunction="custom" dataDxfId="632" totalsRowDxfId="160">
      <totalsRowFormula>SUM(FQ7:FQ30)</totalsRowFormula>
    </tableColumn>
    <tableColumn id="194" name="Friday184" totalsRowFunction="custom" dataDxfId="631" totalsRowDxfId="159">
      <totalsRowFormula>SUM(FR7:FR30)</totalsRowFormula>
    </tableColumn>
    <tableColumn id="195" name="Saturday185" totalsRowFunction="custom" dataDxfId="630" totalsRowDxfId="158">
      <totalsRowFormula>SUM(FS7:FS30)</totalsRowFormula>
    </tableColumn>
    <tableColumn id="196" name="Sunday186" totalsRowFunction="custom" dataDxfId="629" totalsRowDxfId="157">
      <totalsRowFormula>SUM(FT7:FT30)</totalsRowFormula>
    </tableColumn>
    <tableColumn id="197" name="Monday187" totalsRowFunction="custom" dataDxfId="628" totalsRowDxfId="156">
      <totalsRowFormula>SUM(FU7:FU30)</totalsRowFormula>
    </tableColumn>
    <tableColumn id="198" name="Tuesday188" totalsRowFunction="custom" dataDxfId="627" totalsRowDxfId="155">
      <totalsRowFormula>SUM(FV7:FV30)</totalsRowFormula>
    </tableColumn>
    <tableColumn id="199" name="Wednesday189" totalsRowFunction="custom" dataDxfId="626" totalsRowDxfId="154">
      <totalsRowFormula>SUM(FW7:FW30)</totalsRowFormula>
    </tableColumn>
    <tableColumn id="200" name="Thursday190" totalsRowFunction="custom" dataDxfId="625" totalsRowDxfId="153">
      <totalsRowFormula>SUM(FX7:FX30)</totalsRowFormula>
    </tableColumn>
    <tableColumn id="201" name="Friday191" totalsRowFunction="custom" dataDxfId="624" totalsRowDxfId="152">
      <totalsRowFormula>SUM(FY7:FY30)</totalsRowFormula>
    </tableColumn>
    <tableColumn id="202" name="Saturday192" totalsRowFunction="custom" dataDxfId="623" totalsRowDxfId="151">
      <totalsRowFormula>SUM(FZ7:FZ30)</totalsRowFormula>
    </tableColumn>
    <tableColumn id="203" name="Sunday193" totalsRowFunction="custom" dataDxfId="622" totalsRowDxfId="150">
      <totalsRowFormula>SUM(GA7:GA30)</totalsRowFormula>
    </tableColumn>
    <tableColumn id="204" name="Monday194" totalsRowFunction="custom" dataDxfId="621" totalsRowDxfId="149">
      <totalsRowFormula>SUM(GB7:GB30)</totalsRowFormula>
    </tableColumn>
    <tableColumn id="205" name="Tuesday195" totalsRowFunction="custom" dataDxfId="620" totalsRowDxfId="148">
      <totalsRowFormula>SUM(GC7:GC30)</totalsRowFormula>
    </tableColumn>
    <tableColumn id="206" name="Wednesday196" totalsRowFunction="custom" dataDxfId="619" totalsRowDxfId="147">
      <totalsRowFormula>SUM(GD7:GD30)</totalsRowFormula>
    </tableColumn>
    <tableColumn id="207" name="Thursday197" totalsRowFunction="custom" dataDxfId="618" totalsRowDxfId="146">
      <totalsRowFormula>SUM(GE7:GE30)</totalsRowFormula>
    </tableColumn>
    <tableColumn id="208" name="Friday198" totalsRowFunction="custom" dataDxfId="617" totalsRowDxfId="145">
      <totalsRowFormula>SUM(GF7:GF30)</totalsRowFormula>
    </tableColumn>
    <tableColumn id="209" name="Saturday199" totalsRowFunction="custom" dataDxfId="616" totalsRowDxfId="144">
      <totalsRowFormula>SUM(GG7:GG30)</totalsRowFormula>
    </tableColumn>
    <tableColumn id="210" name="Sunday200" totalsRowFunction="custom" dataDxfId="615" totalsRowDxfId="143">
      <totalsRowFormula>SUM(GH7:GH30)</totalsRowFormula>
    </tableColumn>
    <tableColumn id="211" name="Monday201" totalsRowFunction="custom" dataDxfId="614" totalsRowDxfId="142">
      <totalsRowFormula>SUM(GI7:GI30)</totalsRowFormula>
    </tableColumn>
    <tableColumn id="212" name="Tuesday202" totalsRowFunction="custom" dataDxfId="613" totalsRowDxfId="141">
      <totalsRowFormula>SUM(GJ7:GJ30)</totalsRowFormula>
    </tableColumn>
    <tableColumn id="213" name="Wednesday203" totalsRowFunction="custom" dataDxfId="612" totalsRowDxfId="140">
      <totalsRowFormula>SUM(GK7:GK30)</totalsRowFormula>
    </tableColumn>
    <tableColumn id="214" name="Thursday204" totalsRowFunction="custom" dataDxfId="611" totalsRowDxfId="139">
      <totalsRowFormula>SUM(GL7:GL30)</totalsRowFormula>
    </tableColumn>
    <tableColumn id="215" name="Friday205" totalsRowFunction="custom" dataDxfId="610" totalsRowDxfId="138">
      <totalsRowFormula>SUM(GM7:GM30)</totalsRowFormula>
    </tableColumn>
    <tableColumn id="216" name="Saturday206" totalsRowFunction="custom" dataDxfId="609" totalsRowDxfId="137">
      <totalsRowFormula>SUM(GN7:GN30)</totalsRowFormula>
    </tableColumn>
    <tableColumn id="217" name="Sunday207" totalsRowFunction="custom" dataDxfId="608" totalsRowDxfId="136">
      <totalsRowFormula>SUM(GO7:GO30)</totalsRowFormula>
    </tableColumn>
    <tableColumn id="218" name="Monday208" totalsRowFunction="custom" dataDxfId="607" totalsRowDxfId="135">
      <totalsRowFormula>SUM(GP7:GP30)</totalsRowFormula>
    </tableColumn>
    <tableColumn id="219" name="Tuesday209" totalsRowFunction="custom" dataDxfId="606" totalsRowDxfId="134">
      <totalsRowFormula>SUM(GQ7:GQ30)</totalsRowFormula>
    </tableColumn>
    <tableColumn id="220" name="Wednesday210" totalsRowFunction="custom" dataDxfId="605" totalsRowDxfId="133">
      <totalsRowFormula>SUM(GR7:GR30)</totalsRowFormula>
    </tableColumn>
    <tableColumn id="221" name="Thursday211" totalsRowFunction="custom" dataDxfId="604" totalsRowDxfId="132">
      <totalsRowFormula>SUM(GS7:GS30)</totalsRowFormula>
    </tableColumn>
    <tableColumn id="222" name="Friday212" dataDxfId="603" totalsRowDxfId="131"/>
    <tableColumn id="223" name="Saturday213" dataDxfId="602" totalsRowDxfId="130"/>
    <tableColumn id="224" name="Sunday214" dataDxfId="601" totalsRowDxfId="129"/>
    <tableColumn id="225" name="Monday215" dataDxfId="600" totalsRowDxfId="128"/>
    <tableColumn id="226" name="Tuesday216" dataDxfId="599" totalsRowDxfId="127"/>
    <tableColumn id="227" name="Wednesday217" dataDxfId="598" totalsRowDxfId="126"/>
    <tableColumn id="228" name="Thursday218" dataDxfId="597" totalsRowDxfId="125"/>
    <tableColumn id="229" name="Friday219" dataDxfId="596" totalsRowDxfId="124"/>
    <tableColumn id="230" name="Saturday220" dataDxfId="595" totalsRowDxfId="123"/>
    <tableColumn id="231" name="Sunday221" dataDxfId="594" totalsRowDxfId="122"/>
    <tableColumn id="232" name="Monday222" dataDxfId="593" totalsRowDxfId="121"/>
    <tableColumn id="233" name="Tuesday223" dataDxfId="592" totalsRowDxfId="120"/>
    <tableColumn id="234" name="Wednesday224" dataDxfId="591" totalsRowDxfId="119"/>
    <tableColumn id="235" name="Thursday225" dataDxfId="590" totalsRowDxfId="118"/>
    <tableColumn id="236" name="Friday226" dataDxfId="589" totalsRowDxfId="117"/>
    <tableColumn id="237" name="Saturday227" dataDxfId="588" totalsRowDxfId="116"/>
    <tableColumn id="238" name="Sunday228" dataDxfId="587" totalsRowDxfId="115"/>
    <tableColumn id="239" name="Monday229" dataDxfId="586" totalsRowDxfId="114"/>
    <tableColumn id="240" name="Tuesday230" dataDxfId="585" totalsRowDxfId="113"/>
    <tableColumn id="241" name="Wednesday231" dataDxfId="584" totalsRowDxfId="112"/>
    <tableColumn id="242" name="Thursday232" dataDxfId="583" totalsRowDxfId="111"/>
    <tableColumn id="243" name="Friday233" dataDxfId="582" totalsRowDxfId="110"/>
    <tableColumn id="244" name="Saturday234" dataDxfId="581" totalsRowDxfId="109"/>
    <tableColumn id="245" name="Sunday235" dataDxfId="580" totalsRowDxfId="108"/>
    <tableColumn id="246" name="Monday236" dataDxfId="579" totalsRowDxfId="107"/>
    <tableColumn id="247" name="Tuesday237" dataDxfId="578" totalsRowDxfId="106"/>
    <tableColumn id="248" name="Wednesday238" dataDxfId="577" totalsRowDxfId="105"/>
    <tableColumn id="249" name="Thursday239" dataDxfId="576" totalsRowDxfId="104"/>
    <tableColumn id="250" name="Friday240" dataDxfId="575" totalsRowDxfId="103"/>
    <tableColumn id="251" name="Saturday241" dataDxfId="574" totalsRowDxfId="102"/>
    <tableColumn id="252" name="Sunday242" dataDxfId="573" totalsRowDxfId="101"/>
    <tableColumn id="253" name="Monday243" dataDxfId="572" totalsRowDxfId="100"/>
    <tableColumn id="254" name="Tuesday244" dataDxfId="571" totalsRowDxfId="99"/>
    <tableColumn id="255" name="Wednesday245" dataDxfId="570" totalsRowDxfId="98"/>
    <tableColumn id="256" name="Thursday246" dataDxfId="569" totalsRowDxfId="97"/>
    <tableColumn id="257" name="Friday247" dataDxfId="568" totalsRowDxfId="96"/>
    <tableColumn id="258" name="Saturday248" dataDxfId="567" totalsRowDxfId="95"/>
    <tableColumn id="259" name="Sunday249" dataDxfId="566" totalsRowDxfId="94"/>
    <tableColumn id="260" name="Monday250" dataDxfId="565" totalsRowDxfId="93"/>
    <tableColumn id="261" name="Tuesday251" dataDxfId="564" totalsRowDxfId="92"/>
    <tableColumn id="262" name="Wednesday252" dataDxfId="563" totalsRowDxfId="91"/>
    <tableColumn id="263" name="Thursday253" dataDxfId="562" totalsRowDxfId="90"/>
    <tableColumn id="264" name="Friday254" dataDxfId="561" totalsRowDxfId="89"/>
    <tableColumn id="265" name="Saturday255" dataDxfId="560" totalsRowDxfId="88"/>
    <tableColumn id="266" name="Sunday256" dataDxfId="559" totalsRowDxfId="87"/>
    <tableColumn id="267" name="Monday257" dataDxfId="558" totalsRowDxfId="86"/>
    <tableColumn id="268" name="Tuesday258" dataDxfId="557" totalsRowDxfId="85"/>
    <tableColumn id="269" name="Wednesday259" dataDxfId="556" totalsRowDxfId="84"/>
    <tableColumn id="270" name="Thursday260" dataDxfId="555" totalsRowDxfId="83"/>
    <tableColumn id="271" name="Friday261" dataDxfId="554" totalsRowDxfId="82"/>
    <tableColumn id="272" name="Saturday262" dataDxfId="553" totalsRowDxfId="81"/>
    <tableColumn id="273" name="Sunday263" dataDxfId="552" totalsRowDxfId="80"/>
    <tableColumn id="274" name="Monday264" dataDxfId="551" totalsRowDxfId="79"/>
    <tableColumn id="275" name="Tuesday265" dataDxfId="550" totalsRowDxfId="78"/>
    <tableColumn id="276" name="Wednesday266" dataDxfId="549" totalsRowDxfId="77"/>
    <tableColumn id="277" name="Thursday267" dataDxfId="548" totalsRowDxfId="76"/>
    <tableColumn id="278" name="Friday268" dataDxfId="547" totalsRowDxfId="75"/>
    <tableColumn id="279" name="Saturday269" dataDxfId="546" totalsRowDxfId="74"/>
    <tableColumn id="280" name="Sunday270" dataDxfId="545" totalsRowDxfId="73"/>
    <tableColumn id="281" name="Monday271" dataDxfId="544" totalsRowDxfId="72"/>
    <tableColumn id="282" name="Tuesday272" dataDxfId="543" totalsRowDxfId="71"/>
    <tableColumn id="283" name="Wednesday273" dataDxfId="542" totalsRowDxfId="70"/>
    <tableColumn id="284" name="Thursday274" dataDxfId="541" totalsRowDxfId="69"/>
    <tableColumn id="285" name="Friday275" dataDxfId="540" totalsRowDxfId="68"/>
    <tableColumn id="286" name="Saturday276" dataDxfId="539" totalsRowDxfId="67"/>
    <tableColumn id="287" name="Sunday277" dataDxfId="538" totalsRowDxfId="66"/>
    <tableColumn id="288" name="Monday278" dataDxfId="537" totalsRowDxfId="65"/>
    <tableColumn id="289" name="Tuesday279" dataDxfId="536" totalsRowDxfId="64"/>
    <tableColumn id="290" name="Wednesday280" dataDxfId="535" totalsRowDxfId="63"/>
    <tableColumn id="291" name="Thursday281" dataDxfId="534" totalsRowDxfId="62"/>
    <tableColumn id="292" name="Friday282" dataDxfId="533" totalsRowDxfId="61"/>
    <tableColumn id="293" name="Saturday283" dataDxfId="532" totalsRowDxfId="60"/>
    <tableColumn id="294" name="Sunday284" dataDxfId="531" totalsRowDxfId="59"/>
    <tableColumn id="295" name="Monday285" dataDxfId="530" totalsRowDxfId="58"/>
    <tableColumn id="296" name="Tuesday286" dataDxfId="529" totalsRowDxfId="57"/>
    <tableColumn id="297" name="Wednesday287" dataDxfId="528" totalsRowDxfId="56"/>
    <tableColumn id="298" name="Thursday288" dataDxfId="527" totalsRowDxfId="55"/>
    <tableColumn id="299" name="Friday289" dataDxfId="526" totalsRowDxfId="54"/>
    <tableColumn id="300" name="Saturday290" dataDxfId="525" totalsRowDxfId="53"/>
    <tableColumn id="301" name="Sunday291" dataDxfId="524" totalsRowDxfId="52"/>
    <tableColumn id="302" name="Monday292" dataDxfId="523" totalsRowDxfId="51"/>
    <tableColumn id="303" name="Tuesday293" dataDxfId="522" totalsRowDxfId="50"/>
    <tableColumn id="304" name="Wednesday294" dataDxfId="521" totalsRowDxfId="49"/>
    <tableColumn id="305" name="Thursday295" dataDxfId="520" totalsRowDxfId="48"/>
    <tableColumn id="306" name="Friday296" dataDxfId="519" totalsRowDxfId="47"/>
    <tableColumn id="307" name="Saturday297" dataDxfId="518" totalsRowDxfId="46"/>
    <tableColumn id="308" name="Sunday298" dataDxfId="517" totalsRowDxfId="45"/>
    <tableColumn id="309" name="Monday299" dataDxfId="516" totalsRowDxfId="44"/>
    <tableColumn id="310" name="Tuesday300" dataDxfId="515" totalsRowDxfId="43"/>
    <tableColumn id="311" name="Wednesday301" dataDxfId="514" totalsRowDxfId="42"/>
    <tableColumn id="312" name="Thursday302" dataDxfId="513" totalsRowDxfId="41"/>
    <tableColumn id="313" name="Friday303" dataDxfId="512" totalsRowDxfId="40"/>
    <tableColumn id="314" name="Saturday304" dataDxfId="511" totalsRowDxfId="39"/>
    <tableColumn id="315" name="Sunday305" dataDxfId="510" totalsRowDxfId="38"/>
    <tableColumn id="316" name="Monday306" dataDxfId="509" totalsRowDxfId="37"/>
    <tableColumn id="317" name="Tuesday307" dataDxfId="508" totalsRowDxfId="36"/>
    <tableColumn id="318" name="Wednesday308" dataDxfId="507" totalsRowDxfId="35"/>
    <tableColumn id="319" name="Thursday309" dataDxfId="506" totalsRowDxfId="34"/>
    <tableColumn id="320" name="Friday310" dataDxfId="505" totalsRowDxfId="33"/>
    <tableColumn id="321" name="Saturday311" dataDxfId="504" totalsRowDxfId="32"/>
    <tableColumn id="322" name="Sunday312" dataDxfId="503" totalsRowDxfId="31"/>
    <tableColumn id="323" name="Monday313" dataDxfId="502" totalsRowDxfId="30"/>
    <tableColumn id="324" name="Tuesday314" dataDxfId="501" totalsRowDxfId="29"/>
    <tableColumn id="325" name="Wednesday315" dataDxfId="500" totalsRowDxfId="28"/>
    <tableColumn id="326" name="Thursday316" dataDxfId="499" totalsRowDxfId="27"/>
    <tableColumn id="327" name="Friday317" dataDxfId="498" totalsRowDxfId="26"/>
    <tableColumn id="328" name="Saturday318" dataDxfId="497" totalsRowDxfId="25"/>
    <tableColumn id="329" name="Sunday319" dataDxfId="496" totalsRowDxfId="24"/>
    <tableColumn id="330" name="Monday320" dataDxfId="495" totalsRowDxfId="23"/>
    <tableColumn id="331" name="Tuesday321" dataDxfId="494" totalsRowDxfId="22"/>
    <tableColumn id="332" name="Wednesday322" dataDxfId="493" totalsRowDxfId="21"/>
    <tableColumn id="333" name="Thursday323" dataDxfId="492" totalsRowDxfId="20"/>
    <tableColumn id="334" name="Friday324" dataDxfId="491" totalsRowDxfId="19"/>
    <tableColumn id="335" name="Saturday325" dataDxfId="490" totalsRowDxfId="18"/>
    <tableColumn id="336" name="Sunday326" dataDxfId="489" totalsRowDxfId="17"/>
    <tableColumn id="337" name="Monday327" dataDxfId="488" totalsRowDxfId="16"/>
    <tableColumn id="338" name="Tuesday328" dataDxfId="487" totalsRowDxfId="15"/>
    <tableColumn id="339" name="Wednesday329" dataDxfId="486" totalsRowDxfId="14"/>
    <tableColumn id="340" name="Thursday330" dataDxfId="485" totalsRowDxfId="13"/>
    <tableColumn id="341" name="Friday331" dataDxfId="484" totalsRowDxfId="12"/>
    <tableColumn id="342" name="Saturday332" dataDxfId="483" totalsRowDxfId="11"/>
    <tableColumn id="343" name="Sunday333" dataDxfId="482" totalsRowDxfId="10"/>
    <tableColumn id="344" name="Monday334" dataDxfId="481" totalsRowDxfId="9"/>
    <tableColumn id="345" name="Tuesday335" dataDxfId="480" totalsRowDxfId="8"/>
    <tableColumn id="346" name="Wednesday336" dataDxfId="479" totalsRowDxfId="7"/>
    <tableColumn id="347" name="Thursday337" dataDxfId="478" totalsRowDxfId="6"/>
    <tableColumn id="348" name="Friday338" dataDxfId="477" totalsRowDxfId="5"/>
    <tableColumn id="349" name="Saturday339" dataDxfId="476" totalsRowDxfId="4"/>
    <tableColumn id="350" name="Sunday340" dataDxfId="475" totalsRowDxfId="3"/>
    <tableColumn id="351" name="Monday341" dataDxfId="474" totalsRowDxfId="2"/>
    <tableColumn id="352" name="Tuesday342" dataDxfId="473" totalsRowDxfId="1"/>
    <tableColumn id="353" name="Wednesday343" dataDxfId="472"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71" dataDxfId="470">
  <autoFilter ref="B4:I17"/>
  <sortState ref="B5:I16">
    <sortCondition descending="1" ref="B4:B16"/>
  </sortState>
  <tableColumns count="8">
    <tableColumn id="1" name="PRIORITY" dataDxfId="469"/>
    <tableColumn id="2" name="CATEGORY" dataDxfId="468"/>
    <tableColumn id="9" name="TODO" dataDxfId="467"/>
    <tableColumn id="3" name="TASK DESCRIPTION" dataDxfId="466" dataCellStyle="Note"/>
    <tableColumn id="4" name="Links/Notes" dataDxfId="465"/>
    <tableColumn id="8" name="PERCENT" dataDxfId="464"/>
    <tableColumn id="5" name="HOURS NEEDED" dataDxfId="463"/>
    <tableColumn id="6" name="Due Dates" dataDxfId="462"/>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61" dataDxfId="460">
  <autoFilter ref="B4:K12"/>
  <sortState ref="B5:K12">
    <sortCondition descending="1" ref="C4:C12"/>
  </sortState>
  <tableColumns count="10">
    <tableColumn id="1" name="PRIORITY" dataDxfId="459"/>
    <tableColumn id="10" name="Revision Priority" dataDxfId="458"/>
    <tableColumn id="2" name="SUBJECT" dataDxfId="457"/>
    <tableColumn id="9" name="TASKS LEFT" dataDxfId="456"/>
    <tableColumn id="3" name="Tasks" dataDxfId="455" dataCellStyle="Note"/>
    <tableColumn id="4" name="Links" dataDxfId="454"/>
    <tableColumn id="5" name="Percent" dataDxfId="453"/>
    <tableColumn id="6" name="Due Dates" dataDxfId="452"/>
    <tableColumn id="7" name="Revision" dataDxfId="451" dataCellStyle="Normal"/>
    <tableColumn id="8" name="Next Assesment + Assignment" dataDxfId="450"/>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345" tableBorderDxfId="344">
  <autoFilter ref="A7:F732"/>
  <tableColumns count="6">
    <tableColumn id="1" name="CAT" dataDxfId="343" dataCellStyle="Good"/>
    <tableColumn id="2" name="STAGE" dataDxfId="342"/>
    <tableColumn id="3" name="TASK" dataDxfId="341"/>
    <tableColumn id="4" name="Start Date" dataDxfId="340"/>
    <tableColumn id="5" name="End Date" dataDxfId="339"/>
    <tableColumn id="6" name="Progress" dataDxfId="338"/>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337" dataDxfId="336">
  <autoFilter ref="C15:G120"/>
  <tableColumns count="5">
    <tableColumn id="1" name="Task" dataDxfId="335"/>
    <tableColumn id="2" name="TODO" dataDxfId="334"/>
    <tableColumn id="3" name="Percentage" dataDxfId="333"/>
    <tableColumn id="4" name="Due" dataDxfId="332"/>
    <tableColumn id="5" name="Side Notes" dataDxfId="33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itch.io/jam/metagamejam"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U41"/>
  <sheetViews>
    <sheetView tabSelected="1" topLeftCell="A4" zoomScale="118" workbookViewId="0">
      <selection activeCell="D13" sqref="D13"/>
    </sheetView>
  </sheetViews>
  <sheetFormatPr defaultColWidth="8.85546875" defaultRowHeight="15"/>
  <cols>
    <col min="1" max="1" width="19.28515625" style="67" customWidth="1"/>
    <col min="2" max="2" width="21.85546875" style="71" customWidth="1"/>
    <col min="3" max="338" width="20.7109375" style="76" customWidth="1"/>
    <col min="339" max="16384" width="8.85546875" style="76"/>
  </cols>
  <sheetData>
    <row r="1" spans="1:333" s="68" customFormat="1">
      <c r="A1" s="69">
        <f ca="1">TODAY()</f>
        <v>43172</v>
      </c>
    </row>
    <row r="2" spans="1:333" s="141" customFormat="1" ht="66.75" customHeight="1">
      <c r="A2" s="140">
        <f ca="1">NOW()</f>
        <v>43172.882702083334</v>
      </c>
      <c r="B2" s="142">
        <v>43157</v>
      </c>
      <c r="C2" s="202" t="s">
        <v>678</v>
      </c>
      <c r="D2" s="142" t="s">
        <v>679</v>
      </c>
      <c r="E2" s="142" t="s">
        <v>679</v>
      </c>
      <c r="N2" s="142" t="s">
        <v>713</v>
      </c>
      <c r="O2" s="142" t="s">
        <v>713</v>
      </c>
      <c r="P2" s="142" t="s">
        <v>713</v>
      </c>
      <c r="Q2" s="142" t="s">
        <v>713</v>
      </c>
      <c r="R2" s="142" t="s">
        <v>713</v>
      </c>
      <c r="S2" s="142" t="s">
        <v>713</v>
      </c>
      <c r="T2" s="142" t="s">
        <v>713</v>
      </c>
      <c r="U2" s="142" t="s">
        <v>713</v>
      </c>
      <c r="V2" s="142" t="s">
        <v>713</v>
      </c>
      <c r="W2" s="142" t="s">
        <v>713</v>
      </c>
      <c r="X2" s="142" t="s">
        <v>713</v>
      </c>
      <c r="Y2" s="142" t="s">
        <v>713</v>
      </c>
      <c r="Z2" s="142" t="s">
        <v>713</v>
      </c>
      <c r="AA2" s="142" t="s">
        <v>713</v>
      </c>
      <c r="AB2" s="142" t="s">
        <v>713</v>
      </c>
      <c r="AC2" s="142" t="s">
        <v>713</v>
      </c>
      <c r="AD2" s="142" t="s">
        <v>713</v>
      </c>
      <c r="AE2" s="142" t="s">
        <v>713</v>
      </c>
      <c r="AF2" s="142" t="s">
        <v>713</v>
      </c>
      <c r="AG2" s="142" t="s">
        <v>713</v>
      </c>
      <c r="AH2" s="142" t="s">
        <v>713</v>
      </c>
      <c r="AI2" s="142" t="s">
        <v>713</v>
      </c>
      <c r="AJ2" s="142" t="s">
        <v>713</v>
      </c>
      <c r="AK2" s="142" t="s">
        <v>713</v>
      </c>
      <c r="AL2" s="142" t="s">
        <v>713</v>
      </c>
      <c r="AM2" s="142" t="s">
        <v>713</v>
      </c>
      <c r="AN2" s="142" t="s">
        <v>713</v>
      </c>
      <c r="AO2" s="142" t="s">
        <v>713</v>
      </c>
      <c r="AP2" s="142" t="s">
        <v>713</v>
      </c>
      <c r="AQ2" s="142" t="s">
        <v>713</v>
      </c>
      <c r="AR2" s="142" t="s">
        <v>713</v>
      </c>
    </row>
    <row r="3" spans="1:333" s="191" customFormat="1" ht="33" customHeight="1">
      <c r="A3" s="155">
        <f ca="1">HOUR(A2)</f>
        <v>21</v>
      </c>
      <c r="B3" s="190"/>
      <c r="C3" s="191" t="s">
        <v>273</v>
      </c>
      <c r="D3" s="191" t="s">
        <v>274</v>
      </c>
      <c r="E3" s="191" t="s">
        <v>275</v>
      </c>
      <c r="F3" s="191" t="s">
        <v>276</v>
      </c>
      <c r="G3" s="191" t="s">
        <v>277</v>
      </c>
      <c r="H3" s="191" t="s">
        <v>278</v>
      </c>
      <c r="I3" s="191" t="s">
        <v>279</v>
      </c>
      <c r="J3" s="191" t="s">
        <v>280</v>
      </c>
      <c r="K3" s="191" t="s">
        <v>281</v>
      </c>
      <c r="L3" s="191" t="s">
        <v>282</v>
      </c>
      <c r="M3" s="191" t="s">
        <v>283</v>
      </c>
      <c r="N3" s="191" t="s">
        <v>284</v>
      </c>
      <c r="O3" s="191" t="s">
        <v>285</v>
      </c>
      <c r="P3" s="191" t="s">
        <v>286</v>
      </c>
      <c r="Q3" s="191" t="s">
        <v>287</v>
      </c>
      <c r="R3" s="191" t="s">
        <v>288</v>
      </c>
      <c r="S3" s="191" t="s">
        <v>289</v>
      </c>
      <c r="T3" s="191" t="s">
        <v>290</v>
      </c>
      <c r="U3" s="191" t="s">
        <v>291</v>
      </c>
      <c r="V3" s="191" t="s">
        <v>292</v>
      </c>
      <c r="W3" s="191" t="s">
        <v>293</v>
      </c>
      <c r="X3" s="191" t="s">
        <v>294</v>
      </c>
      <c r="Y3" s="191" t="s">
        <v>295</v>
      </c>
      <c r="Z3" s="191" t="s">
        <v>296</v>
      </c>
      <c r="AA3" s="191" t="s">
        <v>297</v>
      </c>
      <c r="AB3" s="191" t="s">
        <v>298</v>
      </c>
      <c r="AC3" s="191" t="s">
        <v>299</v>
      </c>
      <c r="AD3" s="191" t="s">
        <v>300</v>
      </c>
      <c r="AE3" s="191" t="s">
        <v>301</v>
      </c>
      <c r="AF3" s="191" t="s">
        <v>302</v>
      </c>
      <c r="AG3" s="191" t="s">
        <v>303</v>
      </c>
      <c r="AH3" s="191" t="s">
        <v>304</v>
      </c>
      <c r="AI3" s="191" t="s">
        <v>305</v>
      </c>
      <c r="AJ3" s="191" t="s">
        <v>306</v>
      </c>
      <c r="AK3" s="191" t="s">
        <v>307</v>
      </c>
      <c r="AL3" s="191" t="s">
        <v>308</v>
      </c>
      <c r="AM3" s="191" t="s">
        <v>309</v>
      </c>
      <c r="AN3" s="191" t="s">
        <v>310</v>
      </c>
      <c r="AO3" s="191" t="s">
        <v>311</v>
      </c>
      <c r="AP3" s="191" t="s">
        <v>312</v>
      </c>
      <c r="AQ3" s="191" t="s">
        <v>313</v>
      </c>
      <c r="AR3" s="191" t="s">
        <v>314</v>
      </c>
      <c r="AS3" s="191" t="s">
        <v>315</v>
      </c>
      <c r="AT3" s="191" t="s">
        <v>316</v>
      </c>
      <c r="AU3" s="191" t="s">
        <v>317</v>
      </c>
      <c r="AV3" s="191" t="s">
        <v>318</v>
      </c>
      <c r="AW3" s="191" t="s">
        <v>319</v>
      </c>
      <c r="AX3" s="191" t="s">
        <v>320</v>
      </c>
      <c r="AY3" s="191" t="s">
        <v>321</v>
      </c>
      <c r="AZ3" s="191" t="s">
        <v>322</v>
      </c>
      <c r="BA3" s="191" t="s">
        <v>323</v>
      </c>
      <c r="BB3" s="191" t="s">
        <v>324</v>
      </c>
      <c r="BC3" s="191" t="s">
        <v>325</v>
      </c>
      <c r="BD3" s="191" t="s">
        <v>326</v>
      </c>
      <c r="BE3" s="191" t="s">
        <v>327</v>
      </c>
      <c r="BF3" s="191" t="s">
        <v>328</v>
      </c>
      <c r="BG3" s="191" t="s">
        <v>329</v>
      </c>
      <c r="BH3" s="191" t="s">
        <v>330</v>
      </c>
      <c r="BI3" s="191" t="s">
        <v>331</v>
      </c>
      <c r="BJ3" s="191" t="s">
        <v>332</v>
      </c>
      <c r="BK3" s="191" t="s">
        <v>333</v>
      </c>
      <c r="BL3" s="191" t="s">
        <v>334</v>
      </c>
      <c r="BM3" s="191" t="s">
        <v>335</v>
      </c>
      <c r="BN3" s="191" t="s">
        <v>336</v>
      </c>
      <c r="BO3" s="191" t="s">
        <v>337</v>
      </c>
      <c r="BP3" s="191" t="s">
        <v>338</v>
      </c>
      <c r="BQ3" s="191" t="s">
        <v>339</v>
      </c>
      <c r="BR3" s="191" t="s">
        <v>340</v>
      </c>
      <c r="BS3" s="191" t="s">
        <v>341</v>
      </c>
      <c r="BT3" s="191" t="s">
        <v>342</v>
      </c>
      <c r="BU3" s="191" t="s">
        <v>343</v>
      </c>
      <c r="BV3" s="191" t="s">
        <v>344</v>
      </c>
      <c r="BW3" s="191" t="s">
        <v>345</v>
      </c>
      <c r="BX3" s="191" t="s">
        <v>346</v>
      </c>
      <c r="BY3" s="191" t="s">
        <v>347</v>
      </c>
      <c r="BZ3" s="191" t="s">
        <v>348</v>
      </c>
      <c r="CA3" s="191" t="s">
        <v>349</v>
      </c>
      <c r="CB3" s="191" t="s">
        <v>350</v>
      </c>
      <c r="CC3" s="191" t="s">
        <v>351</v>
      </c>
      <c r="CD3" s="191" t="s">
        <v>352</v>
      </c>
      <c r="CE3" s="191" t="s">
        <v>353</v>
      </c>
      <c r="CF3" s="191" t="s">
        <v>354</v>
      </c>
      <c r="CG3" s="191" t="s">
        <v>355</v>
      </c>
      <c r="CH3" s="191" t="s">
        <v>356</v>
      </c>
      <c r="CI3" s="191" t="s">
        <v>357</v>
      </c>
      <c r="CJ3" s="191" t="s">
        <v>358</v>
      </c>
      <c r="CK3" s="191" t="s">
        <v>359</v>
      </c>
      <c r="CL3" s="191" t="s">
        <v>360</v>
      </c>
      <c r="CM3" s="191" t="s">
        <v>361</v>
      </c>
      <c r="CN3" s="191" t="s">
        <v>362</v>
      </c>
      <c r="CO3" s="191" t="s">
        <v>363</v>
      </c>
      <c r="CP3" s="191" t="s">
        <v>364</v>
      </c>
      <c r="CQ3" s="191" t="s">
        <v>365</v>
      </c>
      <c r="CR3" s="191" t="s">
        <v>366</v>
      </c>
      <c r="CS3" s="191" t="s">
        <v>367</v>
      </c>
      <c r="CT3" s="191" t="s">
        <v>368</v>
      </c>
      <c r="CU3" s="191" t="s">
        <v>369</v>
      </c>
      <c r="CV3" s="191" t="s">
        <v>370</v>
      </c>
      <c r="CW3" s="191" t="s">
        <v>371</v>
      </c>
      <c r="CX3" s="191" t="s">
        <v>372</v>
      </c>
      <c r="CY3" s="191" t="s">
        <v>373</v>
      </c>
      <c r="CZ3" s="191" t="s">
        <v>374</v>
      </c>
      <c r="DA3" s="191" t="s">
        <v>375</v>
      </c>
      <c r="DB3" s="191" t="s">
        <v>376</v>
      </c>
      <c r="DC3" s="191" t="s">
        <v>377</v>
      </c>
      <c r="DD3" s="191" t="s">
        <v>378</v>
      </c>
      <c r="DE3" s="191" t="s">
        <v>379</v>
      </c>
      <c r="DF3" s="191" t="s">
        <v>380</v>
      </c>
      <c r="DG3" s="191" t="s">
        <v>381</v>
      </c>
      <c r="DH3" s="191" t="s">
        <v>382</v>
      </c>
      <c r="DI3" s="191" t="s">
        <v>383</v>
      </c>
      <c r="DJ3" s="191" t="s">
        <v>384</v>
      </c>
      <c r="DK3" s="191" t="s">
        <v>385</v>
      </c>
      <c r="DL3" s="191" t="s">
        <v>386</v>
      </c>
      <c r="DM3" s="191" t="s">
        <v>387</v>
      </c>
      <c r="DN3" s="191" t="s">
        <v>388</v>
      </c>
      <c r="DO3" s="191" t="s">
        <v>389</v>
      </c>
      <c r="DP3" s="191" t="s">
        <v>390</v>
      </c>
      <c r="DQ3" s="191" t="s">
        <v>391</v>
      </c>
      <c r="DR3" s="191" t="s">
        <v>392</v>
      </c>
      <c r="DS3" s="191" t="s">
        <v>393</v>
      </c>
      <c r="DT3" s="191" t="s">
        <v>394</v>
      </c>
      <c r="DU3" s="191" t="s">
        <v>395</v>
      </c>
      <c r="DV3" s="191" t="s">
        <v>396</v>
      </c>
      <c r="DW3" s="191" t="s">
        <v>397</v>
      </c>
      <c r="DX3" s="191" t="s">
        <v>398</v>
      </c>
      <c r="DY3" s="191" t="s">
        <v>399</v>
      </c>
      <c r="DZ3" s="191" t="s">
        <v>400</v>
      </c>
      <c r="EA3" s="191" t="s">
        <v>401</v>
      </c>
      <c r="EB3" s="191" t="s">
        <v>402</v>
      </c>
      <c r="EC3" s="191" t="s">
        <v>403</v>
      </c>
      <c r="ED3" s="191" t="s">
        <v>404</v>
      </c>
      <c r="EE3" s="191" t="s">
        <v>405</v>
      </c>
      <c r="EF3" s="191" t="s">
        <v>406</v>
      </c>
      <c r="EG3" s="191" t="s">
        <v>407</v>
      </c>
      <c r="EH3" s="191" t="s">
        <v>408</v>
      </c>
      <c r="EI3" s="191" t="s">
        <v>409</v>
      </c>
      <c r="EJ3" s="191" t="s">
        <v>410</v>
      </c>
      <c r="EK3" s="191" t="s">
        <v>411</v>
      </c>
      <c r="EL3" s="191" t="s">
        <v>412</v>
      </c>
      <c r="EM3" s="191" t="s">
        <v>413</v>
      </c>
      <c r="EN3" s="191" t="s">
        <v>414</v>
      </c>
      <c r="EO3" s="191" t="s">
        <v>415</v>
      </c>
      <c r="EP3" s="191" t="s">
        <v>416</v>
      </c>
      <c r="EQ3" s="191" t="s">
        <v>417</v>
      </c>
      <c r="ER3" s="191" t="s">
        <v>418</v>
      </c>
      <c r="ES3" s="191" t="s">
        <v>419</v>
      </c>
      <c r="ET3" s="191" t="s">
        <v>420</v>
      </c>
      <c r="EU3" s="191" t="s">
        <v>421</v>
      </c>
      <c r="EV3" s="191" t="s">
        <v>422</v>
      </c>
      <c r="EW3" s="191" t="s">
        <v>423</v>
      </c>
      <c r="EX3" s="191" t="s">
        <v>424</v>
      </c>
      <c r="EY3" s="191" t="s">
        <v>425</v>
      </c>
      <c r="EZ3" s="191" t="s">
        <v>426</v>
      </c>
      <c r="FA3" s="191" t="s">
        <v>427</v>
      </c>
      <c r="FB3" s="191" t="s">
        <v>428</v>
      </c>
      <c r="FC3" s="191" t="s">
        <v>429</v>
      </c>
      <c r="FD3" s="191" t="s">
        <v>430</v>
      </c>
      <c r="FE3" s="191" t="s">
        <v>431</v>
      </c>
      <c r="FF3" s="191" t="s">
        <v>432</v>
      </c>
      <c r="FG3" s="191" t="s">
        <v>433</v>
      </c>
      <c r="FH3" s="191" t="s">
        <v>434</v>
      </c>
      <c r="FI3" s="191" t="s">
        <v>435</v>
      </c>
      <c r="FJ3" s="191" t="s">
        <v>436</v>
      </c>
      <c r="FK3" s="191" t="s">
        <v>437</v>
      </c>
      <c r="FL3" s="191" t="s">
        <v>438</v>
      </c>
      <c r="FM3" s="191" t="s">
        <v>439</v>
      </c>
      <c r="FN3" s="191" t="s">
        <v>440</v>
      </c>
      <c r="FO3" s="191" t="s">
        <v>441</v>
      </c>
      <c r="FP3" s="191" t="s">
        <v>442</v>
      </c>
      <c r="FQ3" s="191" t="s">
        <v>443</v>
      </c>
      <c r="FR3" s="191" t="s">
        <v>444</v>
      </c>
      <c r="FS3" s="191" t="s">
        <v>445</v>
      </c>
      <c r="FT3" s="191" t="s">
        <v>446</v>
      </c>
      <c r="FU3" s="191" t="s">
        <v>447</v>
      </c>
      <c r="FV3" s="191" t="s">
        <v>448</v>
      </c>
      <c r="FW3" s="191" t="s">
        <v>449</v>
      </c>
      <c r="FX3" s="191" t="s">
        <v>450</v>
      </c>
      <c r="FY3" s="191" t="s">
        <v>451</v>
      </c>
      <c r="FZ3" s="191" t="s">
        <v>452</v>
      </c>
      <c r="GA3" s="191" t="s">
        <v>453</v>
      </c>
      <c r="GB3" s="191" t="s">
        <v>454</v>
      </c>
      <c r="GC3" s="191" t="s">
        <v>455</v>
      </c>
      <c r="GD3" s="191" t="s">
        <v>456</v>
      </c>
      <c r="GE3" s="191" t="s">
        <v>457</v>
      </c>
      <c r="GF3" s="191" t="s">
        <v>458</v>
      </c>
      <c r="GG3" s="191" t="s">
        <v>459</v>
      </c>
      <c r="GH3" s="191" t="s">
        <v>460</v>
      </c>
      <c r="GI3" s="191" t="s">
        <v>461</v>
      </c>
      <c r="GJ3" s="191" t="s">
        <v>462</v>
      </c>
      <c r="GK3" s="191" t="s">
        <v>463</v>
      </c>
      <c r="GL3" s="191" t="s">
        <v>464</v>
      </c>
      <c r="GM3" s="191" t="s">
        <v>465</v>
      </c>
      <c r="GN3" s="191" t="s">
        <v>466</v>
      </c>
      <c r="GO3" s="191" t="s">
        <v>467</v>
      </c>
      <c r="GP3" s="191" t="s">
        <v>468</v>
      </c>
      <c r="GQ3" s="191" t="s">
        <v>469</v>
      </c>
      <c r="GR3" s="191" t="s">
        <v>470</v>
      </c>
      <c r="GS3" s="191" t="s">
        <v>471</v>
      </c>
      <c r="GT3" s="191" t="s">
        <v>472</v>
      </c>
      <c r="GU3" s="191" t="s">
        <v>473</v>
      </c>
      <c r="GV3" s="191" t="s">
        <v>474</v>
      </c>
      <c r="GW3" s="191" t="s">
        <v>475</v>
      </c>
      <c r="GX3" s="191" t="s">
        <v>476</v>
      </c>
      <c r="GY3" s="191" t="s">
        <v>477</v>
      </c>
      <c r="GZ3" s="191" t="s">
        <v>478</v>
      </c>
      <c r="HA3" s="191" t="s">
        <v>479</v>
      </c>
      <c r="HB3" s="191" t="s">
        <v>480</v>
      </c>
      <c r="HC3" s="191" t="s">
        <v>481</v>
      </c>
      <c r="HD3" s="191" t="s">
        <v>482</v>
      </c>
      <c r="HE3" s="191" t="s">
        <v>483</v>
      </c>
      <c r="HF3" s="191" t="s">
        <v>484</v>
      </c>
      <c r="HG3" s="191" t="s">
        <v>485</v>
      </c>
      <c r="HH3" s="191" t="s">
        <v>486</v>
      </c>
      <c r="HI3" s="191" t="s">
        <v>487</v>
      </c>
      <c r="HJ3" s="191" t="s">
        <v>488</v>
      </c>
      <c r="HK3" s="191" t="s">
        <v>489</v>
      </c>
      <c r="HL3" s="191" t="s">
        <v>490</v>
      </c>
      <c r="HM3" s="191" t="s">
        <v>491</v>
      </c>
      <c r="HN3" s="191" t="s">
        <v>492</v>
      </c>
      <c r="HO3" s="191" t="s">
        <v>493</v>
      </c>
      <c r="HP3" s="191" t="s">
        <v>494</v>
      </c>
      <c r="HQ3" s="191" t="s">
        <v>495</v>
      </c>
      <c r="HR3" s="191" t="s">
        <v>496</v>
      </c>
      <c r="HS3" s="191" t="s">
        <v>497</v>
      </c>
      <c r="HT3" s="191" t="s">
        <v>498</v>
      </c>
      <c r="HU3" s="191" t="s">
        <v>499</v>
      </c>
      <c r="HV3" s="191" t="s">
        <v>500</v>
      </c>
      <c r="HW3" s="191" t="s">
        <v>501</v>
      </c>
      <c r="HX3" s="191" t="s">
        <v>502</v>
      </c>
      <c r="HY3" s="191" t="s">
        <v>503</v>
      </c>
      <c r="HZ3" s="191" t="s">
        <v>504</v>
      </c>
      <c r="IA3" s="191" t="s">
        <v>505</v>
      </c>
      <c r="IB3" s="191" t="s">
        <v>506</v>
      </c>
      <c r="IC3" s="191" t="s">
        <v>507</v>
      </c>
      <c r="ID3" s="191" t="s">
        <v>508</v>
      </c>
      <c r="IE3" s="191" t="s">
        <v>509</v>
      </c>
      <c r="IF3" s="191" t="s">
        <v>510</v>
      </c>
      <c r="IG3" s="191" t="s">
        <v>511</v>
      </c>
      <c r="IH3" s="191" t="s">
        <v>512</v>
      </c>
      <c r="II3" s="191" t="s">
        <v>513</v>
      </c>
      <c r="IJ3" s="191" t="s">
        <v>514</v>
      </c>
      <c r="IK3" s="191" t="s">
        <v>515</v>
      </c>
      <c r="IL3" s="191" t="s">
        <v>516</v>
      </c>
      <c r="IM3" s="191" t="s">
        <v>517</v>
      </c>
      <c r="IN3" s="191" t="s">
        <v>518</v>
      </c>
      <c r="IO3" s="191" t="s">
        <v>519</v>
      </c>
      <c r="IP3" s="191" t="s">
        <v>520</v>
      </c>
      <c r="IQ3" s="191" t="s">
        <v>521</v>
      </c>
      <c r="IR3" s="191" t="s">
        <v>522</v>
      </c>
      <c r="IS3" s="191" t="s">
        <v>523</v>
      </c>
      <c r="IT3" s="191" t="s">
        <v>524</v>
      </c>
      <c r="IU3" s="191" t="s">
        <v>525</v>
      </c>
      <c r="IV3" s="191" t="s">
        <v>526</v>
      </c>
      <c r="IW3" s="191" t="s">
        <v>527</v>
      </c>
      <c r="IX3" s="191" t="s">
        <v>528</v>
      </c>
      <c r="IY3" s="191" t="s">
        <v>529</v>
      </c>
      <c r="IZ3" s="191" t="s">
        <v>530</v>
      </c>
      <c r="JA3" s="191" t="s">
        <v>531</v>
      </c>
      <c r="JB3" s="191" t="s">
        <v>532</v>
      </c>
      <c r="JC3" s="191" t="s">
        <v>533</v>
      </c>
      <c r="JD3" s="191" t="s">
        <v>534</v>
      </c>
      <c r="JE3" s="191" t="s">
        <v>535</v>
      </c>
      <c r="JF3" s="191" t="s">
        <v>536</v>
      </c>
      <c r="JG3" s="191" t="s">
        <v>537</v>
      </c>
      <c r="JH3" s="191" t="s">
        <v>538</v>
      </c>
      <c r="JI3" s="191" t="s">
        <v>539</v>
      </c>
      <c r="JJ3" s="191" t="s">
        <v>540</v>
      </c>
      <c r="JK3" s="191" t="s">
        <v>541</v>
      </c>
      <c r="JL3" s="191" t="s">
        <v>542</v>
      </c>
      <c r="JM3" s="191" t="s">
        <v>543</v>
      </c>
      <c r="JN3" s="191" t="s">
        <v>544</v>
      </c>
      <c r="JO3" s="191" t="s">
        <v>545</v>
      </c>
      <c r="JP3" s="191" t="s">
        <v>546</v>
      </c>
      <c r="JQ3" s="191" t="s">
        <v>547</v>
      </c>
      <c r="JR3" s="191" t="s">
        <v>548</v>
      </c>
      <c r="JS3" s="191" t="s">
        <v>549</v>
      </c>
      <c r="JT3" s="191" t="s">
        <v>550</v>
      </c>
      <c r="JU3" s="191" t="s">
        <v>551</v>
      </c>
      <c r="JV3" s="191" t="s">
        <v>552</v>
      </c>
      <c r="JW3" s="191" t="s">
        <v>553</v>
      </c>
      <c r="JX3" s="191" t="s">
        <v>554</v>
      </c>
      <c r="JY3" s="191" t="s">
        <v>555</v>
      </c>
      <c r="JZ3" s="191" t="s">
        <v>556</v>
      </c>
      <c r="KA3" s="191" t="s">
        <v>557</v>
      </c>
      <c r="KB3" s="191" t="s">
        <v>558</v>
      </c>
      <c r="KC3" s="191" t="s">
        <v>559</v>
      </c>
      <c r="KD3" s="191" t="s">
        <v>560</v>
      </c>
      <c r="KE3" s="191" t="s">
        <v>561</v>
      </c>
      <c r="KF3" s="191" t="s">
        <v>562</v>
      </c>
      <c r="KG3" s="191" t="s">
        <v>563</v>
      </c>
      <c r="KH3" s="191" t="s">
        <v>564</v>
      </c>
      <c r="KI3" s="191" t="s">
        <v>565</v>
      </c>
      <c r="KJ3" s="191" t="s">
        <v>566</v>
      </c>
      <c r="KK3" s="191" t="s">
        <v>567</v>
      </c>
      <c r="KL3" s="191" t="s">
        <v>568</v>
      </c>
      <c r="KM3" s="191" t="s">
        <v>569</v>
      </c>
      <c r="KN3" s="191" t="s">
        <v>570</v>
      </c>
      <c r="KO3" s="191" t="s">
        <v>571</v>
      </c>
      <c r="KP3" s="191" t="s">
        <v>572</v>
      </c>
      <c r="KQ3" s="191" t="s">
        <v>573</v>
      </c>
      <c r="KR3" s="191" t="s">
        <v>574</v>
      </c>
      <c r="KS3" s="191" t="s">
        <v>575</v>
      </c>
      <c r="KT3" s="191" t="s">
        <v>576</v>
      </c>
      <c r="KU3" s="191" t="s">
        <v>577</v>
      </c>
      <c r="KV3" s="191" t="s">
        <v>578</v>
      </c>
      <c r="KW3" s="191" t="s">
        <v>579</v>
      </c>
      <c r="KX3" s="191" t="s">
        <v>580</v>
      </c>
      <c r="KY3" s="191" t="s">
        <v>581</v>
      </c>
      <c r="KZ3" s="191" t="s">
        <v>582</v>
      </c>
      <c r="LA3" s="191" t="s">
        <v>583</v>
      </c>
      <c r="LB3" s="191" t="s">
        <v>584</v>
      </c>
      <c r="LC3" s="191" t="s">
        <v>585</v>
      </c>
      <c r="LD3" s="191" t="s">
        <v>586</v>
      </c>
      <c r="LE3" s="191" t="s">
        <v>587</v>
      </c>
      <c r="LF3" s="191" t="s">
        <v>588</v>
      </c>
      <c r="LG3" s="191" t="s">
        <v>589</v>
      </c>
      <c r="LH3" s="191" t="s">
        <v>590</v>
      </c>
      <c r="LI3" s="191" t="s">
        <v>591</v>
      </c>
      <c r="LJ3" s="191" t="s">
        <v>592</v>
      </c>
      <c r="LK3" s="191" t="s">
        <v>593</v>
      </c>
      <c r="LL3" s="191" t="s">
        <v>594</v>
      </c>
      <c r="LM3" s="191" t="s">
        <v>595</v>
      </c>
      <c r="LN3" s="191" t="s">
        <v>596</v>
      </c>
      <c r="LO3" s="191" t="s">
        <v>597</v>
      </c>
      <c r="LP3" s="191" t="s">
        <v>598</v>
      </c>
      <c r="LQ3" s="191" t="s">
        <v>599</v>
      </c>
      <c r="LR3" s="191" t="s">
        <v>600</v>
      </c>
      <c r="LS3" s="191" t="s">
        <v>601</v>
      </c>
      <c r="LT3" s="191" t="s">
        <v>602</v>
      </c>
      <c r="LU3" s="191" t="s">
        <v>603</v>
      </c>
    </row>
    <row r="4" spans="1:333" s="73" customFormat="1" ht="32.25" customHeight="1">
      <c r="A4" s="72"/>
      <c r="C4" s="74">
        <v>43172</v>
      </c>
      <c r="D4" s="74">
        <v>43173</v>
      </c>
      <c r="E4" s="74">
        <v>43174</v>
      </c>
      <c r="F4" s="74">
        <v>43175</v>
      </c>
      <c r="G4" s="74">
        <v>43176</v>
      </c>
      <c r="H4" s="74">
        <v>43177</v>
      </c>
      <c r="I4" s="74">
        <v>43178</v>
      </c>
      <c r="J4" s="74">
        <v>43179</v>
      </c>
      <c r="K4" s="74">
        <v>43180</v>
      </c>
      <c r="L4" s="74">
        <v>43181</v>
      </c>
      <c r="M4" s="74">
        <v>43182</v>
      </c>
      <c r="N4" s="74">
        <v>43183</v>
      </c>
      <c r="O4" s="74">
        <v>43184</v>
      </c>
      <c r="P4" s="74">
        <v>43185</v>
      </c>
      <c r="Q4" s="74">
        <v>43186</v>
      </c>
      <c r="R4" s="74">
        <v>43187</v>
      </c>
      <c r="S4" s="74">
        <v>43188</v>
      </c>
      <c r="T4" s="74">
        <v>43189</v>
      </c>
      <c r="U4" s="74">
        <v>43190</v>
      </c>
      <c r="V4" s="74">
        <v>43191</v>
      </c>
      <c r="W4" s="74">
        <v>43192</v>
      </c>
      <c r="X4" s="74">
        <v>43193</v>
      </c>
      <c r="Y4" s="74">
        <v>43194</v>
      </c>
      <c r="Z4" s="74">
        <v>43195</v>
      </c>
      <c r="AA4" s="74">
        <v>43196</v>
      </c>
      <c r="AB4" s="74">
        <v>43197</v>
      </c>
      <c r="AC4" s="74">
        <v>43198</v>
      </c>
      <c r="AD4" s="74">
        <v>43199</v>
      </c>
      <c r="AE4" s="74">
        <v>43200</v>
      </c>
      <c r="AF4" s="74">
        <v>43201</v>
      </c>
      <c r="AG4" s="74">
        <v>43202</v>
      </c>
      <c r="AH4" s="74">
        <v>43203</v>
      </c>
      <c r="AI4" s="74">
        <v>43204</v>
      </c>
      <c r="AJ4" s="74">
        <v>43205</v>
      </c>
      <c r="AK4" s="74">
        <v>43206</v>
      </c>
      <c r="AL4" s="74">
        <v>43207</v>
      </c>
      <c r="AM4" s="74">
        <v>43208</v>
      </c>
      <c r="AN4" s="74">
        <v>43209</v>
      </c>
      <c r="AO4" s="74">
        <v>43210</v>
      </c>
      <c r="AP4" s="74">
        <v>43211</v>
      </c>
      <c r="AQ4" s="74">
        <v>43212</v>
      </c>
      <c r="AR4" s="74">
        <v>43213</v>
      </c>
      <c r="AS4" s="74">
        <v>43214</v>
      </c>
      <c r="AT4" s="74">
        <v>43215</v>
      </c>
      <c r="AU4" s="74">
        <v>43216</v>
      </c>
      <c r="AV4" s="74">
        <v>43217</v>
      </c>
      <c r="AW4" s="74">
        <v>43218</v>
      </c>
      <c r="AX4" s="74">
        <v>43219</v>
      </c>
      <c r="AY4" s="74">
        <v>43220</v>
      </c>
      <c r="AZ4" s="74">
        <v>43221</v>
      </c>
      <c r="BA4" s="74">
        <v>43222</v>
      </c>
      <c r="BB4" s="74">
        <v>43223</v>
      </c>
      <c r="BC4" s="74">
        <v>43224</v>
      </c>
      <c r="BD4" s="74">
        <v>43225</v>
      </c>
      <c r="BE4" s="74">
        <v>43226</v>
      </c>
      <c r="BF4" s="74">
        <v>43227</v>
      </c>
      <c r="BG4" s="74">
        <v>43228</v>
      </c>
      <c r="BH4" s="74">
        <v>43229</v>
      </c>
      <c r="BI4" s="74">
        <v>43230</v>
      </c>
      <c r="BJ4" s="74">
        <v>43231</v>
      </c>
      <c r="BK4" s="74">
        <v>43232</v>
      </c>
      <c r="BL4" s="74">
        <v>43233</v>
      </c>
      <c r="BM4" s="74">
        <v>43234</v>
      </c>
      <c r="BN4" s="74">
        <v>43235</v>
      </c>
      <c r="BO4" s="74">
        <v>43236</v>
      </c>
      <c r="BP4" s="74">
        <v>43237</v>
      </c>
      <c r="BQ4" s="74">
        <v>43238</v>
      </c>
      <c r="BR4" s="74">
        <v>43239</v>
      </c>
      <c r="BS4" s="74">
        <v>43240</v>
      </c>
      <c r="BT4" s="74">
        <v>43241</v>
      </c>
      <c r="BU4" s="74">
        <v>43242</v>
      </c>
      <c r="BV4" s="74">
        <v>43243</v>
      </c>
      <c r="BW4" s="74">
        <v>43244</v>
      </c>
      <c r="BX4" s="74">
        <v>43245</v>
      </c>
      <c r="BY4" s="74">
        <v>43246</v>
      </c>
      <c r="BZ4" s="74">
        <v>43247</v>
      </c>
      <c r="CA4" s="74">
        <v>43248</v>
      </c>
      <c r="CB4" s="74">
        <v>43249</v>
      </c>
      <c r="CC4" s="74">
        <v>43250</v>
      </c>
      <c r="CD4" s="74">
        <v>43251</v>
      </c>
      <c r="CE4" s="74">
        <v>43252</v>
      </c>
      <c r="CF4" s="74">
        <v>43253</v>
      </c>
      <c r="CG4" s="74">
        <v>43254</v>
      </c>
      <c r="CH4" s="74">
        <v>43255</v>
      </c>
      <c r="CI4" s="74">
        <v>43256</v>
      </c>
      <c r="CJ4" s="74">
        <v>43257</v>
      </c>
      <c r="CK4" s="74">
        <v>43258</v>
      </c>
      <c r="CL4" s="74">
        <v>43259</v>
      </c>
      <c r="CM4" s="74">
        <v>43260</v>
      </c>
      <c r="CN4" s="74">
        <v>43261</v>
      </c>
      <c r="CO4" s="74">
        <v>43262</v>
      </c>
      <c r="CP4" s="74">
        <v>43263</v>
      </c>
      <c r="CQ4" s="74">
        <v>43264</v>
      </c>
      <c r="CR4" s="74">
        <v>43265</v>
      </c>
      <c r="CS4" s="74">
        <v>43266</v>
      </c>
      <c r="CT4" s="74">
        <v>43267</v>
      </c>
      <c r="CU4" s="74">
        <v>43268</v>
      </c>
      <c r="CV4" s="74">
        <v>43269</v>
      </c>
      <c r="CW4" s="74">
        <v>43270</v>
      </c>
      <c r="CX4" s="74">
        <v>43271</v>
      </c>
      <c r="CY4" s="74">
        <v>43272</v>
      </c>
      <c r="CZ4" s="74">
        <v>43273</v>
      </c>
      <c r="DA4" s="74">
        <v>43274</v>
      </c>
      <c r="DB4" s="74">
        <v>43275</v>
      </c>
      <c r="DC4" s="74">
        <v>43276</v>
      </c>
      <c r="DD4" s="74">
        <v>43277</v>
      </c>
      <c r="DE4" s="74">
        <v>43278</v>
      </c>
      <c r="DF4" s="74">
        <v>43279</v>
      </c>
      <c r="DG4" s="74">
        <v>43280</v>
      </c>
      <c r="DH4" s="74">
        <v>43281</v>
      </c>
      <c r="DI4" s="74">
        <v>43282</v>
      </c>
      <c r="DJ4" s="74">
        <v>43283</v>
      </c>
      <c r="DK4" s="74">
        <v>43284</v>
      </c>
      <c r="DL4" s="74">
        <v>43285</v>
      </c>
      <c r="DM4" s="74">
        <v>43286</v>
      </c>
      <c r="DN4" s="74">
        <v>43287</v>
      </c>
      <c r="DO4" s="74">
        <v>43288</v>
      </c>
      <c r="DP4" s="74">
        <v>43289</v>
      </c>
      <c r="DQ4" s="74">
        <v>43290</v>
      </c>
      <c r="DR4" s="74">
        <v>43291</v>
      </c>
      <c r="DS4" s="74">
        <v>43292</v>
      </c>
      <c r="DT4" s="74">
        <v>43293</v>
      </c>
      <c r="DU4" s="74">
        <v>43294</v>
      </c>
      <c r="DV4" s="74">
        <v>43295</v>
      </c>
      <c r="DW4" s="74">
        <v>43296</v>
      </c>
      <c r="DX4" s="74">
        <v>43297</v>
      </c>
      <c r="DY4" s="74">
        <v>43298</v>
      </c>
      <c r="DZ4" s="74">
        <v>43299</v>
      </c>
      <c r="EA4" s="74">
        <v>43300</v>
      </c>
      <c r="EB4" s="74">
        <v>43301</v>
      </c>
      <c r="EC4" s="74">
        <v>43302</v>
      </c>
      <c r="ED4" s="74">
        <v>43303</v>
      </c>
      <c r="EE4" s="74">
        <v>43304</v>
      </c>
      <c r="EF4" s="74">
        <v>43305</v>
      </c>
      <c r="EG4" s="74">
        <v>43306</v>
      </c>
      <c r="EH4" s="74">
        <v>43307</v>
      </c>
      <c r="EI4" s="74">
        <v>43308</v>
      </c>
      <c r="EJ4" s="74">
        <v>43309</v>
      </c>
      <c r="EK4" s="74">
        <v>43310</v>
      </c>
      <c r="EL4" s="74">
        <v>43311</v>
      </c>
      <c r="EM4" s="74">
        <v>43312</v>
      </c>
      <c r="EN4" s="74">
        <v>43313</v>
      </c>
      <c r="EO4" s="74">
        <v>43314</v>
      </c>
      <c r="EP4" s="74">
        <v>43315</v>
      </c>
      <c r="EQ4" s="74">
        <v>43316</v>
      </c>
      <c r="ER4" s="74">
        <v>43317</v>
      </c>
      <c r="ES4" s="74">
        <v>43318</v>
      </c>
      <c r="ET4" s="74">
        <v>43319</v>
      </c>
      <c r="EU4" s="74">
        <v>43320</v>
      </c>
      <c r="EV4" s="74">
        <v>43321</v>
      </c>
      <c r="EW4" s="74">
        <v>43322</v>
      </c>
      <c r="EX4" s="74">
        <v>43323</v>
      </c>
      <c r="EY4" s="74">
        <v>43324</v>
      </c>
      <c r="EZ4" s="74">
        <v>43325</v>
      </c>
      <c r="FA4" s="74">
        <v>43326</v>
      </c>
      <c r="FB4" s="74">
        <v>43327</v>
      </c>
      <c r="FC4" s="74">
        <v>43328</v>
      </c>
      <c r="FD4" s="74">
        <v>43329</v>
      </c>
      <c r="FE4" s="74">
        <v>43330</v>
      </c>
      <c r="FF4" s="74">
        <v>43331</v>
      </c>
      <c r="FG4" s="74">
        <v>43332</v>
      </c>
      <c r="FH4" s="74">
        <v>43333</v>
      </c>
      <c r="FI4" s="74">
        <v>43334</v>
      </c>
      <c r="FJ4" s="74">
        <v>43335</v>
      </c>
      <c r="FK4" s="74">
        <v>43336</v>
      </c>
      <c r="FL4" s="74">
        <v>43337</v>
      </c>
      <c r="FM4" s="74">
        <v>43338</v>
      </c>
      <c r="FN4" s="74">
        <v>43339</v>
      </c>
      <c r="FO4" s="74">
        <v>43340</v>
      </c>
      <c r="FP4" s="74">
        <v>43341</v>
      </c>
      <c r="FQ4" s="74">
        <v>43342</v>
      </c>
      <c r="FR4" s="74">
        <v>43343</v>
      </c>
      <c r="FS4" s="74">
        <v>43344</v>
      </c>
      <c r="FT4" s="74">
        <v>43345</v>
      </c>
      <c r="FU4" s="74">
        <v>43346</v>
      </c>
      <c r="FV4" s="74">
        <v>43347</v>
      </c>
      <c r="FW4" s="74">
        <v>43348</v>
      </c>
      <c r="FX4" s="74">
        <v>43349</v>
      </c>
      <c r="FY4" s="74">
        <v>43350</v>
      </c>
      <c r="FZ4" s="74">
        <v>43351</v>
      </c>
      <c r="GA4" s="74">
        <v>43352</v>
      </c>
      <c r="GB4" s="74">
        <v>43353</v>
      </c>
      <c r="GC4" s="74">
        <v>43354</v>
      </c>
      <c r="GD4" s="74">
        <v>43355</v>
      </c>
      <c r="GE4" s="74">
        <v>43356</v>
      </c>
      <c r="GF4" s="74">
        <v>43357</v>
      </c>
      <c r="GG4" s="74">
        <v>43358</v>
      </c>
      <c r="GH4" s="74">
        <v>43359</v>
      </c>
      <c r="GI4" s="74">
        <v>43360</v>
      </c>
      <c r="GJ4" s="74">
        <v>43361</v>
      </c>
      <c r="GK4" s="74">
        <v>43362</v>
      </c>
      <c r="GL4" s="74">
        <v>43363</v>
      </c>
      <c r="GM4" s="74">
        <v>43364</v>
      </c>
      <c r="GN4" s="74">
        <v>43365</v>
      </c>
      <c r="GO4" s="74">
        <v>43366</v>
      </c>
      <c r="GP4" s="74">
        <v>43367</v>
      </c>
      <c r="GQ4" s="74">
        <v>43368</v>
      </c>
      <c r="GR4" s="74">
        <v>43369</v>
      </c>
      <c r="GS4" s="74">
        <v>43370</v>
      </c>
      <c r="GT4" s="74">
        <v>43371</v>
      </c>
      <c r="GU4" s="74">
        <v>43372</v>
      </c>
      <c r="GV4" s="74">
        <v>43373</v>
      </c>
      <c r="GW4" s="74">
        <v>43374</v>
      </c>
      <c r="GX4" s="74">
        <v>43375</v>
      </c>
      <c r="GY4" s="74">
        <v>43376</v>
      </c>
      <c r="GZ4" s="74">
        <v>43377</v>
      </c>
      <c r="HA4" s="74">
        <v>43378</v>
      </c>
      <c r="HB4" s="74">
        <v>43379</v>
      </c>
      <c r="HC4" s="74">
        <v>43380</v>
      </c>
      <c r="HD4" s="74">
        <v>43381</v>
      </c>
      <c r="HE4" s="74">
        <v>43382</v>
      </c>
      <c r="HF4" s="74">
        <v>43383</v>
      </c>
      <c r="HG4" s="74">
        <v>43384</v>
      </c>
      <c r="HH4" s="74">
        <v>43385</v>
      </c>
      <c r="HI4" s="74">
        <v>43386</v>
      </c>
      <c r="HJ4" s="74">
        <v>43387</v>
      </c>
      <c r="HK4" s="74">
        <v>43388</v>
      </c>
      <c r="HL4" s="74">
        <v>43389</v>
      </c>
      <c r="HM4" s="74">
        <v>43390</v>
      </c>
      <c r="HN4" s="74">
        <v>43391</v>
      </c>
      <c r="HO4" s="74">
        <v>43392</v>
      </c>
      <c r="HP4" s="74">
        <v>43393</v>
      </c>
      <c r="HQ4" s="74">
        <v>43394</v>
      </c>
      <c r="HR4" s="74">
        <v>43395</v>
      </c>
      <c r="HS4" s="74">
        <v>43396</v>
      </c>
      <c r="HT4" s="74">
        <v>43397</v>
      </c>
      <c r="HU4" s="74">
        <v>43398</v>
      </c>
      <c r="HV4" s="74">
        <v>43399</v>
      </c>
      <c r="HW4" s="74">
        <v>43400</v>
      </c>
      <c r="HX4" s="74">
        <v>43401</v>
      </c>
      <c r="HY4" s="74">
        <v>43402</v>
      </c>
      <c r="HZ4" s="74">
        <v>43403</v>
      </c>
      <c r="IA4" s="74">
        <v>43404</v>
      </c>
      <c r="IB4" s="74">
        <v>43405</v>
      </c>
      <c r="IC4" s="74">
        <v>43406</v>
      </c>
      <c r="ID4" s="74">
        <v>43407</v>
      </c>
      <c r="IE4" s="74">
        <v>43408</v>
      </c>
      <c r="IF4" s="74">
        <v>43409</v>
      </c>
      <c r="IG4" s="74">
        <v>43410</v>
      </c>
      <c r="IH4" s="74">
        <v>43411</v>
      </c>
      <c r="II4" s="74">
        <v>43412</v>
      </c>
      <c r="IJ4" s="74">
        <v>43413</v>
      </c>
      <c r="IK4" s="74">
        <v>43414</v>
      </c>
      <c r="IL4" s="74">
        <v>43415</v>
      </c>
      <c r="IM4" s="74">
        <v>43416</v>
      </c>
      <c r="IN4" s="74">
        <v>43417</v>
      </c>
      <c r="IO4" s="74">
        <v>43418</v>
      </c>
      <c r="IP4" s="74">
        <v>43419</v>
      </c>
      <c r="IQ4" s="74">
        <v>43420</v>
      </c>
      <c r="IR4" s="74">
        <v>43421</v>
      </c>
      <c r="IS4" s="74">
        <v>43422</v>
      </c>
      <c r="IT4" s="74">
        <v>43423</v>
      </c>
      <c r="IU4" s="74">
        <v>43424</v>
      </c>
      <c r="IV4" s="74">
        <v>43425</v>
      </c>
      <c r="IW4" s="74">
        <v>43426</v>
      </c>
      <c r="IX4" s="74">
        <v>43427</v>
      </c>
      <c r="IY4" s="74">
        <v>43428</v>
      </c>
      <c r="IZ4" s="74">
        <v>43429</v>
      </c>
      <c r="JA4" s="74">
        <v>43430</v>
      </c>
      <c r="JB4" s="74">
        <v>43431</v>
      </c>
      <c r="JC4" s="74">
        <v>43432</v>
      </c>
      <c r="JD4" s="74">
        <v>43433</v>
      </c>
      <c r="JE4" s="74">
        <v>43434</v>
      </c>
      <c r="JF4" s="74">
        <v>43435</v>
      </c>
      <c r="JG4" s="74">
        <v>43436</v>
      </c>
      <c r="JH4" s="74">
        <v>43437</v>
      </c>
      <c r="JI4" s="74">
        <v>43438</v>
      </c>
      <c r="JJ4" s="74">
        <v>43439</v>
      </c>
      <c r="JK4" s="74">
        <v>43440</v>
      </c>
      <c r="JL4" s="74">
        <v>43441</v>
      </c>
      <c r="JM4" s="74">
        <v>43442</v>
      </c>
      <c r="JN4" s="74">
        <v>43443</v>
      </c>
      <c r="JO4" s="74">
        <v>43444</v>
      </c>
      <c r="JP4" s="74">
        <v>43445</v>
      </c>
      <c r="JQ4" s="74">
        <v>43446</v>
      </c>
      <c r="JR4" s="74">
        <v>43447</v>
      </c>
      <c r="JS4" s="74">
        <v>43448</v>
      </c>
      <c r="JT4" s="74">
        <v>43449</v>
      </c>
      <c r="JU4" s="74">
        <v>43450</v>
      </c>
      <c r="JV4" s="74">
        <v>43451</v>
      </c>
      <c r="JW4" s="74">
        <v>43452</v>
      </c>
      <c r="JX4" s="74">
        <v>43453</v>
      </c>
      <c r="JY4" s="74">
        <v>43454</v>
      </c>
      <c r="JZ4" s="74">
        <v>43455</v>
      </c>
      <c r="KA4" s="74">
        <v>43456</v>
      </c>
      <c r="KB4" s="74">
        <v>43457</v>
      </c>
      <c r="KC4" s="74">
        <v>43458</v>
      </c>
      <c r="KD4" s="74">
        <v>43459</v>
      </c>
      <c r="KE4" s="74">
        <v>43460</v>
      </c>
      <c r="KF4" s="74">
        <v>43461</v>
      </c>
      <c r="KG4" s="74">
        <v>43462</v>
      </c>
      <c r="KH4" s="74">
        <v>43463</v>
      </c>
      <c r="KI4" s="74">
        <v>43464</v>
      </c>
      <c r="KJ4" s="74">
        <v>43465</v>
      </c>
      <c r="KK4" s="74">
        <v>43466</v>
      </c>
      <c r="KL4" s="74">
        <v>43467</v>
      </c>
      <c r="KM4" s="74">
        <v>43468</v>
      </c>
      <c r="KN4" s="74">
        <v>43469</v>
      </c>
      <c r="KO4" s="74">
        <v>43470</v>
      </c>
      <c r="KP4" s="74">
        <v>43471</v>
      </c>
      <c r="KQ4" s="74">
        <v>43472</v>
      </c>
      <c r="KR4" s="74">
        <v>43473</v>
      </c>
      <c r="KS4" s="74">
        <v>43474</v>
      </c>
      <c r="KT4" s="74">
        <v>43475</v>
      </c>
      <c r="KU4" s="74">
        <v>43476</v>
      </c>
      <c r="KV4" s="74">
        <v>43477</v>
      </c>
      <c r="KW4" s="74">
        <v>43478</v>
      </c>
      <c r="KX4" s="74">
        <v>43479</v>
      </c>
      <c r="KY4" s="74">
        <v>43480</v>
      </c>
      <c r="KZ4" s="74">
        <v>43481</v>
      </c>
      <c r="LA4" s="74">
        <v>43482</v>
      </c>
      <c r="LB4" s="74">
        <v>43483</v>
      </c>
      <c r="LC4" s="74">
        <v>43484</v>
      </c>
      <c r="LD4" s="74">
        <v>43485</v>
      </c>
      <c r="LE4" s="74">
        <v>43486</v>
      </c>
      <c r="LF4" s="74">
        <v>43487</v>
      </c>
      <c r="LG4" s="74">
        <v>43488</v>
      </c>
      <c r="LH4" s="74">
        <v>43489</v>
      </c>
      <c r="LI4" s="74">
        <v>43490</v>
      </c>
      <c r="LJ4" s="74">
        <v>43491</v>
      </c>
      <c r="LK4" s="74">
        <v>43492</v>
      </c>
      <c r="LL4" s="74">
        <v>43493</v>
      </c>
      <c r="LM4" s="74">
        <v>43494</v>
      </c>
      <c r="LN4" s="74">
        <v>43495</v>
      </c>
      <c r="LO4" s="74">
        <v>43496</v>
      </c>
      <c r="LP4" s="74">
        <v>43497</v>
      </c>
      <c r="LQ4" s="74">
        <v>43498</v>
      </c>
      <c r="LR4" s="74">
        <v>43499</v>
      </c>
      <c r="LS4" s="74">
        <v>43500</v>
      </c>
      <c r="LT4" s="74">
        <v>43501</v>
      </c>
      <c r="LU4" s="74">
        <v>43502</v>
      </c>
    </row>
    <row r="5" spans="1:333" s="73" customFormat="1" ht="32.25" customHeight="1">
      <c r="A5" s="72"/>
      <c r="B5" s="212" t="s">
        <v>720</v>
      </c>
      <c r="C5" s="213" t="s">
        <v>636</v>
      </c>
      <c r="D5" s="213" t="s">
        <v>636</v>
      </c>
      <c r="E5" s="213" t="s">
        <v>636</v>
      </c>
      <c r="F5" s="213" t="s">
        <v>636</v>
      </c>
      <c r="G5" s="213" t="s">
        <v>636</v>
      </c>
      <c r="H5" s="213" t="s">
        <v>636</v>
      </c>
      <c r="I5" s="213" t="s">
        <v>637</v>
      </c>
      <c r="J5" s="213" t="s">
        <v>637</v>
      </c>
      <c r="K5" s="213" t="s">
        <v>637</v>
      </c>
      <c r="L5" s="213" t="s">
        <v>637</v>
      </c>
      <c r="M5" s="213" t="s">
        <v>637</v>
      </c>
      <c r="N5" s="213" t="s">
        <v>637</v>
      </c>
      <c r="O5" s="213" t="s">
        <v>637</v>
      </c>
      <c r="P5" s="213" t="s">
        <v>638</v>
      </c>
      <c r="Q5" s="213" t="s">
        <v>638</v>
      </c>
      <c r="R5" s="213" t="s">
        <v>638</v>
      </c>
      <c r="S5" s="213" t="s">
        <v>638</v>
      </c>
      <c r="T5" s="213" t="s">
        <v>638</v>
      </c>
      <c r="U5" s="213" t="s">
        <v>638</v>
      </c>
      <c r="V5" s="213" t="s">
        <v>638</v>
      </c>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4"/>
      <c r="BH5" s="214"/>
      <c r="BI5" s="214"/>
      <c r="BJ5" s="214"/>
      <c r="BK5" s="214"/>
      <c r="BL5" s="214"/>
      <c r="BM5" s="214"/>
      <c r="BN5" s="214"/>
      <c r="BO5" s="214"/>
      <c r="BP5" s="214"/>
      <c r="BQ5" s="214"/>
      <c r="BR5" s="214"/>
      <c r="BS5" s="214"/>
      <c r="BT5" s="214"/>
      <c r="BU5" s="214"/>
      <c r="BV5" s="214"/>
      <c r="BW5" s="214"/>
      <c r="BX5" s="214"/>
      <c r="BY5" s="214"/>
      <c r="BZ5" s="214"/>
      <c r="CA5" s="214"/>
      <c r="CB5" s="214"/>
      <c r="CC5" s="214"/>
      <c r="CD5" s="214"/>
      <c r="CE5" s="214"/>
      <c r="CF5" s="214"/>
      <c r="CG5" s="214"/>
      <c r="CH5" s="214"/>
      <c r="CI5" s="214"/>
      <c r="CJ5" s="214"/>
      <c r="CK5" s="214"/>
      <c r="CL5" s="214"/>
      <c r="CM5" s="214"/>
      <c r="CN5" s="214"/>
      <c r="CO5" s="214"/>
      <c r="CP5" s="214"/>
      <c r="CQ5" s="214"/>
      <c r="CR5" s="214"/>
      <c r="CS5" s="214"/>
      <c r="CT5" s="214"/>
      <c r="CU5" s="214"/>
      <c r="CV5" s="214"/>
      <c r="CW5" s="214"/>
      <c r="CX5" s="214"/>
      <c r="CY5" s="214"/>
      <c r="CZ5" s="214"/>
      <c r="DA5" s="214"/>
      <c r="DB5" s="214"/>
      <c r="DC5" s="214"/>
      <c r="DD5" s="214"/>
      <c r="DE5" s="214"/>
      <c r="DF5" s="214"/>
      <c r="DG5" s="214"/>
      <c r="DH5" s="214"/>
      <c r="DI5" s="214"/>
      <c r="DJ5" s="214"/>
      <c r="DK5" s="214"/>
      <c r="DL5" s="214"/>
      <c r="DM5" s="214"/>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c r="EZ5" s="214"/>
      <c r="FA5" s="214"/>
      <c r="FB5" s="214"/>
      <c r="FC5" s="214"/>
      <c r="FD5" s="214"/>
      <c r="FE5" s="214"/>
      <c r="FF5" s="214"/>
      <c r="FG5" s="214"/>
      <c r="FH5" s="214"/>
      <c r="FI5" s="214"/>
      <c r="FJ5" s="214"/>
      <c r="FK5" s="214"/>
      <c r="FL5" s="214"/>
      <c r="FM5" s="214"/>
      <c r="FN5" s="214"/>
      <c r="FO5" s="214"/>
      <c r="FP5" s="214"/>
      <c r="FQ5" s="214"/>
      <c r="FR5" s="214"/>
      <c r="FS5" s="214"/>
      <c r="FT5" s="214"/>
      <c r="FU5" s="214"/>
      <c r="FV5" s="214"/>
      <c r="FW5" s="214"/>
      <c r="FX5" s="214"/>
      <c r="FY5" s="214"/>
      <c r="FZ5" s="214"/>
      <c r="GA5" s="214"/>
      <c r="GB5" s="214"/>
      <c r="GC5" s="214"/>
      <c r="GD5" s="214"/>
      <c r="GE5" s="214"/>
      <c r="GF5" s="214"/>
      <c r="GG5" s="214"/>
      <c r="GH5" s="214"/>
      <c r="GI5" s="214"/>
      <c r="GJ5" s="214"/>
      <c r="GK5" s="214"/>
      <c r="GL5" s="214"/>
      <c r="GM5" s="214"/>
      <c r="GN5" s="214"/>
      <c r="GO5" s="214"/>
      <c r="GP5" s="214"/>
      <c r="GQ5" s="214"/>
      <c r="GR5" s="214"/>
      <c r="GS5" s="214"/>
      <c r="GT5" s="214"/>
      <c r="GU5" s="214"/>
      <c r="GV5" s="214"/>
      <c r="GW5" s="214"/>
      <c r="GX5" s="214"/>
      <c r="GY5" s="214"/>
      <c r="GZ5" s="214"/>
      <c r="HA5" s="214"/>
      <c r="HB5" s="214"/>
      <c r="HC5" s="214"/>
      <c r="HD5" s="214"/>
      <c r="HE5" s="214"/>
      <c r="HF5" s="214"/>
      <c r="HG5" s="214"/>
      <c r="HH5" s="214"/>
      <c r="HI5" s="214"/>
      <c r="HJ5" s="214"/>
      <c r="HK5" s="214"/>
      <c r="HL5" s="214"/>
      <c r="HM5" s="214"/>
      <c r="HN5" s="214"/>
      <c r="HO5" s="214"/>
      <c r="HP5" s="214"/>
      <c r="HQ5" s="214"/>
      <c r="HR5" s="214"/>
      <c r="HS5" s="214"/>
      <c r="HT5" s="214"/>
      <c r="HU5" s="214"/>
      <c r="HV5" s="214"/>
      <c r="HW5" s="214"/>
      <c r="HX5" s="214"/>
      <c r="HY5" s="214"/>
      <c r="HZ5" s="214"/>
      <c r="IA5" s="214"/>
      <c r="IB5" s="214"/>
      <c r="IC5" s="214"/>
      <c r="ID5" s="214"/>
      <c r="IE5" s="214"/>
      <c r="IF5" s="214"/>
      <c r="IG5" s="214"/>
      <c r="IH5" s="214"/>
      <c r="II5" s="214"/>
      <c r="IJ5" s="214"/>
      <c r="IK5" s="214"/>
      <c r="IL5" s="214"/>
      <c r="IM5" s="214"/>
      <c r="IN5" s="214"/>
      <c r="IO5" s="214"/>
      <c r="IP5" s="214"/>
      <c r="IQ5" s="214"/>
      <c r="IR5" s="214"/>
      <c r="IS5" s="214"/>
      <c r="IT5" s="214"/>
      <c r="IU5" s="214"/>
      <c r="IV5" s="214"/>
      <c r="IW5" s="214"/>
      <c r="IX5" s="214"/>
      <c r="IY5" s="214"/>
      <c r="IZ5" s="214"/>
      <c r="JA5" s="214"/>
      <c r="JB5" s="214"/>
      <c r="JC5" s="214"/>
      <c r="JD5" s="214"/>
      <c r="JE5" s="214"/>
      <c r="JF5" s="214"/>
      <c r="JG5" s="214"/>
      <c r="JH5" s="214"/>
      <c r="JI5" s="214"/>
      <c r="JJ5" s="214"/>
      <c r="JK5" s="214"/>
      <c r="JL5" s="214"/>
      <c r="JM5" s="214"/>
      <c r="JN5" s="214"/>
      <c r="JO5" s="214"/>
      <c r="JP5" s="214"/>
      <c r="JQ5" s="214"/>
      <c r="JR5" s="214"/>
      <c r="JS5" s="214"/>
      <c r="JT5" s="214"/>
      <c r="JU5" s="214"/>
      <c r="JV5" s="214"/>
      <c r="JW5" s="214"/>
      <c r="JX5" s="214"/>
      <c r="JY5" s="214"/>
      <c r="JZ5" s="214"/>
      <c r="KA5" s="214"/>
      <c r="KB5" s="214"/>
      <c r="KC5" s="214"/>
      <c r="KD5" s="214"/>
      <c r="KE5" s="214"/>
      <c r="KF5" s="214"/>
      <c r="KG5" s="214"/>
      <c r="KH5" s="214"/>
      <c r="KI5" s="214"/>
      <c r="KJ5" s="214"/>
      <c r="KK5" s="214"/>
      <c r="KL5" s="214"/>
      <c r="KM5" s="214"/>
      <c r="KN5" s="214"/>
      <c r="KO5" s="214"/>
      <c r="KP5" s="214"/>
      <c r="KQ5" s="214"/>
      <c r="KR5" s="214"/>
      <c r="KS5" s="214"/>
      <c r="KT5" s="214"/>
      <c r="KU5" s="214"/>
      <c r="KV5" s="214"/>
      <c r="KW5" s="214"/>
      <c r="KX5" s="214"/>
      <c r="KY5" s="214"/>
      <c r="KZ5" s="214"/>
      <c r="LA5" s="214"/>
      <c r="LB5" s="214"/>
      <c r="LC5" s="214"/>
      <c r="LD5" s="214"/>
      <c r="LE5" s="214"/>
      <c r="LF5" s="214"/>
      <c r="LG5" s="214"/>
      <c r="LH5" s="214"/>
      <c r="LI5" s="214"/>
      <c r="LJ5" s="214"/>
      <c r="LK5" s="214"/>
      <c r="LL5" s="214"/>
      <c r="LM5" s="214"/>
      <c r="LN5" s="214"/>
      <c r="LO5" s="214"/>
      <c r="LP5" s="214"/>
      <c r="LQ5" s="214"/>
      <c r="LR5" s="214"/>
      <c r="LS5" s="214"/>
      <c r="LT5" s="214"/>
      <c r="LU5" s="214"/>
    </row>
    <row r="6" spans="1:333" s="222" customFormat="1" ht="51.75" customHeight="1" thickBot="1">
      <c r="A6" s="219"/>
      <c r="B6" s="212" t="s">
        <v>721</v>
      </c>
      <c r="C6" s="216"/>
      <c r="D6" s="216"/>
      <c r="E6" s="215" t="s">
        <v>659</v>
      </c>
      <c r="F6" s="216" t="s">
        <v>732</v>
      </c>
      <c r="G6" s="220" t="s">
        <v>271</v>
      </c>
      <c r="H6" s="217" t="s">
        <v>731</v>
      </c>
      <c r="I6" s="216" t="s">
        <v>722</v>
      </c>
      <c r="J6" s="218" t="s">
        <v>735</v>
      </c>
      <c r="K6" s="216" t="s">
        <v>737</v>
      </c>
      <c r="L6" s="216"/>
      <c r="M6" s="216" t="s">
        <v>730</v>
      </c>
      <c r="N6" s="216"/>
      <c r="O6" s="216"/>
      <c r="P6" s="216"/>
      <c r="Q6" s="216"/>
      <c r="R6" s="216"/>
      <c r="S6" s="216"/>
      <c r="T6" s="216"/>
      <c r="U6" s="216"/>
      <c r="V6" s="216"/>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1"/>
      <c r="BH6" s="221"/>
      <c r="BI6" s="221"/>
      <c r="BJ6" s="221"/>
      <c r="BK6" s="221"/>
      <c r="BL6" s="221"/>
      <c r="BM6" s="221"/>
      <c r="BN6" s="221"/>
      <c r="BO6" s="221"/>
      <c r="BP6" s="221"/>
      <c r="BQ6" s="221"/>
      <c r="BR6" s="221"/>
      <c r="BS6" s="221"/>
      <c r="BT6" s="221"/>
      <c r="BU6" s="221"/>
      <c r="BV6" s="221"/>
      <c r="BW6" s="221"/>
      <c r="BX6" s="221"/>
      <c r="BY6" s="221"/>
      <c r="BZ6" s="221"/>
      <c r="CA6" s="221"/>
      <c r="CB6" s="221"/>
      <c r="CC6" s="221"/>
      <c r="CD6" s="221"/>
      <c r="CE6" s="221"/>
      <c r="CF6" s="221"/>
      <c r="CG6" s="221"/>
      <c r="CH6" s="221"/>
      <c r="CI6" s="221"/>
      <c r="CJ6" s="221"/>
      <c r="CK6" s="221"/>
      <c r="CL6" s="221"/>
      <c r="CM6" s="221"/>
      <c r="CN6" s="221"/>
      <c r="CO6" s="221"/>
      <c r="CP6" s="221"/>
      <c r="CQ6" s="221"/>
      <c r="CR6" s="221"/>
      <c r="CS6" s="221"/>
      <c r="CT6" s="221"/>
      <c r="CU6" s="221"/>
      <c r="CV6" s="221"/>
      <c r="CW6" s="221"/>
      <c r="CX6" s="221"/>
      <c r="CY6" s="221"/>
      <c r="CZ6" s="221"/>
      <c r="DA6" s="221"/>
      <c r="DB6" s="221"/>
      <c r="DC6" s="221"/>
      <c r="DD6" s="221"/>
      <c r="DE6" s="221"/>
      <c r="DF6" s="221"/>
      <c r="DG6" s="221"/>
      <c r="DH6" s="221"/>
      <c r="DI6" s="221"/>
      <c r="DJ6" s="221"/>
      <c r="DK6" s="221"/>
      <c r="DL6" s="221"/>
      <c r="DM6" s="221"/>
      <c r="DN6" s="221"/>
      <c r="DO6" s="221"/>
      <c r="DP6" s="221"/>
      <c r="DQ6" s="221"/>
      <c r="DR6" s="221"/>
      <c r="DS6" s="221"/>
      <c r="DT6" s="221"/>
      <c r="DU6" s="221"/>
      <c r="DV6" s="221"/>
      <c r="DW6" s="221"/>
      <c r="DX6" s="221"/>
      <c r="DY6" s="221"/>
      <c r="DZ6" s="221"/>
      <c r="EA6" s="221"/>
      <c r="EB6" s="221"/>
      <c r="EC6" s="221"/>
      <c r="ED6" s="221"/>
      <c r="EE6" s="221"/>
      <c r="EF6" s="221"/>
      <c r="EG6" s="221"/>
      <c r="EH6" s="221"/>
      <c r="EI6" s="221"/>
      <c r="EJ6" s="221"/>
      <c r="EK6" s="221"/>
      <c r="EL6" s="221"/>
      <c r="EM6" s="221"/>
      <c r="EN6" s="221"/>
      <c r="EO6" s="221"/>
      <c r="EP6" s="221"/>
      <c r="EQ6" s="221"/>
      <c r="ER6" s="221"/>
      <c r="ES6" s="221"/>
      <c r="ET6" s="221"/>
      <c r="EU6" s="221"/>
      <c r="EV6" s="221"/>
      <c r="EW6" s="221"/>
      <c r="EX6" s="221"/>
      <c r="EY6" s="221"/>
      <c r="EZ6" s="221"/>
      <c r="FA6" s="221"/>
      <c r="FB6" s="221"/>
      <c r="FC6" s="221"/>
      <c r="FD6" s="221"/>
      <c r="FE6" s="221"/>
      <c r="FF6" s="221"/>
      <c r="FG6" s="221"/>
      <c r="FH6" s="221"/>
      <c r="FI6" s="221"/>
      <c r="FJ6" s="221"/>
      <c r="FK6" s="221"/>
      <c r="FL6" s="221"/>
      <c r="FM6" s="221"/>
      <c r="FN6" s="221"/>
      <c r="FO6" s="221"/>
      <c r="FP6" s="221"/>
      <c r="FQ6" s="221"/>
      <c r="FR6" s="221"/>
      <c r="FS6" s="221"/>
      <c r="FT6" s="221"/>
      <c r="FU6" s="221"/>
      <c r="FV6" s="221"/>
      <c r="FW6" s="221"/>
      <c r="FX6" s="221"/>
      <c r="FY6" s="221"/>
      <c r="FZ6" s="221"/>
      <c r="GA6" s="221"/>
      <c r="GB6" s="221"/>
      <c r="GC6" s="221"/>
      <c r="GD6" s="221"/>
      <c r="GE6" s="221"/>
      <c r="GF6" s="221"/>
      <c r="GG6" s="221"/>
      <c r="GH6" s="221"/>
      <c r="GI6" s="221"/>
      <c r="GJ6" s="221"/>
      <c r="GK6" s="221"/>
      <c r="GL6" s="221"/>
      <c r="GM6" s="221"/>
      <c r="GN6" s="221"/>
      <c r="GO6" s="221"/>
      <c r="GP6" s="221"/>
      <c r="GQ6" s="221"/>
      <c r="GR6" s="221"/>
      <c r="GS6" s="221"/>
      <c r="GT6" s="221"/>
      <c r="GU6" s="221"/>
      <c r="GV6" s="221"/>
      <c r="GW6" s="221"/>
      <c r="GX6" s="221"/>
      <c r="GY6" s="221"/>
      <c r="GZ6" s="221"/>
      <c r="HA6" s="221"/>
      <c r="HB6" s="221"/>
      <c r="HC6" s="221"/>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IW6" s="221"/>
      <c r="IX6" s="221"/>
      <c r="IY6" s="221"/>
      <c r="IZ6" s="221"/>
      <c r="JA6" s="221"/>
      <c r="JB6" s="221"/>
      <c r="JC6" s="221"/>
      <c r="JD6" s="221"/>
      <c r="JE6" s="221"/>
      <c r="JF6" s="221"/>
      <c r="JG6" s="221"/>
      <c r="JH6" s="221"/>
      <c r="JI6" s="221"/>
      <c r="JJ6" s="221"/>
      <c r="JK6" s="221"/>
      <c r="JL6" s="221"/>
      <c r="JM6" s="221"/>
      <c r="JN6" s="221"/>
      <c r="JO6" s="221"/>
      <c r="JP6" s="221"/>
      <c r="JQ6" s="221"/>
      <c r="JR6" s="221"/>
      <c r="JS6" s="221"/>
      <c r="JT6" s="221"/>
      <c r="JU6" s="221"/>
      <c r="JV6" s="221"/>
      <c r="JW6" s="221"/>
      <c r="JX6" s="221"/>
      <c r="JY6" s="221"/>
      <c r="JZ6" s="221"/>
      <c r="KA6" s="221"/>
      <c r="KB6" s="221"/>
      <c r="KC6" s="221"/>
      <c r="KD6" s="221"/>
      <c r="KE6" s="221"/>
      <c r="KF6" s="221"/>
      <c r="KG6" s="221"/>
      <c r="KH6" s="221"/>
      <c r="KI6" s="221"/>
      <c r="KJ6" s="221"/>
      <c r="KK6" s="221"/>
      <c r="KL6" s="221"/>
      <c r="KM6" s="221"/>
      <c r="KN6" s="221"/>
      <c r="KO6" s="221"/>
      <c r="KP6" s="221"/>
      <c r="KQ6" s="221"/>
      <c r="KR6" s="221"/>
      <c r="KS6" s="221"/>
      <c r="KT6" s="221"/>
      <c r="KU6" s="221"/>
      <c r="KV6" s="221"/>
      <c r="KW6" s="221"/>
      <c r="KX6" s="221"/>
      <c r="KY6" s="221"/>
      <c r="KZ6" s="221"/>
      <c r="LA6" s="221"/>
      <c r="LB6" s="221"/>
      <c r="LC6" s="221"/>
      <c r="LD6" s="221"/>
      <c r="LE6" s="221"/>
      <c r="LF6" s="221"/>
      <c r="LG6" s="221"/>
      <c r="LH6" s="221"/>
      <c r="LI6" s="221"/>
      <c r="LJ6" s="221"/>
      <c r="LK6" s="221"/>
      <c r="LL6" s="221"/>
      <c r="LM6" s="221"/>
      <c r="LN6" s="221"/>
      <c r="LO6" s="221"/>
      <c r="LP6" s="221"/>
      <c r="LQ6" s="221"/>
      <c r="LR6" s="221"/>
      <c r="LS6" s="221"/>
      <c r="LT6" s="221"/>
      <c r="LU6" s="221"/>
    </row>
    <row r="7" spans="1:333" ht="36" customHeight="1" thickTop="1">
      <c r="A7" s="79">
        <f>HOUR(B7)</f>
        <v>0</v>
      </c>
      <c r="B7" s="75">
        <v>0</v>
      </c>
      <c r="C7" s="226">
        <v>0</v>
      </c>
      <c r="D7" s="226" t="s">
        <v>738</v>
      </c>
      <c r="E7" s="228"/>
      <c r="F7" s="229" t="s">
        <v>736</v>
      </c>
      <c r="G7" s="230"/>
      <c r="H7" s="231"/>
      <c r="I7" s="232"/>
      <c r="J7" s="231"/>
      <c r="K7" s="224"/>
      <c r="L7" s="224"/>
      <c r="M7" s="233"/>
      <c r="N7" s="226"/>
      <c r="O7" s="226"/>
      <c r="P7" s="226"/>
      <c r="Q7" s="226"/>
      <c r="R7" s="226"/>
      <c r="S7" s="226"/>
      <c r="T7" s="226"/>
      <c r="U7" s="226"/>
      <c r="V7" s="226"/>
      <c r="W7" s="223"/>
      <c r="X7" s="223"/>
      <c r="Y7" s="223"/>
      <c r="Z7" s="234" t="s">
        <v>614</v>
      </c>
      <c r="AA7" s="223"/>
      <c r="AB7" s="223"/>
      <c r="AC7" s="223"/>
      <c r="AD7" s="223"/>
      <c r="AE7" s="223"/>
      <c r="AF7" s="223"/>
      <c r="AG7" s="223"/>
      <c r="AH7" s="223"/>
      <c r="AI7" s="223"/>
      <c r="AJ7" s="223"/>
      <c r="AK7" s="223"/>
      <c r="AL7" s="223"/>
      <c r="AM7" s="223"/>
      <c r="AN7" s="223"/>
      <c r="AO7" s="223"/>
      <c r="AP7" s="235" t="s">
        <v>617</v>
      </c>
      <c r="AQ7" s="223"/>
      <c r="AR7" s="223"/>
      <c r="AS7" s="223"/>
      <c r="AT7" s="223"/>
      <c r="AU7" s="223"/>
      <c r="AV7" s="223"/>
      <c r="AW7" s="223"/>
      <c r="AX7" s="223"/>
      <c r="AY7" s="223"/>
      <c r="AZ7" s="223"/>
      <c r="BA7" s="223"/>
      <c r="BB7" s="223"/>
      <c r="BC7" s="223"/>
      <c r="BD7" s="223"/>
      <c r="BE7" s="236" t="s">
        <v>615</v>
      </c>
      <c r="BF7" s="223"/>
      <c r="BG7" s="223"/>
      <c r="BH7" s="223"/>
      <c r="BI7" s="223"/>
      <c r="BJ7" s="223"/>
      <c r="BK7" s="223"/>
      <c r="BL7" s="223"/>
      <c r="BM7" s="223"/>
      <c r="BN7" s="223"/>
      <c r="BO7" s="223"/>
      <c r="BP7" s="223"/>
      <c r="BQ7" s="223"/>
      <c r="BR7" s="223"/>
      <c r="BS7" s="223"/>
      <c r="BT7" s="223"/>
      <c r="BU7" s="223"/>
      <c r="BV7" s="223"/>
      <c r="BW7" s="223"/>
      <c r="BX7" s="223"/>
      <c r="BY7" s="223"/>
      <c r="BZ7" s="223"/>
      <c r="CA7" s="223"/>
      <c r="CB7" s="223"/>
      <c r="CC7" s="223"/>
      <c r="CD7" s="223"/>
      <c r="CE7" s="223"/>
      <c r="CF7" s="223"/>
      <c r="CG7" s="223"/>
      <c r="CH7" s="223"/>
      <c r="CI7" s="223"/>
      <c r="CJ7" s="223"/>
      <c r="CK7" s="223"/>
      <c r="CL7" s="223"/>
      <c r="CM7" s="223"/>
      <c r="CN7" s="223"/>
      <c r="CO7" s="223"/>
      <c r="CP7" s="223"/>
      <c r="CQ7" s="223"/>
      <c r="CR7" s="223"/>
      <c r="CS7" s="223"/>
      <c r="CT7" s="223"/>
      <c r="CU7" s="223"/>
      <c r="CV7" s="223"/>
      <c r="CW7" s="223"/>
      <c r="CX7" s="223"/>
      <c r="CY7" s="223"/>
      <c r="CZ7" s="223"/>
      <c r="DA7" s="223"/>
      <c r="DB7" s="223"/>
      <c r="DC7" s="223"/>
      <c r="DD7" s="223"/>
      <c r="DE7" s="223"/>
      <c r="DF7" s="223"/>
      <c r="DG7" s="223"/>
      <c r="DH7" s="223"/>
      <c r="DI7" s="223"/>
      <c r="DJ7" s="223"/>
      <c r="DK7" s="223"/>
      <c r="DL7" s="223"/>
      <c r="DM7" s="223"/>
      <c r="DN7" s="223"/>
      <c r="DO7" s="223"/>
      <c r="DP7" s="223"/>
      <c r="DQ7" s="223"/>
      <c r="DR7" s="223"/>
      <c r="DS7" s="223"/>
      <c r="DT7" s="223"/>
      <c r="DU7" s="223"/>
      <c r="DV7" s="223"/>
      <c r="DW7" s="223"/>
      <c r="DX7" s="223"/>
      <c r="DY7" s="223"/>
      <c r="DZ7" s="223"/>
      <c r="EA7" s="223"/>
      <c r="EB7" s="223"/>
      <c r="EC7" s="223"/>
      <c r="ED7" s="223"/>
      <c r="EE7" s="223"/>
      <c r="EF7" s="223"/>
      <c r="EG7" s="223"/>
      <c r="EH7" s="223"/>
      <c r="EI7" s="223"/>
      <c r="EJ7" s="223"/>
      <c r="EK7" s="223"/>
      <c r="EL7" s="223"/>
      <c r="EM7" s="223"/>
      <c r="EN7" s="223"/>
      <c r="EO7" s="223"/>
      <c r="EP7" s="223"/>
      <c r="EQ7" s="223"/>
      <c r="ER7" s="223"/>
      <c r="ES7" s="223"/>
      <c r="ET7" s="223"/>
      <c r="EU7" s="223"/>
      <c r="EV7" s="223"/>
      <c r="EW7" s="223"/>
      <c r="EX7" s="223"/>
      <c r="EY7" s="223"/>
      <c r="EZ7" s="223"/>
      <c r="FA7" s="223"/>
      <c r="FB7" s="223"/>
      <c r="FC7" s="223"/>
      <c r="FD7" s="223"/>
      <c r="FE7" s="223"/>
      <c r="FF7" s="223"/>
      <c r="FG7" s="223"/>
      <c r="FH7" s="223"/>
      <c r="FI7" s="223"/>
      <c r="FJ7" s="223"/>
      <c r="FK7" s="223"/>
      <c r="FL7" s="223"/>
      <c r="FM7" s="223"/>
      <c r="FN7" s="223"/>
      <c r="FO7" s="223"/>
      <c r="FP7" s="223"/>
      <c r="FQ7" s="223"/>
      <c r="FR7" s="223"/>
      <c r="FS7" s="223"/>
      <c r="FT7" s="223"/>
      <c r="FU7" s="223"/>
      <c r="FV7" s="223"/>
      <c r="FW7" s="223"/>
      <c r="FX7" s="223"/>
      <c r="FY7" s="223"/>
      <c r="FZ7" s="223"/>
      <c r="GA7" s="223"/>
      <c r="GB7" s="223"/>
      <c r="GC7" s="223"/>
      <c r="GD7" s="223"/>
      <c r="GE7" s="223"/>
      <c r="GF7" s="223"/>
      <c r="GG7" s="223"/>
      <c r="GH7" s="223"/>
      <c r="GI7" s="223"/>
      <c r="GJ7" s="223"/>
      <c r="GK7" s="223"/>
      <c r="GL7" s="223"/>
      <c r="GM7" s="223"/>
      <c r="GN7" s="223"/>
      <c r="GO7" s="223"/>
      <c r="GP7" s="223"/>
      <c r="GQ7" s="223"/>
      <c r="GR7" s="223"/>
      <c r="GS7" s="223"/>
      <c r="GT7" s="223"/>
      <c r="GU7" s="223"/>
      <c r="GV7" s="223"/>
      <c r="GW7" s="223"/>
      <c r="GX7" s="223"/>
      <c r="GY7" s="223"/>
      <c r="GZ7" s="223"/>
      <c r="HA7" s="223"/>
      <c r="HB7" s="223"/>
      <c r="HC7" s="223"/>
      <c r="HD7" s="223"/>
      <c r="HE7" s="223"/>
      <c r="HF7" s="223"/>
      <c r="HG7" s="223"/>
      <c r="HH7" s="223"/>
      <c r="HI7" s="223"/>
      <c r="HJ7" s="223"/>
      <c r="HK7" s="223"/>
      <c r="HL7" s="223"/>
      <c r="HM7" s="223"/>
      <c r="HN7" s="223"/>
      <c r="HO7" s="223"/>
      <c r="HP7" s="223"/>
      <c r="HQ7" s="223"/>
      <c r="HR7" s="223"/>
      <c r="HS7" s="223"/>
      <c r="HT7" s="223"/>
      <c r="HU7" s="223"/>
      <c r="HV7" s="223"/>
      <c r="HW7" s="223"/>
      <c r="HX7" s="223"/>
      <c r="HY7" s="223"/>
      <c r="HZ7" s="223"/>
      <c r="IA7" s="223"/>
      <c r="IB7" s="223"/>
      <c r="IC7" s="223"/>
      <c r="ID7" s="223"/>
      <c r="IE7" s="223"/>
      <c r="IF7" s="223"/>
      <c r="IG7" s="223"/>
      <c r="IH7" s="223"/>
      <c r="II7" s="223"/>
      <c r="IJ7" s="223"/>
      <c r="IK7" s="223"/>
      <c r="IL7" s="223"/>
      <c r="IM7" s="223"/>
      <c r="IN7" s="223"/>
      <c r="IO7" s="223"/>
      <c r="IP7" s="223"/>
      <c r="IQ7" s="223"/>
      <c r="IR7" s="223"/>
      <c r="IS7" s="223"/>
      <c r="IT7" s="223"/>
      <c r="IU7" s="223"/>
      <c r="IV7" s="223"/>
      <c r="IW7" s="223"/>
      <c r="IX7" s="223"/>
      <c r="IY7" s="223"/>
      <c r="IZ7" s="223"/>
      <c r="JA7" s="223"/>
      <c r="JB7" s="223"/>
      <c r="JC7" s="223"/>
      <c r="JD7" s="223"/>
      <c r="JE7" s="223"/>
      <c r="JF7" s="223"/>
      <c r="JG7" s="223"/>
      <c r="JH7" s="223"/>
      <c r="JI7" s="223"/>
      <c r="JJ7" s="223"/>
      <c r="JK7" s="223"/>
      <c r="JL7" s="223"/>
      <c r="JM7" s="223"/>
      <c r="JN7" s="223"/>
      <c r="JO7" s="223"/>
      <c r="JP7" s="223"/>
      <c r="JQ7" s="223"/>
      <c r="JR7" s="223"/>
      <c r="JS7" s="223"/>
      <c r="JT7" s="223"/>
      <c r="JU7" s="223"/>
      <c r="JV7" s="223"/>
      <c r="JW7" s="223"/>
      <c r="JX7" s="223"/>
      <c r="JY7" s="223"/>
      <c r="JZ7" s="223"/>
      <c r="KA7" s="223"/>
      <c r="KB7" s="223"/>
      <c r="KC7" s="223"/>
      <c r="KD7" s="223"/>
      <c r="KE7" s="223"/>
      <c r="KF7" s="223"/>
      <c r="KG7" s="223"/>
      <c r="KH7" s="223"/>
      <c r="KI7" s="223"/>
      <c r="KJ7" s="223"/>
      <c r="KK7" s="223"/>
      <c r="KL7" s="223"/>
      <c r="KM7" s="223"/>
      <c r="KN7" s="223"/>
      <c r="KO7" s="223"/>
      <c r="KP7" s="223"/>
      <c r="KQ7" s="223"/>
      <c r="KR7" s="223"/>
      <c r="KS7" s="223"/>
      <c r="KT7" s="223"/>
      <c r="KU7" s="223"/>
      <c r="KV7" s="223"/>
      <c r="KW7" s="223"/>
      <c r="KX7" s="223"/>
      <c r="KY7" s="223"/>
      <c r="KZ7" s="223"/>
      <c r="LA7" s="223"/>
      <c r="LB7" s="223"/>
      <c r="LC7" s="223"/>
      <c r="LD7" s="223"/>
      <c r="LE7" s="223"/>
      <c r="LF7" s="223"/>
      <c r="LG7" s="223"/>
      <c r="LH7" s="223"/>
      <c r="LI7" s="223"/>
      <c r="LJ7" s="223"/>
      <c r="LK7" s="223"/>
      <c r="LL7" s="223"/>
      <c r="LM7" s="223"/>
      <c r="LN7" s="223"/>
      <c r="LO7" s="223"/>
      <c r="LP7" s="223"/>
      <c r="LQ7" s="223"/>
      <c r="LR7" s="223"/>
      <c r="LS7" s="223"/>
      <c r="LT7" s="223"/>
      <c r="LU7" s="223"/>
    </row>
    <row r="8" spans="1:333" ht="28.5" customHeight="1">
      <c r="A8" s="79">
        <f>HOUR(B8)</f>
        <v>1</v>
      </c>
      <c r="B8" s="75">
        <v>4.1666666666666699E-2</v>
      </c>
      <c r="C8" s="223">
        <v>0</v>
      </c>
      <c r="D8" s="223" t="s">
        <v>738</v>
      </c>
      <c r="E8" s="223"/>
      <c r="F8" s="237"/>
      <c r="G8" s="223"/>
      <c r="H8" s="78"/>
      <c r="I8" s="238"/>
      <c r="J8" s="67"/>
      <c r="K8" s="223"/>
      <c r="L8" s="223"/>
      <c r="M8" s="238"/>
      <c r="N8" s="223"/>
      <c r="O8" s="223"/>
      <c r="P8" s="223"/>
      <c r="Q8" s="223"/>
      <c r="R8" s="223"/>
      <c r="S8" s="223"/>
      <c r="T8" s="223"/>
      <c r="U8" s="223"/>
      <c r="V8" s="223"/>
      <c r="W8" s="223"/>
      <c r="X8" s="223"/>
      <c r="Y8" s="223"/>
      <c r="Z8" s="239" t="s">
        <v>672</v>
      </c>
      <c r="AA8" s="223"/>
      <c r="AB8" s="223"/>
      <c r="AC8" s="223"/>
      <c r="AD8" s="223"/>
      <c r="AE8" s="223"/>
      <c r="AF8" s="223"/>
      <c r="AG8" s="223"/>
      <c r="AH8" s="223"/>
      <c r="AI8" s="223"/>
      <c r="AJ8" s="223"/>
      <c r="AK8" s="223"/>
      <c r="AL8" s="223"/>
      <c r="AM8" s="223"/>
      <c r="AN8" s="223"/>
      <c r="AO8" s="223"/>
      <c r="AP8" s="240"/>
      <c r="AQ8" s="223"/>
      <c r="AR8" s="223"/>
      <c r="AS8" s="223"/>
      <c r="AT8" s="223"/>
      <c r="AU8" s="223"/>
      <c r="AV8" s="223"/>
      <c r="AW8" s="223"/>
      <c r="AX8" s="223"/>
      <c r="AY8" s="223"/>
      <c r="AZ8" s="223"/>
      <c r="BA8" s="223"/>
      <c r="BB8" s="223"/>
      <c r="BC8" s="223"/>
      <c r="BD8" s="223"/>
      <c r="BE8" s="236" t="s">
        <v>616</v>
      </c>
      <c r="BF8" s="223"/>
      <c r="BG8" s="223"/>
      <c r="BH8" s="223"/>
      <c r="BI8" s="223"/>
      <c r="BJ8" s="223"/>
      <c r="BK8" s="223"/>
      <c r="BL8" s="223"/>
      <c r="BM8" s="223"/>
      <c r="BN8" s="223"/>
      <c r="BO8" s="223"/>
      <c r="BP8" s="223"/>
      <c r="BQ8" s="223"/>
      <c r="BR8" s="223"/>
      <c r="BS8" s="223"/>
      <c r="BT8" s="223"/>
      <c r="BU8" s="223"/>
      <c r="BV8" s="223"/>
      <c r="BW8" s="223"/>
      <c r="BX8" s="223"/>
      <c r="BY8" s="223"/>
      <c r="BZ8" s="223"/>
      <c r="CA8" s="223"/>
      <c r="CB8" s="223"/>
      <c r="CC8" s="223"/>
      <c r="CD8" s="223"/>
      <c r="CE8" s="223"/>
      <c r="CF8" s="223"/>
      <c r="CG8" s="223"/>
      <c r="CH8" s="223"/>
      <c r="CI8" s="223"/>
      <c r="CJ8" s="223"/>
      <c r="CK8" s="223"/>
      <c r="CL8" s="223"/>
      <c r="CM8" s="223"/>
      <c r="CN8" s="223"/>
      <c r="CO8" s="223"/>
      <c r="CP8" s="223"/>
      <c r="CQ8" s="223"/>
      <c r="CR8" s="223"/>
      <c r="CS8" s="223"/>
      <c r="CT8" s="223"/>
      <c r="CU8" s="223"/>
      <c r="CV8" s="223"/>
      <c r="CW8" s="223"/>
      <c r="CX8" s="223"/>
      <c r="CY8" s="223"/>
      <c r="CZ8" s="223"/>
      <c r="DA8" s="223"/>
      <c r="DB8" s="223"/>
      <c r="DC8" s="223"/>
      <c r="DD8" s="223"/>
      <c r="DE8" s="223"/>
      <c r="DF8" s="223"/>
      <c r="DG8" s="223"/>
      <c r="DH8" s="223"/>
      <c r="DI8" s="223"/>
      <c r="DJ8" s="223"/>
      <c r="DK8" s="223"/>
      <c r="DL8" s="223"/>
      <c r="DM8" s="223"/>
      <c r="DN8" s="223"/>
      <c r="DO8" s="223"/>
      <c r="DP8" s="223"/>
      <c r="DQ8" s="223"/>
      <c r="DR8" s="223"/>
      <c r="DS8" s="223"/>
      <c r="DT8" s="223"/>
      <c r="DU8" s="223"/>
      <c r="DV8" s="223"/>
      <c r="DW8" s="223"/>
      <c r="DX8" s="223"/>
      <c r="DY8" s="223"/>
      <c r="DZ8" s="223"/>
      <c r="EA8" s="223"/>
      <c r="EB8" s="223"/>
      <c r="EC8" s="223"/>
      <c r="ED8" s="223"/>
      <c r="EE8" s="223"/>
      <c r="EF8" s="223"/>
      <c r="EG8" s="223"/>
      <c r="EH8" s="223"/>
      <c r="EI8" s="223"/>
      <c r="EJ8" s="223"/>
      <c r="EK8" s="223"/>
      <c r="EL8" s="223"/>
      <c r="EM8" s="223"/>
      <c r="EN8" s="223"/>
      <c r="EO8" s="223"/>
      <c r="EP8" s="223"/>
      <c r="EQ8" s="223"/>
      <c r="ER8" s="223"/>
      <c r="ES8" s="223"/>
      <c r="ET8" s="223"/>
      <c r="EU8" s="223"/>
      <c r="EV8" s="223"/>
      <c r="EW8" s="223"/>
      <c r="EX8" s="223"/>
      <c r="EY8" s="223"/>
      <c r="EZ8" s="223"/>
      <c r="FA8" s="223"/>
      <c r="FB8" s="223"/>
      <c r="FC8" s="223"/>
      <c r="FD8" s="223"/>
      <c r="FE8" s="223"/>
      <c r="FF8" s="223"/>
      <c r="FG8" s="223"/>
      <c r="FH8" s="223"/>
      <c r="FI8" s="223"/>
      <c r="FJ8" s="223"/>
      <c r="FK8" s="223"/>
      <c r="FL8" s="223"/>
      <c r="FM8" s="223"/>
      <c r="FN8" s="223"/>
      <c r="FO8" s="223"/>
      <c r="FP8" s="223"/>
      <c r="FQ8" s="223"/>
      <c r="FR8" s="223"/>
      <c r="FS8" s="223"/>
      <c r="FT8" s="223"/>
      <c r="FU8" s="223"/>
      <c r="FV8" s="223"/>
      <c r="FW8" s="223"/>
      <c r="FX8" s="223"/>
      <c r="FY8" s="223"/>
      <c r="FZ8" s="223"/>
      <c r="GA8" s="223"/>
      <c r="GB8" s="223"/>
      <c r="GC8" s="223"/>
      <c r="GD8" s="223"/>
      <c r="GE8" s="223"/>
      <c r="GF8" s="223"/>
      <c r="GG8" s="223"/>
      <c r="GH8" s="223"/>
      <c r="GI8" s="223"/>
      <c r="GJ8" s="223"/>
      <c r="GK8" s="223"/>
      <c r="GL8" s="223"/>
      <c r="GM8" s="223"/>
      <c r="GN8" s="223"/>
      <c r="GO8" s="223"/>
      <c r="GP8" s="223"/>
      <c r="GQ8" s="223"/>
      <c r="GR8" s="223"/>
      <c r="GS8" s="223"/>
      <c r="GT8" s="223"/>
      <c r="GU8" s="223"/>
      <c r="GV8" s="223"/>
      <c r="GW8" s="223"/>
      <c r="GX8" s="223"/>
      <c r="GY8" s="223"/>
      <c r="GZ8" s="223"/>
      <c r="HA8" s="223"/>
      <c r="HB8" s="223"/>
      <c r="HC8" s="223"/>
      <c r="HD8" s="223"/>
      <c r="HE8" s="223"/>
      <c r="HF8" s="223"/>
      <c r="HG8" s="223"/>
      <c r="HH8" s="223"/>
      <c r="HI8" s="223"/>
      <c r="HJ8" s="223"/>
      <c r="HK8" s="223"/>
      <c r="HL8" s="223"/>
      <c r="HM8" s="223"/>
      <c r="HN8" s="223"/>
      <c r="HO8" s="223"/>
      <c r="HP8" s="223"/>
      <c r="HQ8" s="223"/>
      <c r="HR8" s="223"/>
      <c r="HS8" s="223"/>
      <c r="HT8" s="223"/>
      <c r="HU8" s="223"/>
      <c r="HV8" s="223"/>
      <c r="HW8" s="223"/>
      <c r="HX8" s="223"/>
      <c r="HY8" s="223"/>
      <c r="HZ8" s="223"/>
      <c r="IA8" s="223"/>
      <c r="IB8" s="223"/>
      <c r="IC8" s="223"/>
      <c r="ID8" s="223"/>
      <c r="IE8" s="223"/>
      <c r="IF8" s="223"/>
      <c r="IG8" s="223"/>
      <c r="IH8" s="223"/>
      <c r="II8" s="223"/>
      <c r="IJ8" s="223"/>
      <c r="IK8" s="223"/>
      <c r="IL8" s="223"/>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row>
    <row r="9" spans="1:333" ht="26.25" customHeight="1">
      <c r="A9" s="79">
        <f t="shared" ref="A9:A30" si="0">HOUR(B9)</f>
        <v>2</v>
      </c>
      <c r="B9" s="75">
        <v>8.3333333333333301E-2</v>
      </c>
      <c r="C9" s="241">
        <v>0</v>
      </c>
      <c r="D9" s="241" t="s">
        <v>744</v>
      </c>
      <c r="E9" s="242"/>
      <c r="F9" s="237"/>
      <c r="G9" s="224"/>
      <c r="H9" s="78"/>
      <c r="I9" s="243"/>
      <c r="J9" s="244"/>
      <c r="K9" s="223"/>
      <c r="L9" s="223"/>
      <c r="M9" s="238"/>
      <c r="N9" s="223"/>
      <c r="O9" s="223"/>
      <c r="P9" s="223"/>
      <c r="Q9" s="223"/>
      <c r="R9" s="223"/>
      <c r="S9" s="223"/>
      <c r="T9" s="223"/>
      <c r="U9" s="223"/>
      <c r="V9" s="223"/>
      <c r="W9" s="223"/>
      <c r="X9" s="223"/>
      <c r="Y9" s="223"/>
      <c r="Z9" s="239"/>
      <c r="AA9" s="223"/>
      <c r="AB9" s="223"/>
      <c r="AC9" s="223"/>
      <c r="AD9" s="223"/>
      <c r="AE9" s="223"/>
      <c r="AF9" s="223"/>
      <c r="AG9" s="223"/>
      <c r="AH9" s="223"/>
      <c r="AI9" s="223"/>
      <c r="AJ9" s="223"/>
      <c r="AK9" s="223"/>
      <c r="AL9" s="223"/>
      <c r="AM9" s="223"/>
      <c r="AN9" s="223"/>
      <c r="AO9" s="223"/>
      <c r="AP9" s="240"/>
      <c r="AQ9" s="223"/>
      <c r="AR9" s="223"/>
      <c r="AS9" s="223"/>
      <c r="AT9" s="223"/>
      <c r="AU9" s="223"/>
      <c r="AV9" s="223"/>
      <c r="AW9" s="223"/>
      <c r="AX9" s="223"/>
      <c r="AY9" s="223"/>
      <c r="AZ9" s="223"/>
      <c r="BA9" s="223"/>
      <c r="BB9" s="223"/>
      <c r="BC9" s="223"/>
      <c r="BD9" s="223"/>
      <c r="BE9" s="245"/>
      <c r="BF9" s="223"/>
      <c r="BG9" s="223"/>
      <c r="BH9" s="223"/>
      <c r="BI9" s="223"/>
      <c r="BJ9" s="223"/>
      <c r="BK9" s="223"/>
      <c r="BL9" s="223"/>
      <c r="BM9" s="223"/>
      <c r="BN9" s="223"/>
      <c r="BO9" s="223"/>
      <c r="BP9" s="223"/>
      <c r="BQ9" s="223"/>
      <c r="BR9" s="223"/>
      <c r="BS9" s="223"/>
      <c r="BT9" s="223"/>
      <c r="BU9" s="223"/>
      <c r="BV9" s="223"/>
      <c r="BW9" s="223"/>
      <c r="BX9" s="223"/>
      <c r="BY9" s="223"/>
      <c r="BZ9" s="223"/>
      <c r="CA9" s="223"/>
      <c r="CB9" s="223"/>
      <c r="CC9" s="223"/>
      <c r="CD9" s="223"/>
      <c r="CE9" s="223"/>
      <c r="CF9" s="223"/>
      <c r="CG9" s="223"/>
      <c r="CH9" s="223"/>
      <c r="CI9" s="223"/>
      <c r="CJ9" s="223"/>
      <c r="CK9" s="223"/>
      <c r="CL9" s="223"/>
      <c r="CM9" s="223"/>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c r="DM9" s="223"/>
      <c r="DN9" s="223"/>
      <c r="DO9" s="223"/>
      <c r="DP9" s="223"/>
      <c r="DQ9" s="223"/>
      <c r="DR9" s="223"/>
      <c r="DS9" s="223"/>
      <c r="DT9" s="223"/>
      <c r="DU9" s="223"/>
      <c r="DV9" s="223"/>
      <c r="DW9" s="223"/>
      <c r="DX9" s="223"/>
      <c r="DY9" s="223"/>
      <c r="DZ9" s="223"/>
      <c r="EA9" s="223"/>
      <c r="EB9" s="223"/>
      <c r="EC9" s="223"/>
      <c r="ED9" s="223"/>
      <c r="EE9" s="223"/>
      <c r="EF9" s="223"/>
      <c r="EG9" s="223"/>
      <c r="EH9" s="223"/>
      <c r="EI9" s="223"/>
      <c r="EJ9" s="223"/>
      <c r="EK9" s="223"/>
      <c r="EL9" s="223"/>
      <c r="EM9" s="223"/>
      <c r="EN9" s="223"/>
      <c r="EO9" s="223"/>
      <c r="EP9" s="223"/>
      <c r="EQ9" s="223"/>
      <c r="ER9" s="223"/>
      <c r="ES9" s="223"/>
      <c r="ET9" s="223"/>
      <c r="EU9" s="223"/>
      <c r="EV9" s="223"/>
      <c r="EW9" s="223"/>
      <c r="EX9" s="223"/>
      <c r="EY9" s="223"/>
      <c r="EZ9" s="223"/>
      <c r="FA9" s="223"/>
      <c r="FB9" s="223"/>
      <c r="FC9" s="223"/>
      <c r="FD9" s="223"/>
      <c r="FE9" s="223"/>
      <c r="FF9" s="223"/>
      <c r="FG9" s="223"/>
      <c r="FH9" s="223"/>
      <c r="FI9" s="223"/>
      <c r="FJ9" s="223"/>
      <c r="FK9" s="223"/>
      <c r="FL9" s="223"/>
      <c r="FM9" s="223"/>
      <c r="FN9" s="223"/>
      <c r="FO9" s="223"/>
      <c r="FP9" s="223"/>
      <c r="FQ9" s="223"/>
      <c r="FR9" s="223"/>
      <c r="FS9" s="223"/>
      <c r="FT9" s="223"/>
      <c r="FU9" s="223"/>
      <c r="FV9" s="223"/>
      <c r="FW9" s="223"/>
      <c r="FX9" s="223"/>
      <c r="FY9" s="223"/>
      <c r="FZ9" s="223"/>
      <c r="GA9" s="223"/>
      <c r="GB9" s="223"/>
      <c r="GC9" s="223"/>
      <c r="GD9" s="223"/>
      <c r="GE9" s="223"/>
      <c r="GF9" s="223"/>
      <c r="GG9" s="223"/>
      <c r="GH9" s="223"/>
      <c r="GI9" s="223"/>
      <c r="GJ9" s="223"/>
      <c r="GK9" s="223"/>
      <c r="GL9" s="223"/>
      <c r="GM9" s="223"/>
      <c r="GN9" s="223"/>
      <c r="GO9" s="223"/>
      <c r="GP9" s="223"/>
      <c r="GQ9" s="223"/>
      <c r="GR9" s="223"/>
      <c r="GS9" s="223"/>
      <c r="GT9" s="223"/>
      <c r="GU9" s="223"/>
      <c r="GV9" s="223"/>
      <c r="GW9" s="223"/>
      <c r="GX9" s="223"/>
      <c r="GY9" s="223"/>
      <c r="GZ9" s="223"/>
      <c r="HA9" s="223"/>
      <c r="HB9" s="223"/>
      <c r="HC9" s="223"/>
      <c r="HD9" s="223"/>
      <c r="HE9" s="223"/>
      <c r="HF9" s="223"/>
      <c r="HG9" s="223"/>
      <c r="HH9" s="223"/>
      <c r="HI9" s="223"/>
      <c r="HJ9" s="223"/>
      <c r="HK9" s="223"/>
      <c r="HL9" s="223"/>
      <c r="HM9" s="223"/>
      <c r="HN9" s="223"/>
      <c r="HO9" s="223"/>
      <c r="HP9" s="223"/>
      <c r="HQ9" s="223"/>
      <c r="HR9" s="223"/>
      <c r="HS9" s="223"/>
      <c r="HT9" s="223"/>
      <c r="HU9" s="223"/>
      <c r="HV9" s="223"/>
      <c r="HW9" s="223"/>
      <c r="HX9" s="223"/>
      <c r="HY9" s="223"/>
      <c r="HZ9" s="223"/>
      <c r="IA9" s="223"/>
      <c r="IB9" s="223"/>
      <c r="IC9" s="223"/>
      <c r="ID9" s="223"/>
      <c r="IE9" s="223"/>
      <c r="IF9" s="223"/>
      <c r="IG9" s="223"/>
      <c r="IH9" s="223"/>
      <c r="II9" s="223"/>
      <c r="IJ9" s="223"/>
      <c r="IK9" s="223"/>
      <c r="IL9" s="223"/>
      <c r="IM9" s="223"/>
      <c r="IN9" s="223"/>
      <c r="IO9" s="223"/>
      <c r="IP9" s="223"/>
      <c r="IQ9" s="223"/>
      <c r="IR9" s="223"/>
      <c r="IS9" s="223"/>
      <c r="IT9" s="223"/>
      <c r="IU9" s="223"/>
      <c r="IV9" s="223"/>
      <c r="IW9" s="223"/>
      <c r="IX9" s="223"/>
      <c r="IY9" s="223"/>
      <c r="IZ9" s="223"/>
      <c r="JA9" s="223"/>
      <c r="JB9" s="223"/>
      <c r="JC9" s="223"/>
      <c r="JD9" s="223"/>
      <c r="JE9" s="223"/>
      <c r="JF9" s="223"/>
      <c r="JG9" s="223"/>
      <c r="JH9" s="223"/>
      <c r="JI9" s="223"/>
      <c r="JJ9" s="223"/>
      <c r="JK9" s="223"/>
      <c r="JL9" s="223"/>
      <c r="JM9" s="223"/>
      <c r="JN9" s="223"/>
      <c r="JO9" s="223"/>
      <c r="JP9" s="223"/>
      <c r="JQ9" s="223"/>
      <c r="JR9" s="223"/>
      <c r="JS9" s="223"/>
      <c r="JT9" s="223"/>
      <c r="JU9" s="223"/>
      <c r="JV9" s="223"/>
      <c r="JW9" s="223"/>
      <c r="JX9" s="223"/>
      <c r="JY9" s="223"/>
      <c r="JZ9" s="223"/>
      <c r="KA9" s="223"/>
      <c r="KB9" s="223"/>
      <c r="KC9" s="223"/>
      <c r="KD9" s="223"/>
      <c r="KE9" s="223"/>
      <c r="KF9" s="223"/>
      <c r="KG9" s="223"/>
      <c r="KH9" s="223"/>
      <c r="KI9" s="223"/>
      <c r="KJ9" s="223"/>
      <c r="KK9" s="223"/>
      <c r="KL9" s="223"/>
      <c r="KM9" s="223"/>
      <c r="KN9" s="223"/>
      <c r="KO9" s="223"/>
      <c r="KP9" s="223"/>
      <c r="KQ9" s="223"/>
      <c r="KR9" s="223"/>
      <c r="KS9" s="223"/>
      <c r="KT9" s="223"/>
      <c r="KU9" s="223"/>
      <c r="KV9" s="223"/>
      <c r="KW9" s="223"/>
      <c r="KX9" s="223"/>
      <c r="KY9" s="223"/>
      <c r="KZ9" s="223"/>
      <c r="LA9" s="223"/>
      <c r="LB9" s="223"/>
      <c r="LC9" s="223"/>
      <c r="LD9" s="223"/>
      <c r="LE9" s="223"/>
      <c r="LF9" s="223"/>
      <c r="LG9" s="223"/>
      <c r="LH9" s="223"/>
      <c r="LI9" s="223"/>
      <c r="LJ9" s="223"/>
      <c r="LK9" s="223"/>
      <c r="LL9" s="223"/>
      <c r="LM9" s="223"/>
      <c r="LN9" s="223"/>
      <c r="LO9" s="223"/>
      <c r="LP9" s="223"/>
      <c r="LQ9" s="223"/>
      <c r="LR9" s="223"/>
      <c r="LS9" s="223"/>
      <c r="LT9" s="223"/>
      <c r="LU9" s="223"/>
    </row>
    <row r="10" spans="1:333" s="71" customFormat="1" ht="30" customHeight="1">
      <c r="A10" s="79">
        <f t="shared" si="0"/>
        <v>3</v>
      </c>
      <c r="B10" s="75">
        <v>0.125</v>
      </c>
      <c r="C10" s="241">
        <v>0</v>
      </c>
      <c r="D10" s="241" t="s">
        <v>744</v>
      </c>
      <c r="E10" s="246"/>
      <c r="F10" s="247"/>
      <c r="G10" s="230" t="s">
        <v>619</v>
      </c>
      <c r="H10" s="78"/>
      <c r="I10" s="248"/>
      <c r="J10" s="67"/>
      <c r="K10" s="225"/>
      <c r="L10" s="225"/>
      <c r="M10" s="238"/>
      <c r="N10" s="225"/>
      <c r="O10" s="225"/>
      <c r="P10" s="225"/>
      <c r="Q10" s="225"/>
      <c r="R10" s="225"/>
      <c r="S10" s="225"/>
      <c r="T10" s="225"/>
      <c r="U10" s="225"/>
      <c r="V10" s="225"/>
      <c r="W10" s="225"/>
      <c r="X10" s="225"/>
      <c r="Y10" s="225"/>
      <c r="Z10" s="239"/>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45"/>
      <c r="BF10" s="225"/>
      <c r="BG10" s="225"/>
      <c r="BH10" s="225"/>
      <c r="BI10" s="225"/>
      <c r="BJ10" s="225"/>
      <c r="BK10" s="225"/>
      <c r="BL10" s="225"/>
      <c r="BM10" s="225"/>
      <c r="BN10" s="225"/>
      <c r="BO10" s="225"/>
      <c r="BP10" s="225"/>
      <c r="BQ10" s="225"/>
      <c r="BR10" s="225"/>
      <c r="BS10" s="225"/>
      <c r="BT10" s="225"/>
      <c r="BU10" s="225"/>
      <c r="BV10" s="225"/>
      <c r="BW10" s="225"/>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row>
    <row r="11" spans="1:333" ht="32.25" customHeight="1">
      <c r="A11" s="79">
        <f t="shared" si="0"/>
        <v>4</v>
      </c>
      <c r="B11" s="75">
        <v>0.16666666666666699</v>
      </c>
      <c r="C11" s="258">
        <v>0</v>
      </c>
      <c r="D11" s="249" t="s">
        <v>734</v>
      </c>
      <c r="E11" s="250"/>
      <c r="F11" s="229"/>
      <c r="G11" s="230" t="s">
        <v>619</v>
      </c>
      <c r="H11" s="78"/>
      <c r="I11" s="248"/>
      <c r="J11" s="67"/>
      <c r="K11" s="223"/>
      <c r="L11" s="223"/>
      <c r="M11" s="238"/>
      <c r="N11" s="223"/>
      <c r="O11" s="223"/>
      <c r="P11" s="223"/>
      <c r="Q11" s="223"/>
      <c r="R11" s="223"/>
      <c r="S11" s="223"/>
      <c r="T11" s="223"/>
      <c r="U11" s="223"/>
      <c r="V11" s="223"/>
      <c r="W11" s="223"/>
      <c r="X11" s="223"/>
      <c r="Y11" s="223"/>
      <c r="Z11" s="239"/>
      <c r="AA11" s="223"/>
      <c r="AB11" s="223"/>
      <c r="AC11" s="223"/>
      <c r="AD11" s="223"/>
      <c r="AE11" s="223"/>
      <c r="AF11" s="223"/>
      <c r="AG11" s="223"/>
      <c r="AH11" s="223"/>
      <c r="AI11" s="223"/>
      <c r="AJ11" s="223"/>
      <c r="AK11" s="223"/>
      <c r="AL11" s="223"/>
      <c r="AM11" s="223"/>
      <c r="AN11" s="223"/>
      <c r="AO11" s="223"/>
      <c r="AP11" s="240"/>
      <c r="AQ11" s="223"/>
      <c r="AR11" s="223"/>
      <c r="AS11" s="223"/>
      <c r="AT11" s="223"/>
      <c r="AU11" s="223"/>
      <c r="AV11" s="223"/>
      <c r="AW11" s="223"/>
      <c r="AX11" s="223"/>
      <c r="AY11" s="223"/>
      <c r="AZ11" s="223"/>
      <c r="BA11" s="223"/>
      <c r="BB11" s="223"/>
      <c r="BC11" s="223"/>
      <c r="BD11" s="223"/>
      <c r="BE11" s="245"/>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row>
    <row r="12" spans="1:333" ht="31.5" customHeight="1">
      <c r="A12" s="79">
        <f t="shared" si="0"/>
        <v>5</v>
      </c>
      <c r="B12" s="75">
        <v>0.20833333333333301</v>
      </c>
      <c r="C12" s="241">
        <v>0</v>
      </c>
      <c r="D12" s="241" t="s">
        <v>745</v>
      </c>
      <c r="E12" s="250"/>
      <c r="F12" s="237"/>
      <c r="G12" s="230" t="s">
        <v>619</v>
      </c>
      <c r="H12" s="78"/>
      <c r="I12" s="238"/>
      <c r="J12" s="67"/>
      <c r="K12" s="223"/>
      <c r="L12" s="223"/>
      <c r="M12" s="238"/>
      <c r="N12" s="223"/>
      <c r="O12" s="223"/>
      <c r="P12" s="223"/>
      <c r="Q12" s="223"/>
      <c r="R12" s="223"/>
      <c r="S12" s="223"/>
      <c r="T12" s="223"/>
      <c r="U12" s="223"/>
      <c r="V12" s="223"/>
      <c r="W12" s="223"/>
      <c r="X12" s="223"/>
      <c r="Y12" s="223"/>
      <c r="Z12" s="239"/>
      <c r="AA12" s="223"/>
      <c r="AB12" s="223"/>
      <c r="AC12" s="223"/>
      <c r="AD12" s="223"/>
      <c r="AE12" s="223"/>
      <c r="AF12" s="223"/>
      <c r="AG12" s="223"/>
      <c r="AH12" s="223"/>
      <c r="AI12" s="223"/>
      <c r="AJ12" s="223"/>
      <c r="AK12" s="223"/>
      <c r="AL12" s="223"/>
      <c r="AM12" s="223"/>
      <c r="AN12" s="223"/>
      <c r="AO12" s="223"/>
      <c r="AP12" s="240"/>
      <c r="AQ12" s="223"/>
      <c r="AR12" s="223"/>
      <c r="AS12" s="223"/>
      <c r="AT12" s="223"/>
      <c r="AU12" s="223"/>
      <c r="AV12" s="223"/>
      <c r="AW12" s="223"/>
      <c r="AX12" s="223"/>
      <c r="AY12" s="223"/>
      <c r="AZ12" s="223"/>
      <c r="BA12" s="223"/>
      <c r="BB12" s="223"/>
      <c r="BC12" s="223"/>
      <c r="BD12" s="223"/>
      <c r="BE12" s="245"/>
      <c r="BF12" s="223"/>
      <c r="BG12" s="223"/>
      <c r="BH12" s="223"/>
      <c r="BI12" s="223"/>
      <c r="BJ12" s="223"/>
      <c r="BK12" s="223"/>
      <c r="BL12" s="223"/>
      <c r="BM12" s="223"/>
      <c r="BN12" s="223"/>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23"/>
      <c r="DW12" s="223"/>
      <c r="DX12" s="223"/>
      <c r="DY12" s="223"/>
      <c r="DZ12" s="223"/>
      <c r="EA12" s="223"/>
      <c r="EB12" s="223"/>
      <c r="EC12" s="223"/>
      <c r="ED12" s="223"/>
      <c r="EE12" s="223"/>
      <c r="EF12" s="223"/>
      <c r="EG12" s="223"/>
      <c r="EH12" s="223"/>
      <c r="EI12" s="223"/>
      <c r="EJ12" s="223"/>
      <c r="EK12" s="223"/>
      <c r="EL12" s="223"/>
      <c r="EM12" s="223"/>
      <c r="EN12" s="223"/>
      <c r="EO12" s="223"/>
      <c r="EP12" s="223"/>
      <c r="EQ12" s="223"/>
      <c r="ER12" s="223"/>
      <c r="ES12" s="223"/>
      <c r="ET12" s="223"/>
      <c r="EU12" s="223"/>
      <c r="EV12" s="223"/>
      <c r="EW12" s="223"/>
      <c r="EX12" s="223"/>
      <c r="EY12" s="223"/>
      <c r="EZ12" s="223"/>
      <c r="FA12" s="223"/>
      <c r="FB12" s="223"/>
      <c r="FC12" s="223"/>
      <c r="FD12" s="223"/>
      <c r="FE12" s="223"/>
      <c r="FF12" s="223"/>
      <c r="FG12" s="223"/>
      <c r="FH12" s="223"/>
      <c r="FI12" s="223"/>
      <c r="FJ12" s="223"/>
      <c r="FK12" s="223"/>
      <c r="FL12" s="223"/>
      <c r="FM12" s="223"/>
      <c r="FN12" s="223"/>
      <c r="FO12" s="223"/>
      <c r="FP12" s="223"/>
      <c r="FQ12" s="223"/>
      <c r="FR12" s="223"/>
      <c r="FS12" s="223"/>
      <c r="FT12" s="223"/>
      <c r="FU12" s="223"/>
      <c r="FV12" s="223"/>
      <c r="FW12" s="223"/>
      <c r="FX12" s="223"/>
      <c r="FY12" s="223"/>
      <c r="FZ12" s="223"/>
      <c r="GA12" s="223"/>
      <c r="GB12" s="223"/>
      <c r="GC12" s="223"/>
      <c r="GD12" s="223"/>
      <c r="GE12" s="223"/>
      <c r="GF12" s="223"/>
      <c r="GG12" s="223"/>
      <c r="GH12" s="223"/>
      <c r="GI12" s="223"/>
      <c r="GJ12" s="223"/>
      <c r="GK12" s="223"/>
      <c r="GL12" s="223"/>
      <c r="GM12" s="223"/>
      <c r="GN12" s="223"/>
      <c r="GO12" s="223"/>
      <c r="GP12" s="223"/>
      <c r="GQ12" s="223"/>
      <c r="GR12" s="223"/>
      <c r="GS12" s="223"/>
      <c r="GT12" s="223"/>
      <c r="GU12" s="223"/>
      <c r="GV12" s="223"/>
      <c r="GW12" s="223"/>
      <c r="GX12" s="223"/>
      <c r="GY12" s="223"/>
      <c r="GZ12" s="223"/>
      <c r="HA12" s="223"/>
      <c r="HB12" s="223"/>
      <c r="HC12" s="223"/>
      <c r="HD12" s="223"/>
      <c r="HE12" s="223"/>
      <c r="HF12" s="223"/>
      <c r="HG12" s="223"/>
      <c r="HH12" s="223"/>
      <c r="HI12" s="223"/>
      <c r="HJ12" s="223"/>
      <c r="HK12" s="223"/>
      <c r="HL12" s="223"/>
      <c r="HM12" s="223"/>
      <c r="HN12" s="223"/>
      <c r="HO12" s="223"/>
      <c r="HP12" s="223"/>
      <c r="HQ12" s="223"/>
      <c r="HR12" s="223"/>
      <c r="HS12" s="223"/>
      <c r="HT12" s="223"/>
      <c r="HU12" s="223"/>
      <c r="HV12" s="223"/>
      <c r="HW12" s="223"/>
      <c r="HX12" s="223"/>
      <c r="HY12" s="223"/>
      <c r="HZ12" s="223"/>
      <c r="IA12" s="223"/>
      <c r="IB12" s="223"/>
      <c r="IC12" s="223"/>
      <c r="ID12" s="223"/>
      <c r="IE12" s="223"/>
      <c r="IF12" s="223"/>
      <c r="IG12" s="223"/>
      <c r="IH12" s="223"/>
      <c r="II12" s="223"/>
      <c r="IJ12" s="223"/>
      <c r="IK12" s="223"/>
      <c r="IL12" s="223"/>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row>
    <row r="13" spans="1:333" ht="34.5" customHeight="1">
      <c r="A13" s="79">
        <f t="shared" si="0"/>
        <v>6</v>
      </c>
      <c r="B13" s="75">
        <v>0.25</v>
      </c>
      <c r="C13" s="241">
        <v>0</v>
      </c>
      <c r="D13" s="224"/>
      <c r="E13" s="250"/>
      <c r="F13" s="237"/>
      <c r="G13" s="251" t="s">
        <v>649</v>
      </c>
      <c r="H13" s="78"/>
      <c r="I13" s="238"/>
      <c r="J13" s="67"/>
      <c r="K13" s="223"/>
      <c r="L13" s="223"/>
      <c r="M13" s="238"/>
      <c r="N13" s="223"/>
      <c r="O13" s="223"/>
      <c r="P13" s="223"/>
      <c r="Q13" s="223"/>
      <c r="R13" s="223"/>
      <c r="S13" s="223"/>
      <c r="T13" s="223"/>
      <c r="U13" s="223"/>
      <c r="V13" s="223"/>
      <c r="W13" s="223"/>
      <c r="X13" s="223"/>
      <c r="Y13" s="223"/>
      <c r="Z13" s="239"/>
      <c r="AA13" s="223"/>
      <c r="AB13" s="223"/>
      <c r="AC13" s="223"/>
      <c r="AD13" s="223"/>
      <c r="AE13" s="223"/>
      <c r="AF13" s="223"/>
      <c r="AG13" s="223"/>
      <c r="AH13" s="223"/>
      <c r="AI13" s="223"/>
      <c r="AJ13" s="223"/>
      <c r="AK13" s="223"/>
      <c r="AL13" s="223"/>
      <c r="AM13" s="223"/>
      <c r="AN13" s="223"/>
      <c r="AO13" s="223"/>
      <c r="AP13" s="240"/>
      <c r="AQ13" s="223"/>
      <c r="AR13" s="223"/>
      <c r="AS13" s="223"/>
      <c r="AT13" s="223"/>
      <c r="AU13" s="223"/>
      <c r="AV13" s="223"/>
      <c r="AW13" s="223"/>
      <c r="AX13" s="223"/>
      <c r="AY13" s="223"/>
      <c r="AZ13" s="223"/>
      <c r="BA13" s="223"/>
      <c r="BB13" s="223"/>
      <c r="BC13" s="223"/>
      <c r="BD13" s="223"/>
      <c r="BE13" s="245"/>
      <c r="BF13" s="223"/>
      <c r="BG13" s="223"/>
      <c r="BH13" s="223"/>
      <c r="BI13" s="223"/>
      <c r="BJ13" s="223"/>
      <c r="BK13" s="223"/>
      <c r="BL13" s="223"/>
      <c r="BM13" s="223"/>
      <c r="BN13" s="223"/>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3"/>
      <c r="DV13" s="223"/>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3"/>
      <c r="GD13" s="223"/>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3"/>
      <c r="IL13" s="223"/>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3"/>
      <c r="KT13" s="223"/>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row>
    <row r="14" spans="1:333" ht="39.75" customHeight="1">
      <c r="A14" s="79">
        <f t="shared" si="0"/>
        <v>7</v>
      </c>
      <c r="B14" s="75">
        <v>0.29166666666666702</v>
      </c>
      <c r="C14" s="239">
        <v>1</v>
      </c>
      <c r="D14" s="223"/>
      <c r="E14" s="250"/>
      <c r="F14" s="237"/>
      <c r="G14" s="251" t="s">
        <v>649</v>
      </c>
      <c r="H14" s="78"/>
      <c r="I14" s="233"/>
      <c r="J14" s="67"/>
      <c r="K14" s="223"/>
      <c r="L14" s="223"/>
      <c r="M14" s="238"/>
      <c r="N14" s="223"/>
      <c r="O14" s="223"/>
      <c r="P14" s="223"/>
      <c r="Q14" s="223"/>
      <c r="R14" s="223"/>
      <c r="S14" s="223"/>
      <c r="T14" s="223"/>
      <c r="U14" s="223"/>
      <c r="V14" s="223"/>
      <c r="W14" s="223"/>
      <c r="X14" s="223"/>
      <c r="Y14" s="223"/>
      <c r="Z14" s="239"/>
      <c r="AA14" s="223"/>
      <c r="AB14" s="223"/>
      <c r="AC14" s="223"/>
      <c r="AD14" s="223"/>
      <c r="AE14" s="223"/>
      <c r="AF14" s="223"/>
      <c r="AG14" s="223"/>
      <c r="AH14" s="223"/>
      <c r="AI14" s="223"/>
      <c r="AJ14" s="223"/>
      <c r="AK14" s="223"/>
      <c r="AL14" s="223"/>
      <c r="AM14" s="223"/>
      <c r="AN14" s="223"/>
      <c r="AO14" s="223"/>
      <c r="AP14" s="240"/>
      <c r="AQ14" s="223"/>
      <c r="AR14" s="223"/>
      <c r="AS14" s="223"/>
      <c r="AT14" s="223"/>
      <c r="AU14" s="223"/>
      <c r="AV14" s="223"/>
      <c r="AW14" s="223"/>
      <c r="AX14" s="223"/>
      <c r="AY14" s="223"/>
      <c r="AZ14" s="223"/>
      <c r="BA14" s="223"/>
      <c r="BB14" s="223"/>
      <c r="BC14" s="223"/>
      <c r="BD14" s="223"/>
      <c r="BE14" s="245"/>
      <c r="BF14" s="223"/>
      <c r="BG14" s="223"/>
      <c r="BH14" s="223"/>
      <c r="BI14" s="223"/>
      <c r="BJ14" s="223"/>
      <c r="BK14" s="223"/>
      <c r="BL14" s="223"/>
      <c r="BM14" s="223"/>
      <c r="BN14" s="223"/>
      <c r="BO14" s="223"/>
      <c r="BP14" s="223"/>
      <c r="BQ14" s="223"/>
      <c r="BR14" s="223"/>
      <c r="BS14" s="223"/>
      <c r="BT14" s="223"/>
      <c r="BU14" s="223"/>
      <c r="BV14" s="223"/>
      <c r="BW14" s="223"/>
      <c r="BX14" s="223"/>
      <c r="BY14" s="223"/>
      <c r="BZ14" s="223"/>
      <c r="CA14" s="223"/>
      <c r="CB14" s="223"/>
      <c r="CC14" s="223"/>
      <c r="CD14" s="223"/>
      <c r="CE14" s="223"/>
      <c r="CF14" s="223"/>
      <c r="CG14" s="223"/>
      <c r="CH14" s="223"/>
      <c r="CI14" s="223"/>
      <c r="CJ14" s="223"/>
      <c r="CK14" s="223"/>
      <c r="CL14" s="223"/>
      <c r="CM14" s="223"/>
      <c r="CN14" s="223"/>
      <c r="CO14" s="223"/>
      <c r="CP14" s="223"/>
      <c r="CQ14" s="223"/>
      <c r="CR14" s="223"/>
      <c r="CS14" s="223"/>
      <c r="CT14" s="223"/>
      <c r="CU14" s="223"/>
      <c r="CV14" s="223"/>
      <c r="CW14" s="223"/>
      <c r="CX14" s="223"/>
      <c r="CY14" s="223"/>
      <c r="CZ14" s="223"/>
      <c r="DA14" s="223"/>
      <c r="DB14" s="223"/>
      <c r="DC14" s="223"/>
      <c r="DD14" s="223"/>
      <c r="DE14" s="223"/>
      <c r="DF14" s="223"/>
      <c r="DG14" s="223"/>
      <c r="DH14" s="223"/>
      <c r="DI14" s="223"/>
      <c r="DJ14" s="223"/>
      <c r="DK14" s="223"/>
      <c r="DL14" s="223"/>
      <c r="DM14" s="223"/>
      <c r="DN14" s="223"/>
      <c r="DO14" s="223"/>
      <c r="DP14" s="223"/>
      <c r="DQ14" s="223"/>
      <c r="DR14" s="223"/>
      <c r="DS14" s="223"/>
      <c r="DT14" s="223"/>
      <c r="DU14" s="223"/>
      <c r="DV14" s="223"/>
      <c r="DW14" s="223"/>
      <c r="DX14" s="223"/>
      <c r="DY14" s="223"/>
      <c r="DZ14" s="223"/>
      <c r="EA14" s="223"/>
      <c r="EB14" s="223"/>
      <c r="EC14" s="223"/>
      <c r="ED14" s="223"/>
      <c r="EE14" s="223"/>
      <c r="EF14" s="223"/>
      <c r="EG14" s="223"/>
      <c r="EH14" s="223"/>
      <c r="EI14" s="223"/>
      <c r="EJ14" s="223"/>
      <c r="EK14" s="223"/>
      <c r="EL14" s="223"/>
      <c r="EM14" s="223"/>
      <c r="EN14" s="223"/>
      <c r="EO14" s="223"/>
      <c r="EP14" s="223"/>
      <c r="EQ14" s="223"/>
      <c r="ER14" s="223"/>
      <c r="ES14" s="223"/>
      <c r="ET14" s="223"/>
      <c r="EU14" s="223"/>
      <c r="EV14" s="223"/>
      <c r="EW14" s="223"/>
      <c r="EX14" s="223"/>
      <c r="EY14" s="223"/>
      <c r="EZ14" s="223"/>
      <c r="FA14" s="223"/>
      <c r="FB14" s="223"/>
      <c r="FC14" s="223"/>
      <c r="FD14" s="223"/>
      <c r="FE14" s="223"/>
      <c r="FF14" s="223"/>
      <c r="FG14" s="223"/>
      <c r="FH14" s="223"/>
      <c r="FI14" s="223"/>
      <c r="FJ14" s="223"/>
      <c r="FK14" s="223"/>
      <c r="FL14" s="223"/>
      <c r="FM14" s="223"/>
      <c r="FN14" s="223"/>
      <c r="FO14" s="223"/>
      <c r="FP14" s="223"/>
      <c r="FQ14" s="223"/>
      <c r="FR14" s="223"/>
      <c r="FS14" s="223"/>
      <c r="FT14" s="223"/>
      <c r="FU14" s="223"/>
      <c r="FV14" s="223"/>
      <c r="FW14" s="223"/>
      <c r="FX14" s="223"/>
      <c r="FY14" s="223"/>
      <c r="FZ14" s="223"/>
      <c r="GA14" s="223"/>
      <c r="GB14" s="223"/>
      <c r="GC14" s="223"/>
      <c r="GD14" s="223"/>
      <c r="GE14" s="223"/>
      <c r="GF14" s="223"/>
      <c r="GG14" s="223"/>
      <c r="GH14" s="223"/>
      <c r="GI14" s="223"/>
      <c r="GJ14" s="223"/>
      <c r="GK14" s="223"/>
      <c r="GL14" s="223"/>
      <c r="GM14" s="223"/>
      <c r="GN14" s="223"/>
      <c r="GO14" s="223"/>
      <c r="GP14" s="223"/>
      <c r="GQ14" s="223"/>
      <c r="GR14" s="223"/>
      <c r="GS14" s="223"/>
      <c r="GT14" s="223"/>
      <c r="GU14" s="223"/>
      <c r="GV14" s="223"/>
      <c r="GW14" s="223"/>
      <c r="GX14" s="223"/>
      <c r="GY14" s="223"/>
      <c r="GZ14" s="223"/>
      <c r="HA14" s="223"/>
      <c r="HB14" s="223"/>
      <c r="HC14" s="223"/>
      <c r="HD14" s="223"/>
      <c r="HE14" s="223"/>
      <c r="HF14" s="223"/>
      <c r="HG14" s="223"/>
      <c r="HH14" s="223"/>
      <c r="HI14" s="223"/>
      <c r="HJ14" s="223"/>
      <c r="HK14" s="223"/>
      <c r="HL14" s="223"/>
      <c r="HM14" s="223"/>
      <c r="HN14" s="223"/>
      <c r="HO14" s="223"/>
      <c r="HP14" s="223"/>
      <c r="HQ14" s="223"/>
      <c r="HR14" s="223"/>
      <c r="HS14" s="223"/>
      <c r="HT14" s="223"/>
      <c r="HU14" s="223"/>
      <c r="HV14" s="223"/>
      <c r="HW14" s="223"/>
      <c r="HX14" s="223"/>
      <c r="HY14" s="223"/>
      <c r="HZ14" s="223"/>
      <c r="IA14" s="223"/>
      <c r="IB14" s="223"/>
      <c r="IC14" s="223"/>
      <c r="ID14" s="223"/>
      <c r="IE14" s="223"/>
      <c r="IF14" s="223"/>
      <c r="IG14" s="223"/>
      <c r="IH14" s="223"/>
      <c r="II14" s="223"/>
      <c r="IJ14" s="223"/>
      <c r="IK14" s="223"/>
      <c r="IL14" s="223"/>
      <c r="IM14" s="223"/>
      <c r="IN14" s="223"/>
      <c r="IO14" s="223"/>
      <c r="IP14" s="223"/>
      <c r="IQ14" s="223"/>
      <c r="IR14" s="223"/>
      <c r="IS14" s="223"/>
      <c r="IT14" s="223"/>
      <c r="IU14" s="223"/>
      <c r="IV14" s="223"/>
      <c r="IW14" s="223"/>
      <c r="IX14" s="223"/>
      <c r="IY14" s="223"/>
      <c r="IZ14" s="223"/>
      <c r="JA14" s="223"/>
      <c r="JB14" s="223"/>
      <c r="JC14" s="223"/>
      <c r="JD14" s="223"/>
      <c r="JE14" s="223"/>
      <c r="JF14" s="223"/>
      <c r="JG14" s="223"/>
      <c r="JH14" s="223"/>
      <c r="JI14" s="223"/>
      <c r="JJ14" s="223"/>
      <c r="JK14" s="223"/>
      <c r="JL14" s="223"/>
      <c r="JM14" s="223"/>
      <c r="JN14" s="223"/>
      <c r="JO14" s="223"/>
      <c r="JP14" s="223"/>
      <c r="JQ14" s="223"/>
      <c r="JR14" s="223"/>
      <c r="JS14" s="223"/>
      <c r="JT14" s="223"/>
      <c r="JU14" s="223"/>
      <c r="JV14" s="223"/>
      <c r="JW14" s="223"/>
      <c r="JX14" s="223"/>
      <c r="JY14" s="223"/>
      <c r="JZ14" s="223"/>
      <c r="KA14" s="223"/>
      <c r="KB14" s="223"/>
      <c r="KC14" s="223"/>
      <c r="KD14" s="223"/>
      <c r="KE14" s="223"/>
      <c r="KF14" s="223"/>
      <c r="KG14" s="223"/>
      <c r="KH14" s="223"/>
      <c r="KI14" s="223"/>
      <c r="KJ14" s="223"/>
      <c r="KK14" s="223"/>
      <c r="KL14" s="223"/>
      <c r="KM14" s="223"/>
      <c r="KN14" s="223"/>
      <c r="KO14" s="223"/>
      <c r="KP14" s="223"/>
      <c r="KQ14" s="223"/>
      <c r="KR14" s="223"/>
      <c r="KS14" s="223"/>
      <c r="KT14" s="223"/>
      <c r="KU14" s="223"/>
      <c r="KV14" s="223"/>
      <c r="KW14" s="223"/>
      <c r="KX14" s="223"/>
      <c r="KY14" s="223"/>
      <c r="KZ14" s="223"/>
      <c r="LA14" s="223"/>
      <c r="LB14" s="223"/>
      <c r="LC14" s="223"/>
      <c r="LD14" s="223"/>
      <c r="LE14" s="223"/>
      <c r="LF14" s="223"/>
      <c r="LG14" s="223"/>
      <c r="LH14" s="223"/>
      <c r="LI14" s="223"/>
      <c r="LJ14" s="223"/>
      <c r="LK14" s="223"/>
      <c r="LL14" s="223"/>
      <c r="LM14" s="223"/>
      <c r="LN14" s="223"/>
      <c r="LO14" s="223"/>
      <c r="LP14" s="223"/>
      <c r="LQ14" s="223"/>
      <c r="LR14" s="223"/>
      <c r="LS14" s="223"/>
      <c r="LT14" s="223"/>
      <c r="LU14" s="223"/>
    </row>
    <row r="15" spans="1:333" ht="30" customHeight="1">
      <c r="A15" s="79">
        <f t="shared" si="0"/>
        <v>8</v>
      </c>
      <c r="B15" s="75">
        <v>0.33333333333333298</v>
      </c>
      <c r="C15" s="239">
        <v>1</v>
      </c>
      <c r="D15" s="223"/>
      <c r="E15" s="250"/>
      <c r="F15" s="237"/>
      <c r="G15" s="252" t="s">
        <v>647</v>
      </c>
      <c r="H15" s="78"/>
      <c r="I15" s="238"/>
      <c r="J15" s="67"/>
      <c r="K15" s="223"/>
      <c r="L15" s="223"/>
      <c r="M15" s="238"/>
      <c r="N15" s="223"/>
      <c r="O15" s="223"/>
      <c r="P15" s="223"/>
      <c r="Q15" s="223"/>
      <c r="R15" s="223"/>
      <c r="S15" s="223"/>
      <c r="T15" s="223"/>
      <c r="U15" s="223"/>
      <c r="V15" s="223"/>
      <c r="W15" s="223"/>
      <c r="X15" s="223"/>
      <c r="Y15" s="223"/>
      <c r="Z15" s="239"/>
      <c r="AA15" s="223"/>
      <c r="AB15" s="223"/>
      <c r="AC15" s="223"/>
      <c r="AD15" s="223"/>
      <c r="AE15" s="223"/>
      <c r="AF15" s="223"/>
      <c r="AG15" s="223"/>
      <c r="AH15" s="223"/>
      <c r="AI15" s="223"/>
      <c r="AJ15" s="223"/>
      <c r="AK15" s="223"/>
      <c r="AL15" s="223"/>
      <c r="AM15" s="223"/>
      <c r="AN15" s="223"/>
      <c r="AO15" s="223"/>
      <c r="AP15" s="240"/>
      <c r="AQ15" s="223"/>
      <c r="AR15" s="223"/>
      <c r="AS15" s="223"/>
      <c r="AT15" s="223"/>
      <c r="AU15" s="223"/>
      <c r="AV15" s="223"/>
      <c r="AW15" s="223"/>
      <c r="AX15" s="223"/>
      <c r="AY15" s="223"/>
      <c r="AZ15" s="223"/>
      <c r="BA15" s="223"/>
      <c r="BB15" s="223"/>
      <c r="BC15" s="223"/>
      <c r="BD15" s="223"/>
      <c r="BE15" s="245"/>
      <c r="BF15" s="223"/>
      <c r="BG15" s="223"/>
      <c r="BH15" s="223"/>
      <c r="BI15" s="223"/>
      <c r="BJ15" s="223"/>
      <c r="BK15" s="223"/>
      <c r="BL15" s="223"/>
      <c r="BM15" s="223"/>
      <c r="BN15" s="223"/>
      <c r="BO15" s="223"/>
      <c r="BP15" s="223"/>
      <c r="BQ15" s="223"/>
      <c r="BR15" s="223"/>
      <c r="BS15" s="223"/>
      <c r="BT15" s="223"/>
      <c r="BU15" s="223"/>
      <c r="BV15" s="223"/>
      <c r="BW15" s="223"/>
      <c r="BX15" s="223"/>
      <c r="BY15" s="223"/>
      <c r="BZ15" s="223"/>
      <c r="CA15" s="223"/>
      <c r="CB15" s="223"/>
      <c r="CC15" s="223"/>
      <c r="CD15" s="223"/>
      <c r="CE15" s="223"/>
      <c r="CF15" s="223"/>
      <c r="CG15" s="223"/>
      <c r="CH15" s="223"/>
      <c r="CI15" s="223"/>
      <c r="CJ15" s="223"/>
      <c r="CK15" s="223"/>
      <c r="CL15" s="223"/>
      <c r="CM15" s="223"/>
      <c r="CN15" s="223"/>
      <c r="CO15" s="223"/>
      <c r="CP15" s="223"/>
      <c r="CQ15" s="223"/>
      <c r="CR15" s="223"/>
      <c r="CS15" s="223"/>
      <c r="CT15" s="223"/>
      <c r="CU15" s="223"/>
      <c r="CV15" s="223"/>
      <c r="CW15" s="223"/>
      <c r="CX15" s="223"/>
      <c r="CY15" s="223"/>
      <c r="CZ15" s="223"/>
      <c r="DA15" s="223"/>
      <c r="DB15" s="223"/>
      <c r="DC15" s="223"/>
      <c r="DD15" s="223"/>
      <c r="DE15" s="223"/>
      <c r="DF15" s="223"/>
      <c r="DG15" s="223"/>
      <c r="DH15" s="223"/>
      <c r="DI15" s="223"/>
      <c r="DJ15" s="223"/>
      <c r="DK15" s="223"/>
      <c r="DL15" s="223"/>
      <c r="DM15" s="223"/>
      <c r="DN15" s="223"/>
      <c r="DO15" s="223"/>
      <c r="DP15" s="223"/>
      <c r="DQ15" s="223"/>
      <c r="DR15" s="223"/>
      <c r="DS15" s="223"/>
      <c r="DT15" s="223"/>
      <c r="DU15" s="223"/>
      <c r="DV15" s="223"/>
      <c r="DW15" s="223"/>
      <c r="DX15" s="223"/>
      <c r="DY15" s="223"/>
      <c r="DZ15" s="223"/>
      <c r="EA15" s="223"/>
      <c r="EB15" s="223"/>
      <c r="EC15" s="223"/>
      <c r="ED15" s="223"/>
      <c r="EE15" s="223"/>
      <c r="EF15" s="223"/>
      <c r="EG15" s="223"/>
      <c r="EH15" s="223"/>
      <c r="EI15" s="223"/>
      <c r="EJ15" s="223"/>
      <c r="EK15" s="223"/>
      <c r="EL15" s="223"/>
      <c r="EM15" s="223"/>
      <c r="EN15" s="223"/>
      <c r="EO15" s="223"/>
      <c r="EP15" s="223"/>
      <c r="EQ15" s="223"/>
      <c r="ER15" s="223"/>
      <c r="ES15" s="223"/>
      <c r="ET15" s="223"/>
      <c r="EU15" s="223"/>
      <c r="EV15" s="223"/>
      <c r="EW15" s="223"/>
      <c r="EX15" s="223"/>
      <c r="EY15" s="223"/>
      <c r="EZ15" s="223"/>
      <c r="FA15" s="223"/>
      <c r="FB15" s="223"/>
      <c r="FC15" s="223"/>
      <c r="FD15" s="223"/>
      <c r="FE15" s="223"/>
      <c r="FF15" s="223"/>
      <c r="FG15" s="223"/>
      <c r="FH15" s="223"/>
      <c r="FI15" s="223"/>
      <c r="FJ15" s="223"/>
      <c r="FK15" s="223"/>
      <c r="FL15" s="223"/>
      <c r="FM15" s="223"/>
      <c r="FN15" s="223"/>
      <c r="FO15" s="223"/>
      <c r="FP15" s="223"/>
      <c r="FQ15" s="223"/>
      <c r="FR15" s="223"/>
      <c r="FS15" s="223"/>
      <c r="FT15" s="223"/>
      <c r="FU15" s="223"/>
      <c r="FV15" s="223"/>
      <c r="FW15" s="223"/>
      <c r="FX15" s="223"/>
      <c r="FY15" s="223"/>
      <c r="FZ15" s="223"/>
      <c r="GA15" s="223"/>
      <c r="GB15" s="223"/>
      <c r="GC15" s="223"/>
      <c r="GD15" s="223"/>
      <c r="GE15" s="223"/>
      <c r="GF15" s="223"/>
      <c r="GG15" s="223"/>
      <c r="GH15" s="223"/>
      <c r="GI15" s="223"/>
      <c r="GJ15" s="223"/>
      <c r="GK15" s="223"/>
      <c r="GL15" s="223"/>
      <c r="GM15" s="223"/>
      <c r="GN15" s="223"/>
      <c r="GO15" s="223"/>
      <c r="GP15" s="223"/>
      <c r="GQ15" s="223"/>
      <c r="GR15" s="223"/>
      <c r="GS15" s="223"/>
      <c r="GT15" s="223"/>
      <c r="GU15" s="223"/>
      <c r="GV15" s="223"/>
      <c r="GW15" s="223"/>
      <c r="GX15" s="223"/>
      <c r="GY15" s="223"/>
      <c r="GZ15" s="223"/>
      <c r="HA15" s="223"/>
      <c r="HB15" s="223"/>
      <c r="HC15" s="223"/>
      <c r="HD15" s="223"/>
      <c r="HE15" s="223"/>
      <c r="HF15" s="223"/>
      <c r="HG15" s="223"/>
      <c r="HH15" s="223"/>
      <c r="HI15" s="223"/>
      <c r="HJ15" s="223"/>
      <c r="HK15" s="223"/>
      <c r="HL15" s="223"/>
      <c r="HM15" s="223"/>
      <c r="HN15" s="223"/>
      <c r="HO15" s="223"/>
      <c r="HP15" s="223"/>
      <c r="HQ15" s="223"/>
      <c r="HR15" s="223"/>
      <c r="HS15" s="223"/>
      <c r="HT15" s="223"/>
      <c r="HU15" s="223"/>
      <c r="HV15" s="223"/>
      <c r="HW15" s="223"/>
      <c r="HX15" s="223"/>
      <c r="HY15" s="223"/>
      <c r="HZ15" s="223"/>
      <c r="IA15" s="223"/>
      <c r="IB15" s="223"/>
      <c r="IC15" s="223"/>
      <c r="ID15" s="223"/>
      <c r="IE15" s="223"/>
      <c r="IF15" s="223"/>
      <c r="IG15" s="223"/>
      <c r="IH15" s="223"/>
      <c r="II15" s="223"/>
      <c r="IJ15" s="223"/>
      <c r="IK15" s="223"/>
      <c r="IL15" s="223"/>
      <c r="IM15" s="223"/>
      <c r="IN15" s="223"/>
      <c r="IO15" s="223"/>
      <c r="IP15" s="223"/>
      <c r="IQ15" s="223"/>
      <c r="IR15" s="223"/>
      <c r="IS15" s="223"/>
      <c r="IT15" s="223"/>
      <c r="IU15" s="223"/>
      <c r="IV15" s="223"/>
      <c r="IW15" s="223"/>
      <c r="IX15" s="223"/>
      <c r="IY15" s="223"/>
      <c r="IZ15" s="223"/>
      <c r="JA15" s="223"/>
      <c r="JB15" s="223"/>
      <c r="JC15" s="223"/>
      <c r="JD15" s="223"/>
      <c r="JE15" s="223"/>
      <c r="JF15" s="223"/>
      <c r="JG15" s="223"/>
      <c r="JH15" s="223"/>
      <c r="JI15" s="223"/>
      <c r="JJ15" s="223"/>
      <c r="JK15" s="223"/>
      <c r="JL15" s="223"/>
      <c r="JM15" s="223"/>
      <c r="JN15" s="223"/>
      <c r="JO15" s="223"/>
      <c r="JP15" s="223"/>
      <c r="JQ15" s="223"/>
      <c r="JR15" s="223"/>
      <c r="JS15" s="223"/>
      <c r="JT15" s="223"/>
      <c r="JU15" s="223"/>
      <c r="JV15" s="223"/>
      <c r="JW15" s="223"/>
      <c r="JX15" s="223"/>
      <c r="JY15" s="223"/>
      <c r="JZ15" s="223"/>
      <c r="KA15" s="223"/>
      <c r="KB15" s="223"/>
      <c r="KC15" s="223"/>
      <c r="KD15" s="223"/>
      <c r="KE15" s="223"/>
      <c r="KF15" s="223"/>
      <c r="KG15" s="223"/>
      <c r="KH15" s="223"/>
      <c r="KI15" s="223"/>
      <c r="KJ15" s="223"/>
      <c r="KK15" s="223"/>
      <c r="KL15" s="223"/>
      <c r="KM15" s="223"/>
      <c r="KN15" s="223"/>
      <c r="KO15" s="223"/>
      <c r="KP15" s="223"/>
      <c r="KQ15" s="223"/>
      <c r="KR15" s="223"/>
      <c r="KS15" s="223"/>
      <c r="KT15" s="223"/>
      <c r="KU15" s="223"/>
      <c r="KV15" s="223"/>
      <c r="KW15" s="223"/>
      <c r="KX15" s="223"/>
      <c r="KY15" s="223"/>
      <c r="KZ15" s="223"/>
      <c r="LA15" s="223"/>
      <c r="LB15" s="223"/>
      <c r="LC15" s="223"/>
      <c r="LD15" s="223"/>
      <c r="LE15" s="223"/>
      <c r="LF15" s="223"/>
      <c r="LG15" s="223"/>
      <c r="LH15" s="223"/>
      <c r="LI15" s="223"/>
      <c r="LJ15" s="223"/>
      <c r="LK15" s="223"/>
      <c r="LL15" s="223"/>
      <c r="LM15" s="223"/>
      <c r="LN15" s="223"/>
      <c r="LO15" s="223"/>
      <c r="LP15" s="223"/>
      <c r="LQ15" s="223"/>
      <c r="LR15" s="223"/>
      <c r="LS15" s="223"/>
      <c r="LT15" s="223"/>
      <c r="LU15" s="223"/>
    </row>
    <row r="16" spans="1:333" ht="36" customHeight="1">
      <c r="A16" s="79">
        <f t="shared" si="0"/>
        <v>9</v>
      </c>
      <c r="B16" s="75">
        <v>0.375</v>
      </c>
      <c r="C16" s="230">
        <v>1</v>
      </c>
      <c r="D16" s="223"/>
      <c r="E16" s="250"/>
      <c r="F16" s="237"/>
      <c r="G16" s="251" t="s">
        <v>648</v>
      </c>
      <c r="H16" s="78"/>
      <c r="I16" s="238"/>
      <c r="J16" s="67"/>
      <c r="K16" s="223"/>
      <c r="L16" s="223"/>
      <c r="M16" s="238"/>
      <c r="N16" s="223"/>
      <c r="O16" s="223"/>
      <c r="P16" s="223"/>
      <c r="Q16" s="223"/>
      <c r="R16" s="223"/>
      <c r="S16" s="223"/>
      <c r="T16" s="223"/>
      <c r="U16" s="223"/>
      <c r="V16" s="223"/>
      <c r="W16" s="223"/>
      <c r="X16" s="223"/>
      <c r="Y16" s="223"/>
      <c r="Z16" s="239"/>
      <c r="AA16" s="223"/>
      <c r="AB16" s="223"/>
      <c r="AC16" s="223"/>
      <c r="AD16" s="223"/>
      <c r="AE16" s="223"/>
      <c r="AF16" s="223"/>
      <c r="AG16" s="223"/>
      <c r="AH16" s="223"/>
      <c r="AI16" s="223"/>
      <c r="AJ16" s="223"/>
      <c r="AK16" s="223"/>
      <c r="AL16" s="223"/>
      <c r="AM16" s="223"/>
      <c r="AN16" s="223"/>
      <c r="AO16" s="223"/>
      <c r="AP16" s="240"/>
      <c r="AQ16" s="223"/>
      <c r="AR16" s="223"/>
      <c r="AS16" s="223"/>
      <c r="AT16" s="223"/>
      <c r="AU16" s="223"/>
      <c r="AV16" s="223"/>
      <c r="AW16" s="223"/>
      <c r="AX16" s="223"/>
      <c r="AY16" s="223"/>
      <c r="AZ16" s="223"/>
      <c r="BA16" s="223"/>
      <c r="BB16" s="223"/>
      <c r="BC16" s="223"/>
      <c r="BD16" s="223"/>
      <c r="BE16" s="245"/>
      <c r="BF16" s="223"/>
      <c r="BG16" s="223"/>
      <c r="BH16" s="223"/>
      <c r="BI16" s="223"/>
      <c r="BJ16" s="223"/>
      <c r="BK16" s="223"/>
      <c r="BL16" s="223"/>
      <c r="BM16" s="223"/>
      <c r="BN16" s="223"/>
      <c r="BO16" s="223"/>
      <c r="BP16" s="223"/>
      <c r="BQ16" s="223"/>
      <c r="BR16" s="223"/>
      <c r="BS16" s="223"/>
      <c r="BT16" s="223"/>
      <c r="BU16" s="223"/>
      <c r="BV16" s="223"/>
      <c r="BW16" s="223"/>
      <c r="BX16" s="223"/>
      <c r="BY16" s="223"/>
      <c r="BZ16" s="223"/>
      <c r="CA16" s="223"/>
      <c r="CB16" s="223"/>
      <c r="CC16" s="223"/>
      <c r="CD16" s="223"/>
      <c r="CE16" s="223"/>
      <c r="CF16" s="223"/>
      <c r="CG16" s="223"/>
      <c r="CH16" s="223"/>
      <c r="CI16" s="223"/>
      <c r="CJ16" s="223"/>
      <c r="CK16" s="223"/>
      <c r="CL16" s="223"/>
      <c r="CM16" s="223"/>
      <c r="CN16" s="223"/>
      <c r="CO16" s="223"/>
      <c r="CP16" s="223"/>
      <c r="CQ16" s="223"/>
      <c r="CR16" s="223"/>
      <c r="CS16" s="223"/>
      <c r="CT16" s="223"/>
      <c r="CU16" s="223"/>
      <c r="CV16" s="223"/>
      <c r="CW16" s="223"/>
      <c r="CX16" s="223"/>
      <c r="CY16" s="223"/>
      <c r="CZ16" s="223"/>
      <c r="DA16" s="223"/>
      <c r="DB16" s="223"/>
      <c r="DC16" s="223"/>
      <c r="DD16" s="223"/>
      <c r="DE16" s="223"/>
      <c r="DF16" s="223"/>
      <c r="DG16" s="223"/>
      <c r="DH16" s="223"/>
      <c r="DI16" s="223"/>
      <c r="DJ16" s="223"/>
      <c r="DK16" s="223"/>
      <c r="DL16" s="223"/>
      <c r="DM16" s="223"/>
      <c r="DN16" s="223"/>
      <c r="DO16" s="223"/>
      <c r="DP16" s="223"/>
      <c r="DQ16" s="223"/>
      <c r="DR16" s="223"/>
      <c r="DS16" s="223"/>
      <c r="DT16" s="223"/>
      <c r="DU16" s="223"/>
      <c r="DV16" s="223"/>
      <c r="DW16" s="223"/>
      <c r="DX16" s="223"/>
      <c r="DY16" s="223"/>
      <c r="DZ16" s="223"/>
      <c r="EA16" s="223"/>
      <c r="EB16" s="223"/>
      <c r="EC16" s="223"/>
      <c r="ED16" s="223"/>
      <c r="EE16" s="223"/>
      <c r="EF16" s="223"/>
      <c r="EG16" s="223"/>
      <c r="EH16" s="223"/>
      <c r="EI16" s="223"/>
      <c r="EJ16" s="223"/>
      <c r="EK16" s="223"/>
      <c r="EL16" s="223"/>
      <c r="EM16" s="223"/>
      <c r="EN16" s="223"/>
      <c r="EO16" s="223"/>
      <c r="EP16" s="223"/>
      <c r="EQ16" s="223"/>
      <c r="ER16" s="223"/>
      <c r="ES16" s="223"/>
      <c r="ET16" s="223"/>
      <c r="EU16" s="223"/>
      <c r="EV16" s="223"/>
      <c r="EW16" s="223"/>
      <c r="EX16" s="223"/>
      <c r="EY16" s="223"/>
      <c r="EZ16" s="223"/>
      <c r="FA16" s="223"/>
      <c r="FB16" s="223"/>
      <c r="FC16" s="223"/>
      <c r="FD16" s="223"/>
      <c r="FE16" s="223"/>
      <c r="FF16" s="223"/>
      <c r="FG16" s="223"/>
      <c r="FH16" s="223"/>
      <c r="FI16" s="223"/>
      <c r="FJ16" s="223"/>
      <c r="FK16" s="223"/>
      <c r="FL16" s="223"/>
      <c r="FM16" s="223"/>
      <c r="FN16" s="223"/>
      <c r="FO16" s="223"/>
      <c r="FP16" s="223"/>
      <c r="FQ16" s="223"/>
      <c r="FR16" s="223"/>
      <c r="FS16" s="223"/>
      <c r="FT16" s="223"/>
      <c r="FU16" s="223"/>
      <c r="FV16" s="223"/>
      <c r="FW16" s="223"/>
      <c r="FX16" s="223"/>
      <c r="FY16" s="223"/>
      <c r="FZ16" s="223"/>
      <c r="GA16" s="223"/>
      <c r="GB16" s="223"/>
      <c r="GC16" s="223"/>
      <c r="GD16" s="223"/>
      <c r="GE16" s="223"/>
      <c r="GF16" s="223"/>
      <c r="GG16" s="223"/>
      <c r="GH16" s="223"/>
      <c r="GI16" s="223"/>
      <c r="GJ16" s="223"/>
      <c r="GK16" s="223"/>
      <c r="GL16" s="223"/>
      <c r="GM16" s="223"/>
      <c r="GN16" s="223"/>
      <c r="GO16" s="223"/>
      <c r="GP16" s="223"/>
      <c r="GQ16" s="223"/>
      <c r="GR16" s="223"/>
      <c r="GS16" s="223"/>
      <c r="GT16" s="223"/>
      <c r="GU16" s="223"/>
      <c r="GV16" s="223"/>
      <c r="GW16" s="223"/>
      <c r="GX16" s="223"/>
      <c r="GY16" s="223"/>
      <c r="GZ16" s="223"/>
      <c r="HA16" s="223"/>
      <c r="HB16" s="223"/>
      <c r="HC16" s="223"/>
      <c r="HD16" s="223"/>
      <c r="HE16" s="223"/>
      <c r="HF16" s="223"/>
      <c r="HG16" s="223"/>
      <c r="HH16" s="223"/>
      <c r="HI16" s="223"/>
      <c r="HJ16" s="223"/>
      <c r="HK16" s="223"/>
      <c r="HL16" s="223"/>
      <c r="HM16" s="223"/>
      <c r="HN16" s="223"/>
      <c r="HO16" s="223"/>
      <c r="HP16" s="223"/>
      <c r="HQ16" s="223"/>
      <c r="HR16" s="223"/>
      <c r="HS16" s="223"/>
      <c r="HT16" s="223"/>
      <c r="HU16" s="223"/>
      <c r="HV16" s="223"/>
      <c r="HW16" s="223"/>
      <c r="HX16" s="223"/>
      <c r="HY16" s="223"/>
      <c r="HZ16" s="223"/>
      <c r="IA16" s="223"/>
      <c r="IB16" s="223"/>
      <c r="IC16" s="223"/>
      <c r="ID16" s="223"/>
      <c r="IE16" s="223"/>
      <c r="IF16" s="223"/>
      <c r="IG16" s="223"/>
      <c r="IH16" s="223"/>
      <c r="II16" s="223"/>
      <c r="IJ16" s="223"/>
      <c r="IK16" s="223"/>
      <c r="IL16" s="223"/>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row>
    <row r="17" spans="1:333" ht="24.95" customHeight="1">
      <c r="A17" s="79">
        <f t="shared" si="0"/>
        <v>10</v>
      </c>
      <c r="B17" s="75">
        <v>0.41666666666666702</v>
      </c>
      <c r="C17" s="223">
        <v>0</v>
      </c>
      <c r="D17" s="223"/>
      <c r="E17" s="250"/>
      <c r="F17" s="237"/>
      <c r="G17" s="251" t="s">
        <v>648</v>
      </c>
      <c r="H17" s="78"/>
      <c r="I17" s="238"/>
      <c r="J17" s="67"/>
      <c r="K17" s="223"/>
      <c r="L17" s="223"/>
      <c r="M17" s="238"/>
      <c r="N17" s="223"/>
      <c r="O17" s="223"/>
      <c r="P17" s="223"/>
      <c r="Q17" s="223"/>
      <c r="R17" s="223"/>
      <c r="S17" s="223"/>
      <c r="T17" s="223"/>
      <c r="U17" s="223"/>
      <c r="V17" s="223"/>
      <c r="W17" s="223"/>
      <c r="X17" s="223"/>
      <c r="Y17" s="223"/>
      <c r="Z17" s="239"/>
      <c r="AA17" s="223"/>
      <c r="AB17" s="223"/>
      <c r="AC17" s="223"/>
      <c r="AD17" s="223"/>
      <c r="AE17" s="223"/>
      <c r="AF17" s="223"/>
      <c r="AG17" s="223"/>
      <c r="AH17" s="223"/>
      <c r="AI17" s="223"/>
      <c r="AJ17" s="223"/>
      <c r="AK17" s="223"/>
      <c r="AL17" s="223"/>
      <c r="AM17" s="223"/>
      <c r="AN17" s="223"/>
      <c r="AO17" s="223"/>
      <c r="AP17" s="240"/>
      <c r="AQ17" s="223"/>
      <c r="AR17" s="223"/>
      <c r="AS17" s="223"/>
      <c r="AT17" s="223"/>
      <c r="AU17" s="223"/>
      <c r="AV17" s="223"/>
      <c r="AW17" s="223"/>
      <c r="AX17" s="223"/>
      <c r="AY17" s="223"/>
      <c r="AZ17" s="223"/>
      <c r="BA17" s="223"/>
      <c r="BB17" s="223"/>
      <c r="BC17" s="223"/>
      <c r="BD17" s="223"/>
      <c r="BE17" s="245"/>
      <c r="BF17" s="223"/>
      <c r="BG17" s="223"/>
      <c r="BH17" s="223"/>
      <c r="BI17" s="223"/>
      <c r="BJ17" s="223"/>
      <c r="BK17" s="223"/>
      <c r="BL17" s="223"/>
      <c r="BM17" s="223"/>
      <c r="BN17" s="223"/>
      <c r="BO17" s="223"/>
      <c r="BP17" s="223"/>
      <c r="BQ17" s="223"/>
      <c r="BR17" s="223"/>
      <c r="BS17" s="223"/>
      <c r="BT17" s="223"/>
      <c r="BU17" s="223"/>
      <c r="BV17" s="223"/>
      <c r="BW17" s="223"/>
      <c r="BX17" s="223"/>
      <c r="BY17" s="223"/>
      <c r="BZ17" s="223"/>
      <c r="CA17" s="223"/>
      <c r="CB17" s="223"/>
      <c r="CC17" s="223"/>
      <c r="CD17" s="223"/>
      <c r="CE17" s="223"/>
      <c r="CF17" s="223"/>
      <c r="CG17" s="223"/>
      <c r="CH17" s="223"/>
      <c r="CI17" s="223"/>
      <c r="CJ17" s="223"/>
      <c r="CK17" s="223"/>
      <c r="CL17" s="223"/>
      <c r="CM17" s="223"/>
      <c r="CN17" s="223"/>
      <c r="CO17" s="223"/>
      <c r="CP17" s="223"/>
      <c r="CQ17" s="223"/>
      <c r="CR17" s="223"/>
      <c r="CS17" s="223"/>
      <c r="CT17" s="223"/>
      <c r="CU17" s="223"/>
      <c r="CV17" s="223"/>
      <c r="CW17" s="223"/>
      <c r="CX17" s="223"/>
      <c r="CY17" s="223"/>
      <c r="CZ17" s="223"/>
      <c r="DA17" s="223"/>
      <c r="DB17" s="223"/>
      <c r="DC17" s="223"/>
      <c r="DD17" s="223"/>
      <c r="DE17" s="223"/>
      <c r="DF17" s="223"/>
      <c r="DG17" s="223"/>
      <c r="DH17" s="223"/>
      <c r="DI17" s="223"/>
      <c r="DJ17" s="223"/>
      <c r="DK17" s="223"/>
      <c r="DL17" s="223"/>
      <c r="DM17" s="223"/>
      <c r="DN17" s="223"/>
      <c r="DO17" s="223"/>
      <c r="DP17" s="223"/>
      <c r="DQ17" s="223"/>
      <c r="DR17" s="223"/>
      <c r="DS17" s="223"/>
      <c r="DT17" s="223"/>
      <c r="DU17" s="223"/>
      <c r="DV17" s="223"/>
      <c r="DW17" s="223"/>
      <c r="DX17" s="223"/>
      <c r="DY17" s="223"/>
      <c r="DZ17" s="223"/>
      <c r="EA17" s="223"/>
      <c r="EB17" s="223"/>
      <c r="EC17" s="223"/>
      <c r="ED17" s="223"/>
      <c r="EE17" s="223"/>
      <c r="EF17" s="223"/>
      <c r="EG17" s="223"/>
      <c r="EH17" s="223"/>
      <c r="EI17" s="223"/>
      <c r="EJ17" s="223"/>
      <c r="EK17" s="223"/>
      <c r="EL17" s="223"/>
      <c r="EM17" s="223"/>
      <c r="EN17" s="223"/>
      <c r="EO17" s="223"/>
      <c r="EP17" s="223"/>
      <c r="EQ17" s="223"/>
      <c r="ER17" s="223"/>
      <c r="ES17" s="223"/>
      <c r="ET17" s="223"/>
      <c r="EU17" s="223"/>
      <c r="EV17" s="223"/>
      <c r="EW17" s="223"/>
      <c r="EX17" s="223"/>
      <c r="EY17" s="223"/>
      <c r="EZ17" s="223"/>
      <c r="FA17" s="223"/>
      <c r="FB17" s="223"/>
      <c r="FC17" s="223"/>
      <c r="FD17" s="223"/>
      <c r="FE17" s="223"/>
      <c r="FF17" s="223"/>
      <c r="FG17" s="223"/>
      <c r="FH17" s="223"/>
      <c r="FI17" s="223"/>
      <c r="FJ17" s="223"/>
      <c r="FK17" s="223"/>
      <c r="FL17" s="223"/>
      <c r="FM17" s="223"/>
      <c r="FN17" s="223"/>
      <c r="FO17" s="223"/>
      <c r="FP17" s="223"/>
      <c r="FQ17" s="223"/>
      <c r="FR17" s="223"/>
      <c r="FS17" s="223"/>
      <c r="FT17" s="223"/>
      <c r="FU17" s="223"/>
      <c r="FV17" s="223"/>
      <c r="FW17" s="223"/>
      <c r="FX17" s="223"/>
      <c r="FY17" s="223"/>
      <c r="FZ17" s="223"/>
      <c r="GA17" s="223"/>
      <c r="GB17" s="223"/>
      <c r="GC17" s="223"/>
      <c r="GD17" s="223"/>
      <c r="GE17" s="223"/>
      <c r="GF17" s="223"/>
      <c r="GG17" s="223"/>
      <c r="GH17" s="223"/>
      <c r="GI17" s="223"/>
      <c r="GJ17" s="223"/>
      <c r="GK17" s="223"/>
      <c r="GL17" s="223"/>
      <c r="GM17" s="223"/>
      <c r="GN17" s="223"/>
      <c r="GO17" s="223"/>
      <c r="GP17" s="223"/>
      <c r="GQ17" s="223"/>
      <c r="GR17" s="223"/>
      <c r="GS17" s="223"/>
      <c r="GT17" s="223"/>
      <c r="GU17" s="223"/>
      <c r="GV17" s="223"/>
      <c r="GW17" s="223"/>
      <c r="GX17" s="223"/>
      <c r="GY17" s="223"/>
      <c r="GZ17" s="223"/>
      <c r="HA17" s="223"/>
      <c r="HB17" s="223"/>
      <c r="HC17" s="223"/>
      <c r="HD17" s="223"/>
      <c r="HE17" s="223"/>
      <c r="HF17" s="223"/>
      <c r="HG17" s="223"/>
      <c r="HH17" s="223"/>
      <c r="HI17" s="223"/>
      <c r="HJ17" s="223"/>
      <c r="HK17" s="223"/>
      <c r="HL17" s="223"/>
      <c r="HM17" s="223"/>
      <c r="HN17" s="223"/>
      <c r="HO17" s="223"/>
      <c r="HP17" s="223"/>
      <c r="HQ17" s="223"/>
      <c r="HR17" s="223"/>
      <c r="HS17" s="223"/>
      <c r="HT17" s="223"/>
      <c r="HU17" s="223"/>
      <c r="HV17" s="223"/>
      <c r="HW17" s="223"/>
      <c r="HX17" s="223"/>
      <c r="HY17" s="223"/>
      <c r="HZ17" s="223"/>
      <c r="IA17" s="223"/>
      <c r="IB17" s="223"/>
      <c r="IC17" s="223"/>
      <c r="ID17" s="223"/>
      <c r="IE17" s="223"/>
      <c r="IF17" s="223"/>
      <c r="IG17" s="223"/>
      <c r="IH17" s="223"/>
      <c r="II17" s="223"/>
      <c r="IJ17" s="223"/>
      <c r="IK17" s="223"/>
      <c r="IL17" s="223"/>
      <c r="IM17" s="223"/>
      <c r="IN17" s="223"/>
      <c r="IO17" s="223"/>
      <c r="IP17" s="223"/>
      <c r="IQ17" s="223"/>
      <c r="IR17" s="223"/>
      <c r="IS17" s="223"/>
      <c r="IT17" s="223"/>
      <c r="IU17" s="223"/>
      <c r="IV17" s="223"/>
      <c r="IW17" s="223"/>
      <c r="IX17" s="223"/>
      <c r="IY17" s="223"/>
      <c r="IZ17" s="223"/>
      <c r="JA17" s="223"/>
      <c r="JB17" s="223"/>
      <c r="JC17" s="223"/>
      <c r="JD17" s="223"/>
      <c r="JE17" s="223"/>
      <c r="JF17" s="223"/>
      <c r="JG17" s="223"/>
      <c r="JH17" s="223"/>
      <c r="JI17" s="223"/>
      <c r="JJ17" s="223"/>
      <c r="JK17" s="223"/>
      <c r="JL17" s="223"/>
      <c r="JM17" s="223"/>
      <c r="JN17" s="223"/>
      <c r="JO17" s="223"/>
      <c r="JP17" s="223"/>
      <c r="JQ17" s="223"/>
      <c r="JR17" s="223"/>
      <c r="JS17" s="223"/>
      <c r="JT17" s="223"/>
      <c r="JU17" s="223"/>
      <c r="JV17" s="223"/>
      <c r="JW17" s="223"/>
      <c r="JX17" s="223"/>
      <c r="JY17" s="223"/>
      <c r="JZ17" s="223"/>
      <c r="KA17" s="223"/>
      <c r="KB17" s="223"/>
      <c r="KC17" s="223"/>
      <c r="KD17" s="223"/>
      <c r="KE17" s="223"/>
      <c r="KF17" s="223"/>
      <c r="KG17" s="223"/>
      <c r="KH17" s="223"/>
      <c r="KI17" s="223"/>
      <c r="KJ17" s="223"/>
      <c r="KK17" s="223"/>
      <c r="KL17" s="223"/>
      <c r="KM17" s="223"/>
      <c r="KN17" s="223"/>
      <c r="KO17" s="223"/>
      <c r="KP17" s="223"/>
      <c r="KQ17" s="223"/>
      <c r="KR17" s="223"/>
      <c r="KS17" s="223"/>
      <c r="KT17" s="223"/>
      <c r="KU17" s="223"/>
      <c r="KV17" s="223"/>
      <c r="KW17" s="223"/>
      <c r="KX17" s="223"/>
      <c r="KY17" s="223"/>
      <c r="KZ17" s="223"/>
      <c r="LA17" s="223"/>
      <c r="LB17" s="223"/>
      <c r="LC17" s="223"/>
      <c r="LD17" s="223"/>
      <c r="LE17" s="223"/>
      <c r="LF17" s="223"/>
      <c r="LG17" s="223"/>
      <c r="LH17" s="223"/>
      <c r="LI17" s="223"/>
      <c r="LJ17" s="223"/>
      <c r="LK17" s="223"/>
      <c r="LL17" s="223"/>
      <c r="LM17" s="223"/>
      <c r="LN17" s="223"/>
      <c r="LO17" s="223"/>
      <c r="LP17" s="223"/>
      <c r="LQ17" s="223"/>
      <c r="LR17" s="223"/>
      <c r="LS17" s="223"/>
      <c r="LT17" s="223"/>
      <c r="LU17" s="223"/>
    </row>
    <row r="18" spans="1:333" ht="24.75" customHeight="1">
      <c r="A18" s="79">
        <f t="shared" si="0"/>
        <v>11</v>
      </c>
      <c r="B18" s="75">
        <v>0.45833333333333298</v>
      </c>
      <c r="C18" s="223">
        <v>0</v>
      </c>
      <c r="D18" s="223"/>
      <c r="E18" s="250"/>
      <c r="F18" s="237"/>
      <c r="G18" s="230" t="s">
        <v>619</v>
      </c>
      <c r="H18" s="78"/>
      <c r="I18" s="238"/>
      <c r="J18" s="67"/>
      <c r="K18" s="223"/>
      <c r="L18" s="223"/>
      <c r="M18" s="238"/>
      <c r="N18" s="223"/>
      <c r="O18" s="223"/>
      <c r="P18" s="223"/>
      <c r="Q18" s="223"/>
      <c r="R18" s="223"/>
      <c r="S18" s="223"/>
      <c r="T18" s="223"/>
      <c r="U18" s="223"/>
      <c r="V18" s="223"/>
      <c r="W18" s="223"/>
      <c r="X18" s="223"/>
      <c r="Y18" s="223"/>
      <c r="Z18" s="239"/>
      <c r="AA18" s="223"/>
      <c r="AB18" s="223"/>
      <c r="AC18" s="223"/>
      <c r="AD18" s="223"/>
      <c r="AE18" s="223"/>
      <c r="AF18" s="223"/>
      <c r="AG18" s="223"/>
      <c r="AH18" s="223"/>
      <c r="AI18" s="223"/>
      <c r="AJ18" s="223"/>
      <c r="AK18" s="223"/>
      <c r="AL18" s="223"/>
      <c r="AM18" s="223"/>
      <c r="AN18" s="223"/>
      <c r="AO18" s="223"/>
      <c r="AP18" s="240"/>
      <c r="AQ18" s="223"/>
      <c r="AR18" s="223"/>
      <c r="AS18" s="223"/>
      <c r="AT18" s="223"/>
      <c r="AU18" s="223"/>
      <c r="AV18" s="223"/>
      <c r="AW18" s="223"/>
      <c r="AX18" s="223"/>
      <c r="AY18" s="223"/>
      <c r="AZ18" s="223"/>
      <c r="BA18" s="223"/>
      <c r="BB18" s="223"/>
      <c r="BC18" s="223"/>
      <c r="BD18" s="223"/>
      <c r="BE18" s="245"/>
      <c r="BF18" s="223"/>
      <c r="BG18" s="223"/>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c r="DQ18" s="223"/>
      <c r="DR18" s="223"/>
      <c r="DS18" s="223"/>
      <c r="DT18" s="223"/>
      <c r="DU18" s="223"/>
      <c r="DV18" s="223"/>
      <c r="DW18" s="223"/>
      <c r="DX18" s="223"/>
      <c r="DY18" s="223"/>
      <c r="DZ18" s="223"/>
      <c r="EA18" s="223"/>
      <c r="EB18" s="223"/>
      <c r="EC18" s="223"/>
      <c r="ED18" s="223"/>
      <c r="EE18" s="223"/>
      <c r="EF18" s="223"/>
      <c r="EG18" s="223"/>
      <c r="EH18" s="223"/>
      <c r="EI18" s="223"/>
      <c r="EJ18" s="223"/>
      <c r="EK18" s="223"/>
      <c r="EL18" s="223"/>
      <c r="EM18" s="223"/>
      <c r="EN18" s="223"/>
      <c r="EO18" s="223"/>
      <c r="EP18" s="223"/>
      <c r="EQ18" s="223"/>
      <c r="ER18" s="223"/>
      <c r="ES18" s="223"/>
      <c r="ET18" s="223"/>
      <c r="EU18" s="223"/>
      <c r="EV18" s="223"/>
      <c r="EW18" s="223"/>
      <c r="EX18" s="223"/>
      <c r="EY18" s="223"/>
      <c r="EZ18" s="223"/>
      <c r="FA18" s="223"/>
      <c r="FB18" s="223"/>
      <c r="FC18" s="223"/>
      <c r="FD18" s="223"/>
      <c r="FE18" s="223"/>
      <c r="FF18" s="223"/>
      <c r="FG18" s="223"/>
      <c r="FH18" s="223"/>
      <c r="FI18" s="223"/>
      <c r="FJ18" s="223"/>
      <c r="FK18" s="223"/>
      <c r="FL18" s="223"/>
      <c r="FM18" s="223"/>
      <c r="FN18" s="223"/>
      <c r="FO18" s="223"/>
      <c r="FP18" s="223"/>
      <c r="FQ18" s="223"/>
      <c r="FR18" s="223"/>
      <c r="FS18" s="223"/>
      <c r="FT18" s="223"/>
      <c r="FU18" s="223"/>
      <c r="FV18" s="223"/>
      <c r="FW18" s="223"/>
      <c r="FX18" s="223"/>
      <c r="FY18" s="223"/>
      <c r="FZ18" s="223"/>
      <c r="GA18" s="223"/>
      <c r="GB18" s="223"/>
      <c r="GC18" s="223"/>
      <c r="GD18" s="223"/>
      <c r="GE18" s="223"/>
      <c r="GF18" s="223"/>
      <c r="GG18" s="223"/>
      <c r="GH18" s="223"/>
      <c r="GI18" s="223"/>
      <c r="GJ18" s="223"/>
      <c r="GK18" s="223"/>
      <c r="GL18" s="223"/>
      <c r="GM18" s="223"/>
      <c r="GN18" s="223"/>
      <c r="GO18" s="223"/>
      <c r="GP18" s="223"/>
      <c r="GQ18" s="223"/>
      <c r="GR18" s="223"/>
      <c r="GS18" s="223"/>
      <c r="GT18" s="223"/>
      <c r="GU18" s="223"/>
      <c r="GV18" s="223"/>
      <c r="GW18" s="223"/>
      <c r="GX18" s="223"/>
      <c r="GY18" s="223"/>
      <c r="GZ18" s="223"/>
      <c r="HA18" s="223"/>
      <c r="HB18" s="223"/>
      <c r="HC18" s="223"/>
      <c r="HD18" s="223"/>
      <c r="HE18" s="223"/>
      <c r="HF18" s="223"/>
      <c r="HG18" s="223"/>
      <c r="HH18" s="223"/>
      <c r="HI18" s="223"/>
      <c r="HJ18" s="223"/>
      <c r="HK18" s="223"/>
      <c r="HL18" s="223"/>
      <c r="HM18" s="223"/>
      <c r="HN18" s="223"/>
      <c r="HO18" s="223"/>
      <c r="HP18" s="223"/>
      <c r="HQ18" s="223"/>
      <c r="HR18" s="223"/>
      <c r="HS18" s="223"/>
      <c r="HT18" s="223"/>
      <c r="HU18" s="223"/>
      <c r="HV18" s="223"/>
      <c r="HW18" s="223"/>
      <c r="HX18" s="223"/>
      <c r="HY18" s="223"/>
      <c r="HZ18" s="223"/>
      <c r="IA18" s="223"/>
      <c r="IB18" s="223"/>
      <c r="IC18" s="223"/>
      <c r="ID18" s="223"/>
      <c r="IE18" s="223"/>
      <c r="IF18" s="223"/>
      <c r="IG18" s="223"/>
      <c r="IH18" s="223"/>
      <c r="II18" s="223"/>
      <c r="IJ18" s="223"/>
      <c r="IK18" s="223"/>
      <c r="IL18" s="223"/>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row>
    <row r="19" spans="1:333" ht="36" customHeight="1">
      <c r="A19" s="79">
        <f t="shared" si="0"/>
        <v>12</v>
      </c>
      <c r="B19" s="75">
        <v>0.5</v>
      </c>
      <c r="C19" s="223">
        <v>0</v>
      </c>
      <c r="D19" s="223"/>
      <c r="E19" s="250"/>
      <c r="F19" s="237"/>
      <c r="G19" s="230" t="s">
        <v>619</v>
      </c>
      <c r="H19" s="78"/>
      <c r="I19" s="238"/>
      <c r="J19" s="67"/>
      <c r="K19" s="223"/>
      <c r="L19" s="223"/>
      <c r="M19" s="238"/>
      <c r="N19" s="223"/>
      <c r="O19" s="223"/>
      <c r="P19" s="223"/>
      <c r="Q19" s="223"/>
      <c r="R19" s="223"/>
      <c r="S19" s="223"/>
      <c r="T19" s="223"/>
      <c r="U19" s="223"/>
      <c r="V19" s="223"/>
      <c r="W19" s="223"/>
      <c r="X19" s="223"/>
      <c r="Y19" s="223"/>
      <c r="Z19" s="239"/>
      <c r="AA19" s="223"/>
      <c r="AB19" s="223"/>
      <c r="AC19" s="223"/>
      <c r="AD19" s="223"/>
      <c r="AE19" s="223"/>
      <c r="AF19" s="223"/>
      <c r="AG19" s="223"/>
      <c r="AH19" s="223"/>
      <c r="AI19" s="223"/>
      <c r="AJ19" s="223"/>
      <c r="AK19" s="223"/>
      <c r="AL19" s="223"/>
      <c r="AM19" s="223"/>
      <c r="AN19" s="223"/>
      <c r="AO19" s="223"/>
      <c r="AP19" s="240"/>
      <c r="AQ19" s="223"/>
      <c r="AR19" s="223"/>
      <c r="AS19" s="223"/>
      <c r="AT19" s="223"/>
      <c r="AU19" s="223"/>
      <c r="AV19" s="223"/>
      <c r="AW19" s="223"/>
      <c r="AX19" s="223"/>
      <c r="AY19" s="223"/>
      <c r="AZ19" s="223"/>
      <c r="BA19" s="223"/>
      <c r="BB19" s="223"/>
      <c r="BC19" s="223"/>
      <c r="BD19" s="223"/>
      <c r="BE19" s="245"/>
      <c r="BF19" s="223"/>
      <c r="BG19" s="223"/>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c r="DQ19" s="223"/>
      <c r="DR19" s="223"/>
      <c r="DS19" s="223"/>
      <c r="DT19" s="223"/>
      <c r="DU19" s="223"/>
      <c r="DV19" s="223"/>
      <c r="DW19" s="223"/>
      <c r="DX19" s="223"/>
      <c r="DY19" s="223"/>
      <c r="DZ19" s="223"/>
      <c r="EA19" s="223"/>
      <c r="EB19" s="223"/>
      <c r="EC19" s="223"/>
      <c r="ED19" s="223"/>
      <c r="EE19" s="223"/>
      <c r="EF19" s="223"/>
      <c r="EG19" s="223"/>
      <c r="EH19" s="223"/>
      <c r="EI19" s="223"/>
      <c r="EJ19" s="223"/>
      <c r="EK19" s="223"/>
      <c r="EL19" s="223"/>
      <c r="EM19" s="223"/>
      <c r="EN19" s="223"/>
      <c r="EO19" s="223"/>
      <c r="EP19" s="223"/>
      <c r="EQ19" s="223"/>
      <c r="ER19" s="223"/>
      <c r="ES19" s="223"/>
      <c r="ET19" s="223"/>
      <c r="EU19" s="223"/>
      <c r="EV19" s="223"/>
      <c r="EW19" s="223"/>
      <c r="EX19" s="223"/>
      <c r="EY19" s="223"/>
      <c r="EZ19" s="223"/>
      <c r="FA19" s="223"/>
      <c r="FB19" s="223"/>
      <c r="FC19" s="223"/>
      <c r="FD19" s="223"/>
      <c r="FE19" s="223"/>
      <c r="FF19" s="223"/>
      <c r="FG19" s="223"/>
      <c r="FH19" s="223"/>
      <c r="FI19" s="223"/>
      <c r="FJ19" s="223"/>
      <c r="FK19" s="223"/>
      <c r="FL19" s="223"/>
      <c r="FM19" s="223"/>
      <c r="FN19" s="223"/>
      <c r="FO19" s="223"/>
      <c r="FP19" s="223"/>
      <c r="FQ19" s="223"/>
      <c r="FR19" s="223"/>
      <c r="FS19" s="223"/>
      <c r="FT19" s="223"/>
      <c r="FU19" s="223"/>
      <c r="FV19" s="223"/>
      <c r="FW19" s="223"/>
      <c r="FX19" s="223"/>
      <c r="FY19" s="223"/>
      <c r="FZ19" s="223"/>
      <c r="GA19" s="223"/>
      <c r="GB19" s="223"/>
      <c r="GC19" s="223"/>
      <c r="GD19" s="223"/>
      <c r="GE19" s="223"/>
      <c r="GF19" s="223"/>
      <c r="GG19" s="223"/>
      <c r="GH19" s="223"/>
      <c r="GI19" s="223"/>
      <c r="GJ19" s="223"/>
      <c r="GK19" s="223"/>
      <c r="GL19" s="223"/>
      <c r="GM19" s="223"/>
      <c r="GN19" s="223"/>
      <c r="GO19" s="223"/>
      <c r="GP19" s="223"/>
      <c r="GQ19" s="223"/>
      <c r="GR19" s="223"/>
      <c r="GS19" s="223"/>
      <c r="GT19" s="223"/>
      <c r="GU19" s="223"/>
      <c r="GV19" s="223"/>
      <c r="GW19" s="223"/>
      <c r="GX19" s="223"/>
      <c r="GY19" s="223"/>
      <c r="GZ19" s="223"/>
      <c r="HA19" s="223"/>
      <c r="HB19" s="223"/>
      <c r="HC19" s="223"/>
      <c r="HD19" s="223"/>
      <c r="HE19" s="223"/>
      <c r="HF19" s="223"/>
      <c r="HG19" s="223"/>
      <c r="HH19" s="223"/>
      <c r="HI19" s="223"/>
      <c r="HJ19" s="223"/>
      <c r="HK19" s="223"/>
      <c r="HL19" s="223"/>
      <c r="HM19" s="223"/>
      <c r="HN19" s="223"/>
      <c r="HO19" s="223"/>
      <c r="HP19" s="223"/>
      <c r="HQ19" s="223"/>
      <c r="HR19" s="223"/>
      <c r="HS19" s="223"/>
      <c r="HT19" s="223"/>
      <c r="HU19" s="223"/>
      <c r="HV19" s="223"/>
      <c r="HW19" s="223"/>
      <c r="HX19" s="223"/>
      <c r="HY19" s="223"/>
      <c r="HZ19" s="223"/>
      <c r="IA19" s="223"/>
      <c r="IB19" s="223"/>
      <c r="IC19" s="223"/>
      <c r="ID19" s="223"/>
      <c r="IE19" s="223"/>
      <c r="IF19" s="223"/>
      <c r="IG19" s="223"/>
      <c r="IH19" s="223"/>
      <c r="II19" s="223"/>
      <c r="IJ19" s="223"/>
      <c r="IK19" s="223"/>
      <c r="IL19" s="223"/>
      <c r="IM19" s="223"/>
      <c r="IN19" s="223"/>
      <c r="IO19" s="223"/>
      <c r="IP19" s="223"/>
      <c r="IQ19" s="223"/>
      <c r="IR19" s="223"/>
      <c r="IS19" s="223"/>
      <c r="IT19" s="223"/>
      <c r="IU19" s="223"/>
      <c r="IV19" s="223"/>
      <c r="IW19" s="223"/>
      <c r="IX19" s="223"/>
      <c r="IY19" s="223"/>
      <c r="IZ19" s="223"/>
      <c r="JA19" s="223"/>
      <c r="JB19" s="223"/>
      <c r="JC19" s="223"/>
      <c r="JD19" s="223"/>
      <c r="JE19" s="223"/>
      <c r="JF19" s="223"/>
      <c r="JG19" s="223"/>
      <c r="JH19" s="223"/>
      <c r="JI19" s="223"/>
      <c r="JJ19" s="223"/>
      <c r="JK19" s="223"/>
      <c r="JL19" s="223"/>
      <c r="JM19" s="223"/>
      <c r="JN19" s="223"/>
      <c r="JO19" s="223"/>
      <c r="JP19" s="223"/>
      <c r="JQ19" s="223"/>
      <c r="JR19" s="223"/>
      <c r="JS19" s="223"/>
      <c r="JT19" s="223"/>
      <c r="JU19" s="223"/>
      <c r="JV19" s="223"/>
      <c r="JW19" s="223"/>
      <c r="JX19" s="223"/>
      <c r="JY19" s="223"/>
      <c r="JZ19" s="223"/>
      <c r="KA19" s="223"/>
      <c r="KB19" s="223"/>
      <c r="KC19" s="223"/>
      <c r="KD19" s="223"/>
      <c r="KE19" s="223"/>
      <c r="KF19" s="223"/>
      <c r="KG19" s="223"/>
      <c r="KH19" s="223"/>
      <c r="KI19" s="223"/>
      <c r="KJ19" s="223"/>
      <c r="KK19" s="223"/>
      <c r="KL19" s="223"/>
      <c r="KM19" s="223"/>
      <c r="KN19" s="223"/>
      <c r="KO19" s="223"/>
      <c r="KP19" s="223"/>
      <c r="KQ19" s="223"/>
      <c r="KR19" s="223"/>
      <c r="KS19" s="223"/>
      <c r="KT19" s="223"/>
      <c r="KU19" s="223"/>
      <c r="KV19" s="223"/>
      <c r="KW19" s="223"/>
      <c r="KX19" s="223"/>
      <c r="KY19" s="223"/>
      <c r="KZ19" s="223"/>
      <c r="LA19" s="223"/>
      <c r="LB19" s="223"/>
      <c r="LC19" s="223"/>
      <c r="LD19" s="223"/>
      <c r="LE19" s="223"/>
      <c r="LF19" s="223"/>
      <c r="LG19" s="223"/>
      <c r="LH19" s="223"/>
      <c r="LI19" s="223"/>
      <c r="LJ19" s="223"/>
      <c r="LK19" s="223"/>
      <c r="LL19" s="223"/>
      <c r="LM19" s="223"/>
      <c r="LN19" s="223"/>
      <c r="LO19" s="223"/>
      <c r="LP19" s="223"/>
      <c r="LQ19" s="223"/>
      <c r="LR19" s="223"/>
      <c r="LS19" s="223"/>
      <c r="LT19" s="223"/>
      <c r="LU19" s="223"/>
    </row>
    <row r="20" spans="1:333" ht="32.25" customHeight="1">
      <c r="A20" s="79">
        <f t="shared" si="0"/>
        <v>13</v>
      </c>
      <c r="B20" s="75">
        <v>0.54166666666666696</v>
      </c>
      <c r="C20" s="223">
        <v>0</v>
      </c>
      <c r="D20" s="223"/>
      <c r="E20" s="250"/>
      <c r="F20" s="237"/>
      <c r="G20" s="230" t="s">
        <v>619</v>
      </c>
      <c r="H20" s="78"/>
      <c r="I20" s="238"/>
      <c r="J20" s="67"/>
      <c r="K20" s="223"/>
      <c r="L20" s="223"/>
      <c r="M20" s="238"/>
      <c r="N20" s="223"/>
      <c r="O20" s="223"/>
      <c r="P20" s="223"/>
      <c r="Q20" s="223"/>
      <c r="R20" s="223"/>
      <c r="S20" s="223"/>
      <c r="T20" s="223"/>
      <c r="U20" s="223"/>
      <c r="V20" s="223"/>
      <c r="W20" s="223"/>
      <c r="X20" s="223"/>
      <c r="Y20" s="223"/>
      <c r="Z20" s="239"/>
      <c r="AA20" s="223"/>
      <c r="AB20" s="223"/>
      <c r="AC20" s="223"/>
      <c r="AD20" s="223"/>
      <c r="AE20" s="223"/>
      <c r="AF20" s="223"/>
      <c r="AG20" s="223"/>
      <c r="AH20" s="223"/>
      <c r="AI20" s="223"/>
      <c r="AJ20" s="223"/>
      <c r="AK20" s="223"/>
      <c r="AL20" s="223"/>
      <c r="AM20" s="223"/>
      <c r="AN20" s="223"/>
      <c r="AO20" s="223"/>
      <c r="AP20" s="240"/>
      <c r="AQ20" s="223"/>
      <c r="AR20" s="223"/>
      <c r="AS20" s="223"/>
      <c r="AT20" s="223"/>
      <c r="AU20" s="223"/>
      <c r="AV20" s="223"/>
      <c r="AW20" s="223"/>
      <c r="AX20" s="223"/>
      <c r="AY20" s="223"/>
      <c r="AZ20" s="223"/>
      <c r="BA20" s="223"/>
      <c r="BB20" s="223"/>
      <c r="BC20" s="223"/>
      <c r="BD20" s="223"/>
      <c r="BE20" s="245"/>
      <c r="BF20" s="223"/>
      <c r="BG20" s="223"/>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c r="DQ20" s="223"/>
      <c r="DR20" s="223"/>
      <c r="DS20" s="223"/>
      <c r="DT20" s="223"/>
      <c r="DU20" s="223"/>
      <c r="DV20" s="223"/>
      <c r="DW20" s="223"/>
      <c r="DX20" s="223"/>
      <c r="DY20" s="223"/>
      <c r="DZ20" s="223"/>
      <c r="EA20" s="223"/>
      <c r="EB20" s="223"/>
      <c r="EC20" s="223"/>
      <c r="ED20" s="223"/>
      <c r="EE20" s="223"/>
      <c r="EF20" s="223"/>
      <c r="EG20" s="223"/>
      <c r="EH20" s="223"/>
      <c r="EI20" s="223"/>
      <c r="EJ20" s="223"/>
      <c r="EK20" s="223"/>
      <c r="EL20" s="223"/>
      <c r="EM20" s="223"/>
      <c r="EN20" s="223"/>
      <c r="EO20" s="223"/>
      <c r="EP20" s="223"/>
      <c r="EQ20" s="223"/>
      <c r="ER20" s="223"/>
      <c r="ES20" s="223"/>
      <c r="ET20" s="223"/>
      <c r="EU20" s="223"/>
      <c r="EV20" s="223"/>
      <c r="EW20" s="223"/>
      <c r="EX20" s="223"/>
      <c r="EY20" s="223"/>
      <c r="EZ20" s="223"/>
      <c r="FA20" s="223"/>
      <c r="FB20" s="223"/>
      <c r="FC20" s="223"/>
      <c r="FD20" s="223"/>
      <c r="FE20" s="223"/>
      <c r="FF20" s="223"/>
      <c r="FG20" s="223"/>
      <c r="FH20" s="223"/>
      <c r="FI20" s="223"/>
      <c r="FJ20" s="223"/>
      <c r="FK20" s="223"/>
      <c r="FL20" s="223"/>
      <c r="FM20" s="223"/>
      <c r="FN20" s="223"/>
      <c r="FO20" s="223"/>
      <c r="FP20" s="223"/>
      <c r="FQ20" s="223"/>
      <c r="FR20" s="223"/>
      <c r="FS20" s="223"/>
      <c r="FT20" s="223"/>
      <c r="FU20" s="223"/>
      <c r="FV20" s="223"/>
      <c r="FW20" s="223"/>
      <c r="FX20" s="223"/>
      <c r="FY20" s="223"/>
      <c r="FZ20" s="223"/>
      <c r="GA20" s="223"/>
      <c r="GB20" s="223"/>
      <c r="GC20" s="223"/>
      <c r="GD20" s="223"/>
      <c r="GE20" s="223"/>
      <c r="GF20" s="223"/>
      <c r="GG20" s="223"/>
      <c r="GH20" s="223"/>
      <c r="GI20" s="223"/>
      <c r="GJ20" s="223"/>
      <c r="GK20" s="223"/>
      <c r="GL20" s="223"/>
      <c r="GM20" s="223"/>
      <c r="GN20" s="223"/>
      <c r="GO20" s="223"/>
      <c r="GP20" s="223"/>
      <c r="GQ20" s="223"/>
      <c r="GR20" s="223"/>
      <c r="GS20" s="223"/>
      <c r="GT20" s="223"/>
      <c r="GU20" s="223"/>
      <c r="GV20" s="223"/>
      <c r="GW20" s="223"/>
      <c r="GX20" s="223"/>
      <c r="GY20" s="223"/>
      <c r="GZ20" s="223"/>
      <c r="HA20" s="223"/>
      <c r="HB20" s="223"/>
      <c r="HC20" s="223"/>
      <c r="HD20" s="223"/>
      <c r="HE20" s="223"/>
      <c r="HF20" s="223"/>
      <c r="HG20" s="223"/>
      <c r="HH20" s="223"/>
      <c r="HI20" s="223"/>
      <c r="HJ20" s="223"/>
      <c r="HK20" s="223"/>
      <c r="HL20" s="223"/>
      <c r="HM20" s="223"/>
      <c r="HN20" s="223"/>
      <c r="HO20" s="223"/>
      <c r="HP20" s="223"/>
      <c r="HQ20" s="223"/>
      <c r="HR20" s="223"/>
      <c r="HS20" s="223"/>
      <c r="HT20" s="223"/>
      <c r="HU20" s="223"/>
      <c r="HV20" s="223"/>
      <c r="HW20" s="223"/>
      <c r="HX20" s="223"/>
      <c r="HY20" s="223"/>
      <c r="HZ20" s="223"/>
      <c r="IA20" s="223"/>
      <c r="IB20" s="223"/>
      <c r="IC20" s="223"/>
      <c r="ID20" s="223"/>
      <c r="IE20" s="223"/>
      <c r="IF20" s="223"/>
      <c r="IG20" s="223"/>
      <c r="IH20" s="223"/>
      <c r="II20" s="223"/>
      <c r="IJ20" s="223"/>
      <c r="IK20" s="223"/>
      <c r="IL20" s="223"/>
      <c r="IM20" s="223"/>
      <c r="IN20" s="223"/>
      <c r="IO20" s="223"/>
      <c r="IP20" s="223"/>
      <c r="IQ20" s="223"/>
      <c r="IR20" s="223"/>
      <c r="IS20" s="223"/>
      <c r="IT20" s="223"/>
      <c r="IU20" s="223"/>
      <c r="IV20" s="223"/>
      <c r="IW20" s="223"/>
      <c r="IX20" s="223"/>
      <c r="IY20" s="223"/>
      <c r="IZ20" s="223"/>
      <c r="JA20" s="223"/>
      <c r="JB20" s="223"/>
      <c r="JC20" s="223"/>
      <c r="JD20" s="223"/>
      <c r="JE20" s="223"/>
      <c r="JF20" s="223"/>
      <c r="JG20" s="223"/>
      <c r="JH20" s="223"/>
      <c r="JI20" s="223"/>
      <c r="JJ20" s="223"/>
      <c r="JK20" s="223"/>
      <c r="JL20" s="223"/>
      <c r="JM20" s="223"/>
      <c r="JN20" s="223"/>
      <c r="JO20" s="223"/>
      <c r="JP20" s="223"/>
      <c r="JQ20" s="223"/>
      <c r="JR20" s="223"/>
      <c r="JS20" s="223"/>
      <c r="JT20" s="223"/>
      <c r="JU20" s="223"/>
      <c r="JV20" s="223"/>
      <c r="JW20" s="223"/>
      <c r="JX20" s="223"/>
      <c r="JY20" s="223"/>
      <c r="JZ20" s="223"/>
      <c r="KA20" s="223"/>
      <c r="KB20" s="223"/>
      <c r="KC20" s="223"/>
      <c r="KD20" s="223"/>
      <c r="KE20" s="223"/>
      <c r="KF20" s="223"/>
      <c r="KG20" s="223"/>
      <c r="KH20" s="223"/>
      <c r="KI20" s="223"/>
      <c r="KJ20" s="223"/>
      <c r="KK20" s="223"/>
      <c r="KL20" s="223"/>
      <c r="KM20" s="223"/>
      <c r="KN20" s="223"/>
      <c r="KO20" s="223"/>
      <c r="KP20" s="223"/>
      <c r="KQ20" s="223"/>
      <c r="KR20" s="223"/>
      <c r="KS20" s="223"/>
      <c r="KT20" s="223"/>
      <c r="KU20" s="223"/>
      <c r="KV20" s="223"/>
      <c r="KW20" s="223"/>
      <c r="KX20" s="223"/>
      <c r="KY20" s="223"/>
      <c r="KZ20" s="223"/>
      <c r="LA20" s="223"/>
      <c r="LB20" s="223"/>
      <c r="LC20" s="223"/>
      <c r="LD20" s="223"/>
      <c r="LE20" s="223"/>
      <c r="LF20" s="223"/>
      <c r="LG20" s="223"/>
      <c r="LH20" s="223"/>
      <c r="LI20" s="223"/>
      <c r="LJ20" s="223"/>
      <c r="LK20" s="223"/>
      <c r="LL20" s="223"/>
      <c r="LM20" s="223"/>
      <c r="LN20" s="223"/>
      <c r="LO20" s="223"/>
      <c r="LP20" s="223"/>
      <c r="LQ20" s="223"/>
      <c r="LR20" s="223"/>
      <c r="LS20" s="223"/>
      <c r="LT20" s="223"/>
      <c r="LU20" s="223"/>
    </row>
    <row r="21" spans="1:333" ht="24.95" customHeight="1">
      <c r="A21" s="79">
        <f t="shared" si="0"/>
        <v>14</v>
      </c>
      <c r="B21" s="75">
        <v>0.58333333333333304</v>
      </c>
      <c r="C21" s="223">
        <v>0</v>
      </c>
      <c r="D21" s="223"/>
      <c r="E21" s="250"/>
      <c r="F21" s="237"/>
      <c r="G21" s="251" t="s">
        <v>649</v>
      </c>
      <c r="H21" s="78"/>
      <c r="I21" s="238"/>
      <c r="J21" s="67"/>
      <c r="K21" s="223"/>
      <c r="L21" s="223"/>
      <c r="M21" s="238"/>
      <c r="N21" s="223"/>
      <c r="O21" s="223"/>
      <c r="P21" s="223"/>
      <c r="Q21" s="223"/>
      <c r="R21" s="223"/>
      <c r="S21" s="223"/>
      <c r="T21" s="223"/>
      <c r="U21" s="223"/>
      <c r="V21" s="223"/>
      <c r="W21" s="223"/>
      <c r="X21" s="223"/>
      <c r="Y21" s="223"/>
      <c r="Z21" s="239"/>
      <c r="AA21" s="223"/>
      <c r="AB21" s="223"/>
      <c r="AC21" s="223"/>
      <c r="AD21" s="223"/>
      <c r="AE21" s="223"/>
      <c r="AF21" s="223"/>
      <c r="AG21" s="223"/>
      <c r="AH21" s="223"/>
      <c r="AI21" s="223"/>
      <c r="AJ21" s="223"/>
      <c r="AK21" s="223"/>
      <c r="AL21" s="223"/>
      <c r="AM21" s="223"/>
      <c r="AN21" s="223"/>
      <c r="AO21" s="223"/>
      <c r="AP21" s="240"/>
      <c r="AQ21" s="223"/>
      <c r="AR21" s="223"/>
      <c r="AS21" s="223"/>
      <c r="AT21" s="223"/>
      <c r="AU21" s="223"/>
      <c r="AV21" s="223"/>
      <c r="AW21" s="223"/>
      <c r="AX21" s="223"/>
      <c r="AY21" s="223"/>
      <c r="AZ21" s="223"/>
      <c r="BA21" s="223"/>
      <c r="BB21" s="223"/>
      <c r="BC21" s="223"/>
      <c r="BD21" s="223"/>
      <c r="BE21" s="245"/>
      <c r="BF21" s="223"/>
      <c r="BG21" s="223"/>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c r="DQ21" s="223"/>
      <c r="DR21" s="223"/>
      <c r="DS21" s="223"/>
      <c r="DT21" s="223"/>
      <c r="DU21" s="223"/>
      <c r="DV21" s="223"/>
      <c r="DW21" s="223"/>
      <c r="DX21" s="223"/>
      <c r="DY21" s="223"/>
      <c r="DZ21" s="223"/>
      <c r="EA21" s="223"/>
      <c r="EB21" s="223"/>
      <c r="EC21" s="223"/>
      <c r="ED21" s="223"/>
      <c r="EE21" s="223"/>
      <c r="EF21" s="223"/>
      <c r="EG21" s="223"/>
      <c r="EH21" s="223"/>
      <c r="EI21" s="223"/>
      <c r="EJ21" s="223"/>
      <c r="EK21" s="223"/>
      <c r="EL21" s="223"/>
      <c r="EM21" s="223"/>
      <c r="EN21" s="223"/>
      <c r="EO21" s="223"/>
      <c r="EP21" s="223"/>
      <c r="EQ21" s="223"/>
      <c r="ER21" s="223"/>
      <c r="ES21" s="223"/>
      <c r="ET21" s="223"/>
      <c r="EU21" s="223"/>
      <c r="EV21" s="223"/>
      <c r="EW21" s="223"/>
      <c r="EX21" s="223"/>
      <c r="EY21" s="223"/>
      <c r="EZ21" s="223"/>
      <c r="FA21" s="223"/>
      <c r="FB21" s="223"/>
      <c r="FC21" s="223"/>
      <c r="FD21" s="223"/>
      <c r="FE21" s="223"/>
      <c r="FF21" s="223"/>
      <c r="FG21" s="223"/>
      <c r="FH21" s="223"/>
      <c r="FI21" s="223"/>
      <c r="FJ21" s="223"/>
      <c r="FK21" s="223"/>
      <c r="FL21" s="223"/>
      <c r="FM21" s="223"/>
      <c r="FN21" s="223"/>
      <c r="FO21" s="223"/>
      <c r="FP21" s="223"/>
      <c r="FQ21" s="223"/>
      <c r="FR21" s="223"/>
      <c r="FS21" s="223"/>
      <c r="FT21" s="223"/>
      <c r="FU21" s="223"/>
      <c r="FV21" s="223"/>
      <c r="FW21" s="223"/>
      <c r="FX21" s="223"/>
      <c r="FY21" s="223"/>
      <c r="FZ21" s="223"/>
      <c r="GA21" s="223"/>
      <c r="GB21" s="223"/>
      <c r="GC21" s="223"/>
      <c r="GD21" s="223"/>
      <c r="GE21" s="223"/>
      <c r="GF21" s="223"/>
      <c r="GG21" s="223"/>
      <c r="GH21" s="223"/>
      <c r="GI21" s="223"/>
      <c r="GJ21" s="223"/>
      <c r="GK21" s="223"/>
      <c r="GL21" s="223"/>
      <c r="GM21" s="223"/>
      <c r="GN21" s="223"/>
      <c r="GO21" s="223"/>
      <c r="GP21" s="223"/>
      <c r="GQ21" s="223"/>
      <c r="GR21" s="223"/>
      <c r="GS21" s="223"/>
      <c r="GT21" s="223"/>
      <c r="GU21" s="223"/>
      <c r="GV21" s="223"/>
      <c r="GW21" s="223"/>
      <c r="GX21" s="223"/>
      <c r="GY21" s="223"/>
      <c r="GZ21" s="223"/>
      <c r="HA21" s="223"/>
      <c r="HB21" s="223"/>
      <c r="HC21" s="223"/>
      <c r="HD21" s="223"/>
      <c r="HE21" s="223"/>
      <c r="HF21" s="223"/>
      <c r="HG21" s="223"/>
      <c r="HH21" s="223"/>
      <c r="HI21" s="223"/>
      <c r="HJ21" s="223"/>
      <c r="HK21" s="223"/>
      <c r="HL21" s="223"/>
      <c r="HM21" s="223"/>
      <c r="HN21" s="223"/>
      <c r="HO21" s="223"/>
      <c r="HP21" s="223"/>
      <c r="HQ21" s="223"/>
      <c r="HR21" s="223"/>
      <c r="HS21" s="223"/>
      <c r="HT21" s="223"/>
      <c r="HU21" s="223"/>
      <c r="HV21" s="223"/>
      <c r="HW21" s="223"/>
      <c r="HX21" s="223"/>
      <c r="HY21" s="223"/>
      <c r="HZ21" s="223"/>
      <c r="IA21" s="223"/>
      <c r="IB21" s="223"/>
      <c r="IC21" s="223"/>
      <c r="ID21" s="223"/>
      <c r="IE21" s="223"/>
      <c r="IF21" s="223"/>
      <c r="IG21" s="223"/>
      <c r="IH21" s="223"/>
      <c r="II21" s="223"/>
      <c r="IJ21" s="223"/>
      <c r="IK21" s="223"/>
      <c r="IL21" s="223"/>
      <c r="IM21" s="223"/>
      <c r="IN21" s="223"/>
      <c r="IO21" s="223"/>
      <c r="IP21" s="223"/>
      <c r="IQ21" s="223"/>
      <c r="IR21" s="223"/>
      <c r="IS21" s="223"/>
      <c r="IT21" s="223"/>
      <c r="IU21" s="223"/>
      <c r="IV21" s="223"/>
      <c r="IW21" s="223"/>
      <c r="IX21" s="223"/>
      <c r="IY21" s="223"/>
      <c r="IZ21" s="223"/>
      <c r="JA21" s="223"/>
      <c r="JB21" s="223"/>
      <c r="JC21" s="223"/>
      <c r="JD21" s="223"/>
      <c r="JE21" s="223"/>
      <c r="JF21" s="223"/>
      <c r="JG21" s="223"/>
      <c r="JH21" s="223"/>
      <c r="JI21" s="223"/>
      <c r="JJ21" s="223"/>
      <c r="JK21" s="223"/>
      <c r="JL21" s="223"/>
      <c r="JM21" s="223"/>
      <c r="JN21" s="223"/>
      <c r="JO21" s="223"/>
      <c r="JP21" s="223"/>
      <c r="JQ21" s="223"/>
      <c r="JR21" s="223"/>
      <c r="JS21" s="223"/>
      <c r="JT21" s="223"/>
      <c r="JU21" s="223"/>
      <c r="JV21" s="223"/>
      <c r="JW21" s="223"/>
      <c r="JX21" s="223"/>
      <c r="JY21" s="223"/>
      <c r="JZ21" s="223"/>
      <c r="KA21" s="223"/>
      <c r="KB21" s="223"/>
      <c r="KC21" s="223"/>
      <c r="KD21" s="223"/>
      <c r="KE21" s="223"/>
      <c r="KF21" s="223"/>
      <c r="KG21" s="223"/>
      <c r="KH21" s="223"/>
      <c r="KI21" s="223"/>
      <c r="KJ21" s="223"/>
      <c r="KK21" s="223"/>
      <c r="KL21" s="223"/>
      <c r="KM21" s="223"/>
      <c r="KN21" s="223"/>
      <c r="KO21" s="223"/>
      <c r="KP21" s="223"/>
      <c r="KQ21" s="223"/>
      <c r="KR21" s="223"/>
      <c r="KS21" s="223"/>
      <c r="KT21" s="223"/>
      <c r="KU21" s="223"/>
      <c r="KV21" s="223"/>
      <c r="KW21" s="223"/>
      <c r="KX21" s="223"/>
      <c r="KY21" s="223"/>
      <c r="KZ21" s="223"/>
      <c r="LA21" s="223"/>
      <c r="LB21" s="223"/>
      <c r="LC21" s="223"/>
      <c r="LD21" s="223"/>
      <c r="LE21" s="223"/>
      <c r="LF21" s="223"/>
      <c r="LG21" s="223"/>
      <c r="LH21" s="223"/>
      <c r="LI21" s="223"/>
      <c r="LJ21" s="223"/>
      <c r="LK21" s="223"/>
      <c r="LL21" s="223"/>
      <c r="LM21" s="223"/>
      <c r="LN21" s="223"/>
      <c r="LO21" s="223"/>
      <c r="LP21" s="223"/>
      <c r="LQ21" s="223"/>
      <c r="LR21" s="223"/>
      <c r="LS21" s="223"/>
      <c r="LT21" s="223"/>
      <c r="LU21" s="223"/>
    </row>
    <row r="22" spans="1:333" ht="32.25" customHeight="1">
      <c r="A22" s="79">
        <f t="shared" si="0"/>
        <v>15</v>
      </c>
      <c r="B22" s="75">
        <v>0.625</v>
      </c>
      <c r="C22" s="223">
        <v>0</v>
      </c>
      <c r="D22" s="223"/>
      <c r="E22" s="250"/>
      <c r="F22" s="237"/>
      <c r="G22" s="251" t="s">
        <v>649</v>
      </c>
      <c r="H22" s="78"/>
      <c r="I22" s="238"/>
      <c r="J22" s="67"/>
      <c r="K22" s="223"/>
      <c r="L22" s="223"/>
      <c r="M22" s="238"/>
      <c r="N22" s="223"/>
      <c r="O22" s="223"/>
      <c r="P22" s="223"/>
      <c r="Q22" s="223"/>
      <c r="R22" s="223"/>
      <c r="S22" s="223"/>
      <c r="T22" s="223"/>
      <c r="U22" s="223"/>
      <c r="V22" s="223"/>
      <c r="W22" s="223"/>
      <c r="X22" s="223"/>
      <c r="Y22" s="223"/>
      <c r="Z22" s="239"/>
      <c r="AA22" s="223"/>
      <c r="AB22" s="223"/>
      <c r="AC22" s="223"/>
      <c r="AD22" s="223"/>
      <c r="AE22" s="223"/>
      <c r="AF22" s="223"/>
      <c r="AG22" s="223"/>
      <c r="AH22" s="223"/>
      <c r="AI22" s="223"/>
      <c r="AJ22" s="223"/>
      <c r="AK22" s="223"/>
      <c r="AL22" s="223"/>
      <c r="AM22" s="223"/>
      <c r="AN22" s="223"/>
      <c r="AO22" s="223"/>
      <c r="AP22" s="240"/>
      <c r="AQ22" s="223"/>
      <c r="AR22" s="223"/>
      <c r="AS22" s="223"/>
      <c r="AT22" s="223"/>
      <c r="AU22" s="223"/>
      <c r="AV22" s="223"/>
      <c r="AW22" s="223"/>
      <c r="AX22" s="223"/>
      <c r="AY22" s="223"/>
      <c r="AZ22" s="223"/>
      <c r="BA22" s="223"/>
      <c r="BB22" s="223"/>
      <c r="BC22" s="223"/>
      <c r="BD22" s="223"/>
      <c r="BE22" s="245"/>
      <c r="BF22" s="223"/>
      <c r="BG22" s="22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c r="DQ22" s="223"/>
      <c r="DR22" s="223"/>
      <c r="DS22" s="223"/>
      <c r="DT22" s="223"/>
      <c r="DU22" s="223"/>
      <c r="DV22" s="223"/>
      <c r="DW22" s="223"/>
      <c r="DX22" s="223"/>
      <c r="DY22" s="223"/>
      <c r="DZ22" s="223"/>
      <c r="EA22" s="223"/>
      <c r="EB22" s="223"/>
      <c r="EC22" s="223"/>
      <c r="ED22" s="223"/>
      <c r="EE22" s="223"/>
      <c r="EF22" s="223"/>
      <c r="EG22" s="223"/>
      <c r="EH22" s="223"/>
      <c r="EI22" s="223"/>
      <c r="EJ22" s="223"/>
      <c r="EK22" s="223"/>
      <c r="EL22" s="223"/>
      <c r="EM22" s="223"/>
      <c r="EN22" s="223"/>
      <c r="EO22" s="223"/>
      <c r="EP22" s="223"/>
      <c r="EQ22" s="223"/>
      <c r="ER22" s="223"/>
      <c r="ES22" s="223"/>
      <c r="ET22" s="223"/>
      <c r="EU22" s="223"/>
      <c r="EV22" s="223"/>
      <c r="EW22" s="223"/>
      <c r="EX22" s="223"/>
      <c r="EY22" s="223"/>
      <c r="EZ22" s="223"/>
      <c r="FA22" s="223"/>
      <c r="FB22" s="223"/>
      <c r="FC22" s="223"/>
      <c r="FD22" s="223"/>
      <c r="FE22" s="223"/>
      <c r="FF22" s="223"/>
      <c r="FG22" s="223"/>
      <c r="FH22" s="223"/>
      <c r="FI22" s="223"/>
      <c r="FJ22" s="223"/>
      <c r="FK22" s="223"/>
      <c r="FL22" s="223"/>
      <c r="FM22" s="223"/>
      <c r="FN22" s="223"/>
      <c r="FO22" s="223"/>
      <c r="FP22" s="223"/>
      <c r="FQ22" s="223"/>
      <c r="FR22" s="223"/>
      <c r="FS22" s="223"/>
      <c r="FT22" s="223"/>
      <c r="FU22" s="223"/>
      <c r="FV22" s="223"/>
      <c r="FW22" s="223"/>
      <c r="FX22" s="223"/>
      <c r="FY22" s="223"/>
      <c r="FZ22" s="223"/>
      <c r="GA22" s="223"/>
      <c r="GB22" s="223"/>
      <c r="GC22" s="223"/>
      <c r="GD22" s="223"/>
      <c r="GE22" s="223"/>
      <c r="GF22" s="223"/>
      <c r="GG22" s="223"/>
      <c r="GH22" s="223"/>
      <c r="GI22" s="223"/>
      <c r="GJ22" s="223"/>
      <c r="GK22" s="223"/>
      <c r="GL22" s="223"/>
      <c r="GM22" s="223"/>
      <c r="GN22" s="223"/>
      <c r="GO22" s="223"/>
      <c r="GP22" s="223"/>
      <c r="GQ22" s="223"/>
      <c r="GR22" s="223"/>
      <c r="GS22" s="223"/>
      <c r="GT22" s="223"/>
      <c r="GU22" s="223"/>
      <c r="GV22" s="223"/>
      <c r="GW22" s="223"/>
      <c r="GX22" s="223"/>
      <c r="GY22" s="223"/>
      <c r="GZ22" s="223"/>
      <c r="HA22" s="223"/>
      <c r="HB22" s="223"/>
      <c r="HC22" s="223"/>
      <c r="HD22" s="223"/>
      <c r="HE22" s="223"/>
      <c r="HF22" s="223"/>
      <c r="HG22" s="223"/>
      <c r="HH22" s="223"/>
      <c r="HI22" s="223"/>
      <c r="HJ22" s="223"/>
      <c r="HK22" s="223"/>
      <c r="HL22" s="223"/>
      <c r="HM22" s="223"/>
      <c r="HN22" s="223"/>
      <c r="HO22" s="223"/>
      <c r="HP22" s="223"/>
      <c r="HQ22" s="223"/>
      <c r="HR22" s="223"/>
      <c r="HS22" s="223"/>
      <c r="HT22" s="223"/>
      <c r="HU22" s="223"/>
      <c r="HV22" s="223"/>
      <c r="HW22" s="223"/>
      <c r="HX22" s="223"/>
      <c r="HY22" s="223"/>
      <c r="HZ22" s="223"/>
      <c r="IA22" s="223"/>
      <c r="IB22" s="223"/>
      <c r="IC22" s="223"/>
      <c r="ID22" s="223"/>
      <c r="IE22" s="223"/>
      <c r="IF22" s="223"/>
      <c r="IG22" s="223"/>
      <c r="IH22" s="223"/>
      <c r="II22" s="223"/>
      <c r="IJ22" s="223"/>
      <c r="IK22" s="223"/>
      <c r="IL22" s="223"/>
      <c r="IM22" s="223"/>
      <c r="IN22" s="223"/>
      <c r="IO22" s="223"/>
      <c r="IP22" s="223"/>
      <c r="IQ22" s="223"/>
      <c r="IR22" s="223"/>
      <c r="IS22" s="223"/>
      <c r="IT22" s="223"/>
      <c r="IU22" s="223"/>
      <c r="IV22" s="223"/>
      <c r="IW22" s="223"/>
      <c r="IX22" s="223"/>
      <c r="IY22" s="223"/>
      <c r="IZ22" s="223"/>
      <c r="JA22" s="223"/>
      <c r="JB22" s="223"/>
      <c r="JC22" s="223"/>
      <c r="JD22" s="223"/>
      <c r="JE22" s="223"/>
      <c r="JF22" s="223"/>
      <c r="JG22" s="223"/>
      <c r="JH22" s="223"/>
      <c r="JI22" s="223"/>
      <c r="JJ22" s="223"/>
      <c r="JK22" s="223"/>
      <c r="JL22" s="223"/>
      <c r="JM22" s="223"/>
      <c r="JN22" s="223"/>
      <c r="JO22" s="223"/>
      <c r="JP22" s="223"/>
      <c r="JQ22" s="223"/>
      <c r="JR22" s="223"/>
      <c r="JS22" s="223"/>
      <c r="JT22" s="223"/>
      <c r="JU22" s="223"/>
      <c r="JV22" s="223"/>
      <c r="JW22" s="223"/>
      <c r="JX22" s="223"/>
      <c r="JY22" s="223"/>
      <c r="JZ22" s="223"/>
      <c r="KA22" s="223"/>
      <c r="KB22" s="223"/>
      <c r="KC22" s="223"/>
      <c r="KD22" s="223"/>
      <c r="KE22" s="223"/>
      <c r="KF22" s="223"/>
      <c r="KG22" s="223"/>
      <c r="KH22" s="223"/>
      <c r="KI22" s="223"/>
      <c r="KJ22" s="223"/>
      <c r="KK22" s="223"/>
      <c r="KL22" s="223"/>
      <c r="KM22" s="223"/>
      <c r="KN22" s="223"/>
      <c r="KO22" s="223"/>
      <c r="KP22" s="223"/>
      <c r="KQ22" s="223"/>
      <c r="KR22" s="223"/>
      <c r="KS22" s="223"/>
      <c r="KT22" s="223"/>
      <c r="KU22" s="223"/>
      <c r="KV22" s="223"/>
      <c r="KW22" s="223"/>
      <c r="KX22" s="223"/>
      <c r="KY22" s="223"/>
      <c r="KZ22" s="223"/>
      <c r="LA22" s="223"/>
      <c r="LB22" s="223"/>
      <c r="LC22" s="223"/>
      <c r="LD22" s="223"/>
      <c r="LE22" s="223"/>
      <c r="LF22" s="223"/>
      <c r="LG22" s="223"/>
      <c r="LH22" s="223"/>
      <c r="LI22" s="223"/>
      <c r="LJ22" s="223"/>
      <c r="LK22" s="223"/>
      <c r="LL22" s="223"/>
      <c r="LM22" s="223"/>
      <c r="LN22" s="223"/>
      <c r="LO22" s="223"/>
      <c r="LP22" s="223"/>
      <c r="LQ22" s="223"/>
      <c r="LR22" s="223"/>
      <c r="LS22" s="223"/>
      <c r="LT22" s="223"/>
      <c r="LU22" s="223"/>
    </row>
    <row r="23" spans="1:333" ht="30" customHeight="1">
      <c r="A23" s="79">
        <f t="shared" si="0"/>
        <v>16</v>
      </c>
      <c r="B23" s="75">
        <v>0.66666666666666696</v>
      </c>
      <c r="C23" s="253">
        <v>0.5</v>
      </c>
      <c r="D23" s="254" t="s">
        <v>267</v>
      </c>
      <c r="E23" s="255" t="s">
        <v>733</v>
      </c>
      <c r="F23" s="237"/>
      <c r="G23" s="67" t="s">
        <v>741</v>
      </c>
      <c r="H23" s="78"/>
      <c r="I23" s="238"/>
      <c r="J23" s="67"/>
      <c r="K23" s="223"/>
      <c r="L23" s="223"/>
      <c r="M23" s="238"/>
      <c r="N23" s="223"/>
      <c r="O23" s="223"/>
      <c r="P23" s="223"/>
      <c r="Q23" s="223"/>
      <c r="R23" s="223"/>
      <c r="S23" s="223"/>
      <c r="T23" s="223"/>
      <c r="U23" s="223"/>
      <c r="V23" s="223"/>
      <c r="W23" s="223"/>
      <c r="X23" s="223"/>
      <c r="Y23" s="223"/>
      <c r="Z23" s="239"/>
      <c r="AA23" s="223"/>
      <c r="AB23" s="223"/>
      <c r="AC23" s="223"/>
      <c r="AD23" s="223"/>
      <c r="AE23" s="223"/>
      <c r="AF23" s="223"/>
      <c r="AG23" s="223"/>
      <c r="AH23" s="223"/>
      <c r="AI23" s="223"/>
      <c r="AJ23" s="223"/>
      <c r="AK23" s="223"/>
      <c r="AL23" s="223"/>
      <c r="AM23" s="223"/>
      <c r="AN23" s="223"/>
      <c r="AO23" s="223"/>
      <c r="AP23" s="240"/>
      <c r="AQ23" s="223"/>
      <c r="AR23" s="223"/>
      <c r="AS23" s="223"/>
      <c r="AT23" s="223"/>
      <c r="AU23" s="223"/>
      <c r="AV23" s="223"/>
      <c r="AW23" s="223"/>
      <c r="AX23" s="223"/>
      <c r="AY23" s="223"/>
      <c r="AZ23" s="223"/>
      <c r="BA23" s="223"/>
      <c r="BB23" s="223"/>
      <c r="BC23" s="223"/>
      <c r="BD23" s="223"/>
      <c r="BE23" s="245"/>
      <c r="BF23" s="223"/>
      <c r="BG23" s="223"/>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c r="DQ23" s="223"/>
      <c r="DR23" s="223"/>
      <c r="DS23" s="223"/>
      <c r="DT23" s="223"/>
      <c r="DU23" s="223"/>
      <c r="DV23" s="223"/>
      <c r="DW23" s="223"/>
      <c r="DX23" s="223"/>
      <c r="DY23" s="223"/>
      <c r="DZ23" s="223"/>
      <c r="EA23" s="223"/>
      <c r="EB23" s="223"/>
      <c r="EC23" s="223"/>
      <c r="ED23" s="223"/>
      <c r="EE23" s="223"/>
      <c r="EF23" s="223"/>
      <c r="EG23" s="223"/>
      <c r="EH23" s="223"/>
      <c r="EI23" s="223"/>
      <c r="EJ23" s="223"/>
      <c r="EK23" s="223"/>
      <c r="EL23" s="223"/>
      <c r="EM23" s="223"/>
      <c r="EN23" s="223"/>
      <c r="EO23" s="223"/>
      <c r="EP23" s="223"/>
      <c r="EQ23" s="223"/>
      <c r="ER23" s="223"/>
      <c r="ES23" s="223"/>
      <c r="ET23" s="223"/>
      <c r="EU23" s="223"/>
      <c r="EV23" s="223"/>
      <c r="EW23" s="223"/>
      <c r="EX23" s="223"/>
      <c r="EY23" s="223"/>
      <c r="EZ23" s="223"/>
      <c r="FA23" s="223"/>
      <c r="FB23" s="223"/>
      <c r="FC23" s="223"/>
      <c r="FD23" s="223"/>
      <c r="FE23" s="223"/>
      <c r="FF23" s="223"/>
      <c r="FG23" s="223"/>
      <c r="FH23" s="223"/>
      <c r="FI23" s="223"/>
      <c r="FJ23" s="223"/>
      <c r="FK23" s="223"/>
      <c r="FL23" s="223"/>
      <c r="FM23" s="223"/>
      <c r="FN23" s="223"/>
      <c r="FO23" s="223"/>
      <c r="FP23" s="223"/>
      <c r="FQ23" s="223"/>
      <c r="FR23" s="223"/>
      <c r="FS23" s="223"/>
      <c r="FT23" s="223"/>
      <c r="FU23" s="223"/>
      <c r="FV23" s="223"/>
      <c r="FW23" s="223"/>
      <c r="FX23" s="223"/>
      <c r="FY23" s="223"/>
      <c r="FZ23" s="223"/>
      <c r="GA23" s="223"/>
      <c r="GB23" s="223"/>
      <c r="GC23" s="223"/>
      <c r="GD23" s="223"/>
      <c r="GE23" s="223"/>
      <c r="GF23" s="223"/>
      <c r="GG23" s="223"/>
      <c r="GH23" s="223"/>
      <c r="GI23" s="223"/>
      <c r="GJ23" s="223"/>
      <c r="GK23" s="223"/>
      <c r="GL23" s="223"/>
      <c r="GM23" s="223"/>
      <c r="GN23" s="223"/>
      <c r="GO23" s="223"/>
      <c r="GP23" s="223"/>
      <c r="GQ23" s="223"/>
      <c r="GR23" s="223"/>
      <c r="GS23" s="223"/>
      <c r="GT23" s="223"/>
      <c r="GU23" s="223"/>
      <c r="GV23" s="223"/>
      <c r="GW23" s="223"/>
      <c r="GX23" s="223"/>
      <c r="GY23" s="223"/>
      <c r="GZ23" s="223"/>
      <c r="HA23" s="223"/>
      <c r="HB23" s="223"/>
      <c r="HC23" s="223"/>
      <c r="HD23" s="223"/>
      <c r="HE23" s="223"/>
      <c r="HF23" s="223"/>
      <c r="HG23" s="223"/>
      <c r="HH23" s="223"/>
      <c r="HI23" s="223"/>
      <c r="HJ23" s="223"/>
      <c r="HK23" s="223"/>
      <c r="HL23" s="223"/>
      <c r="HM23" s="223"/>
      <c r="HN23" s="223"/>
      <c r="HO23" s="223"/>
      <c r="HP23" s="223"/>
      <c r="HQ23" s="223"/>
      <c r="HR23" s="223"/>
      <c r="HS23" s="223"/>
      <c r="HT23" s="223"/>
      <c r="HU23" s="223"/>
      <c r="HV23" s="223"/>
      <c r="HW23" s="223"/>
      <c r="HX23" s="223"/>
      <c r="HY23" s="223"/>
      <c r="HZ23" s="223"/>
      <c r="IA23" s="223"/>
      <c r="IB23" s="223"/>
      <c r="IC23" s="223"/>
      <c r="ID23" s="223"/>
      <c r="IE23" s="223"/>
      <c r="IF23" s="223"/>
      <c r="IG23" s="223"/>
      <c r="IH23" s="223"/>
      <c r="II23" s="223"/>
      <c r="IJ23" s="223"/>
      <c r="IK23" s="223"/>
      <c r="IL23" s="223"/>
      <c r="IM23" s="223"/>
      <c r="IN23" s="223"/>
      <c r="IO23" s="223"/>
      <c r="IP23" s="223"/>
      <c r="IQ23" s="223"/>
      <c r="IR23" s="223"/>
      <c r="IS23" s="223"/>
      <c r="IT23" s="223"/>
      <c r="IU23" s="223"/>
      <c r="IV23" s="223"/>
      <c r="IW23" s="223"/>
      <c r="IX23" s="223"/>
      <c r="IY23" s="223"/>
      <c r="IZ23" s="223"/>
      <c r="JA23" s="223"/>
      <c r="JB23" s="223"/>
      <c r="JC23" s="223"/>
      <c r="JD23" s="223"/>
      <c r="JE23" s="223"/>
      <c r="JF23" s="223"/>
      <c r="JG23" s="223"/>
      <c r="JH23" s="223"/>
      <c r="JI23" s="223"/>
      <c r="JJ23" s="223"/>
      <c r="JK23" s="223"/>
      <c r="JL23" s="223"/>
      <c r="JM23" s="223"/>
      <c r="JN23" s="223"/>
      <c r="JO23" s="223"/>
      <c r="JP23" s="223"/>
      <c r="JQ23" s="223"/>
      <c r="JR23" s="223"/>
      <c r="JS23" s="223"/>
      <c r="JT23" s="223"/>
      <c r="JU23" s="223"/>
      <c r="JV23" s="223"/>
      <c r="JW23" s="223"/>
      <c r="JX23" s="223"/>
      <c r="JY23" s="223"/>
      <c r="JZ23" s="223"/>
      <c r="KA23" s="223"/>
      <c r="KB23" s="223"/>
      <c r="KC23" s="223"/>
      <c r="KD23" s="223"/>
      <c r="KE23" s="223"/>
      <c r="KF23" s="223"/>
      <c r="KG23" s="223"/>
      <c r="KH23" s="223"/>
      <c r="KI23" s="223"/>
      <c r="KJ23" s="223"/>
      <c r="KK23" s="223"/>
      <c r="KL23" s="223"/>
      <c r="KM23" s="223"/>
      <c r="KN23" s="223"/>
      <c r="KO23" s="223"/>
      <c r="KP23" s="223"/>
      <c r="KQ23" s="223"/>
      <c r="KR23" s="223"/>
      <c r="KS23" s="223"/>
      <c r="KT23" s="223"/>
      <c r="KU23" s="223"/>
      <c r="KV23" s="223"/>
      <c r="KW23" s="223"/>
      <c r="KX23" s="223"/>
      <c r="KY23" s="223"/>
      <c r="KZ23" s="223"/>
      <c r="LA23" s="223"/>
      <c r="LB23" s="223"/>
      <c r="LC23" s="223"/>
      <c r="LD23" s="223"/>
      <c r="LE23" s="223"/>
      <c r="LF23" s="223"/>
      <c r="LG23" s="223"/>
      <c r="LH23" s="223"/>
      <c r="LI23" s="223"/>
      <c r="LJ23" s="223"/>
      <c r="LK23" s="223"/>
      <c r="LL23" s="223"/>
      <c r="LM23" s="223"/>
      <c r="LN23" s="223"/>
      <c r="LO23" s="223"/>
      <c r="LP23" s="223"/>
      <c r="LQ23" s="223"/>
      <c r="LR23" s="223"/>
      <c r="LS23" s="223"/>
      <c r="LT23" s="223"/>
      <c r="LU23" s="223"/>
    </row>
    <row r="24" spans="1:333" ht="31.5" customHeight="1">
      <c r="A24" s="79">
        <f t="shared" si="0"/>
        <v>17</v>
      </c>
      <c r="B24" s="75">
        <v>0.70833333333333304</v>
      </c>
      <c r="C24" s="251">
        <v>0.5</v>
      </c>
      <c r="D24" s="254" t="s">
        <v>267</v>
      </c>
      <c r="E24" s="230" t="s">
        <v>619</v>
      </c>
      <c r="F24" s="251" t="s">
        <v>647</v>
      </c>
      <c r="G24" s="251" t="s">
        <v>647</v>
      </c>
      <c r="H24" s="230" t="s">
        <v>619</v>
      </c>
      <c r="I24" s="238"/>
      <c r="J24" s="67"/>
      <c r="K24" s="223"/>
      <c r="L24" s="223"/>
      <c r="M24" s="238"/>
      <c r="N24" s="223"/>
      <c r="O24" s="223"/>
      <c r="P24" s="223"/>
      <c r="Q24" s="223"/>
      <c r="R24" s="223"/>
      <c r="S24" s="223"/>
      <c r="T24" s="223"/>
      <c r="U24" s="223"/>
      <c r="V24" s="223"/>
      <c r="W24" s="223"/>
      <c r="X24" s="223"/>
      <c r="Y24" s="223"/>
      <c r="Z24" s="239"/>
      <c r="AA24" s="223"/>
      <c r="AB24" s="223"/>
      <c r="AC24" s="223"/>
      <c r="AD24" s="223"/>
      <c r="AE24" s="223"/>
      <c r="AF24" s="223"/>
      <c r="AG24" s="223"/>
      <c r="AH24" s="223"/>
      <c r="AI24" s="223"/>
      <c r="AJ24" s="223"/>
      <c r="AK24" s="223"/>
      <c r="AL24" s="223"/>
      <c r="AM24" s="223"/>
      <c r="AN24" s="223"/>
      <c r="AO24" s="223"/>
      <c r="AP24" s="240"/>
      <c r="AQ24" s="223"/>
      <c r="AR24" s="223"/>
      <c r="AS24" s="223"/>
      <c r="AT24" s="223"/>
      <c r="AU24" s="223"/>
      <c r="AV24" s="223"/>
      <c r="AW24" s="223"/>
      <c r="AX24" s="223"/>
      <c r="AY24" s="223"/>
      <c r="AZ24" s="223"/>
      <c r="BA24" s="223"/>
      <c r="BB24" s="223"/>
      <c r="BC24" s="223"/>
      <c r="BD24" s="223"/>
      <c r="BE24" s="245"/>
      <c r="BF24" s="223"/>
      <c r="BG24" s="223"/>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c r="DQ24" s="223"/>
      <c r="DR24" s="223"/>
      <c r="DS24" s="223"/>
      <c r="DT24" s="223"/>
      <c r="DU24" s="223"/>
      <c r="DV24" s="223"/>
      <c r="DW24" s="223"/>
      <c r="DX24" s="223"/>
      <c r="DY24" s="223"/>
      <c r="DZ24" s="223"/>
      <c r="EA24" s="223"/>
      <c r="EB24" s="223"/>
      <c r="EC24" s="223"/>
      <c r="ED24" s="223"/>
      <c r="EE24" s="223"/>
      <c r="EF24" s="223"/>
      <c r="EG24" s="223"/>
      <c r="EH24" s="223"/>
      <c r="EI24" s="223"/>
      <c r="EJ24" s="223"/>
      <c r="EK24" s="223"/>
      <c r="EL24" s="223"/>
      <c r="EM24" s="223"/>
      <c r="EN24" s="223"/>
      <c r="EO24" s="223"/>
      <c r="EP24" s="223"/>
      <c r="EQ24" s="223"/>
      <c r="ER24" s="223"/>
      <c r="ES24" s="223"/>
      <c r="ET24" s="223"/>
      <c r="EU24" s="223"/>
      <c r="EV24" s="223"/>
      <c r="EW24" s="223"/>
      <c r="EX24" s="223"/>
      <c r="EY24" s="223"/>
      <c r="EZ24" s="223"/>
      <c r="FA24" s="223"/>
      <c r="FB24" s="223"/>
      <c r="FC24" s="223"/>
      <c r="FD24" s="223"/>
      <c r="FE24" s="223"/>
      <c r="FF24" s="223"/>
      <c r="FG24" s="223"/>
      <c r="FH24" s="223"/>
      <c r="FI24" s="223"/>
      <c r="FJ24" s="223"/>
      <c r="FK24" s="223"/>
      <c r="FL24" s="223"/>
      <c r="FM24" s="223"/>
      <c r="FN24" s="223"/>
      <c r="FO24" s="223"/>
      <c r="FP24" s="223"/>
      <c r="FQ24" s="223"/>
      <c r="FR24" s="223"/>
      <c r="FS24" s="223"/>
      <c r="FT24" s="223"/>
      <c r="FU24" s="223"/>
      <c r="FV24" s="223"/>
      <c r="FW24" s="223"/>
      <c r="FX24" s="223"/>
      <c r="FY24" s="223"/>
      <c r="FZ24" s="223"/>
      <c r="GA24" s="223"/>
      <c r="GB24" s="223"/>
      <c r="GC24" s="223"/>
      <c r="GD24" s="223"/>
      <c r="GE24" s="223"/>
      <c r="GF24" s="223"/>
      <c r="GG24" s="223"/>
      <c r="GH24" s="223"/>
      <c r="GI24" s="223"/>
      <c r="GJ24" s="223"/>
      <c r="GK24" s="223"/>
      <c r="GL24" s="223"/>
      <c r="GM24" s="223"/>
      <c r="GN24" s="223"/>
      <c r="GO24" s="223"/>
      <c r="GP24" s="223"/>
      <c r="GQ24" s="223"/>
      <c r="GR24" s="223"/>
      <c r="GS24" s="223"/>
      <c r="GT24" s="223"/>
      <c r="GU24" s="223"/>
      <c r="GV24" s="223"/>
      <c r="GW24" s="223"/>
      <c r="GX24" s="223"/>
      <c r="GY24" s="223"/>
      <c r="GZ24" s="223"/>
      <c r="HA24" s="223"/>
      <c r="HB24" s="223"/>
      <c r="HC24" s="223"/>
      <c r="HD24" s="223"/>
      <c r="HE24" s="223"/>
      <c r="HF24" s="223"/>
      <c r="HG24" s="223"/>
      <c r="HH24" s="223"/>
      <c r="HI24" s="223"/>
      <c r="HJ24" s="223"/>
      <c r="HK24" s="223"/>
      <c r="HL24" s="223"/>
      <c r="HM24" s="223"/>
      <c r="HN24" s="223"/>
      <c r="HO24" s="223"/>
      <c r="HP24" s="223"/>
      <c r="HQ24" s="223"/>
      <c r="HR24" s="223"/>
      <c r="HS24" s="223"/>
      <c r="HT24" s="223"/>
      <c r="HU24" s="223"/>
      <c r="HV24" s="223"/>
      <c r="HW24" s="223"/>
      <c r="HX24" s="223"/>
      <c r="HY24" s="223"/>
      <c r="HZ24" s="223"/>
      <c r="IA24" s="223"/>
      <c r="IB24" s="223"/>
      <c r="IC24" s="223"/>
      <c r="ID24" s="223"/>
      <c r="IE24" s="223"/>
      <c r="IF24" s="223"/>
      <c r="IG24" s="223"/>
      <c r="IH24" s="223"/>
      <c r="II24" s="223"/>
      <c r="IJ24" s="223"/>
      <c r="IK24" s="223"/>
      <c r="IL24" s="223"/>
      <c r="IM24" s="223"/>
      <c r="IN24" s="223"/>
      <c r="IO24" s="223"/>
      <c r="IP24" s="223"/>
      <c r="IQ24" s="223"/>
      <c r="IR24" s="223"/>
      <c r="IS24" s="223"/>
      <c r="IT24" s="223"/>
      <c r="IU24" s="223"/>
      <c r="IV24" s="223"/>
      <c r="IW24" s="223"/>
      <c r="IX24" s="223"/>
      <c r="IY24" s="223"/>
      <c r="IZ24" s="223"/>
      <c r="JA24" s="223"/>
      <c r="JB24" s="223"/>
      <c r="JC24" s="223"/>
      <c r="JD24" s="223"/>
      <c r="JE24" s="223"/>
      <c r="JF24" s="223"/>
      <c r="JG24" s="223"/>
      <c r="JH24" s="223"/>
      <c r="JI24" s="223"/>
      <c r="JJ24" s="223"/>
      <c r="JK24" s="223"/>
      <c r="JL24" s="223"/>
      <c r="JM24" s="223"/>
      <c r="JN24" s="223"/>
      <c r="JO24" s="223"/>
      <c r="JP24" s="223"/>
      <c r="JQ24" s="223"/>
      <c r="JR24" s="223"/>
      <c r="JS24" s="223"/>
      <c r="JT24" s="223"/>
      <c r="JU24" s="223"/>
      <c r="JV24" s="223"/>
      <c r="JW24" s="223"/>
      <c r="JX24" s="223"/>
      <c r="JY24" s="223"/>
      <c r="JZ24" s="223"/>
      <c r="KA24" s="223"/>
      <c r="KB24" s="223"/>
      <c r="KC24" s="223"/>
      <c r="KD24" s="223"/>
      <c r="KE24" s="223"/>
      <c r="KF24" s="223"/>
      <c r="KG24" s="223"/>
      <c r="KH24" s="223"/>
      <c r="KI24" s="223"/>
      <c r="KJ24" s="223"/>
      <c r="KK24" s="223"/>
      <c r="KL24" s="223"/>
      <c r="KM24" s="223"/>
      <c r="KN24" s="223"/>
      <c r="KO24" s="223"/>
      <c r="KP24" s="223"/>
      <c r="KQ24" s="223"/>
      <c r="KR24" s="223"/>
      <c r="KS24" s="223"/>
      <c r="KT24" s="223"/>
      <c r="KU24" s="223"/>
      <c r="KV24" s="223"/>
      <c r="KW24" s="223"/>
      <c r="KX24" s="223"/>
      <c r="KY24" s="223"/>
      <c r="KZ24" s="223"/>
      <c r="LA24" s="223"/>
      <c r="LB24" s="223"/>
      <c r="LC24" s="223"/>
      <c r="LD24" s="223"/>
      <c r="LE24" s="223"/>
      <c r="LF24" s="223"/>
      <c r="LG24" s="223"/>
      <c r="LH24" s="223"/>
      <c r="LI24" s="223"/>
      <c r="LJ24" s="223"/>
      <c r="LK24" s="223"/>
      <c r="LL24" s="223"/>
      <c r="LM24" s="223"/>
      <c r="LN24" s="223"/>
      <c r="LO24" s="223"/>
      <c r="LP24" s="223"/>
      <c r="LQ24" s="223"/>
      <c r="LR24" s="223"/>
      <c r="LS24" s="223"/>
      <c r="LT24" s="223"/>
      <c r="LU24" s="223"/>
    </row>
    <row r="25" spans="1:333" ht="27" customHeight="1">
      <c r="A25" s="79">
        <f t="shared" si="0"/>
        <v>18</v>
      </c>
      <c r="B25" s="75">
        <v>0.75</v>
      </c>
      <c r="C25" s="254">
        <v>0.8</v>
      </c>
      <c r="D25" s="67" t="s">
        <v>53</v>
      </c>
      <c r="E25" s="254" t="s">
        <v>267</v>
      </c>
      <c r="F25" s="230" t="s">
        <v>619</v>
      </c>
      <c r="G25" s="251" t="s">
        <v>649</v>
      </c>
      <c r="H25" s="251" t="s">
        <v>648</v>
      </c>
      <c r="I25" s="238"/>
      <c r="J25" s="67"/>
      <c r="K25" s="223"/>
      <c r="L25" s="223"/>
      <c r="M25" s="238"/>
      <c r="N25" s="223"/>
      <c r="O25" s="223"/>
      <c r="P25" s="223"/>
      <c r="Q25" s="223"/>
      <c r="R25" s="223"/>
      <c r="S25" s="223"/>
      <c r="T25" s="223"/>
      <c r="U25" s="223"/>
      <c r="V25" s="223"/>
      <c r="W25" s="223"/>
      <c r="X25" s="223"/>
      <c r="Y25" s="223"/>
      <c r="Z25" s="239"/>
      <c r="AA25" s="223"/>
      <c r="AB25" s="223"/>
      <c r="AC25" s="223"/>
      <c r="AD25" s="223"/>
      <c r="AE25" s="223"/>
      <c r="AF25" s="223"/>
      <c r="AG25" s="223"/>
      <c r="AH25" s="223"/>
      <c r="AI25" s="223"/>
      <c r="AJ25" s="223"/>
      <c r="AK25" s="223"/>
      <c r="AL25" s="223"/>
      <c r="AM25" s="223"/>
      <c r="AN25" s="223"/>
      <c r="AO25" s="223"/>
      <c r="AP25" s="240"/>
      <c r="AQ25" s="223"/>
      <c r="AR25" s="223"/>
      <c r="AS25" s="223"/>
      <c r="AT25" s="223"/>
      <c r="AU25" s="223"/>
      <c r="AV25" s="223"/>
      <c r="AW25" s="223"/>
      <c r="AX25" s="223"/>
      <c r="AY25" s="223"/>
      <c r="AZ25" s="223"/>
      <c r="BA25" s="223"/>
      <c r="BB25" s="223"/>
      <c r="BC25" s="223"/>
      <c r="BD25" s="223"/>
      <c r="BE25" s="245"/>
      <c r="BF25" s="223"/>
      <c r="BG25" s="223"/>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c r="DQ25" s="223"/>
      <c r="DR25" s="223"/>
      <c r="DS25" s="223"/>
      <c r="DT25" s="223"/>
      <c r="DU25" s="223"/>
      <c r="DV25" s="223"/>
      <c r="DW25" s="223"/>
      <c r="DX25" s="223"/>
      <c r="DY25" s="223"/>
      <c r="DZ25" s="223"/>
      <c r="EA25" s="223"/>
      <c r="EB25" s="223"/>
      <c r="EC25" s="223"/>
      <c r="ED25" s="223"/>
      <c r="EE25" s="223"/>
      <c r="EF25" s="223"/>
      <c r="EG25" s="223"/>
      <c r="EH25" s="223"/>
      <c r="EI25" s="223"/>
      <c r="EJ25" s="223"/>
      <c r="EK25" s="223"/>
      <c r="EL25" s="223"/>
      <c r="EM25" s="223"/>
      <c r="EN25" s="223"/>
      <c r="EO25" s="223"/>
      <c r="EP25" s="223"/>
      <c r="EQ25" s="223"/>
      <c r="ER25" s="223"/>
      <c r="ES25" s="223"/>
      <c r="ET25" s="223"/>
      <c r="EU25" s="223"/>
      <c r="EV25" s="223"/>
      <c r="EW25" s="223"/>
      <c r="EX25" s="223"/>
      <c r="EY25" s="223"/>
      <c r="EZ25" s="223"/>
      <c r="FA25" s="223"/>
      <c r="FB25" s="223"/>
      <c r="FC25" s="223"/>
      <c r="FD25" s="223"/>
      <c r="FE25" s="223"/>
      <c r="FF25" s="223"/>
      <c r="FG25" s="223"/>
      <c r="FH25" s="223"/>
      <c r="FI25" s="223"/>
      <c r="FJ25" s="223"/>
      <c r="FK25" s="223"/>
      <c r="FL25" s="223"/>
      <c r="FM25" s="223"/>
      <c r="FN25" s="223"/>
      <c r="FO25" s="223"/>
      <c r="FP25" s="223"/>
      <c r="FQ25" s="223"/>
      <c r="FR25" s="223"/>
      <c r="FS25" s="223"/>
      <c r="FT25" s="223"/>
      <c r="FU25" s="223"/>
      <c r="FV25" s="223"/>
      <c r="FW25" s="223"/>
      <c r="FX25" s="223"/>
      <c r="FY25" s="223"/>
      <c r="FZ25" s="223"/>
      <c r="GA25" s="223"/>
      <c r="GB25" s="223"/>
      <c r="GC25" s="223"/>
      <c r="GD25" s="223"/>
      <c r="GE25" s="223"/>
      <c r="GF25" s="223"/>
      <c r="GG25" s="223"/>
      <c r="GH25" s="223"/>
      <c r="GI25" s="223"/>
      <c r="GJ25" s="223"/>
      <c r="GK25" s="223"/>
      <c r="GL25" s="223"/>
      <c r="GM25" s="223"/>
      <c r="GN25" s="223"/>
      <c r="GO25" s="223"/>
      <c r="GP25" s="223"/>
      <c r="GQ25" s="223"/>
      <c r="GR25" s="223"/>
      <c r="GS25" s="223"/>
      <c r="GT25" s="223"/>
      <c r="GU25" s="223"/>
      <c r="GV25" s="223"/>
      <c r="GW25" s="223"/>
      <c r="GX25" s="223"/>
      <c r="GY25" s="223"/>
      <c r="GZ25" s="223"/>
      <c r="HA25" s="223"/>
      <c r="HB25" s="223"/>
      <c r="HC25" s="223"/>
      <c r="HD25" s="223"/>
      <c r="HE25" s="223"/>
      <c r="HF25" s="223"/>
      <c r="HG25" s="223"/>
      <c r="HH25" s="223"/>
      <c r="HI25" s="223"/>
      <c r="HJ25" s="223"/>
      <c r="HK25" s="223"/>
      <c r="HL25" s="223"/>
      <c r="HM25" s="223"/>
      <c r="HN25" s="223"/>
      <c r="HO25" s="223"/>
      <c r="HP25" s="223"/>
      <c r="HQ25" s="223"/>
      <c r="HR25" s="223"/>
      <c r="HS25" s="223"/>
      <c r="HT25" s="223"/>
      <c r="HU25" s="223"/>
      <c r="HV25" s="223"/>
      <c r="HW25" s="223"/>
      <c r="HX25" s="223"/>
      <c r="HY25" s="223"/>
      <c r="HZ25" s="223"/>
      <c r="IA25" s="223"/>
      <c r="IB25" s="223"/>
      <c r="IC25" s="223"/>
      <c r="ID25" s="223"/>
      <c r="IE25" s="223"/>
      <c r="IF25" s="223"/>
      <c r="IG25" s="223"/>
      <c r="IH25" s="223"/>
      <c r="II25" s="223"/>
      <c r="IJ25" s="223"/>
      <c r="IK25" s="223"/>
      <c r="IL25" s="223"/>
      <c r="IM25" s="223"/>
      <c r="IN25" s="223"/>
      <c r="IO25" s="223"/>
      <c r="IP25" s="223"/>
      <c r="IQ25" s="223"/>
      <c r="IR25" s="223"/>
      <c r="IS25" s="223"/>
      <c r="IT25" s="223"/>
      <c r="IU25" s="223"/>
      <c r="IV25" s="223"/>
      <c r="IW25" s="223"/>
      <c r="IX25" s="223"/>
      <c r="IY25" s="223"/>
      <c r="IZ25" s="223"/>
      <c r="JA25" s="223"/>
      <c r="JB25" s="223"/>
      <c r="JC25" s="223"/>
      <c r="JD25" s="223"/>
      <c r="JE25" s="223"/>
      <c r="JF25" s="223"/>
      <c r="JG25" s="223"/>
      <c r="JH25" s="223"/>
      <c r="JI25" s="223"/>
      <c r="JJ25" s="223"/>
      <c r="JK25" s="223"/>
      <c r="JL25" s="223"/>
      <c r="JM25" s="223"/>
      <c r="JN25" s="223"/>
      <c r="JO25" s="223"/>
      <c r="JP25" s="223"/>
      <c r="JQ25" s="223"/>
      <c r="JR25" s="223"/>
      <c r="JS25" s="223"/>
      <c r="JT25" s="223"/>
      <c r="JU25" s="223"/>
      <c r="JV25" s="223"/>
      <c r="JW25" s="223"/>
      <c r="JX25" s="223"/>
      <c r="JY25" s="223"/>
      <c r="JZ25" s="223"/>
      <c r="KA25" s="223"/>
      <c r="KB25" s="223"/>
      <c r="KC25" s="223"/>
      <c r="KD25" s="223"/>
      <c r="KE25" s="223"/>
      <c r="KF25" s="223"/>
      <c r="KG25" s="223"/>
      <c r="KH25" s="223"/>
      <c r="KI25" s="223"/>
      <c r="KJ25" s="223"/>
      <c r="KK25" s="223"/>
      <c r="KL25" s="223"/>
      <c r="KM25" s="223"/>
      <c r="KN25" s="223"/>
      <c r="KO25" s="223"/>
      <c r="KP25" s="223"/>
      <c r="KQ25" s="223"/>
      <c r="KR25" s="223"/>
      <c r="KS25" s="223"/>
      <c r="KT25" s="223"/>
      <c r="KU25" s="223"/>
      <c r="KV25" s="223"/>
      <c r="KW25" s="223"/>
      <c r="KX25" s="223"/>
      <c r="KY25" s="223"/>
      <c r="KZ25" s="223"/>
      <c r="LA25" s="223"/>
      <c r="LB25" s="223"/>
      <c r="LC25" s="223"/>
      <c r="LD25" s="223"/>
      <c r="LE25" s="223"/>
      <c r="LF25" s="223"/>
      <c r="LG25" s="223"/>
      <c r="LH25" s="223"/>
      <c r="LI25" s="223"/>
      <c r="LJ25" s="223"/>
      <c r="LK25" s="223"/>
      <c r="LL25" s="223"/>
      <c r="LM25" s="223"/>
      <c r="LN25" s="223"/>
      <c r="LO25" s="223"/>
      <c r="LP25" s="223"/>
      <c r="LQ25" s="223"/>
      <c r="LR25" s="223"/>
      <c r="LS25" s="223"/>
      <c r="LT25" s="223"/>
      <c r="LU25" s="223"/>
    </row>
    <row r="26" spans="1:333" ht="30.75" customHeight="1">
      <c r="A26" s="79">
        <f t="shared" si="0"/>
        <v>19</v>
      </c>
      <c r="B26" s="75">
        <v>0.79166666666666696</v>
      </c>
      <c r="C26" s="230">
        <v>0.7</v>
      </c>
      <c r="D26" s="251" t="s">
        <v>649</v>
      </c>
      <c r="E26" s="251" t="s">
        <v>649</v>
      </c>
      <c r="F26" s="251" t="s">
        <v>649</v>
      </c>
      <c r="G26" s="230" t="s">
        <v>619</v>
      </c>
      <c r="H26" s="256" t="s">
        <v>649</v>
      </c>
      <c r="I26" s="238"/>
      <c r="J26" s="67"/>
      <c r="K26" s="223"/>
      <c r="L26" s="223"/>
      <c r="M26" s="238"/>
      <c r="N26" s="223"/>
      <c r="O26" s="223"/>
      <c r="P26" s="223"/>
      <c r="Q26" s="223"/>
      <c r="R26" s="223"/>
      <c r="S26" s="223"/>
      <c r="T26" s="223"/>
      <c r="U26" s="223"/>
      <c r="V26" s="223"/>
      <c r="W26" s="223"/>
      <c r="X26" s="223"/>
      <c r="Y26" s="223"/>
      <c r="Z26" s="239"/>
      <c r="AA26" s="223"/>
      <c r="AB26" s="223"/>
      <c r="AC26" s="223"/>
      <c r="AD26" s="223"/>
      <c r="AE26" s="223"/>
      <c r="AF26" s="223"/>
      <c r="AG26" s="223"/>
      <c r="AH26" s="223"/>
      <c r="AI26" s="223"/>
      <c r="AJ26" s="223"/>
      <c r="AK26" s="223"/>
      <c r="AL26" s="223"/>
      <c r="AM26" s="223"/>
      <c r="AN26" s="223"/>
      <c r="AO26" s="223"/>
      <c r="AP26" s="240"/>
      <c r="AQ26" s="223"/>
      <c r="AR26" s="223"/>
      <c r="AS26" s="223"/>
      <c r="AT26" s="223"/>
      <c r="AU26" s="223"/>
      <c r="AV26" s="223"/>
      <c r="AW26" s="223"/>
      <c r="AX26" s="223"/>
      <c r="AY26" s="223"/>
      <c r="AZ26" s="223"/>
      <c r="BA26" s="223"/>
      <c r="BB26" s="223"/>
      <c r="BC26" s="223"/>
      <c r="BD26" s="223"/>
      <c r="BE26" s="245"/>
      <c r="BF26" s="223"/>
      <c r="BG26" s="223"/>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c r="DQ26" s="223"/>
      <c r="DR26" s="223"/>
      <c r="DS26" s="223"/>
      <c r="DT26" s="223"/>
      <c r="DU26" s="223"/>
      <c r="DV26" s="223"/>
      <c r="DW26" s="223"/>
      <c r="DX26" s="223"/>
      <c r="DY26" s="223"/>
      <c r="DZ26" s="223"/>
      <c r="EA26" s="223"/>
      <c r="EB26" s="223"/>
      <c r="EC26" s="223"/>
      <c r="ED26" s="223"/>
      <c r="EE26" s="223"/>
      <c r="EF26" s="223"/>
      <c r="EG26" s="223"/>
      <c r="EH26" s="223"/>
      <c r="EI26" s="223"/>
      <c r="EJ26" s="223"/>
      <c r="EK26" s="223"/>
      <c r="EL26" s="223"/>
      <c r="EM26" s="223"/>
      <c r="EN26" s="223"/>
      <c r="EO26" s="223"/>
      <c r="EP26" s="223"/>
      <c r="EQ26" s="223"/>
      <c r="ER26" s="223"/>
      <c r="ES26" s="223"/>
      <c r="ET26" s="223"/>
      <c r="EU26" s="223"/>
      <c r="EV26" s="223"/>
      <c r="EW26" s="223"/>
      <c r="EX26" s="223"/>
      <c r="EY26" s="223"/>
      <c r="EZ26" s="223"/>
      <c r="FA26" s="223"/>
      <c r="FB26" s="223"/>
      <c r="FC26" s="223"/>
      <c r="FD26" s="223"/>
      <c r="FE26" s="223"/>
      <c r="FF26" s="223"/>
      <c r="FG26" s="223"/>
      <c r="FH26" s="223"/>
      <c r="FI26" s="223"/>
      <c r="FJ26" s="223"/>
      <c r="FK26" s="223"/>
      <c r="FL26" s="223"/>
      <c r="FM26" s="223"/>
      <c r="FN26" s="223"/>
      <c r="FO26" s="223"/>
      <c r="FP26" s="223"/>
      <c r="FQ26" s="223"/>
      <c r="FR26" s="223"/>
      <c r="FS26" s="223"/>
      <c r="FT26" s="223"/>
      <c r="FU26" s="223"/>
      <c r="FV26" s="223"/>
      <c r="FW26" s="223"/>
      <c r="FX26" s="223"/>
      <c r="FY26" s="223"/>
      <c r="FZ26" s="223"/>
      <c r="GA26" s="223"/>
      <c r="GB26" s="223"/>
      <c r="GC26" s="223"/>
      <c r="GD26" s="223"/>
      <c r="GE26" s="223"/>
      <c r="GF26" s="223"/>
      <c r="GG26" s="223"/>
      <c r="GH26" s="223"/>
      <c r="GI26" s="223"/>
      <c r="GJ26" s="223"/>
      <c r="GK26" s="223"/>
      <c r="GL26" s="223"/>
      <c r="GM26" s="223"/>
      <c r="GN26" s="223"/>
      <c r="GO26" s="223"/>
      <c r="GP26" s="223"/>
      <c r="GQ26" s="223"/>
      <c r="GR26" s="223"/>
      <c r="GS26" s="223"/>
      <c r="GT26" s="223"/>
      <c r="GU26" s="223"/>
      <c r="GV26" s="223"/>
      <c r="GW26" s="223"/>
      <c r="GX26" s="223"/>
      <c r="GY26" s="223"/>
      <c r="GZ26" s="223"/>
      <c r="HA26" s="223"/>
      <c r="HB26" s="223"/>
      <c r="HC26" s="223"/>
      <c r="HD26" s="223"/>
      <c r="HE26" s="223"/>
      <c r="HF26" s="223"/>
      <c r="HG26" s="223"/>
      <c r="HH26" s="223"/>
      <c r="HI26" s="223"/>
      <c r="HJ26" s="223"/>
      <c r="HK26" s="223"/>
      <c r="HL26" s="223"/>
      <c r="HM26" s="223"/>
      <c r="HN26" s="223"/>
      <c r="HO26" s="223"/>
      <c r="HP26" s="223"/>
      <c r="HQ26" s="223"/>
      <c r="HR26" s="223"/>
      <c r="HS26" s="223"/>
      <c r="HT26" s="223"/>
      <c r="HU26" s="223"/>
      <c r="HV26" s="223"/>
      <c r="HW26" s="223"/>
      <c r="HX26" s="223"/>
      <c r="HY26" s="223"/>
      <c r="HZ26" s="223"/>
      <c r="IA26" s="223"/>
      <c r="IB26" s="223"/>
      <c r="IC26" s="223"/>
      <c r="ID26" s="223"/>
      <c r="IE26" s="223"/>
      <c r="IF26" s="223"/>
      <c r="IG26" s="223"/>
      <c r="IH26" s="223"/>
      <c r="II26" s="223"/>
      <c r="IJ26" s="223"/>
      <c r="IK26" s="223"/>
      <c r="IL26" s="223"/>
      <c r="IM26" s="223"/>
      <c r="IN26" s="223"/>
      <c r="IO26" s="223"/>
      <c r="IP26" s="223"/>
      <c r="IQ26" s="223"/>
      <c r="IR26" s="223"/>
      <c r="IS26" s="223"/>
      <c r="IT26" s="223"/>
      <c r="IU26" s="223"/>
      <c r="IV26" s="223"/>
      <c r="IW26" s="223"/>
      <c r="IX26" s="223"/>
      <c r="IY26" s="223"/>
      <c r="IZ26" s="223"/>
      <c r="JA26" s="223"/>
      <c r="JB26" s="223"/>
      <c r="JC26" s="223"/>
      <c r="JD26" s="223"/>
      <c r="JE26" s="223"/>
      <c r="JF26" s="223"/>
      <c r="JG26" s="223"/>
      <c r="JH26" s="223"/>
      <c r="JI26" s="223"/>
      <c r="JJ26" s="223"/>
      <c r="JK26" s="223"/>
      <c r="JL26" s="223"/>
      <c r="JM26" s="223"/>
      <c r="JN26" s="223"/>
      <c r="JO26" s="223"/>
      <c r="JP26" s="223"/>
      <c r="JQ26" s="223"/>
      <c r="JR26" s="223"/>
      <c r="JS26" s="223"/>
      <c r="JT26" s="223"/>
      <c r="JU26" s="223"/>
      <c r="JV26" s="223"/>
      <c r="JW26" s="223"/>
      <c r="JX26" s="223"/>
      <c r="JY26" s="223"/>
      <c r="JZ26" s="223"/>
      <c r="KA26" s="223"/>
      <c r="KB26" s="223"/>
      <c r="KC26" s="223"/>
      <c r="KD26" s="223"/>
      <c r="KE26" s="223"/>
      <c r="KF26" s="223"/>
      <c r="KG26" s="223"/>
      <c r="KH26" s="223"/>
      <c r="KI26" s="223"/>
      <c r="KJ26" s="223"/>
      <c r="KK26" s="223"/>
      <c r="KL26" s="223"/>
      <c r="KM26" s="223"/>
      <c r="KN26" s="223"/>
      <c r="KO26" s="223"/>
      <c r="KP26" s="223"/>
      <c r="KQ26" s="223"/>
      <c r="KR26" s="223"/>
      <c r="KS26" s="223"/>
      <c r="KT26" s="223"/>
      <c r="KU26" s="223"/>
      <c r="KV26" s="223"/>
      <c r="KW26" s="223"/>
      <c r="KX26" s="223"/>
      <c r="KY26" s="223"/>
      <c r="KZ26" s="223"/>
      <c r="LA26" s="223"/>
      <c r="LB26" s="223"/>
      <c r="LC26" s="223"/>
      <c r="LD26" s="223"/>
      <c r="LE26" s="223"/>
      <c r="LF26" s="223"/>
      <c r="LG26" s="223"/>
      <c r="LH26" s="223"/>
      <c r="LI26" s="223"/>
      <c r="LJ26" s="223"/>
      <c r="LK26" s="223"/>
      <c r="LL26" s="223"/>
      <c r="LM26" s="223"/>
      <c r="LN26" s="223"/>
      <c r="LO26" s="223"/>
      <c r="LP26" s="223"/>
      <c r="LQ26" s="223"/>
      <c r="LR26" s="223"/>
      <c r="LS26" s="223"/>
      <c r="LT26" s="223"/>
      <c r="LU26" s="223"/>
    </row>
    <row r="27" spans="1:333" ht="32.25" customHeight="1">
      <c r="A27" s="79">
        <f t="shared" si="0"/>
        <v>20</v>
      </c>
      <c r="B27" s="75">
        <v>0.83333333333333304</v>
      </c>
      <c r="C27" s="67">
        <v>0.4</v>
      </c>
      <c r="D27" s="67" t="s">
        <v>53</v>
      </c>
      <c r="E27" s="67" t="s">
        <v>53</v>
      </c>
      <c r="F27" s="230" t="s">
        <v>619</v>
      </c>
      <c r="G27" s="230" t="s">
        <v>619</v>
      </c>
      <c r="H27" s="257" t="s">
        <v>619</v>
      </c>
      <c r="I27" s="238"/>
      <c r="J27" s="67"/>
      <c r="K27" s="223"/>
      <c r="L27" s="223"/>
      <c r="M27" s="238"/>
      <c r="N27" s="223"/>
      <c r="O27" s="223"/>
      <c r="P27" s="223"/>
      <c r="Q27" s="223"/>
      <c r="R27" s="223"/>
      <c r="S27" s="223"/>
      <c r="T27" s="223"/>
      <c r="U27" s="223"/>
      <c r="V27" s="223"/>
      <c r="W27" s="223"/>
      <c r="X27" s="223"/>
      <c r="Y27" s="223"/>
      <c r="Z27" s="239"/>
      <c r="AA27" s="223"/>
      <c r="AB27" s="223"/>
      <c r="AC27" s="223"/>
      <c r="AD27" s="223"/>
      <c r="AE27" s="223"/>
      <c r="AF27" s="223"/>
      <c r="AG27" s="223"/>
      <c r="AH27" s="223"/>
      <c r="AI27" s="223"/>
      <c r="AJ27" s="223"/>
      <c r="AK27" s="223"/>
      <c r="AL27" s="223"/>
      <c r="AM27" s="223"/>
      <c r="AN27" s="223"/>
      <c r="AO27" s="223"/>
      <c r="AP27" s="240"/>
      <c r="AQ27" s="223"/>
      <c r="AR27" s="223"/>
      <c r="AS27" s="223"/>
      <c r="AT27" s="223"/>
      <c r="AU27" s="223"/>
      <c r="AV27" s="223"/>
      <c r="AW27" s="223"/>
      <c r="AX27" s="223"/>
      <c r="AY27" s="223"/>
      <c r="AZ27" s="223"/>
      <c r="BA27" s="223"/>
      <c r="BB27" s="223"/>
      <c r="BC27" s="223"/>
      <c r="BD27" s="223"/>
      <c r="BE27" s="245"/>
      <c r="BF27" s="223"/>
      <c r="BG27" s="223"/>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c r="DQ27" s="223"/>
      <c r="DR27" s="223"/>
      <c r="DS27" s="223"/>
      <c r="DT27" s="223"/>
      <c r="DU27" s="223"/>
      <c r="DV27" s="223"/>
      <c r="DW27" s="223"/>
      <c r="DX27" s="223"/>
      <c r="DY27" s="223"/>
      <c r="DZ27" s="223"/>
      <c r="EA27" s="223"/>
      <c r="EB27" s="223"/>
      <c r="EC27" s="223"/>
      <c r="ED27" s="223"/>
      <c r="EE27" s="223"/>
      <c r="EF27" s="223"/>
      <c r="EG27" s="223"/>
      <c r="EH27" s="223"/>
      <c r="EI27" s="223"/>
      <c r="EJ27" s="223"/>
      <c r="EK27" s="223"/>
      <c r="EL27" s="223"/>
      <c r="EM27" s="223"/>
      <c r="EN27" s="223"/>
      <c r="EO27" s="223"/>
      <c r="EP27" s="223"/>
      <c r="EQ27" s="223"/>
      <c r="ER27" s="223"/>
      <c r="ES27" s="223"/>
      <c r="ET27" s="223"/>
      <c r="EU27" s="223"/>
      <c r="EV27" s="223"/>
      <c r="EW27" s="223"/>
      <c r="EX27" s="223"/>
      <c r="EY27" s="223"/>
      <c r="EZ27" s="223"/>
      <c r="FA27" s="223"/>
      <c r="FB27" s="223"/>
      <c r="FC27" s="223"/>
      <c r="FD27" s="223"/>
      <c r="FE27" s="223"/>
      <c r="FF27" s="223"/>
      <c r="FG27" s="223"/>
      <c r="FH27" s="223"/>
      <c r="FI27" s="223"/>
      <c r="FJ27" s="223"/>
      <c r="FK27" s="223"/>
      <c r="FL27" s="223"/>
      <c r="FM27" s="223"/>
      <c r="FN27" s="223"/>
      <c r="FO27" s="223"/>
      <c r="FP27" s="223"/>
      <c r="FQ27" s="223"/>
      <c r="FR27" s="223"/>
      <c r="FS27" s="223"/>
      <c r="FT27" s="223"/>
      <c r="FU27" s="223"/>
      <c r="FV27" s="223"/>
      <c r="FW27" s="223"/>
      <c r="FX27" s="223"/>
      <c r="FY27" s="223"/>
      <c r="FZ27" s="223"/>
      <c r="GA27" s="223"/>
      <c r="GB27" s="223"/>
      <c r="GC27" s="223"/>
      <c r="GD27" s="223"/>
      <c r="GE27" s="223"/>
      <c r="GF27" s="223"/>
      <c r="GG27" s="223"/>
      <c r="GH27" s="223"/>
      <c r="GI27" s="223"/>
      <c r="GJ27" s="223"/>
      <c r="GK27" s="223"/>
      <c r="GL27" s="223"/>
      <c r="GM27" s="223"/>
      <c r="GN27" s="223"/>
      <c r="GO27" s="223"/>
      <c r="GP27" s="223"/>
      <c r="GQ27" s="223"/>
      <c r="GR27" s="223"/>
      <c r="GS27" s="223"/>
      <c r="GT27" s="223"/>
      <c r="GU27" s="223"/>
      <c r="GV27" s="223"/>
      <c r="GW27" s="223"/>
      <c r="GX27" s="223"/>
      <c r="GY27" s="223"/>
      <c r="GZ27" s="223"/>
      <c r="HA27" s="223"/>
      <c r="HB27" s="223"/>
      <c r="HC27" s="223"/>
      <c r="HD27" s="223"/>
      <c r="HE27" s="223"/>
      <c r="HF27" s="223"/>
      <c r="HG27" s="223"/>
      <c r="HH27" s="223"/>
      <c r="HI27" s="223"/>
      <c r="HJ27" s="223"/>
      <c r="HK27" s="223"/>
      <c r="HL27" s="223"/>
      <c r="HM27" s="223"/>
      <c r="HN27" s="223"/>
      <c r="HO27" s="223"/>
      <c r="HP27" s="223"/>
      <c r="HQ27" s="223"/>
      <c r="HR27" s="223"/>
      <c r="HS27" s="223"/>
      <c r="HT27" s="223"/>
      <c r="HU27" s="223"/>
      <c r="HV27" s="223"/>
      <c r="HW27" s="223"/>
      <c r="HX27" s="223"/>
      <c r="HY27" s="223"/>
      <c r="HZ27" s="223"/>
      <c r="IA27" s="223"/>
      <c r="IB27" s="223"/>
      <c r="IC27" s="223"/>
      <c r="ID27" s="223"/>
      <c r="IE27" s="223"/>
      <c r="IF27" s="223"/>
      <c r="IG27" s="223"/>
      <c r="IH27" s="223"/>
      <c r="II27" s="223"/>
      <c r="IJ27" s="223"/>
      <c r="IK27" s="223"/>
      <c r="IL27" s="223"/>
      <c r="IM27" s="223"/>
      <c r="IN27" s="223"/>
      <c r="IO27" s="223"/>
      <c r="IP27" s="223"/>
      <c r="IQ27" s="223"/>
      <c r="IR27" s="223"/>
      <c r="IS27" s="223"/>
      <c r="IT27" s="223"/>
      <c r="IU27" s="223"/>
      <c r="IV27" s="223"/>
      <c r="IW27" s="223"/>
      <c r="IX27" s="223"/>
      <c r="IY27" s="223"/>
      <c r="IZ27" s="223"/>
      <c r="JA27" s="223"/>
      <c r="JB27" s="223"/>
      <c r="JC27" s="223"/>
      <c r="JD27" s="223"/>
      <c r="JE27" s="223"/>
      <c r="JF27" s="223"/>
      <c r="JG27" s="223"/>
      <c r="JH27" s="223"/>
      <c r="JI27" s="223"/>
      <c r="JJ27" s="223"/>
      <c r="JK27" s="223"/>
      <c r="JL27" s="223"/>
      <c r="JM27" s="223"/>
      <c r="JN27" s="223"/>
      <c r="JO27" s="223"/>
      <c r="JP27" s="223"/>
      <c r="JQ27" s="223"/>
      <c r="JR27" s="223"/>
      <c r="JS27" s="223"/>
      <c r="JT27" s="223"/>
      <c r="JU27" s="223"/>
      <c r="JV27" s="223"/>
      <c r="JW27" s="223"/>
      <c r="JX27" s="223"/>
      <c r="JY27" s="223"/>
      <c r="JZ27" s="223"/>
      <c r="KA27" s="223"/>
      <c r="KB27" s="223"/>
      <c r="KC27" s="223"/>
      <c r="KD27" s="223"/>
      <c r="KE27" s="223"/>
      <c r="KF27" s="223"/>
      <c r="KG27" s="223"/>
      <c r="KH27" s="223"/>
      <c r="KI27" s="223"/>
      <c r="KJ27" s="223"/>
      <c r="KK27" s="223"/>
      <c r="KL27" s="223"/>
      <c r="KM27" s="223"/>
      <c r="KN27" s="223"/>
      <c r="KO27" s="223"/>
      <c r="KP27" s="223"/>
      <c r="KQ27" s="223"/>
      <c r="KR27" s="223"/>
      <c r="KS27" s="223"/>
      <c r="KT27" s="223"/>
      <c r="KU27" s="223"/>
      <c r="KV27" s="223"/>
      <c r="KW27" s="223"/>
      <c r="KX27" s="223"/>
      <c r="KY27" s="223"/>
      <c r="KZ27" s="223"/>
      <c r="LA27" s="223"/>
      <c r="LB27" s="223"/>
      <c r="LC27" s="223"/>
      <c r="LD27" s="223"/>
      <c r="LE27" s="223"/>
      <c r="LF27" s="223"/>
      <c r="LG27" s="223"/>
      <c r="LH27" s="223"/>
      <c r="LI27" s="223"/>
      <c r="LJ27" s="223"/>
      <c r="LK27" s="223"/>
      <c r="LL27" s="223"/>
      <c r="LM27" s="223"/>
      <c r="LN27" s="223"/>
      <c r="LO27" s="223"/>
      <c r="LP27" s="223"/>
      <c r="LQ27" s="223"/>
      <c r="LR27" s="223"/>
      <c r="LS27" s="223"/>
      <c r="LT27" s="223"/>
      <c r="LU27" s="223"/>
    </row>
    <row r="28" spans="1:333" s="71" customFormat="1" ht="24.95" customHeight="1">
      <c r="A28" s="79">
        <f t="shared" si="0"/>
        <v>21</v>
      </c>
      <c r="B28" s="75">
        <v>0.875</v>
      </c>
      <c r="C28" s="225">
        <v>0</v>
      </c>
      <c r="D28" s="225"/>
      <c r="E28" s="225"/>
      <c r="F28" s="225"/>
      <c r="G28" s="225"/>
      <c r="H28" s="225"/>
      <c r="I28" s="225"/>
      <c r="J28" s="67"/>
      <c r="K28" s="225"/>
      <c r="L28" s="225"/>
      <c r="M28" s="225"/>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25"/>
      <c r="BS28" s="225"/>
      <c r="BT28" s="225"/>
      <c r="BU28" s="225"/>
      <c r="BV28" s="225"/>
      <c r="BW28" s="225"/>
      <c r="BX28" s="225"/>
      <c r="BY28" s="225"/>
      <c r="BZ28" s="225"/>
      <c r="CA28" s="225"/>
      <c r="CB28" s="225"/>
      <c r="CC28" s="225"/>
      <c r="CD28" s="225"/>
      <c r="CE28" s="225"/>
      <c r="CF28" s="225"/>
      <c r="CG28" s="225"/>
      <c r="CH28" s="225"/>
      <c r="CI28" s="225"/>
      <c r="CJ28" s="225"/>
      <c r="CK28" s="225"/>
      <c r="CL28" s="225"/>
      <c r="CM28" s="225"/>
      <c r="CN28" s="225"/>
      <c r="CO28" s="225"/>
      <c r="CP28" s="225"/>
      <c r="CQ28" s="225"/>
      <c r="CR28" s="225"/>
      <c r="CS28" s="225"/>
      <c r="CT28" s="225"/>
      <c r="CU28" s="225"/>
      <c r="CV28" s="225"/>
      <c r="CW28" s="225"/>
      <c r="CX28" s="225"/>
      <c r="CY28" s="225"/>
      <c r="CZ28" s="225"/>
      <c r="DA28" s="225"/>
      <c r="DB28" s="225"/>
      <c r="DC28" s="225"/>
      <c r="DD28" s="225"/>
      <c r="DE28" s="225"/>
      <c r="DF28" s="225"/>
      <c r="DG28" s="225"/>
      <c r="DH28" s="225"/>
      <c r="DI28" s="225"/>
      <c r="DJ28" s="225"/>
      <c r="DK28" s="225"/>
      <c r="DL28" s="225"/>
      <c r="DM28" s="225"/>
      <c r="DN28" s="225"/>
      <c r="DO28" s="225"/>
      <c r="DP28" s="225"/>
      <c r="DQ28" s="225"/>
      <c r="DR28" s="225"/>
      <c r="DS28" s="225"/>
      <c r="DT28" s="225"/>
      <c r="DU28" s="225"/>
      <c r="DV28" s="225"/>
      <c r="DW28" s="225"/>
      <c r="DX28" s="225"/>
      <c r="DY28" s="225"/>
      <c r="DZ28" s="225"/>
      <c r="EA28" s="225"/>
      <c r="EB28" s="225"/>
      <c r="EC28" s="225"/>
      <c r="ED28" s="225"/>
      <c r="EE28" s="225"/>
      <c r="EF28" s="225"/>
      <c r="EG28" s="225"/>
      <c r="EH28" s="225"/>
      <c r="EI28" s="225"/>
      <c r="EJ28" s="225"/>
      <c r="EK28" s="225"/>
      <c r="EL28" s="225"/>
      <c r="EM28" s="225"/>
      <c r="EN28" s="225"/>
      <c r="EO28" s="225"/>
      <c r="EP28" s="225"/>
      <c r="EQ28" s="225"/>
      <c r="ER28" s="225"/>
      <c r="ES28" s="225"/>
      <c r="ET28" s="225"/>
      <c r="EU28" s="225"/>
      <c r="EV28" s="225"/>
      <c r="EW28" s="225"/>
      <c r="EX28" s="225"/>
      <c r="EY28" s="225"/>
      <c r="EZ28" s="225"/>
      <c r="FA28" s="225"/>
      <c r="FB28" s="225"/>
      <c r="FC28" s="225"/>
      <c r="FD28" s="225"/>
      <c r="FE28" s="225"/>
      <c r="FF28" s="225"/>
      <c r="FG28" s="225"/>
      <c r="FH28" s="225"/>
      <c r="FI28" s="225"/>
      <c r="FJ28" s="225"/>
      <c r="FK28" s="225"/>
      <c r="FL28" s="225"/>
      <c r="FM28" s="225"/>
      <c r="FN28" s="225"/>
      <c r="FO28" s="225"/>
      <c r="FP28" s="225"/>
      <c r="FQ28" s="225"/>
      <c r="FR28" s="225"/>
      <c r="FS28" s="225"/>
      <c r="FT28" s="225"/>
      <c r="FU28" s="225"/>
      <c r="FV28" s="225"/>
      <c r="FW28" s="225"/>
      <c r="FX28" s="225"/>
      <c r="FY28" s="225"/>
      <c r="FZ28" s="225"/>
      <c r="GA28" s="225"/>
      <c r="GB28" s="225"/>
      <c r="GC28" s="225"/>
      <c r="GD28" s="225"/>
      <c r="GE28" s="225"/>
      <c r="GF28" s="225"/>
      <c r="GG28" s="225"/>
      <c r="GH28" s="225"/>
      <c r="GI28" s="225"/>
      <c r="GJ28" s="225"/>
      <c r="GK28" s="225"/>
      <c r="GL28" s="225"/>
      <c r="GM28" s="225"/>
      <c r="GN28" s="225"/>
      <c r="GO28" s="225"/>
      <c r="GP28" s="225"/>
      <c r="GQ28" s="225"/>
      <c r="GR28" s="225"/>
      <c r="GS28" s="225"/>
      <c r="GT28" s="225"/>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row>
    <row r="29" spans="1:333" ht="24.95" customHeight="1">
      <c r="A29" s="79">
        <f t="shared" si="0"/>
        <v>22</v>
      </c>
      <c r="B29" s="75">
        <v>0.91666666666666696</v>
      </c>
      <c r="C29" s="223">
        <v>0</v>
      </c>
      <c r="D29" s="223"/>
      <c r="E29" s="250"/>
      <c r="F29" s="237"/>
      <c r="G29" s="223"/>
      <c r="H29" s="78"/>
      <c r="I29" s="238"/>
      <c r="J29" s="67"/>
      <c r="K29" s="223"/>
      <c r="L29" s="223"/>
      <c r="M29" s="238"/>
      <c r="N29" s="223"/>
      <c r="O29" s="223"/>
      <c r="P29" s="223"/>
      <c r="Q29" s="223"/>
      <c r="R29" s="223"/>
      <c r="S29" s="223"/>
      <c r="T29" s="223"/>
      <c r="U29" s="223"/>
      <c r="V29" s="223"/>
      <c r="W29" s="223"/>
      <c r="X29" s="223"/>
      <c r="Y29" s="223"/>
      <c r="Z29" s="223"/>
      <c r="AA29" s="223"/>
      <c r="AB29" s="223"/>
      <c r="AC29" s="223"/>
      <c r="AD29" s="223"/>
      <c r="AE29" s="223"/>
      <c r="AF29" s="223"/>
      <c r="AG29" s="223"/>
      <c r="AH29" s="223"/>
      <c r="AI29" s="223"/>
      <c r="AJ29" s="223"/>
      <c r="AK29" s="223"/>
      <c r="AL29" s="223"/>
      <c r="AM29" s="223"/>
      <c r="AN29" s="223"/>
      <c r="AO29" s="223"/>
      <c r="AP29" s="223"/>
      <c r="AQ29" s="223"/>
      <c r="AR29" s="223"/>
      <c r="AS29" s="223"/>
      <c r="AT29" s="223"/>
      <c r="AU29" s="223"/>
      <c r="AV29" s="223"/>
      <c r="AW29" s="223"/>
      <c r="AX29" s="223"/>
      <c r="AY29" s="223"/>
      <c r="AZ29" s="223"/>
      <c r="BA29" s="223"/>
      <c r="BB29" s="223"/>
      <c r="BC29" s="223"/>
      <c r="BD29" s="223"/>
      <c r="BE29" s="223"/>
      <c r="BF29" s="223"/>
      <c r="BG29" s="223"/>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c r="DQ29" s="223"/>
      <c r="DR29" s="223"/>
      <c r="DS29" s="223"/>
      <c r="DT29" s="223"/>
      <c r="DU29" s="223"/>
      <c r="DV29" s="223"/>
      <c r="DW29" s="223"/>
      <c r="DX29" s="223"/>
      <c r="DY29" s="223"/>
      <c r="DZ29" s="223"/>
      <c r="EA29" s="223"/>
      <c r="EB29" s="223"/>
      <c r="EC29" s="223"/>
      <c r="ED29" s="223"/>
      <c r="EE29" s="223"/>
      <c r="EF29" s="223"/>
      <c r="EG29" s="223"/>
      <c r="EH29" s="223"/>
      <c r="EI29" s="223"/>
      <c r="EJ29" s="223"/>
      <c r="EK29" s="223"/>
      <c r="EL29" s="223"/>
      <c r="EM29" s="223"/>
      <c r="EN29" s="223"/>
      <c r="EO29" s="223"/>
      <c r="EP29" s="223"/>
      <c r="EQ29" s="223"/>
      <c r="ER29" s="223"/>
      <c r="ES29" s="223"/>
      <c r="ET29" s="223"/>
      <c r="EU29" s="223"/>
      <c r="EV29" s="223"/>
      <c r="EW29" s="223"/>
      <c r="EX29" s="223"/>
      <c r="EY29" s="223"/>
      <c r="EZ29" s="223"/>
      <c r="FA29" s="223"/>
      <c r="FB29" s="223"/>
      <c r="FC29" s="223"/>
      <c r="FD29" s="223"/>
      <c r="FE29" s="223"/>
      <c r="FF29" s="223"/>
      <c r="FG29" s="223"/>
      <c r="FH29" s="223"/>
      <c r="FI29" s="223"/>
      <c r="FJ29" s="223"/>
      <c r="FK29" s="223"/>
      <c r="FL29" s="223"/>
      <c r="FM29" s="223"/>
      <c r="FN29" s="223"/>
      <c r="FO29" s="223"/>
      <c r="FP29" s="223"/>
      <c r="FQ29" s="223"/>
      <c r="FR29" s="223"/>
      <c r="FS29" s="223"/>
      <c r="FT29" s="223"/>
      <c r="FU29" s="223"/>
      <c r="FV29" s="223"/>
      <c r="FW29" s="223"/>
      <c r="FX29" s="223"/>
      <c r="FY29" s="223"/>
      <c r="FZ29" s="223"/>
      <c r="GA29" s="223"/>
      <c r="GB29" s="223"/>
      <c r="GC29" s="223"/>
      <c r="GD29" s="223"/>
      <c r="GE29" s="223"/>
      <c r="GF29" s="223"/>
      <c r="GG29" s="223"/>
      <c r="GH29" s="223"/>
      <c r="GI29" s="223"/>
      <c r="GJ29" s="223"/>
      <c r="GK29" s="223"/>
      <c r="GL29" s="223"/>
      <c r="GM29" s="223"/>
      <c r="GN29" s="223"/>
      <c r="GO29" s="223"/>
      <c r="GP29" s="223"/>
      <c r="GQ29" s="223"/>
      <c r="GR29" s="223"/>
      <c r="GS29" s="223"/>
      <c r="GT29" s="223"/>
      <c r="GU29" s="223"/>
      <c r="GV29" s="223"/>
      <c r="GW29" s="223"/>
      <c r="GX29" s="223"/>
      <c r="GY29" s="223"/>
      <c r="GZ29" s="223"/>
      <c r="HA29" s="223"/>
      <c r="HB29" s="223"/>
      <c r="HC29" s="223"/>
      <c r="HD29" s="223"/>
      <c r="HE29" s="223"/>
      <c r="HF29" s="223"/>
      <c r="HG29" s="223"/>
      <c r="HH29" s="223"/>
      <c r="HI29" s="223"/>
      <c r="HJ29" s="223"/>
      <c r="HK29" s="223"/>
      <c r="HL29" s="223"/>
      <c r="HM29" s="223"/>
      <c r="HN29" s="223"/>
      <c r="HO29" s="223"/>
      <c r="HP29" s="223"/>
      <c r="HQ29" s="223"/>
      <c r="HR29" s="223"/>
      <c r="HS29" s="223"/>
      <c r="HT29" s="223"/>
      <c r="HU29" s="223"/>
      <c r="HV29" s="223"/>
      <c r="HW29" s="223"/>
      <c r="HX29" s="223"/>
      <c r="HY29" s="223"/>
      <c r="HZ29" s="223"/>
      <c r="IA29" s="223"/>
      <c r="IB29" s="223"/>
      <c r="IC29" s="223"/>
      <c r="ID29" s="223"/>
      <c r="IE29" s="223"/>
      <c r="IF29" s="223"/>
      <c r="IG29" s="223"/>
      <c r="IH29" s="223"/>
      <c r="II29" s="223"/>
      <c r="IJ29" s="223"/>
      <c r="IK29" s="223"/>
      <c r="IL29" s="223"/>
      <c r="IM29" s="223"/>
      <c r="IN29" s="223"/>
      <c r="IO29" s="223"/>
      <c r="IP29" s="223"/>
      <c r="IQ29" s="223"/>
      <c r="IR29" s="223"/>
      <c r="IS29" s="223"/>
      <c r="IT29" s="223"/>
      <c r="IU29" s="223"/>
      <c r="IV29" s="223"/>
      <c r="IW29" s="223"/>
      <c r="IX29" s="223"/>
      <c r="IY29" s="223"/>
      <c r="IZ29" s="223"/>
      <c r="JA29" s="223"/>
      <c r="JB29" s="223"/>
      <c r="JC29" s="223"/>
      <c r="JD29" s="223"/>
      <c r="JE29" s="223"/>
      <c r="JF29" s="223"/>
      <c r="JG29" s="223"/>
      <c r="JH29" s="223"/>
      <c r="JI29" s="223"/>
      <c r="JJ29" s="223"/>
      <c r="JK29" s="223"/>
      <c r="JL29" s="223"/>
      <c r="JM29" s="223"/>
      <c r="JN29" s="223"/>
      <c r="JO29" s="223"/>
      <c r="JP29" s="223"/>
      <c r="JQ29" s="223"/>
      <c r="JR29" s="223"/>
      <c r="JS29" s="223"/>
      <c r="JT29" s="223"/>
      <c r="JU29" s="223"/>
      <c r="JV29" s="223"/>
      <c r="JW29" s="223"/>
      <c r="JX29" s="223"/>
      <c r="JY29" s="223"/>
      <c r="JZ29" s="223"/>
      <c r="KA29" s="223"/>
      <c r="KB29" s="223"/>
      <c r="KC29" s="223"/>
      <c r="KD29" s="223"/>
      <c r="KE29" s="223"/>
      <c r="KF29" s="223"/>
      <c r="KG29" s="223"/>
      <c r="KH29" s="223"/>
      <c r="KI29" s="223"/>
      <c r="KJ29" s="223"/>
      <c r="KK29" s="223"/>
      <c r="KL29" s="223"/>
      <c r="KM29" s="223"/>
      <c r="KN29" s="223"/>
      <c r="KO29" s="223"/>
      <c r="KP29" s="223"/>
      <c r="KQ29" s="223"/>
      <c r="KR29" s="223"/>
      <c r="KS29" s="223"/>
      <c r="KT29" s="223"/>
      <c r="KU29" s="223"/>
      <c r="KV29" s="223"/>
      <c r="KW29" s="223"/>
      <c r="KX29" s="223"/>
      <c r="KY29" s="223"/>
      <c r="KZ29" s="223"/>
      <c r="LA29" s="223"/>
      <c r="LB29" s="223"/>
      <c r="LC29" s="223"/>
      <c r="LD29" s="223"/>
      <c r="LE29" s="223"/>
      <c r="LF29" s="223"/>
      <c r="LG29" s="223"/>
      <c r="LH29" s="223"/>
      <c r="LI29" s="223"/>
      <c r="LJ29" s="223"/>
      <c r="LK29" s="223"/>
      <c r="LL29" s="223"/>
      <c r="LM29" s="223"/>
      <c r="LN29" s="223"/>
      <c r="LO29" s="223"/>
      <c r="LP29" s="223"/>
      <c r="LQ29" s="223"/>
      <c r="LR29" s="223"/>
      <c r="LS29" s="223"/>
      <c r="LT29" s="223"/>
      <c r="LU29" s="223"/>
    </row>
    <row r="30" spans="1:333" ht="24.95" customHeight="1">
      <c r="A30" s="79">
        <f t="shared" si="0"/>
        <v>23</v>
      </c>
      <c r="B30" s="75">
        <v>0.95833333333333304</v>
      </c>
      <c r="C30" s="223">
        <v>0</v>
      </c>
      <c r="D30" s="223"/>
      <c r="E30" s="250"/>
      <c r="F30" s="237"/>
      <c r="G30" s="223"/>
      <c r="H30" s="78"/>
      <c r="I30" s="238"/>
      <c r="J30" s="67"/>
      <c r="K30" s="238"/>
      <c r="L30" s="238"/>
      <c r="M30" s="238"/>
      <c r="N30" s="223"/>
      <c r="O30" s="223"/>
      <c r="P30" s="223"/>
      <c r="Q30" s="223"/>
      <c r="R30" s="223"/>
      <c r="S30" s="223"/>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c r="BA30" s="223"/>
      <c r="BB30" s="223"/>
      <c r="BC30" s="223"/>
      <c r="BD30" s="223"/>
      <c r="BE30" s="223"/>
      <c r="BF30" s="223"/>
      <c r="BG30" s="223"/>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c r="DQ30" s="223"/>
      <c r="DR30" s="223"/>
      <c r="DS30" s="223"/>
      <c r="DT30" s="223"/>
      <c r="DU30" s="223"/>
      <c r="DV30" s="223"/>
      <c r="DW30" s="223"/>
      <c r="DX30" s="223"/>
      <c r="DY30" s="223"/>
      <c r="DZ30" s="223"/>
      <c r="EA30" s="223"/>
      <c r="EB30" s="223"/>
      <c r="EC30" s="223"/>
      <c r="ED30" s="223"/>
      <c r="EE30" s="223"/>
      <c r="EF30" s="223"/>
      <c r="EG30" s="223"/>
      <c r="EH30" s="223"/>
      <c r="EI30" s="223"/>
      <c r="EJ30" s="223"/>
      <c r="EK30" s="223"/>
      <c r="EL30" s="223"/>
      <c r="EM30" s="223"/>
      <c r="EN30" s="223"/>
      <c r="EO30" s="223"/>
      <c r="EP30" s="223"/>
      <c r="EQ30" s="223"/>
      <c r="ER30" s="223"/>
      <c r="ES30" s="223"/>
      <c r="ET30" s="223"/>
      <c r="EU30" s="223"/>
      <c r="EV30" s="223"/>
      <c r="EW30" s="223"/>
      <c r="EX30" s="223"/>
      <c r="EY30" s="223"/>
      <c r="EZ30" s="223"/>
      <c r="FA30" s="223"/>
      <c r="FB30" s="223"/>
      <c r="FC30" s="223"/>
      <c r="FD30" s="223"/>
      <c r="FE30" s="223"/>
      <c r="FF30" s="223"/>
      <c r="FG30" s="223"/>
      <c r="FH30" s="223"/>
      <c r="FI30" s="223"/>
      <c r="FJ30" s="223"/>
      <c r="FK30" s="223"/>
      <c r="FL30" s="223"/>
      <c r="FM30" s="223"/>
      <c r="FN30" s="223"/>
      <c r="FO30" s="223"/>
      <c r="FP30" s="223"/>
      <c r="FQ30" s="223"/>
      <c r="FR30" s="223"/>
      <c r="FS30" s="223"/>
      <c r="FT30" s="223"/>
      <c r="FU30" s="223"/>
      <c r="FV30" s="223"/>
      <c r="FW30" s="223"/>
      <c r="FX30" s="223"/>
      <c r="FY30" s="223"/>
      <c r="FZ30" s="223"/>
      <c r="GA30" s="223"/>
      <c r="GB30" s="223"/>
      <c r="GC30" s="223"/>
      <c r="GD30" s="223"/>
      <c r="GE30" s="223"/>
      <c r="GF30" s="223"/>
      <c r="GG30" s="223"/>
      <c r="GH30" s="223"/>
      <c r="GI30" s="223"/>
      <c r="GJ30" s="223"/>
      <c r="GK30" s="223"/>
      <c r="GL30" s="223"/>
      <c r="GM30" s="223"/>
      <c r="GN30" s="223"/>
      <c r="GO30" s="223"/>
      <c r="GP30" s="223"/>
      <c r="GQ30" s="223"/>
      <c r="GR30" s="223"/>
      <c r="GS30" s="223"/>
      <c r="GT30" s="223"/>
      <c r="GU30" s="223"/>
      <c r="GV30" s="223"/>
      <c r="GW30" s="223"/>
      <c r="GX30" s="223"/>
      <c r="GY30" s="223"/>
      <c r="GZ30" s="223"/>
      <c r="HA30" s="223"/>
      <c r="HB30" s="223"/>
      <c r="HC30" s="223"/>
      <c r="HD30" s="223"/>
      <c r="HE30" s="223"/>
      <c r="HF30" s="223"/>
      <c r="HG30" s="223"/>
      <c r="HH30" s="223"/>
      <c r="HI30" s="223"/>
      <c r="HJ30" s="223"/>
      <c r="HK30" s="223"/>
      <c r="HL30" s="223"/>
      <c r="HM30" s="223"/>
      <c r="HN30" s="223"/>
      <c r="HO30" s="223"/>
      <c r="HP30" s="223"/>
      <c r="HQ30" s="223"/>
      <c r="HR30" s="223"/>
      <c r="HS30" s="223"/>
      <c r="HT30" s="223"/>
      <c r="HU30" s="223"/>
      <c r="HV30" s="223"/>
      <c r="HW30" s="223"/>
      <c r="HX30" s="223"/>
      <c r="HY30" s="223"/>
      <c r="HZ30" s="223"/>
      <c r="IA30" s="223"/>
      <c r="IB30" s="223"/>
      <c r="IC30" s="223"/>
      <c r="ID30" s="223"/>
      <c r="IE30" s="223"/>
      <c r="IF30" s="223"/>
      <c r="IG30" s="223"/>
      <c r="IH30" s="223"/>
      <c r="II30" s="223"/>
      <c r="IJ30" s="223"/>
      <c r="IK30" s="223"/>
      <c r="IL30" s="223"/>
      <c r="IM30" s="223"/>
      <c r="IN30" s="223"/>
      <c r="IO30" s="223"/>
      <c r="IP30" s="223"/>
      <c r="IQ30" s="223"/>
      <c r="IR30" s="223"/>
      <c r="IS30" s="223"/>
      <c r="IT30" s="223"/>
      <c r="IU30" s="223"/>
      <c r="IV30" s="223"/>
      <c r="IW30" s="223"/>
      <c r="IX30" s="223"/>
      <c r="IY30" s="223"/>
      <c r="IZ30" s="223"/>
      <c r="JA30" s="223"/>
      <c r="JB30" s="223"/>
      <c r="JC30" s="223"/>
      <c r="JD30" s="223"/>
      <c r="JE30" s="223"/>
      <c r="JF30" s="223"/>
      <c r="JG30" s="223"/>
      <c r="JH30" s="223"/>
      <c r="JI30" s="223"/>
      <c r="JJ30" s="223"/>
      <c r="JK30" s="223"/>
      <c r="JL30" s="223"/>
      <c r="JM30" s="223"/>
      <c r="JN30" s="223"/>
      <c r="JO30" s="223"/>
      <c r="JP30" s="223"/>
      <c r="JQ30" s="223"/>
      <c r="JR30" s="223"/>
      <c r="JS30" s="223"/>
      <c r="JT30" s="223"/>
      <c r="JU30" s="223"/>
      <c r="JV30" s="223"/>
      <c r="JW30" s="223"/>
      <c r="JX30" s="223"/>
      <c r="JY30" s="223"/>
      <c r="JZ30" s="223"/>
      <c r="KA30" s="223"/>
      <c r="KB30" s="223"/>
      <c r="KC30" s="223"/>
      <c r="KD30" s="223"/>
      <c r="KE30" s="223"/>
      <c r="KF30" s="223"/>
      <c r="KG30" s="223"/>
      <c r="KH30" s="223"/>
      <c r="KI30" s="223"/>
      <c r="KJ30" s="223"/>
      <c r="KK30" s="223"/>
      <c r="KL30" s="223"/>
      <c r="KM30" s="223"/>
      <c r="KN30" s="223"/>
      <c r="KO30" s="223"/>
      <c r="KP30" s="223"/>
      <c r="KQ30" s="223"/>
      <c r="KR30" s="223"/>
      <c r="KS30" s="223"/>
      <c r="KT30" s="223"/>
      <c r="KU30" s="223"/>
      <c r="KV30" s="223"/>
      <c r="KW30" s="223"/>
      <c r="KX30" s="223"/>
      <c r="KY30" s="223"/>
      <c r="KZ30" s="223"/>
      <c r="LA30" s="223"/>
      <c r="LB30" s="223"/>
      <c r="LC30" s="223"/>
      <c r="LD30" s="223"/>
      <c r="LE30" s="223"/>
      <c r="LF30" s="223"/>
      <c r="LG30" s="223"/>
      <c r="LH30" s="223"/>
      <c r="LI30" s="223"/>
      <c r="LJ30" s="223"/>
      <c r="LK30" s="223"/>
      <c r="LL30" s="223"/>
      <c r="LM30" s="223"/>
      <c r="LN30" s="223"/>
      <c r="LO30" s="223"/>
      <c r="LP30" s="223"/>
      <c r="LQ30" s="223"/>
      <c r="LR30" s="223"/>
      <c r="LS30" s="223"/>
      <c r="LT30" s="223"/>
      <c r="LU30" s="223"/>
    </row>
    <row r="31" spans="1:333" s="78" customFormat="1" ht="37.5" customHeight="1">
      <c r="B31" s="227" t="s">
        <v>742</v>
      </c>
      <c r="C31" s="259">
        <f>SUM(C7:C30)</f>
        <v>5.9</v>
      </c>
      <c r="D31" s="259">
        <f t="shared" ref="D31:BO31" si="1">SUM(D7:D30)</f>
        <v>0</v>
      </c>
      <c r="E31" s="259">
        <f t="shared" si="1"/>
        <v>0</v>
      </c>
      <c r="F31" s="259">
        <f t="shared" si="1"/>
        <v>0</v>
      </c>
      <c r="G31" s="259">
        <f t="shared" si="1"/>
        <v>0</v>
      </c>
      <c r="H31" s="259">
        <f t="shared" si="1"/>
        <v>0</v>
      </c>
      <c r="I31" s="259">
        <f t="shared" si="1"/>
        <v>0</v>
      </c>
      <c r="J31" s="259">
        <f t="shared" si="1"/>
        <v>0</v>
      </c>
      <c r="K31" s="259">
        <f t="shared" si="1"/>
        <v>0</v>
      </c>
      <c r="L31" s="259">
        <f t="shared" si="1"/>
        <v>0</v>
      </c>
      <c r="M31" s="259">
        <f t="shared" si="1"/>
        <v>0</v>
      </c>
      <c r="N31" s="259">
        <f t="shared" si="1"/>
        <v>0</v>
      </c>
      <c r="O31" s="259">
        <f t="shared" si="1"/>
        <v>0</v>
      </c>
      <c r="P31" s="259">
        <f t="shared" si="1"/>
        <v>0</v>
      </c>
      <c r="Q31" s="259">
        <f t="shared" si="1"/>
        <v>0</v>
      </c>
      <c r="R31" s="259">
        <f t="shared" si="1"/>
        <v>0</v>
      </c>
      <c r="S31" s="259">
        <f t="shared" si="1"/>
        <v>0</v>
      </c>
      <c r="T31" s="259">
        <f t="shared" si="1"/>
        <v>0</v>
      </c>
      <c r="U31" s="259">
        <f t="shared" si="1"/>
        <v>0</v>
      </c>
      <c r="V31" s="259">
        <f t="shared" si="1"/>
        <v>0</v>
      </c>
      <c r="W31" s="259">
        <f t="shared" si="1"/>
        <v>0</v>
      </c>
      <c r="X31" s="259">
        <f t="shared" si="1"/>
        <v>0</v>
      </c>
      <c r="Y31" s="259">
        <f t="shared" si="1"/>
        <v>0</v>
      </c>
      <c r="Z31" s="259">
        <f t="shared" si="1"/>
        <v>0</v>
      </c>
      <c r="AA31" s="259">
        <f t="shared" si="1"/>
        <v>0</v>
      </c>
      <c r="AB31" s="259">
        <f t="shared" si="1"/>
        <v>0</v>
      </c>
      <c r="AC31" s="259">
        <f t="shared" si="1"/>
        <v>0</v>
      </c>
      <c r="AD31" s="259">
        <f t="shared" si="1"/>
        <v>0</v>
      </c>
      <c r="AE31" s="259">
        <f t="shared" si="1"/>
        <v>0</v>
      </c>
      <c r="AF31" s="259">
        <f t="shared" si="1"/>
        <v>0</v>
      </c>
      <c r="AG31" s="259">
        <f t="shared" si="1"/>
        <v>0</v>
      </c>
      <c r="AH31" s="259">
        <f t="shared" si="1"/>
        <v>0</v>
      </c>
      <c r="AI31" s="259">
        <f t="shared" si="1"/>
        <v>0</v>
      </c>
      <c r="AJ31" s="259">
        <f t="shared" si="1"/>
        <v>0</v>
      </c>
      <c r="AK31" s="259">
        <f t="shared" si="1"/>
        <v>0</v>
      </c>
      <c r="AL31" s="259">
        <f t="shared" si="1"/>
        <v>0</v>
      </c>
      <c r="AM31" s="259">
        <f t="shared" si="1"/>
        <v>0</v>
      </c>
      <c r="AN31" s="259">
        <f t="shared" si="1"/>
        <v>0</v>
      </c>
      <c r="AO31" s="259">
        <f t="shared" si="1"/>
        <v>0</v>
      </c>
      <c r="AP31" s="259">
        <f t="shared" si="1"/>
        <v>0</v>
      </c>
      <c r="AQ31" s="259">
        <f t="shared" si="1"/>
        <v>0</v>
      </c>
      <c r="AR31" s="259">
        <f t="shared" si="1"/>
        <v>0</v>
      </c>
      <c r="AS31" s="259">
        <f t="shared" si="1"/>
        <v>0</v>
      </c>
      <c r="AT31" s="259">
        <f t="shared" si="1"/>
        <v>0</v>
      </c>
      <c r="AU31" s="259">
        <f t="shared" si="1"/>
        <v>0</v>
      </c>
      <c r="AV31" s="259">
        <f t="shared" si="1"/>
        <v>0</v>
      </c>
      <c r="AW31" s="259">
        <f t="shared" si="1"/>
        <v>0</v>
      </c>
      <c r="AX31" s="259">
        <f t="shared" si="1"/>
        <v>0</v>
      </c>
      <c r="AY31" s="259">
        <f t="shared" si="1"/>
        <v>0</v>
      </c>
      <c r="AZ31" s="259">
        <f t="shared" si="1"/>
        <v>0</v>
      </c>
      <c r="BA31" s="259">
        <f t="shared" si="1"/>
        <v>0</v>
      </c>
      <c r="BB31" s="259">
        <f t="shared" si="1"/>
        <v>0</v>
      </c>
      <c r="BC31" s="259">
        <f t="shared" si="1"/>
        <v>0</v>
      </c>
      <c r="BD31" s="259">
        <f t="shared" si="1"/>
        <v>0</v>
      </c>
      <c r="BE31" s="259">
        <f t="shared" si="1"/>
        <v>0</v>
      </c>
      <c r="BF31" s="259">
        <f t="shared" si="1"/>
        <v>0</v>
      </c>
      <c r="BG31" s="259">
        <f t="shared" si="1"/>
        <v>0</v>
      </c>
      <c r="BH31" s="259">
        <f t="shared" si="1"/>
        <v>0</v>
      </c>
      <c r="BI31" s="259">
        <f t="shared" si="1"/>
        <v>0</v>
      </c>
      <c r="BJ31" s="259">
        <f t="shared" si="1"/>
        <v>0</v>
      </c>
      <c r="BK31" s="259">
        <f t="shared" si="1"/>
        <v>0</v>
      </c>
      <c r="BL31" s="259">
        <f t="shared" si="1"/>
        <v>0</v>
      </c>
      <c r="BM31" s="259">
        <f t="shared" si="1"/>
        <v>0</v>
      </c>
      <c r="BN31" s="259">
        <f t="shared" si="1"/>
        <v>0</v>
      </c>
      <c r="BO31" s="259">
        <f t="shared" si="1"/>
        <v>0</v>
      </c>
      <c r="BP31" s="259">
        <f t="shared" ref="BP31:EA31" si="2">SUM(BP7:BP30)</f>
        <v>0</v>
      </c>
      <c r="BQ31" s="259">
        <f t="shared" si="2"/>
        <v>0</v>
      </c>
      <c r="BR31" s="259">
        <f t="shared" si="2"/>
        <v>0</v>
      </c>
      <c r="BS31" s="259">
        <f t="shared" si="2"/>
        <v>0</v>
      </c>
      <c r="BT31" s="259">
        <f t="shared" si="2"/>
        <v>0</v>
      </c>
      <c r="BU31" s="259">
        <f t="shared" si="2"/>
        <v>0</v>
      </c>
      <c r="BV31" s="259">
        <f t="shared" si="2"/>
        <v>0</v>
      </c>
      <c r="BW31" s="259">
        <f t="shared" si="2"/>
        <v>0</v>
      </c>
      <c r="BX31" s="259">
        <f t="shared" si="2"/>
        <v>0</v>
      </c>
      <c r="BY31" s="259">
        <f t="shared" si="2"/>
        <v>0</v>
      </c>
      <c r="BZ31" s="259">
        <f t="shared" si="2"/>
        <v>0</v>
      </c>
      <c r="CA31" s="259">
        <f t="shared" si="2"/>
        <v>0</v>
      </c>
      <c r="CB31" s="259">
        <f t="shared" si="2"/>
        <v>0</v>
      </c>
      <c r="CC31" s="259">
        <f t="shared" si="2"/>
        <v>0</v>
      </c>
      <c r="CD31" s="259">
        <f t="shared" si="2"/>
        <v>0</v>
      </c>
      <c r="CE31" s="259">
        <f t="shared" si="2"/>
        <v>0</v>
      </c>
      <c r="CF31" s="259">
        <f t="shared" si="2"/>
        <v>0</v>
      </c>
      <c r="CG31" s="259">
        <f t="shared" si="2"/>
        <v>0</v>
      </c>
      <c r="CH31" s="259">
        <f t="shared" si="2"/>
        <v>0</v>
      </c>
      <c r="CI31" s="259">
        <f t="shared" si="2"/>
        <v>0</v>
      </c>
      <c r="CJ31" s="259">
        <f t="shared" si="2"/>
        <v>0</v>
      </c>
      <c r="CK31" s="259">
        <f t="shared" si="2"/>
        <v>0</v>
      </c>
      <c r="CL31" s="259">
        <f t="shared" si="2"/>
        <v>0</v>
      </c>
      <c r="CM31" s="259">
        <f t="shared" si="2"/>
        <v>0</v>
      </c>
      <c r="CN31" s="259">
        <f t="shared" si="2"/>
        <v>0</v>
      </c>
      <c r="CO31" s="259">
        <f t="shared" si="2"/>
        <v>0</v>
      </c>
      <c r="CP31" s="259">
        <f t="shared" si="2"/>
        <v>0</v>
      </c>
      <c r="CQ31" s="259">
        <f t="shared" si="2"/>
        <v>0</v>
      </c>
      <c r="CR31" s="259">
        <f t="shared" si="2"/>
        <v>0</v>
      </c>
      <c r="CS31" s="259">
        <f t="shared" si="2"/>
        <v>0</v>
      </c>
      <c r="CT31" s="259">
        <f t="shared" si="2"/>
        <v>0</v>
      </c>
      <c r="CU31" s="259">
        <f t="shared" si="2"/>
        <v>0</v>
      </c>
      <c r="CV31" s="259">
        <f t="shared" si="2"/>
        <v>0</v>
      </c>
      <c r="CW31" s="259">
        <f t="shared" si="2"/>
        <v>0</v>
      </c>
      <c r="CX31" s="259">
        <f t="shared" si="2"/>
        <v>0</v>
      </c>
      <c r="CY31" s="259">
        <f t="shared" si="2"/>
        <v>0</v>
      </c>
      <c r="CZ31" s="259">
        <f t="shared" si="2"/>
        <v>0</v>
      </c>
      <c r="DA31" s="259">
        <f t="shared" si="2"/>
        <v>0</v>
      </c>
      <c r="DB31" s="259">
        <f t="shared" si="2"/>
        <v>0</v>
      </c>
      <c r="DC31" s="259">
        <f t="shared" si="2"/>
        <v>0</v>
      </c>
      <c r="DD31" s="259">
        <f t="shared" si="2"/>
        <v>0</v>
      </c>
      <c r="DE31" s="259">
        <f t="shared" si="2"/>
        <v>0</v>
      </c>
      <c r="DF31" s="259">
        <f t="shared" si="2"/>
        <v>0</v>
      </c>
      <c r="DG31" s="259">
        <f t="shared" si="2"/>
        <v>0</v>
      </c>
      <c r="DH31" s="259">
        <f t="shared" si="2"/>
        <v>0</v>
      </c>
      <c r="DI31" s="259">
        <f t="shared" si="2"/>
        <v>0</v>
      </c>
      <c r="DJ31" s="259">
        <f t="shared" si="2"/>
        <v>0</v>
      </c>
      <c r="DK31" s="259">
        <f t="shared" si="2"/>
        <v>0</v>
      </c>
      <c r="DL31" s="259">
        <f t="shared" si="2"/>
        <v>0</v>
      </c>
      <c r="DM31" s="259">
        <f t="shared" si="2"/>
        <v>0</v>
      </c>
      <c r="DN31" s="259">
        <f t="shared" si="2"/>
        <v>0</v>
      </c>
      <c r="DO31" s="259">
        <f t="shared" si="2"/>
        <v>0</v>
      </c>
      <c r="DP31" s="259">
        <f t="shared" si="2"/>
        <v>0</v>
      </c>
      <c r="DQ31" s="259">
        <f t="shared" si="2"/>
        <v>0</v>
      </c>
      <c r="DR31" s="259">
        <f t="shared" si="2"/>
        <v>0</v>
      </c>
      <c r="DS31" s="259">
        <f t="shared" si="2"/>
        <v>0</v>
      </c>
      <c r="DT31" s="259">
        <f t="shared" si="2"/>
        <v>0</v>
      </c>
      <c r="DU31" s="259">
        <f t="shared" si="2"/>
        <v>0</v>
      </c>
      <c r="DV31" s="259">
        <f t="shared" si="2"/>
        <v>0</v>
      </c>
      <c r="DW31" s="259">
        <f t="shared" si="2"/>
        <v>0</v>
      </c>
      <c r="DX31" s="259">
        <f t="shared" si="2"/>
        <v>0</v>
      </c>
      <c r="DY31" s="259">
        <f t="shared" si="2"/>
        <v>0</v>
      </c>
      <c r="DZ31" s="259">
        <f t="shared" si="2"/>
        <v>0</v>
      </c>
      <c r="EA31" s="259">
        <f t="shared" si="2"/>
        <v>0</v>
      </c>
      <c r="EB31" s="259">
        <f t="shared" ref="EB31:GM31" si="3">SUM(EB7:EB30)</f>
        <v>0</v>
      </c>
      <c r="EC31" s="259">
        <f t="shared" si="3"/>
        <v>0</v>
      </c>
      <c r="ED31" s="259">
        <f t="shared" si="3"/>
        <v>0</v>
      </c>
      <c r="EE31" s="259">
        <f t="shared" si="3"/>
        <v>0</v>
      </c>
      <c r="EF31" s="259">
        <f t="shared" si="3"/>
        <v>0</v>
      </c>
      <c r="EG31" s="259">
        <f t="shared" si="3"/>
        <v>0</v>
      </c>
      <c r="EH31" s="259">
        <f t="shared" si="3"/>
        <v>0</v>
      </c>
      <c r="EI31" s="259">
        <f t="shared" si="3"/>
        <v>0</v>
      </c>
      <c r="EJ31" s="259">
        <f t="shared" si="3"/>
        <v>0</v>
      </c>
      <c r="EK31" s="259">
        <f t="shared" si="3"/>
        <v>0</v>
      </c>
      <c r="EL31" s="259">
        <f t="shared" si="3"/>
        <v>0</v>
      </c>
      <c r="EM31" s="259">
        <f t="shared" si="3"/>
        <v>0</v>
      </c>
      <c r="EN31" s="259">
        <f t="shared" si="3"/>
        <v>0</v>
      </c>
      <c r="EO31" s="259">
        <f t="shared" si="3"/>
        <v>0</v>
      </c>
      <c r="EP31" s="259">
        <f t="shared" si="3"/>
        <v>0</v>
      </c>
      <c r="EQ31" s="259">
        <f t="shared" si="3"/>
        <v>0</v>
      </c>
      <c r="ER31" s="259">
        <f t="shared" si="3"/>
        <v>0</v>
      </c>
      <c r="ES31" s="259">
        <f t="shared" si="3"/>
        <v>0</v>
      </c>
      <c r="ET31" s="259">
        <f t="shared" si="3"/>
        <v>0</v>
      </c>
      <c r="EU31" s="259">
        <f t="shared" si="3"/>
        <v>0</v>
      </c>
      <c r="EV31" s="259">
        <f t="shared" si="3"/>
        <v>0</v>
      </c>
      <c r="EW31" s="259">
        <f t="shared" si="3"/>
        <v>0</v>
      </c>
      <c r="EX31" s="259">
        <f t="shared" si="3"/>
        <v>0</v>
      </c>
      <c r="EY31" s="259">
        <f t="shared" si="3"/>
        <v>0</v>
      </c>
      <c r="EZ31" s="259">
        <f t="shared" si="3"/>
        <v>0</v>
      </c>
      <c r="FA31" s="259">
        <f t="shared" si="3"/>
        <v>0</v>
      </c>
      <c r="FB31" s="259">
        <f t="shared" si="3"/>
        <v>0</v>
      </c>
      <c r="FC31" s="259">
        <f t="shared" si="3"/>
        <v>0</v>
      </c>
      <c r="FD31" s="259">
        <f t="shared" si="3"/>
        <v>0</v>
      </c>
      <c r="FE31" s="259">
        <f t="shared" si="3"/>
        <v>0</v>
      </c>
      <c r="FF31" s="259">
        <f t="shared" si="3"/>
        <v>0</v>
      </c>
      <c r="FG31" s="259">
        <f t="shared" si="3"/>
        <v>0</v>
      </c>
      <c r="FH31" s="259">
        <f t="shared" si="3"/>
        <v>0</v>
      </c>
      <c r="FI31" s="259">
        <f t="shared" si="3"/>
        <v>0</v>
      </c>
      <c r="FJ31" s="259">
        <f t="shared" si="3"/>
        <v>0</v>
      </c>
      <c r="FK31" s="259">
        <f t="shared" si="3"/>
        <v>0</v>
      </c>
      <c r="FL31" s="259">
        <f t="shared" si="3"/>
        <v>0</v>
      </c>
      <c r="FM31" s="259">
        <f t="shared" si="3"/>
        <v>0</v>
      </c>
      <c r="FN31" s="259">
        <f t="shared" si="3"/>
        <v>0</v>
      </c>
      <c r="FO31" s="259">
        <f t="shared" si="3"/>
        <v>0</v>
      </c>
      <c r="FP31" s="259">
        <f t="shared" si="3"/>
        <v>0</v>
      </c>
      <c r="FQ31" s="259">
        <f t="shared" si="3"/>
        <v>0</v>
      </c>
      <c r="FR31" s="259">
        <f t="shared" si="3"/>
        <v>0</v>
      </c>
      <c r="FS31" s="259">
        <f t="shared" si="3"/>
        <v>0</v>
      </c>
      <c r="FT31" s="259">
        <f t="shared" si="3"/>
        <v>0</v>
      </c>
      <c r="FU31" s="259">
        <f t="shared" si="3"/>
        <v>0</v>
      </c>
      <c r="FV31" s="259">
        <f t="shared" si="3"/>
        <v>0</v>
      </c>
      <c r="FW31" s="259">
        <f t="shared" si="3"/>
        <v>0</v>
      </c>
      <c r="FX31" s="259">
        <f t="shared" si="3"/>
        <v>0</v>
      </c>
      <c r="FY31" s="259">
        <f t="shared" si="3"/>
        <v>0</v>
      </c>
      <c r="FZ31" s="259">
        <f t="shared" si="3"/>
        <v>0</v>
      </c>
      <c r="GA31" s="259">
        <f t="shared" si="3"/>
        <v>0</v>
      </c>
      <c r="GB31" s="259">
        <f t="shared" si="3"/>
        <v>0</v>
      </c>
      <c r="GC31" s="259">
        <f t="shared" si="3"/>
        <v>0</v>
      </c>
      <c r="GD31" s="259">
        <f t="shared" si="3"/>
        <v>0</v>
      </c>
      <c r="GE31" s="259">
        <f t="shared" si="3"/>
        <v>0</v>
      </c>
      <c r="GF31" s="259">
        <f t="shared" si="3"/>
        <v>0</v>
      </c>
      <c r="GG31" s="259">
        <f t="shared" si="3"/>
        <v>0</v>
      </c>
      <c r="GH31" s="259">
        <f t="shared" si="3"/>
        <v>0</v>
      </c>
      <c r="GI31" s="259">
        <f t="shared" si="3"/>
        <v>0</v>
      </c>
      <c r="GJ31" s="259">
        <f t="shared" si="3"/>
        <v>0</v>
      </c>
      <c r="GK31" s="259">
        <f t="shared" si="3"/>
        <v>0</v>
      </c>
      <c r="GL31" s="259">
        <f t="shared" si="3"/>
        <v>0</v>
      </c>
      <c r="GM31" s="259">
        <f t="shared" si="3"/>
        <v>0</v>
      </c>
      <c r="GN31" s="259">
        <f t="shared" ref="GN31:GS31" si="4">SUM(GN7:GN30)</f>
        <v>0</v>
      </c>
      <c r="GO31" s="259">
        <f t="shared" si="4"/>
        <v>0</v>
      </c>
      <c r="GP31" s="259">
        <f t="shared" si="4"/>
        <v>0</v>
      </c>
      <c r="GQ31" s="259">
        <f t="shared" si="4"/>
        <v>0</v>
      </c>
      <c r="GR31" s="259">
        <f t="shared" si="4"/>
        <v>0</v>
      </c>
      <c r="GS31" s="259">
        <f t="shared" si="4"/>
        <v>0</v>
      </c>
      <c r="GT31" s="259"/>
      <c r="GU31" s="259"/>
      <c r="GV31" s="259"/>
      <c r="GW31" s="259"/>
      <c r="GX31" s="259"/>
      <c r="GY31" s="259"/>
      <c r="GZ31" s="259"/>
      <c r="HA31" s="259"/>
      <c r="HB31" s="259"/>
      <c r="HC31" s="259"/>
      <c r="HD31" s="259"/>
      <c r="HE31" s="259"/>
      <c r="HF31" s="259"/>
      <c r="HG31" s="259"/>
      <c r="HH31" s="259"/>
      <c r="HI31" s="259"/>
      <c r="HJ31" s="259"/>
      <c r="HK31" s="259"/>
      <c r="HL31" s="259"/>
      <c r="HM31" s="259"/>
      <c r="HN31" s="259"/>
      <c r="HO31" s="259"/>
      <c r="HP31" s="259"/>
      <c r="HQ31" s="259"/>
      <c r="HR31" s="259"/>
      <c r="HS31" s="259"/>
      <c r="HT31" s="259"/>
      <c r="HU31" s="259"/>
      <c r="HV31" s="259"/>
      <c r="HW31" s="259"/>
      <c r="HX31" s="259"/>
      <c r="HY31" s="259"/>
      <c r="HZ31" s="259"/>
      <c r="IA31" s="259"/>
      <c r="IB31" s="259"/>
      <c r="IC31" s="259"/>
      <c r="ID31" s="259"/>
      <c r="IE31" s="259"/>
      <c r="IF31" s="259"/>
      <c r="IG31" s="259"/>
      <c r="IH31" s="259"/>
      <c r="II31" s="259"/>
      <c r="IJ31" s="259"/>
      <c r="IK31" s="259"/>
      <c r="IL31" s="259"/>
      <c r="IM31" s="259"/>
      <c r="IN31" s="259"/>
      <c r="IO31" s="259"/>
      <c r="IP31" s="259"/>
      <c r="IQ31" s="259"/>
      <c r="IR31" s="259"/>
      <c r="IS31" s="259"/>
      <c r="IT31" s="259"/>
      <c r="IU31" s="259"/>
      <c r="IV31" s="259"/>
      <c r="IW31" s="259"/>
      <c r="IX31" s="259"/>
      <c r="IY31" s="259"/>
      <c r="IZ31" s="259"/>
      <c r="JA31" s="259"/>
      <c r="JB31" s="259"/>
      <c r="JC31" s="259"/>
      <c r="JD31" s="259"/>
      <c r="JE31" s="259"/>
      <c r="JF31" s="259"/>
      <c r="JG31" s="259"/>
      <c r="JH31" s="259"/>
      <c r="JI31" s="259"/>
      <c r="JJ31" s="259"/>
      <c r="JK31" s="259"/>
      <c r="JL31" s="259"/>
      <c r="JM31" s="259"/>
      <c r="JN31" s="259"/>
      <c r="JO31" s="259"/>
      <c r="JP31" s="259"/>
      <c r="JQ31" s="259"/>
      <c r="JR31" s="259"/>
      <c r="JS31" s="259"/>
      <c r="JT31" s="259"/>
      <c r="JU31" s="259"/>
      <c r="JV31" s="259"/>
      <c r="JW31" s="259"/>
      <c r="JX31" s="259"/>
      <c r="JY31" s="259"/>
      <c r="JZ31" s="259"/>
      <c r="KA31" s="259"/>
      <c r="KB31" s="259"/>
      <c r="KC31" s="259"/>
      <c r="KD31" s="259"/>
      <c r="KE31" s="259"/>
      <c r="KF31" s="259"/>
      <c r="KG31" s="259"/>
      <c r="KH31" s="259"/>
      <c r="KI31" s="259"/>
      <c r="KJ31" s="259"/>
      <c r="KK31" s="259"/>
      <c r="KL31" s="259"/>
      <c r="KM31" s="259"/>
      <c r="KN31" s="259"/>
      <c r="KO31" s="259"/>
      <c r="KP31" s="259"/>
      <c r="KQ31" s="259"/>
      <c r="KR31" s="259"/>
      <c r="KS31" s="259"/>
      <c r="KT31" s="259"/>
      <c r="KU31" s="259"/>
      <c r="KV31" s="259"/>
      <c r="KW31" s="259"/>
      <c r="KX31" s="259"/>
      <c r="KY31" s="259"/>
      <c r="KZ31" s="259"/>
      <c r="LA31" s="259"/>
      <c r="LB31" s="259"/>
      <c r="LC31" s="259"/>
      <c r="LD31" s="259"/>
      <c r="LE31" s="259"/>
      <c r="LF31" s="259"/>
      <c r="LG31" s="259"/>
      <c r="LH31" s="259"/>
      <c r="LI31" s="259"/>
      <c r="LJ31" s="259"/>
      <c r="LK31" s="259"/>
      <c r="LL31" s="259"/>
      <c r="LM31" s="259"/>
      <c r="LN31" s="259"/>
      <c r="LO31" s="259"/>
      <c r="LP31" s="259"/>
      <c r="LQ31" s="259"/>
      <c r="LR31" s="259"/>
      <c r="LS31" s="259"/>
      <c r="LT31" s="259"/>
      <c r="LU31" s="259"/>
    </row>
    <row r="32" spans="1:333" s="77" customFormat="1">
      <c r="A32" s="78"/>
    </row>
    <row r="34" ht="39.950000000000003" customHeight="1"/>
    <row r="38" ht="53.1" customHeight="1"/>
    <row r="39" ht="50.1" customHeight="1"/>
    <row r="40" ht="57" customHeight="1"/>
    <row r="41" ht="60.95" customHeight="1"/>
  </sheetData>
  <conditionalFormatting sqref="C5:V6 C7:CN30">
    <cfRule type="expression" dxfId="810" priority="13">
      <formula xml:space="preserve"> INDIRECT(CHAR(COLUMN()+96) &amp; 4) = TODAY() * NOT(ISBLANK(INDIRECT(CHAR(COLUMN()+96) &amp; ROW())))</formula>
    </cfRule>
    <cfRule type="expression" dxfId="809" priority="25">
      <formula xml:space="preserve"> INDIRECT(CHAR(COLUMN()+96) &amp; 4) = TODAY() * ISBLANK(INDIRECT(CHAR(COLUMN()+96) &amp; ROW()))</formula>
    </cfRule>
  </conditionalFormatting>
  <conditionalFormatting sqref="A5:B6 W5:XFD6 A4:XFD4">
    <cfRule type="timePeriod" dxfId="808" priority="28" timePeriod="today">
      <formula>FLOOR(A4,1)=TODAY()</formula>
    </cfRule>
    <cfRule type="timePeriod" dxfId="807" priority="29" timePeriod="tomorrow">
      <formula>FLOOR(A4,1)=TODAY()+1</formula>
    </cfRule>
    <cfRule type="timePeriod" dxfId="806" priority="30" timePeriod="yesterday">
      <formula>FLOOR(A4,1)=TODAY()-1</formula>
    </cfRule>
  </conditionalFormatting>
  <conditionalFormatting sqref="A7:LU30">
    <cfRule type="expression" dxfId="805" priority="12">
      <formula>INDIRECT("A"&amp;3) = INDIRECT("A"&amp;ROW())</formula>
    </cfRule>
  </conditionalFormatting>
  <conditionalFormatting sqref="A2:A3 A1:XFD1 B2:XFD2">
    <cfRule type="expression" dxfId="804" priority="22">
      <formula xml:space="preserve"> INDIRECT(CHAR(COLUMN()+96) &amp; 4) = TODAY() * ISBLANK(INDIRECT(CHAR(COLUMN()+96) &amp; ROW()))</formula>
    </cfRule>
  </conditionalFormatting>
  <conditionalFormatting sqref="A31:XFD31">
    <cfRule type="colorScale" priority="2">
      <colorScale>
        <cfvo type="num" val="0"/>
        <cfvo type="num" val="0.5"/>
        <cfvo type="num" val="1"/>
        <color rgb="FFF8696B"/>
        <color rgb="FFFFEB84"/>
        <color rgb="FF63BE7B"/>
      </colorScale>
    </cfRule>
  </conditionalFormatting>
  <conditionalFormatting sqref="C7:LT30">
    <cfRule type="colorScale" priority="1">
      <colorScale>
        <cfvo type="num" val="0"/>
        <cfvo type="num" val="0.5"/>
        <cfvo type="num" val="1"/>
        <color rgb="FFF8696B"/>
        <color rgb="FFFFEB84"/>
        <color rgb="FF63BE7B"/>
      </colorScale>
    </cfRule>
  </conditionalFormatting>
  <hyperlinks>
    <hyperlink ref="G6" r:id="rId1"/>
  </hyperlinks>
  <pageMargins left="0.7" right="0.7" top="0.75" bottom="0.75" header="0.3" footer="0.3"/>
  <pageSetup paperSize="9" orientation="portrait" horizontalDpi="4294967293"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6" workbookViewId="0">
      <selection activeCell="E11" sqref="E11"/>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43172</v>
      </c>
      <c r="B1" s="69"/>
    </row>
    <row r="2" spans="1:45" s="141" customFormat="1" ht="33.75" customHeight="1">
      <c r="A2" s="140">
        <f ca="1">NOW()</f>
        <v>43172.882702083334</v>
      </c>
      <c r="B2" s="140"/>
      <c r="E2" s="142" t="s">
        <v>618</v>
      </c>
      <c r="F2" s="142"/>
      <c r="G2" s="142"/>
      <c r="J2" s="142"/>
      <c r="K2" s="142"/>
      <c r="L2" s="142"/>
    </row>
    <row r="3" spans="1:45" s="169" customFormat="1">
      <c r="A3" s="175"/>
      <c r="B3" s="169" t="s">
        <v>623</v>
      </c>
      <c r="H3" s="174"/>
      <c r="I3" s="174"/>
    </row>
    <row r="4" spans="1:45" s="168" customFormat="1">
      <c r="A4" s="166"/>
      <c r="B4" s="167" t="s">
        <v>43</v>
      </c>
      <c r="C4" s="168" t="s">
        <v>650</v>
      </c>
      <c r="D4" s="168" t="s">
        <v>9</v>
      </c>
      <c r="E4" s="168" t="s">
        <v>652</v>
      </c>
      <c r="F4" s="168" t="s">
        <v>662</v>
      </c>
      <c r="G4" s="168" t="s">
        <v>24</v>
      </c>
      <c r="H4" s="168" t="s">
        <v>651</v>
      </c>
      <c r="I4" s="168" t="s">
        <v>625</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653</v>
      </c>
      <c r="E5" s="177" t="s">
        <v>660</v>
      </c>
      <c r="F5" s="184" t="s">
        <v>654</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642</v>
      </c>
      <c r="D6" s="1" t="s">
        <v>645</v>
      </c>
      <c r="E6" s="177" t="s">
        <v>643</v>
      </c>
      <c r="F6" s="178" t="s">
        <v>663</v>
      </c>
      <c r="G6" s="170">
        <v>0.4</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711</v>
      </c>
      <c r="E7" s="177" t="s">
        <v>726</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677</v>
      </c>
      <c r="E8" s="171" t="s">
        <v>727</v>
      </c>
      <c r="F8" s="184"/>
      <c r="G8" s="203">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646</v>
      </c>
      <c r="E9" s="177" t="s">
        <v>641</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676</v>
      </c>
      <c r="E10" s="177" t="s">
        <v>728</v>
      </c>
      <c r="F10" s="2"/>
      <c r="G10" s="170">
        <v>0.02</v>
      </c>
      <c r="H10" s="64"/>
      <c r="I10" s="51"/>
    </row>
    <row r="11" spans="1:45" ht="89.25" customHeight="1">
      <c r="B11" s="165">
        <v>4.5</v>
      </c>
      <c r="C11" s="2" t="s">
        <v>664</v>
      </c>
      <c r="D11" s="1" t="s">
        <v>666</v>
      </c>
      <c r="E11" s="177" t="s">
        <v>665</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1" zoomScale="105" zoomScaleNormal="70" zoomScalePageLayoutView="70" workbookViewId="0">
      <selection activeCell="F6" sqref="F6"/>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43172</v>
      </c>
      <c r="B1" s="69"/>
      <c r="C1" s="69"/>
    </row>
    <row r="2" spans="1:46" s="141" customFormat="1" ht="26.25" customHeight="1">
      <c r="A2" s="140">
        <f ca="1">NOW()</f>
        <v>43172.882702083334</v>
      </c>
      <c r="B2" s="140"/>
      <c r="C2" s="140"/>
      <c r="F2" s="142" t="s">
        <v>618</v>
      </c>
      <c r="G2" s="142"/>
      <c r="J2" s="142"/>
      <c r="K2" s="142"/>
      <c r="L2" s="142"/>
      <c r="M2" s="142"/>
      <c r="N2" s="142"/>
    </row>
    <row r="3" spans="1:46" s="169" customFormat="1">
      <c r="A3" s="175"/>
      <c r="B3" s="198" t="s">
        <v>623</v>
      </c>
      <c r="H3" s="174"/>
      <c r="I3" s="174"/>
    </row>
    <row r="4" spans="1:46" s="168" customFormat="1">
      <c r="A4" s="166"/>
      <c r="B4" s="167" t="s">
        <v>43</v>
      </c>
      <c r="C4" s="167" t="s">
        <v>661</v>
      </c>
      <c r="D4" s="168" t="s">
        <v>23</v>
      </c>
      <c r="E4" s="168" t="s">
        <v>635</v>
      </c>
      <c r="F4" s="168" t="s">
        <v>640</v>
      </c>
      <c r="G4" s="168" t="s">
        <v>621</v>
      </c>
      <c r="H4" s="168" t="s">
        <v>620</v>
      </c>
      <c r="I4" s="168" t="s">
        <v>625</v>
      </c>
      <c r="J4" s="168" t="s">
        <v>622</v>
      </c>
      <c r="K4" s="168" t="s">
        <v>639</v>
      </c>
    </row>
    <row r="5" spans="1:46" ht="193.5" customHeight="1">
      <c r="B5" s="165">
        <v>16</v>
      </c>
      <c r="C5" s="165">
        <v>20</v>
      </c>
      <c r="D5" s="2" t="s">
        <v>53</v>
      </c>
      <c r="F5" s="199" t="s">
        <v>739</v>
      </c>
      <c r="G5" s="2"/>
      <c r="H5" s="170">
        <v>0.2</v>
      </c>
      <c r="I5" s="51">
        <v>43160</v>
      </c>
      <c r="K5" s="172">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0</v>
      </c>
      <c r="C6" s="165">
        <v>20</v>
      </c>
      <c r="D6" s="2" t="s">
        <v>619</v>
      </c>
      <c r="E6" s="1" t="s">
        <v>712</v>
      </c>
      <c r="F6" s="200" t="s">
        <v>718</v>
      </c>
      <c r="G6" s="184" t="s">
        <v>626</v>
      </c>
      <c r="H6" s="170">
        <v>0.1</v>
      </c>
      <c r="I6" s="51">
        <v>43177</v>
      </c>
      <c r="J6" s="1" t="s">
        <v>628</v>
      </c>
      <c r="K6" s="172">
        <v>43164</v>
      </c>
    </row>
    <row r="7" spans="1:46" ht="149.25" customHeight="1">
      <c r="B7" s="165">
        <v>0</v>
      </c>
      <c r="C7" s="165">
        <v>14</v>
      </c>
      <c r="D7" s="2" t="s">
        <v>262</v>
      </c>
      <c r="E7" s="1" t="s">
        <v>710</v>
      </c>
      <c r="F7" s="199" t="s">
        <v>709</v>
      </c>
      <c r="G7" s="184" t="s">
        <v>632</v>
      </c>
      <c r="H7" s="170">
        <v>1</v>
      </c>
      <c r="I7" s="51">
        <v>43160</v>
      </c>
      <c r="J7" s="1" t="s">
        <v>630</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13</v>
      </c>
      <c r="C8" s="165">
        <v>12</v>
      </c>
      <c r="D8" s="2" t="s">
        <v>263</v>
      </c>
      <c r="F8" s="200" t="s">
        <v>707</v>
      </c>
      <c r="G8" s="2"/>
      <c r="H8" s="170">
        <v>0.5</v>
      </c>
      <c r="I8" s="51">
        <v>43165</v>
      </c>
      <c r="J8" s="1" t="s">
        <v>668</v>
      </c>
      <c r="K8" s="173">
        <v>43178</v>
      </c>
    </row>
    <row r="9" spans="1:46" ht="144" customHeight="1">
      <c r="B9" s="165">
        <v>16</v>
      </c>
      <c r="C9" s="165">
        <v>11</v>
      </c>
      <c r="D9" s="2" t="s">
        <v>52</v>
      </c>
      <c r="F9" s="199" t="s">
        <v>705</v>
      </c>
      <c r="G9" s="184" t="s">
        <v>627</v>
      </c>
      <c r="H9" s="170">
        <v>0.5</v>
      </c>
      <c r="I9" s="51">
        <v>43161</v>
      </c>
      <c r="J9" s="1" t="s">
        <v>633</v>
      </c>
      <c r="K9" s="173">
        <v>43171</v>
      </c>
    </row>
    <row r="10" spans="1:46" ht="106.5" customHeight="1">
      <c r="B10" s="165">
        <v>9</v>
      </c>
      <c r="C10" s="165">
        <v>11</v>
      </c>
      <c r="D10" s="176" t="s">
        <v>208</v>
      </c>
      <c r="F10" s="199" t="s">
        <v>706</v>
      </c>
      <c r="G10" s="178"/>
      <c r="H10" s="170">
        <v>0.2</v>
      </c>
      <c r="I10" s="51">
        <v>43189</v>
      </c>
      <c r="J10" s="1" t="s">
        <v>629</v>
      </c>
      <c r="K10" s="173">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624</v>
      </c>
      <c r="F11" s="171"/>
      <c r="G11" s="178"/>
      <c r="H11" s="170">
        <v>0</v>
      </c>
      <c r="I11" s="51">
        <f ca="1">TODAY()+300</f>
        <v>43472</v>
      </c>
      <c r="K11" s="173" t="s">
        <v>631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644</v>
      </c>
      <c r="E12" s="2"/>
      <c r="F12" s="179"/>
      <c r="G12" s="178"/>
      <c r="H12" s="180">
        <v>0</v>
      </c>
      <c r="I12" s="181"/>
      <c r="J12" s="39"/>
      <c r="K12" s="182" t="s">
        <v>631</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6" workbookViewId="0">
      <selection activeCell="D48" sqref="D48"/>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268</v>
      </c>
      <c r="E28" s="129" t="s">
        <v>264</v>
      </c>
      <c r="F28" s="134">
        <v>16</v>
      </c>
      <c r="G28" s="135"/>
      <c r="H28" s="135"/>
      <c r="I28" s="135"/>
      <c r="J28" s="136"/>
    </row>
    <row r="29" spans="1:10" ht="74.099999999999994" customHeight="1">
      <c r="B29" s="111">
        <v>43153</v>
      </c>
      <c r="C29" s="133"/>
      <c r="D29" s="129" t="s">
        <v>269</v>
      </c>
      <c r="E29" s="129"/>
      <c r="F29" s="134">
        <v>16</v>
      </c>
      <c r="G29" s="135"/>
      <c r="H29" s="135"/>
      <c r="I29" s="135"/>
      <c r="J29" s="136"/>
    </row>
    <row r="30" spans="1:10" ht="131.25" customHeight="1">
      <c r="B30" s="111">
        <v>43154</v>
      </c>
      <c r="C30" s="133"/>
      <c r="D30" s="129" t="s">
        <v>272</v>
      </c>
      <c r="E30" s="129"/>
      <c r="F30" s="134">
        <v>16</v>
      </c>
      <c r="G30" s="135"/>
      <c r="H30" s="135"/>
      <c r="I30" s="135"/>
      <c r="J30" s="136"/>
    </row>
    <row r="31" spans="1:10" ht="245.25" customHeight="1">
      <c r="B31" s="111">
        <v>43155</v>
      </c>
      <c r="C31" s="133" t="s">
        <v>606</v>
      </c>
      <c r="D31" s="129" t="s">
        <v>608</v>
      </c>
      <c r="E31" s="129" t="s">
        <v>607</v>
      </c>
      <c r="F31" s="134">
        <v>16</v>
      </c>
      <c r="G31" s="135"/>
      <c r="H31" s="135"/>
      <c r="I31" s="135"/>
      <c r="J31" s="136"/>
    </row>
    <row r="32" spans="1:10" ht="162.75" customHeight="1">
      <c r="B32" s="111">
        <v>43156</v>
      </c>
      <c r="C32" s="133" t="s">
        <v>609</v>
      </c>
      <c r="D32" s="129" t="s">
        <v>611</v>
      </c>
      <c r="E32" s="129" t="s">
        <v>610</v>
      </c>
      <c r="F32" s="134"/>
      <c r="G32" s="135"/>
      <c r="H32" s="135"/>
      <c r="I32" s="135"/>
      <c r="J32" s="136"/>
    </row>
    <row r="33" spans="2:10" ht="108">
      <c r="B33" s="111">
        <v>43157</v>
      </c>
      <c r="C33" s="133"/>
      <c r="D33" s="129" t="s">
        <v>634</v>
      </c>
      <c r="E33" s="129"/>
      <c r="F33" s="134"/>
      <c r="G33" s="135"/>
      <c r="H33" s="135"/>
      <c r="I33" s="135"/>
      <c r="J33" s="136"/>
    </row>
    <row r="34" spans="2:10" ht="161.25" customHeight="1">
      <c r="B34" s="111">
        <v>43158</v>
      </c>
      <c r="C34" s="133"/>
      <c r="D34" s="129" t="s">
        <v>655</v>
      </c>
      <c r="E34" s="129" t="s">
        <v>656</v>
      </c>
      <c r="F34" s="134"/>
      <c r="G34" s="135"/>
      <c r="H34" s="135"/>
      <c r="I34" s="135"/>
      <c r="J34" s="136"/>
    </row>
    <row r="35" spans="2:10" ht="129" customHeight="1">
      <c r="B35" s="111">
        <v>43159</v>
      </c>
      <c r="C35" s="133"/>
      <c r="D35" s="129" t="s">
        <v>657</v>
      </c>
      <c r="E35" s="129" t="s">
        <v>658</v>
      </c>
      <c r="F35" s="134"/>
      <c r="G35" s="135"/>
      <c r="H35" s="135"/>
      <c r="I35" s="135"/>
      <c r="J35" s="136"/>
    </row>
    <row r="36" spans="2:10" ht="171" customHeight="1">
      <c r="B36" s="111">
        <v>43160</v>
      </c>
      <c r="C36" s="133"/>
      <c r="D36" s="129" t="s">
        <v>669</v>
      </c>
      <c r="E36" s="129" t="s">
        <v>667</v>
      </c>
      <c r="F36" s="134"/>
      <c r="G36" s="135"/>
      <c r="H36" s="135"/>
      <c r="I36" s="135"/>
      <c r="J36" s="136"/>
    </row>
    <row r="37" spans="2:10" ht="48">
      <c r="B37" s="111">
        <v>43161</v>
      </c>
      <c r="C37" s="133"/>
      <c r="D37" s="129" t="s">
        <v>671</v>
      </c>
      <c r="E37" s="129"/>
      <c r="F37" s="134"/>
      <c r="G37" s="135"/>
      <c r="H37" s="135"/>
      <c r="I37" s="135"/>
      <c r="J37" s="136"/>
    </row>
    <row r="38" spans="2:10" ht="114" customHeight="1">
      <c r="B38" s="111">
        <v>43162</v>
      </c>
      <c r="C38" s="133" t="s">
        <v>675</v>
      </c>
      <c r="D38" s="129" t="s">
        <v>673</v>
      </c>
      <c r="E38" s="138" t="s">
        <v>674</v>
      </c>
      <c r="F38" s="134"/>
      <c r="G38" s="135"/>
      <c r="H38" s="135"/>
      <c r="I38" s="135"/>
      <c r="J38" s="136"/>
    </row>
    <row r="39" spans="2:10" ht="189.75" customHeight="1">
      <c r="B39" s="111">
        <v>43163</v>
      </c>
      <c r="C39" s="133"/>
      <c r="D39" s="129" t="s">
        <v>680</v>
      </c>
      <c r="E39" s="138" t="s">
        <v>681</v>
      </c>
      <c r="F39" s="134"/>
      <c r="G39" s="135"/>
      <c r="H39" s="135"/>
      <c r="I39" s="135"/>
      <c r="J39" s="136"/>
    </row>
    <row r="40" spans="2:10" ht="209.25" customHeight="1">
      <c r="B40" s="111">
        <v>43164</v>
      </c>
      <c r="C40" s="133"/>
      <c r="D40" s="129" t="s">
        <v>682</v>
      </c>
      <c r="E40" s="138" t="s">
        <v>681</v>
      </c>
      <c r="F40" s="134"/>
      <c r="G40" s="135"/>
      <c r="H40" s="135"/>
      <c r="I40" s="135"/>
      <c r="J40" s="136"/>
    </row>
    <row r="41" spans="2:10" ht="123.75" customHeight="1">
      <c r="B41" s="111">
        <v>43165</v>
      </c>
      <c r="C41" s="133"/>
      <c r="D41" s="129" t="s">
        <v>704</v>
      </c>
      <c r="E41" s="138" t="s">
        <v>681</v>
      </c>
      <c r="F41" s="134"/>
      <c r="G41" s="135"/>
      <c r="H41" s="135"/>
      <c r="I41" s="135"/>
      <c r="J41" s="136"/>
    </row>
    <row r="42" spans="2:10" ht="60" customHeight="1">
      <c r="B42" s="111">
        <v>43166</v>
      </c>
      <c r="C42" s="133"/>
      <c r="D42" s="129" t="s">
        <v>708</v>
      </c>
      <c r="E42" s="138" t="s">
        <v>681</v>
      </c>
      <c r="F42" s="134"/>
      <c r="G42" s="135"/>
      <c r="H42" s="135"/>
      <c r="I42" s="135"/>
      <c r="J42" s="136"/>
    </row>
    <row r="43" spans="2:10">
      <c r="B43" s="111">
        <v>43167</v>
      </c>
      <c r="C43" s="133"/>
      <c r="D43" s="129" t="s">
        <v>717</v>
      </c>
      <c r="E43" s="138" t="s">
        <v>681</v>
      </c>
      <c r="F43" s="134"/>
      <c r="G43" s="135"/>
      <c r="H43" s="135"/>
      <c r="I43" s="135"/>
      <c r="J43" s="136"/>
    </row>
    <row r="44" spans="2:10" ht="85.5" customHeight="1">
      <c r="B44" s="111">
        <v>43168</v>
      </c>
      <c r="C44" s="133"/>
      <c r="D44" s="129" t="s">
        <v>719</v>
      </c>
      <c r="E44" s="138" t="s">
        <v>681</v>
      </c>
      <c r="F44" s="134"/>
      <c r="G44" s="135"/>
      <c r="H44" s="135"/>
      <c r="I44" s="135"/>
      <c r="J44" s="136"/>
    </row>
    <row r="45" spans="2:10" ht="132">
      <c r="B45" s="111">
        <v>43169</v>
      </c>
      <c r="C45" s="133"/>
      <c r="D45" s="129" t="s">
        <v>723</v>
      </c>
      <c r="E45" s="138" t="s">
        <v>681</v>
      </c>
      <c r="F45" s="134"/>
      <c r="G45" s="135"/>
      <c r="H45" s="135"/>
      <c r="I45" s="135"/>
      <c r="J45" s="136"/>
    </row>
    <row r="46" spans="2:10" ht="85.5" customHeight="1">
      <c r="B46" s="111">
        <v>43170</v>
      </c>
      <c r="C46" s="133"/>
      <c r="D46" s="129" t="s">
        <v>724</v>
      </c>
      <c r="E46" s="138" t="s">
        <v>725</v>
      </c>
      <c r="F46" s="134"/>
      <c r="G46" s="135"/>
      <c r="H46" s="135"/>
      <c r="I46" s="135"/>
      <c r="J46" s="136"/>
    </row>
    <row r="47" spans="2:10" ht="102" customHeight="1">
      <c r="B47" s="111">
        <v>43171</v>
      </c>
      <c r="C47" s="133"/>
      <c r="D47" s="129" t="s">
        <v>729</v>
      </c>
      <c r="E47" s="129"/>
      <c r="F47" s="134"/>
      <c r="G47" s="135"/>
      <c r="H47" s="135"/>
      <c r="I47" s="135"/>
      <c r="J47" s="136"/>
    </row>
    <row r="48" spans="2:10" ht="183" customHeight="1">
      <c r="B48" s="111">
        <v>43172</v>
      </c>
      <c r="C48" s="133"/>
      <c r="D48" s="129" t="s">
        <v>743</v>
      </c>
      <c r="E48" s="129" t="s">
        <v>740</v>
      </c>
      <c r="F48" s="134"/>
      <c r="G48" s="135"/>
      <c r="H48" s="135"/>
      <c r="I48" s="135"/>
      <c r="J48" s="136"/>
    </row>
    <row r="49" spans="2:10">
      <c r="B49" s="111">
        <v>43173</v>
      </c>
      <c r="C49" s="133"/>
      <c r="D49" s="129"/>
      <c r="E49" s="129"/>
      <c r="F49" s="134"/>
      <c r="G49" s="135"/>
      <c r="H49" s="135"/>
      <c r="I49" s="135"/>
      <c r="J49" s="136"/>
    </row>
    <row r="50" spans="2:10">
      <c r="B50" s="111">
        <v>43174</v>
      </c>
      <c r="C50" s="133"/>
      <c r="D50" s="129"/>
      <c r="E50" s="129"/>
      <c r="F50" s="134"/>
      <c r="G50" s="135"/>
      <c r="H50" s="135"/>
      <c r="I50" s="135"/>
      <c r="J50" s="136"/>
    </row>
    <row r="51" spans="2:10">
      <c r="B51" s="111">
        <v>43175</v>
      </c>
      <c r="C51" s="133"/>
      <c r="D51" s="129"/>
      <c r="E51" s="129"/>
      <c r="F51" s="134"/>
      <c r="G51" s="135"/>
      <c r="H51" s="135"/>
      <c r="I51" s="135"/>
      <c r="J51" s="136"/>
    </row>
    <row r="52" spans="2:10">
      <c r="B52" s="111">
        <v>43176</v>
      </c>
      <c r="C52" s="133"/>
      <c r="D52" s="129"/>
      <c r="E52" s="129"/>
      <c r="F52" s="134"/>
      <c r="G52" s="135"/>
      <c r="H52" s="135"/>
      <c r="I52" s="135"/>
      <c r="J52" s="136"/>
    </row>
    <row r="53" spans="2:10">
      <c r="B53" s="111">
        <v>43177</v>
      </c>
      <c r="C53" s="133"/>
      <c r="D53" s="129"/>
      <c r="E53" s="129"/>
      <c r="F53" s="134"/>
      <c r="G53" s="135"/>
      <c r="H53" s="135"/>
      <c r="I53" s="135"/>
      <c r="J53" s="136"/>
    </row>
    <row r="54" spans="2:10">
      <c r="B54" s="111">
        <v>43178</v>
      </c>
      <c r="C54" s="133"/>
      <c r="D54" s="129"/>
      <c r="E54" s="129"/>
      <c r="F54" s="134"/>
      <c r="G54" s="135"/>
      <c r="H54" s="135"/>
      <c r="I54" s="135"/>
      <c r="J54" s="136"/>
    </row>
    <row r="55" spans="2:10">
      <c r="B55" s="111">
        <v>43179</v>
      </c>
      <c r="C55" s="133"/>
      <c r="D55" s="129"/>
      <c r="E55" s="129"/>
      <c r="F55" s="134"/>
      <c r="G55" s="135"/>
      <c r="H55" s="135"/>
      <c r="I55" s="135"/>
      <c r="J55" s="136"/>
    </row>
    <row r="56" spans="2:10">
      <c r="B56" s="111">
        <v>43180</v>
      </c>
      <c r="C56" s="133"/>
      <c r="D56" s="129"/>
      <c r="E56" s="129"/>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49" priority="6">
      <formula>INDIRECT("B"&amp;ROW())=TODAY()</formula>
    </cfRule>
  </conditionalFormatting>
  <conditionalFormatting sqref="B9:B427">
    <cfRule type="timePeriod" dxfId="448"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43172</v>
      </c>
      <c r="G1" s="100" t="s">
        <v>62</v>
      </c>
      <c r="H1" s="79">
        <f ca="1">HOUR(I1)</f>
        <v>21</v>
      </c>
      <c r="I1" s="80">
        <f ca="1">NOW()</f>
        <v>43172.882702083334</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43172</v>
      </c>
      <c r="E8" s="93" t="s">
        <v>74</v>
      </c>
      <c r="F8" s="104">
        <v>43146</v>
      </c>
      <c r="G8" s="95"/>
    </row>
    <row r="9" spans="1:12" s="76" customFormat="1" ht="40.5" customHeight="1" outlineLevel="2">
      <c r="A9" s="84"/>
      <c r="B9" s="88" t="s">
        <v>68</v>
      </c>
      <c r="C9" s="109">
        <v>1</v>
      </c>
      <c r="D9" s="99">
        <v>43141</v>
      </c>
      <c r="E9" s="76" t="s">
        <v>67</v>
      </c>
      <c r="F9" s="103">
        <f ca="1">TODAY()+1</f>
        <v>43173</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43172</v>
      </c>
      <c r="E11" s="76" t="s">
        <v>63</v>
      </c>
      <c r="F11" s="104">
        <v>43146</v>
      </c>
    </row>
    <row r="12" spans="1:12" ht="72" customHeight="1" outlineLevel="2">
      <c r="A12" s="79"/>
      <c r="B12" s="91" t="s">
        <v>71</v>
      </c>
      <c r="C12" s="109">
        <v>0</v>
      </c>
      <c r="D12" s="98">
        <f ca="1">TODAY()</f>
        <v>43172</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43174</v>
      </c>
    </row>
    <row r="16" spans="1:12" ht="87" customHeight="1" outlineLevel="2">
      <c r="A16" s="79"/>
      <c r="B16" s="89" t="s">
        <v>76</v>
      </c>
      <c r="C16" s="109">
        <v>0.1</v>
      </c>
      <c r="D16" s="98">
        <v>43144</v>
      </c>
      <c r="E16" s="76" t="s">
        <v>77</v>
      </c>
      <c r="F16" s="104">
        <f ca="1">TODAY()+5</f>
        <v>43177</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43179</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43172</v>
      </c>
      <c r="E22" s="93" t="s">
        <v>89</v>
      </c>
      <c r="F22" s="104">
        <v>43166</v>
      </c>
    </row>
    <row r="23" spans="1:9" ht="30" customHeight="1" outlineLevel="2">
      <c r="A23" s="79"/>
      <c r="B23" s="89" t="s">
        <v>172</v>
      </c>
      <c r="C23" s="109">
        <v>0.25</v>
      </c>
      <c r="D23" s="98">
        <f ca="1">TODAY()</f>
        <v>43172</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7" priority="5">
      <formula>NOT(ISODD(ROW())) * (INDIRECT("D" &amp; ROW()) &lt;= TODAY()) * (INDIRECT("F" &amp; ROW()) &gt;= TODAY()) * NOT(ISBLANK("D"&amp;ROW()))</formula>
    </cfRule>
    <cfRule type="expression" dxfId="446"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45"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44" priority="16">
      <formula xml:space="preserve"> (INDIRECT("D" &amp; ROW()) &lt;= TODAY()) * (INDIRECT("F" &amp; ROW()) &gt;= TODAY()) * NOT(ISBLANK("D"&amp;ROW()))</formula>
    </cfRule>
  </conditionalFormatting>
  <conditionalFormatting sqref="F26">
    <cfRule type="expression" dxfId="443" priority="13">
      <formula xml:space="preserve"> (INDIRECT("D" &amp; ROW()) &lt;= TODAY()) * (INDIRECT("F" &amp; ROW()) &gt;= TODAY()) * NOT(ISBLANK("D"&amp;ROW()))</formula>
    </cfRule>
  </conditionalFormatting>
  <conditionalFormatting sqref="B1:E1 G1:XFD1 B82:XFD1048576 B81:E81 G81:XFD81 B2:XFD80">
    <cfRule type="expression" dxfId="442" priority="3">
      <formula>NOT(ISODD(ROW())) * INDIRECT("C"&amp;ROW()) &gt;= 0.9</formula>
    </cfRule>
    <cfRule type="expression" dxfId="441" priority="4">
      <formula xml:space="preserve"> ISODD(ROW()) * INDIRECT("C"&amp;ROW()) &gt;= 0.9</formula>
    </cfRule>
    <cfRule type="expression" dxfId="440" priority="7">
      <formula xml:space="preserve"> ISODD(ROW()) * (INDIRECT("C"&amp;ROW()) &lt; 0.9) * INDIRECT("C"&amp;ROW()) &gt; 0</formula>
    </cfRule>
    <cfRule type="expression" dxfId="439"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8" priority="1">
      <formula>NOT(ISODD(ROW())) * (INDIRECT("D" &amp; ROW()) &lt;= TODAY()) * (INDIRECT("F" &amp; ROW()) &gt;= TODAY()) * NOT(ISBLANK("D"&amp;ROW()))</formula>
    </cfRule>
    <cfRule type="expression" dxfId="437"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43172</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43158</v>
      </c>
      <c r="I6" s="14">
        <f t="shared" ca="1" si="0"/>
        <v>43159</v>
      </c>
      <c r="J6" s="14">
        <f t="shared" ca="1" si="0"/>
        <v>43160</v>
      </c>
      <c r="K6" s="14">
        <f t="shared" ca="1" si="0"/>
        <v>43161</v>
      </c>
      <c r="L6" s="14">
        <f t="shared" ca="1" si="0"/>
        <v>43162</v>
      </c>
      <c r="M6" s="14">
        <f t="shared" ca="1" si="0"/>
        <v>43163</v>
      </c>
      <c r="N6" s="14">
        <f t="shared" ca="1" si="0"/>
        <v>43164</v>
      </c>
      <c r="O6" s="14">
        <f t="shared" ref="O6:BZ6" ca="1" si="1">TODAY()+((COLUMN()-$H$4)*$N$3)</f>
        <v>43165</v>
      </c>
      <c r="P6" s="14">
        <f t="shared" ca="1" si="1"/>
        <v>43166</v>
      </c>
      <c r="Q6" s="14">
        <f t="shared" ca="1" si="1"/>
        <v>43167</v>
      </c>
      <c r="R6" s="14">
        <f t="shared" ca="1" si="1"/>
        <v>43168</v>
      </c>
      <c r="S6" s="14">
        <f t="shared" ca="1" si="1"/>
        <v>43169</v>
      </c>
      <c r="T6" s="14">
        <f ca="1">TODAY()+((COLUMN()-$H$4)*$N$3)</f>
        <v>43170</v>
      </c>
      <c r="U6" s="14">
        <f t="shared" ca="1" si="1"/>
        <v>43171</v>
      </c>
      <c r="V6" s="14">
        <f t="shared" ca="1" si="1"/>
        <v>43172</v>
      </c>
      <c r="W6" s="14">
        <f t="shared" ca="1" si="1"/>
        <v>43173</v>
      </c>
      <c r="X6" s="14">
        <f t="shared" ca="1" si="1"/>
        <v>43174</v>
      </c>
      <c r="Y6" s="14">
        <f t="shared" ca="1" si="1"/>
        <v>43175</v>
      </c>
      <c r="Z6" s="14">
        <f t="shared" ca="1" si="1"/>
        <v>43176</v>
      </c>
      <c r="AA6" s="14">
        <f t="shared" ca="1" si="1"/>
        <v>43177</v>
      </c>
      <c r="AB6" s="14">
        <f t="shared" ca="1" si="1"/>
        <v>43178</v>
      </c>
      <c r="AC6" s="14">
        <f t="shared" ca="1" si="1"/>
        <v>43179</v>
      </c>
      <c r="AD6" s="14">
        <f t="shared" ca="1" si="1"/>
        <v>43180</v>
      </c>
      <c r="AE6" s="14">
        <f t="shared" ca="1" si="1"/>
        <v>43181</v>
      </c>
      <c r="AF6" s="14">
        <f t="shared" ca="1" si="1"/>
        <v>43182</v>
      </c>
      <c r="AG6" s="14">
        <f t="shared" ca="1" si="1"/>
        <v>43183</v>
      </c>
      <c r="AH6" s="14">
        <f t="shared" ca="1" si="1"/>
        <v>43184</v>
      </c>
      <c r="AI6" s="14">
        <f t="shared" ca="1" si="1"/>
        <v>43185</v>
      </c>
      <c r="AJ6" s="14">
        <f t="shared" ca="1" si="1"/>
        <v>43186</v>
      </c>
      <c r="AK6" s="14">
        <f t="shared" ca="1" si="1"/>
        <v>43187</v>
      </c>
      <c r="AL6" s="14">
        <f t="shared" ca="1" si="1"/>
        <v>43188</v>
      </c>
      <c r="AM6" s="14">
        <f t="shared" ca="1" si="1"/>
        <v>43189</v>
      </c>
      <c r="AN6" s="14">
        <f t="shared" ca="1" si="1"/>
        <v>43190</v>
      </c>
      <c r="AO6" s="14">
        <f t="shared" ca="1" si="1"/>
        <v>43191</v>
      </c>
      <c r="AP6" s="14">
        <f t="shared" ca="1" si="1"/>
        <v>43192</v>
      </c>
      <c r="AQ6" s="14">
        <f t="shared" ca="1" si="1"/>
        <v>43193</v>
      </c>
      <c r="AR6" s="14">
        <f t="shared" ca="1" si="1"/>
        <v>43194</v>
      </c>
      <c r="AS6" s="14">
        <f t="shared" ca="1" si="1"/>
        <v>43195</v>
      </c>
      <c r="AT6" s="14">
        <f t="shared" ca="1" si="1"/>
        <v>43196</v>
      </c>
      <c r="AU6" s="14">
        <f t="shared" ca="1" si="1"/>
        <v>43197</v>
      </c>
      <c r="AV6" s="14">
        <f t="shared" ca="1" si="1"/>
        <v>43198</v>
      </c>
      <c r="AW6" s="14">
        <f t="shared" ca="1" si="1"/>
        <v>43199</v>
      </c>
      <c r="AX6" s="14">
        <f t="shared" ca="1" si="1"/>
        <v>43200</v>
      </c>
      <c r="AY6" s="14">
        <f t="shared" ca="1" si="1"/>
        <v>43201</v>
      </c>
      <c r="AZ6" s="14">
        <f t="shared" ca="1" si="1"/>
        <v>43202</v>
      </c>
      <c r="BA6" s="14">
        <f t="shared" ca="1" si="1"/>
        <v>43203</v>
      </c>
      <c r="BB6" s="14">
        <f t="shared" ca="1" si="1"/>
        <v>43204</v>
      </c>
      <c r="BC6" s="14">
        <f t="shared" ca="1" si="1"/>
        <v>43205</v>
      </c>
      <c r="BD6" s="14">
        <f t="shared" ca="1" si="1"/>
        <v>43206</v>
      </c>
      <c r="BE6" s="14">
        <f t="shared" ca="1" si="1"/>
        <v>43207</v>
      </c>
      <c r="BF6" s="14">
        <f t="shared" ca="1" si="1"/>
        <v>43208</v>
      </c>
      <c r="BG6" s="14">
        <f t="shared" ca="1" si="1"/>
        <v>43209</v>
      </c>
      <c r="BH6" s="14">
        <f t="shared" ca="1" si="1"/>
        <v>43210</v>
      </c>
      <c r="BI6" s="14">
        <f t="shared" ca="1" si="1"/>
        <v>43211</v>
      </c>
      <c r="BJ6" s="14">
        <f t="shared" ca="1" si="1"/>
        <v>43212</v>
      </c>
      <c r="BK6" s="14">
        <f t="shared" ca="1" si="1"/>
        <v>43213</v>
      </c>
      <c r="BL6" s="14">
        <f t="shared" ca="1" si="1"/>
        <v>43214</v>
      </c>
      <c r="BM6" s="14">
        <f t="shared" ca="1" si="1"/>
        <v>43215</v>
      </c>
      <c r="BN6" s="14">
        <f t="shared" ca="1" si="1"/>
        <v>43216</v>
      </c>
      <c r="BO6" s="14">
        <f t="shared" ca="1" si="1"/>
        <v>43217</v>
      </c>
      <c r="BP6" s="14">
        <f t="shared" ca="1" si="1"/>
        <v>43218</v>
      </c>
      <c r="BQ6" s="14">
        <f t="shared" ca="1" si="1"/>
        <v>43219</v>
      </c>
      <c r="BR6" s="14">
        <f t="shared" ca="1" si="1"/>
        <v>43220</v>
      </c>
      <c r="BS6" s="14">
        <f t="shared" ca="1" si="1"/>
        <v>43221</v>
      </c>
      <c r="BT6" s="14">
        <f t="shared" ca="1" si="1"/>
        <v>43222</v>
      </c>
      <c r="BU6" s="14">
        <f t="shared" ca="1" si="1"/>
        <v>43223</v>
      </c>
      <c r="BV6" s="14">
        <f t="shared" ca="1" si="1"/>
        <v>43224</v>
      </c>
      <c r="BW6" s="14">
        <f t="shared" ca="1" si="1"/>
        <v>43225</v>
      </c>
      <c r="BX6" s="14">
        <f t="shared" ca="1" si="1"/>
        <v>43226</v>
      </c>
      <c r="BY6" s="14">
        <f t="shared" ca="1" si="1"/>
        <v>43227</v>
      </c>
      <c r="BZ6" s="14">
        <f t="shared" ca="1" si="1"/>
        <v>43228</v>
      </c>
      <c r="CA6" s="14">
        <f t="shared" ref="CA6:EL6" ca="1" si="2">TODAY()+((COLUMN()-$H$4)*$N$3)</f>
        <v>43229</v>
      </c>
      <c r="CB6" s="14">
        <f t="shared" ca="1" si="2"/>
        <v>43230</v>
      </c>
      <c r="CC6" s="14">
        <f t="shared" ca="1" si="2"/>
        <v>43231</v>
      </c>
      <c r="CD6" s="14">
        <f t="shared" ca="1" si="2"/>
        <v>43232</v>
      </c>
      <c r="CE6" s="14">
        <f t="shared" ca="1" si="2"/>
        <v>43233</v>
      </c>
      <c r="CF6" s="14">
        <f t="shared" ca="1" si="2"/>
        <v>43234</v>
      </c>
      <c r="CG6" s="14">
        <f t="shared" ca="1" si="2"/>
        <v>43235</v>
      </c>
      <c r="CH6" s="14">
        <f t="shared" ca="1" si="2"/>
        <v>43236</v>
      </c>
      <c r="CI6" s="14">
        <f t="shared" ca="1" si="2"/>
        <v>43237</v>
      </c>
      <c r="CJ6" s="14">
        <f t="shared" ca="1" si="2"/>
        <v>43238</v>
      </c>
      <c r="CK6" s="14">
        <f t="shared" ca="1" si="2"/>
        <v>43239</v>
      </c>
      <c r="CL6" s="14">
        <f t="shared" ca="1" si="2"/>
        <v>43240</v>
      </c>
      <c r="CM6" s="14">
        <f t="shared" ca="1" si="2"/>
        <v>43241</v>
      </c>
      <c r="CN6" s="14">
        <f t="shared" ca="1" si="2"/>
        <v>43242</v>
      </c>
      <c r="CO6" s="14">
        <f t="shared" ca="1" si="2"/>
        <v>43243</v>
      </c>
      <c r="CP6" s="14">
        <f t="shared" ca="1" si="2"/>
        <v>43244</v>
      </c>
      <c r="CQ6" s="14">
        <f t="shared" ca="1" si="2"/>
        <v>43245</v>
      </c>
      <c r="CR6" s="14">
        <f t="shared" ca="1" si="2"/>
        <v>43246</v>
      </c>
      <c r="CS6" s="14">
        <f t="shared" ca="1" si="2"/>
        <v>43247</v>
      </c>
      <c r="CT6" s="14">
        <f t="shared" ca="1" si="2"/>
        <v>43248</v>
      </c>
      <c r="CU6" s="14">
        <f t="shared" ca="1" si="2"/>
        <v>43249</v>
      </c>
      <c r="CV6" s="14">
        <f t="shared" ca="1" si="2"/>
        <v>43250</v>
      </c>
      <c r="CW6" s="14">
        <f t="shared" ca="1" si="2"/>
        <v>43251</v>
      </c>
      <c r="CX6" s="14">
        <f t="shared" ca="1" si="2"/>
        <v>43252</v>
      </c>
      <c r="CY6" s="14">
        <f t="shared" ca="1" si="2"/>
        <v>43253</v>
      </c>
      <c r="CZ6" s="14">
        <f t="shared" ca="1" si="2"/>
        <v>43254</v>
      </c>
      <c r="DA6" s="14">
        <f t="shared" ca="1" si="2"/>
        <v>43255</v>
      </c>
      <c r="DB6" s="14">
        <f t="shared" ca="1" si="2"/>
        <v>43256</v>
      </c>
      <c r="DC6" s="14">
        <f t="shared" ca="1" si="2"/>
        <v>43257</v>
      </c>
      <c r="DD6" s="14">
        <f t="shared" ca="1" si="2"/>
        <v>43258</v>
      </c>
      <c r="DE6" s="14">
        <f t="shared" ca="1" si="2"/>
        <v>43259</v>
      </c>
      <c r="DF6" s="14">
        <f t="shared" ca="1" si="2"/>
        <v>43260</v>
      </c>
      <c r="DG6" s="14">
        <f t="shared" ca="1" si="2"/>
        <v>43261</v>
      </c>
      <c r="DH6" s="14">
        <f t="shared" ca="1" si="2"/>
        <v>43262</v>
      </c>
      <c r="DI6" s="14">
        <f t="shared" ca="1" si="2"/>
        <v>43263</v>
      </c>
      <c r="DJ6" s="14">
        <f t="shared" ca="1" si="2"/>
        <v>43264</v>
      </c>
      <c r="DK6" s="14">
        <f t="shared" ca="1" si="2"/>
        <v>43265</v>
      </c>
      <c r="DL6" s="14">
        <f t="shared" ca="1" si="2"/>
        <v>43266</v>
      </c>
      <c r="DM6" s="14">
        <f t="shared" ca="1" si="2"/>
        <v>43267</v>
      </c>
      <c r="DN6" s="14">
        <f t="shared" ca="1" si="2"/>
        <v>43268</v>
      </c>
      <c r="DO6" s="14">
        <f t="shared" ca="1" si="2"/>
        <v>43269</v>
      </c>
      <c r="DP6" s="14">
        <f t="shared" ca="1" si="2"/>
        <v>43270</v>
      </c>
      <c r="DQ6" s="14">
        <f t="shared" ca="1" si="2"/>
        <v>43271</v>
      </c>
      <c r="DR6" s="14">
        <f t="shared" ca="1" si="2"/>
        <v>43272</v>
      </c>
      <c r="DS6" s="14">
        <f t="shared" ca="1" si="2"/>
        <v>43273</v>
      </c>
      <c r="DT6" s="14">
        <f t="shared" ca="1" si="2"/>
        <v>43274</v>
      </c>
      <c r="DU6" s="14">
        <f t="shared" ca="1" si="2"/>
        <v>43275</v>
      </c>
      <c r="DV6" s="14">
        <f t="shared" ca="1" si="2"/>
        <v>43276</v>
      </c>
      <c r="DW6" s="14">
        <f t="shared" ca="1" si="2"/>
        <v>43277</v>
      </c>
      <c r="DX6" s="14">
        <f t="shared" ca="1" si="2"/>
        <v>43278</v>
      </c>
      <c r="DY6" s="14">
        <f t="shared" ca="1" si="2"/>
        <v>43279</v>
      </c>
      <c r="DZ6" s="14">
        <f t="shared" ca="1" si="2"/>
        <v>43280</v>
      </c>
      <c r="EA6" s="14">
        <f t="shared" ca="1" si="2"/>
        <v>43281</v>
      </c>
      <c r="EB6" s="14">
        <f t="shared" ca="1" si="2"/>
        <v>43282</v>
      </c>
      <c r="EC6" s="14">
        <f t="shared" ca="1" si="2"/>
        <v>43283</v>
      </c>
      <c r="ED6" s="14">
        <f t="shared" ca="1" si="2"/>
        <v>43284</v>
      </c>
      <c r="EE6" s="14">
        <f t="shared" ca="1" si="2"/>
        <v>43285</v>
      </c>
      <c r="EF6" s="14">
        <f t="shared" ca="1" si="2"/>
        <v>43286</v>
      </c>
      <c r="EG6" s="14">
        <f t="shared" ca="1" si="2"/>
        <v>43287</v>
      </c>
      <c r="EH6" s="14">
        <f t="shared" ca="1" si="2"/>
        <v>43288</v>
      </c>
      <c r="EI6" s="14">
        <f t="shared" ca="1" si="2"/>
        <v>43289</v>
      </c>
      <c r="EJ6" s="14">
        <f t="shared" ca="1" si="2"/>
        <v>43290</v>
      </c>
      <c r="EK6" s="14">
        <f t="shared" ca="1" si="2"/>
        <v>43291</v>
      </c>
      <c r="EL6" s="14">
        <f t="shared" ca="1" si="2"/>
        <v>43292</v>
      </c>
      <c r="EM6" s="14">
        <f t="shared" ref="EM6:GX6" ca="1" si="3">TODAY()+((COLUMN()-$H$4)*$N$3)</f>
        <v>43293</v>
      </c>
      <c r="EN6" s="14">
        <f t="shared" ca="1" si="3"/>
        <v>43294</v>
      </c>
      <c r="EO6" s="14">
        <f t="shared" ca="1" si="3"/>
        <v>43295</v>
      </c>
      <c r="EP6" s="14">
        <f t="shared" ca="1" si="3"/>
        <v>43296</v>
      </c>
      <c r="EQ6" s="14">
        <f t="shared" ca="1" si="3"/>
        <v>43297</v>
      </c>
      <c r="ER6" s="14">
        <f t="shared" ca="1" si="3"/>
        <v>43298</v>
      </c>
      <c r="ES6" s="14">
        <f t="shared" ca="1" si="3"/>
        <v>43299</v>
      </c>
      <c r="ET6" s="14">
        <f t="shared" ca="1" si="3"/>
        <v>43300</v>
      </c>
      <c r="EU6" s="14">
        <f t="shared" ca="1" si="3"/>
        <v>43301</v>
      </c>
      <c r="EV6" s="14">
        <f t="shared" ca="1" si="3"/>
        <v>43302</v>
      </c>
      <c r="EW6" s="14">
        <f t="shared" ca="1" si="3"/>
        <v>43303</v>
      </c>
      <c r="EX6" s="14">
        <f t="shared" ca="1" si="3"/>
        <v>43304</v>
      </c>
      <c r="EY6" s="14">
        <f t="shared" ca="1" si="3"/>
        <v>43305</v>
      </c>
      <c r="EZ6" s="14">
        <f t="shared" ca="1" si="3"/>
        <v>43306</v>
      </c>
      <c r="FA6" s="14">
        <f t="shared" ca="1" si="3"/>
        <v>43307</v>
      </c>
      <c r="FB6" s="14">
        <f t="shared" ca="1" si="3"/>
        <v>43308</v>
      </c>
      <c r="FC6" s="14">
        <f t="shared" ca="1" si="3"/>
        <v>43309</v>
      </c>
      <c r="FD6" s="14">
        <f t="shared" ca="1" si="3"/>
        <v>43310</v>
      </c>
      <c r="FE6" s="14">
        <f t="shared" ca="1" si="3"/>
        <v>43311</v>
      </c>
      <c r="FF6" s="14">
        <f t="shared" ca="1" si="3"/>
        <v>43312</v>
      </c>
      <c r="FG6" s="14">
        <f t="shared" ca="1" si="3"/>
        <v>43313</v>
      </c>
      <c r="FH6" s="14">
        <f t="shared" ca="1" si="3"/>
        <v>43314</v>
      </c>
      <c r="FI6" s="14">
        <f t="shared" ca="1" si="3"/>
        <v>43315</v>
      </c>
      <c r="FJ6" s="14">
        <f t="shared" ca="1" si="3"/>
        <v>43316</v>
      </c>
      <c r="FK6" s="14">
        <f t="shared" ca="1" si="3"/>
        <v>43317</v>
      </c>
      <c r="FL6" s="14">
        <f t="shared" ca="1" si="3"/>
        <v>43318</v>
      </c>
      <c r="FM6" s="14">
        <f t="shared" ca="1" si="3"/>
        <v>43319</v>
      </c>
      <c r="FN6" s="14">
        <f t="shared" ca="1" si="3"/>
        <v>43320</v>
      </c>
      <c r="FO6" s="14">
        <f t="shared" ca="1" si="3"/>
        <v>43321</v>
      </c>
      <c r="FP6" s="14">
        <f t="shared" ca="1" si="3"/>
        <v>43322</v>
      </c>
      <c r="FQ6" s="14">
        <f t="shared" ca="1" si="3"/>
        <v>43323</v>
      </c>
      <c r="FR6" s="14">
        <f t="shared" ca="1" si="3"/>
        <v>43324</v>
      </c>
      <c r="FS6" s="14">
        <f t="shared" ca="1" si="3"/>
        <v>43325</v>
      </c>
      <c r="FT6" s="14">
        <f t="shared" ca="1" si="3"/>
        <v>43326</v>
      </c>
      <c r="FU6" s="14">
        <f t="shared" ca="1" si="3"/>
        <v>43327</v>
      </c>
      <c r="FV6" s="14">
        <f t="shared" ca="1" si="3"/>
        <v>43328</v>
      </c>
      <c r="FW6" s="14">
        <f t="shared" ca="1" si="3"/>
        <v>43329</v>
      </c>
      <c r="FX6" s="14">
        <f t="shared" ca="1" si="3"/>
        <v>43330</v>
      </c>
      <c r="FY6" s="14">
        <f t="shared" ca="1" si="3"/>
        <v>43331</v>
      </c>
      <c r="FZ6" s="14">
        <f t="shared" ca="1" si="3"/>
        <v>43332</v>
      </c>
      <c r="GA6" s="14">
        <f t="shared" ca="1" si="3"/>
        <v>43333</v>
      </c>
      <c r="GB6" s="14">
        <f t="shared" ca="1" si="3"/>
        <v>43334</v>
      </c>
      <c r="GC6" s="14">
        <f t="shared" ca="1" si="3"/>
        <v>43335</v>
      </c>
      <c r="GD6" s="14">
        <f t="shared" ca="1" si="3"/>
        <v>43336</v>
      </c>
      <c r="GE6" s="14">
        <f t="shared" ca="1" si="3"/>
        <v>43337</v>
      </c>
      <c r="GF6" s="14">
        <f t="shared" ca="1" si="3"/>
        <v>43338</v>
      </c>
      <c r="GG6" s="14">
        <f t="shared" ca="1" si="3"/>
        <v>43339</v>
      </c>
      <c r="GH6" s="14">
        <f t="shared" ca="1" si="3"/>
        <v>43340</v>
      </c>
      <c r="GI6" s="14">
        <f t="shared" ca="1" si="3"/>
        <v>43341</v>
      </c>
      <c r="GJ6" s="14">
        <f t="shared" ca="1" si="3"/>
        <v>43342</v>
      </c>
      <c r="GK6" s="14">
        <f t="shared" ca="1" si="3"/>
        <v>43343</v>
      </c>
      <c r="GL6" s="14">
        <f t="shared" ca="1" si="3"/>
        <v>43344</v>
      </c>
      <c r="GM6" s="14">
        <f t="shared" ca="1" si="3"/>
        <v>43345</v>
      </c>
      <c r="GN6" s="14">
        <f t="shared" ca="1" si="3"/>
        <v>43346</v>
      </c>
      <c r="GO6" s="14">
        <f t="shared" ca="1" si="3"/>
        <v>43347</v>
      </c>
      <c r="GP6" s="14">
        <f t="shared" ca="1" si="3"/>
        <v>43348</v>
      </c>
      <c r="GQ6" s="14">
        <f t="shared" ca="1" si="3"/>
        <v>43349</v>
      </c>
      <c r="GR6" s="14">
        <f t="shared" ca="1" si="3"/>
        <v>43350</v>
      </c>
      <c r="GS6" s="14">
        <f t="shared" ca="1" si="3"/>
        <v>43351</v>
      </c>
      <c r="GT6" s="14">
        <f t="shared" ca="1" si="3"/>
        <v>43352</v>
      </c>
      <c r="GU6" s="14">
        <f t="shared" ca="1" si="3"/>
        <v>43353</v>
      </c>
      <c r="GV6" s="14">
        <f t="shared" ca="1" si="3"/>
        <v>43354</v>
      </c>
      <c r="GW6" s="14">
        <f t="shared" ca="1" si="3"/>
        <v>43355</v>
      </c>
      <c r="GX6" s="14">
        <f t="shared" ca="1" si="3"/>
        <v>43356</v>
      </c>
      <c r="GY6" s="14">
        <f t="shared" ref="GY6:JJ6" ca="1" si="4">TODAY()+((COLUMN()-$H$4)*$N$3)</f>
        <v>43357</v>
      </c>
      <c r="GZ6" s="14">
        <f t="shared" ca="1" si="4"/>
        <v>43358</v>
      </c>
      <c r="HA6" s="14">
        <f t="shared" ca="1" si="4"/>
        <v>43359</v>
      </c>
      <c r="HB6" s="14">
        <f t="shared" ca="1" si="4"/>
        <v>43360</v>
      </c>
      <c r="HC6" s="14">
        <f t="shared" ca="1" si="4"/>
        <v>43361</v>
      </c>
      <c r="HD6" s="14">
        <f t="shared" ca="1" si="4"/>
        <v>43362</v>
      </c>
      <c r="HE6" s="14">
        <f t="shared" ca="1" si="4"/>
        <v>43363</v>
      </c>
      <c r="HF6" s="14">
        <f t="shared" ca="1" si="4"/>
        <v>43364</v>
      </c>
      <c r="HG6" s="14">
        <f t="shared" ca="1" si="4"/>
        <v>43365</v>
      </c>
      <c r="HH6" s="14">
        <f t="shared" ca="1" si="4"/>
        <v>43366</v>
      </c>
      <c r="HI6" s="14">
        <f t="shared" ca="1" si="4"/>
        <v>43367</v>
      </c>
      <c r="HJ6" s="14">
        <f t="shared" ca="1" si="4"/>
        <v>43368</v>
      </c>
      <c r="HK6" s="14">
        <f t="shared" ca="1" si="4"/>
        <v>43369</v>
      </c>
      <c r="HL6" s="14">
        <f t="shared" ca="1" si="4"/>
        <v>43370</v>
      </c>
      <c r="HM6" s="14">
        <f t="shared" ca="1" si="4"/>
        <v>43371</v>
      </c>
      <c r="HN6" s="14">
        <f t="shared" ca="1" si="4"/>
        <v>43372</v>
      </c>
      <c r="HO6" s="14">
        <f t="shared" ca="1" si="4"/>
        <v>43373</v>
      </c>
      <c r="HP6" s="14">
        <f t="shared" ca="1" si="4"/>
        <v>43374</v>
      </c>
      <c r="HQ6" s="14">
        <f t="shared" ca="1" si="4"/>
        <v>43375</v>
      </c>
      <c r="HR6" s="14">
        <f t="shared" ca="1" si="4"/>
        <v>43376</v>
      </c>
      <c r="HS6" s="14">
        <f t="shared" ca="1" si="4"/>
        <v>43377</v>
      </c>
      <c r="HT6" s="14">
        <f t="shared" ca="1" si="4"/>
        <v>43378</v>
      </c>
      <c r="HU6" s="14">
        <f t="shared" ca="1" si="4"/>
        <v>43379</v>
      </c>
      <c r="HV6" s="14">
        <f t="shared" ca="1" si="4"/>
        <v>43380</v>
      </c>
      <c r="HW6" s="14">
        <f t="shared" ca="1" si="4"/>
        <v>43381</v>
      </c>
      <c r="HX6" s="14">
        <f t="shared" ca="1" si="4"/>
        <v>43382</v>
      </c>
      <c r="HY6" s="14">
        <f t="shared" ca="1" si="4"/>
        <v>43383</v>
      </c>
      <c r="HZ6" s="14">
        <f t="shared" ca="1" si="4"/>
        <v>43384</v>
      </c>
      <c r="IA6" s="14">
        <f t="shared" ca="1" si="4"/>
        <v>43385</v>
      </c>
      <c r="IB6" s="14">
        <f t="shared" ca="1" si="4"/>
        <v>43386</v>
      </c>
      <c r="IC6" s="14">
        <f t="shared" ca="1" si="4"/>
        <v>43387</v>
      </c>
      <c r="ID6" s="14">
        <f t="shared" ca="1" si="4"/>
        <v>43388</v>
      </c>
      <c r="IE6" s="14">
        <f t="shared" ca="1" si="4"/>
        <v>43389</v>
      </c>
      <c r="IF6" s="14">
        <f t="shared" ca="1" si="4"/>
        <v>43390</v>
      </c>
      <c r="IG6" s="14">
        <f t="shared" ca="1" si="4"/>
        <v>43391</v>
      </c>
      <c r="IH6" s="14">
        <f t="shared" ca="1" si="4"/>
        <v>43392</v>
      </c>
      <c r="II6" s="14">
        <f t="shared" ca="1" si="4"/>
        <v>43393</v>
      </c>
      <c r="IJ6" s="14">
        <f t="shared" ca="1" si="4"/>
        <v>43394</v>
      </c>
      <c r="IK6" s="14">
        <f t="shared" ca="1" si="4"/>
        <v>43395</v>
      </c>
      <c r="IL6" s="14">
        <f t="shared" ca="1" si="4"/>
        <v>43396</v>
      </c>
      <c r="IM6" s="14">
        <f t="shared" ca="1" si="4"/>
        <v>43397</v>
      </c>
      <c r="IN6" s="14">
        <f t="shared" ca="1" si="4"/>
        <v>43398</v>
      </c>
      <c r="IO6" s="14">
        <f t="shared" ca="1" si="4"/>
        <v>43399</v>
      </c>
      <c r="IP6" s="14">
        <f t="shared" ca="1" si="4"/>
        <v>43400</v>
      </c>
      <c r="IQ6" s="14">
        <f t="shared" ca="1" si="4"/>
        <v>43401</v>
      </c>
      <c r="IR6" s="14">
        <f t="shared" ca="1" si="4"/>
        <v>43402</v>
      </c>
      <c r="IS6" s="14">
        <f t="shared" ca="1" si="4"/>
        <v>43403</v>
      </c>
      <c r="IT6" s="14">
        <f t="shared" ca="1" si="4"/>
        <v>43404</v>
      </c>
      <c r="IU6" s="14">
        <f t="shared" ca="1" si="4"/>
        <v>43405</v>
      </c>
      <c r="IV6" s="14">
        <f t="shared" ca="1" si="4"/>
        <v>43406</v>
      </c>
      <c r="IW6" s="14">
        <f t="shared" ca="1" si="4"/>
        <v>43407</v>
      </c>
      <c r="IX6" s="14">
        <f t="shared" ca="1" si="4"/>
        <v>43408</v>
      </c>
      <c r="IY6" s="14">
        <f t="shared" ca="1" si="4"/>
        <v>43409</v>
      </c>
      <c r="IZ6" s="14">
        <f t="shared" ca="1" si="4"/>
        <v>43410</v>
      </c>
      <c r="JA6" s="14">
        <f t="shared" ca="1" si="4"/>
        <v>43411</v>
      </c>
      <c r="JB6" s="14">
        <f t="shared" ca="1" si="4"/>
        <v>43412</v>
      </c>
      <c r="JC6" s="14">
        <f t="shared" ca="1" si="4"/>
        <v>43413</v>
      </c>
      <c r="JD6" s="14">
        <f t="shared" ca="1" si="4"/>
        <v>43414</v>
      </c>
      <c r="JE6" s="14">
        <f t="shared" ca="1" si="4"/>
        <v>43415</v>
      </c>
      <c r="JF6" s="14">
        <f t="shared" ca="1" si="4"/>
        <v>43416</v>
      </c>
      <c r="JG6" s="14">
        <f t="shared" ca="1" si="4"/>
        <v>43417</v>
      </c>
      <c r="JH6" s="14">
        <f t="shared" ca="1" si="4"/>
        <v>43418</v>
      </c>
      <c r="JI6" s="14">
        <f t="shared" ca="1" si="4"/>
        <v>43419</v>
      </c>
      <c r="JJ6" s="14">
        <f t="shared" ca="1" si="4"/>
        <v>43420</v>
      </c>
      <c r="JK6" s="14">
        <f t="shared" ref="JK6:LV6" ca="1" si="5">TODAY()+((COLUMN()-$H$4)*$N$3)</f>
        <v>43421</v>
      </c>
      <c r="JL6" s="14">
        <f t="shared" ca="1" si="5"/>
        <v>43422</v>
      </c>
      <c r="JM6" s="14">
        <f t="shared" ca="1" si="5"/>
        <v>43423</v>
      </c>
      <c r="JN6" s="14">
        <f t="shared" ca="1" si="5"/>
        <v>43424</v>
      </c>
      <c r="JO6" s="14">
        <f t="shared" ca="1" si="5"/>
        <v>43425</v>
      </c>
      <c r="JP6" s="14">
        <f t="shared" ca="1" si="5"/>
        <v>43426</v>
      </c>
      <c r="JQ6" s="14">
        <f t="shared" ca="1" si="5"/>
        <v>43427</v>
      </c>
      <c r="JR6" s="14">
        <f t="shared" ca="1" si="5"/>
        <v>43428</v>
      </c>
      <c r="JS6" s="14">
        <f t="shared" ca="1" si="5"/>
        <v>43429</v>
      </c>
      <c r="JT6" s="14">
        <f t="shared" ca="1" si="5"/>
        <v>43430</v>
      </c>
      <c r="JU6" s="14">
        <f t="shared" ca="1" si="5"/>
        <v>43431</v>
      </c>
      <c r="JV6" s="14">
        <f t="shared" ca="1" si="5"/>
        <v>43432</v>
      </c>
      <c r="JW6" s="14">
        <f t="shared" ca="1" si="5"/>
        <v>43433</v>
      </c>
      <c r="JX6" s="14">
        <f t="shared" ca="1" si="5"/>
        <v>43434</v>
      </c>
      <c r="JY6" s="14">
        <f t="shared" ca="1" si="5"/>
        <v>43435</v>
      </c>
      <c r="JZ6" s="14">
        <f t="shared" ca="1" si="5"/>
        <v>43436</v>
      </c>
      <c r="KA6" s="14">
        <f t="shared" ca="1" si="5"/>
        <v>43437</v>
      </c>
      <c r="KB6" s="14">
        <f t="shared" ca="1" si="5"/>
        <v>43438</v>
      </c>
      <c r="KC6" s="14">
        <f t="shared" ca="1" si="5"/>
        <v>43439</v>
      </c>
      <c r="KD6" s="14">
        <f t="shared" ca="1" si="5"/>
        <v>43440</v>
      </c>
      <c r="KE6" s="14">
        <f t="shared" ca="1" si="5"/>
        <v>43441</v>
      </c>
      <c r="KF6" s="14">
        <f t="shared" ca="1" si="5"/>
        <v>43442</v>
      </c>
      <c r="KG6" s="14">
        <f t="shared" ca="1" si="5"/>
        <v>43443</v>
      </c>
      <c r="KH6" s="14">
        <f t="shared" ca="1" si="5"/>
        <v>43444</v>
      </c>
      <c r="KI6" s="14">
        <f t="shared" ca="1" si="5"/>
        <v>43445</v>
      </c>
      <c r="KJ6" s="14">
        <f t="shared" ca="1" si="5"/>
        <v>43446</v>
      </c>
      <c r="KK6" s="14">
        <f t="shared" ca="1" si="5"/>
        <v>43447</v>
      </c>
      <c r="KL6" s="14">
        <f t="shared" ca="1" si="5"/>
        <v>43448</v>
      </c>
      <c r="KM6" s="14">
        <f t="shared" ca="1" si="5"/>
        <v>43449</v>
      </c>
      <c r="KN6" s="14">
        <f t="shared" ca="1" si="5"/>
        <v>43450</v>
      </c>
      <c r="KO6" s="14">
        <f t="shared" ca="1" si="5"/>
        <v>43451</v>
      </c>
      <c r="KP6" s="14">
        <f t="shared" ca="1" si="5"/>
        <v>43452</v>
      </c>
      <c r="KQ6" s="14">
        <f t="shared" ca="1" si="5"/>
        <v>43453</v>
      </c>
      <c r="KR6" s="14">
        <f t="shared" ca="1" si="5"/>
        <v>43454</v>
      </c>
      <c r="KS6" s="14">
        <f t="shared" ca="1" si="5"/>
        <v>43455</v>
      </c>
      <c r="KT6" s="14">
        <f t="shared" ca="1" si="5"/>
        <v>43456</v>
      </c>
      <c r="KU6" s="14">
        <f t="shared" ca="1" si="5"/>
        <v>43457</v>
      </c>
      <c r="KV6" s="14">
        <f t="shared" ca="1" si="5"/>
        <v>43458</v>
      </c>
      <c r="KW6" s="14">
        <f t="shared" ca="1" si="5"/>
        <v>43459</v>
      </c>
      <c r="KX6" s="14">
        <f t="shared" ca="1" si="5"/>
        <v>43460</v>
      </c>
      <c r="KY6" s="14">
        <f t="shared" ca="1" si="5"/>
        <v>43461</v>
      </c>
      <c r="KZ6" s="14">
        <f t="shared" ca="1" si="5"/>
        <v>43462</v>
      </c>
      <c r="LA6" s="14">
        <f t="shared" ca="1" si="5"/>
        <v>43463</v>
      </c>
      <c r="LB6" s="14">
        <f t="shared" ca="1" si="5"/>
        <v>43464</v>
      </c>
      <c r="LC6" s="14">
        <f t="shared" ca="1" si="5"/>
        <v>43465</v>
      </c>
      <c r="LD6" s="14">
        <f t="shared" ca="1" si="5"/>
        <v>43466</v>
      </c>
      <c r="LE6" s="14">
        <f t="shared" ca="1" si="5"/>
        <v>43467</v>
      </c>
      <c r="LF6" s="14">
        <f t="shared" ca="1" si="5"/>
        <v>43468</v>
      </c>
      <c r="LG6" s="14">
        <f t="shared" ca="1" si="5"/>
        <v>43469</v>
      </c>
      <c r="LH6" s="14">
        <f t="shared" ca="1" si="5"/>
        <v>43470</v>
      </c>
      <c r="LI6" s="14">
        <f t="shared" ca="1" si="5"/>
        <v>43471</v>
      </c>
      <c r="LJ6" s="14">
        <f t="shared" ca="1" si="5"/>
        <v>43472</v>
      </c>
      <c r="LK6" s="14">
        <f t="shared" ca="1" si="5"/>
        <v>43473</v>
      </c>
      <c r="LL6" s="14">
        <f t="shared" ca="1" si="5"/>
        <v>43474</v>
      </c>
      <c r="LM6" s="14">
        <f t="shared" ca="1" si="5"/>
        <v>43475</v>
      </c>
      <c r="LN6" s="14">
        <f t="shared" ca="1" si="5"/>
        <v>43476</v>
      </c>
      <c r="LO6" s="14">
        <f t="shared" ca="1" si="5"/>
        <v>43477</v>
      </c>
      <c r="LP6" s="14">
        <f t="shared" ca="1" si="5"/>
        <v>43478</v>
      </c>
      <c r="LQ6" s="14">
        <f t="shared" ca="1" si="5"/>
        <v>43479</v>
      </c>
      <c r="LR6" s="14">
        <f t="shared" ca="1" si="5"/>
        <v>43480</v>
      </c>
      <c r="LS6" s="14">
        <f t="shared" ca="1" si="5"/>
        <v>43481</v>
      </c>
      <c r="LT6" s="14">
        <f t="shared" ca="1" si="5"/>
        <v>43482</v>
      </c>
      <c r="LU6" s="14">
        <f t="shared" ca="1" si="5"/>
        <v>43483</v>
      </c>
      <c r="LV6" s="14">
        <f t="shared" ca="1" si="5"/>
        <v>43484</v>
      </c>
      <c r="LW6" s="14">
        <f t="shared" ref="LW6:NA6" ca="1" si="6">TODAY()+((COLUMN()-$H$4)*$N$3)</f>
        <v>43485</v>
      </c>
      <c r="LX6" s="14">
        <f t="shared" ca="1" si="6"/>
        <v>43486</v>
      </c>
      <c r="LY6" s="14">
        <f t="shared" ca="1" si="6"/>
        <v>43487</v>
      </c>
      <c r="LZ6" s="14">
        <f t="shared" ca="1" si="6"/>
        <v>43488</v>
      </c>
      <c r="MA6" s="14">
        <f t="shared" ca="1" si="6"/>
        <v>43489</v>
      </c>
      <c r="MB6" s="14">
        <f t="shared" ca="1" si="6"/>
        <v>43490</v>
      </c>
      <c r="MC6" s="14">
        <f t="shared" ca="1" si="6"/>
        <v>43491</v>
      </c>
      <c r="MD6" s="14">
        <f t="shared" ca="1" si="6"/>
        <v>43492</v>
      </c>
      <c r="ME6" s="14">
        <f t="shared" ca="1" si="6"/>
        <v>43493</v>
      </c>
      <c r="MF6" s="14">
        <f t="shared" ca="1" si="6"/>
        <v>43494</v>
      </c>
      <c r="MG6" s="14">
        <f t="shared" ca="1" si="6"/>
        <v>43495</v>
      </c>
      <c r="MH6" s="14">
        <f t="shared" ca="1" si="6"/>
        <v>43496</v>
      </c>
      <c r="MI6" s="14">
        <f t="shared" ca="1" si="6"/>
        <v>43497</v>
      </c>
      <c r="MJ6" s="14">
        <f t="shared" ca="1" si="6"/>
        <v>43498</v>
      </c>
      <c r="MK6" s="14">
        <f t="shared" ca="1" si="6"/>
        <v>43499</v>
      </c>
      <c r="ML6" s="14">
        <f t="shared" ca="1" si="6"/>
        <v>43500</v>
      </c>
      <c r="MM6" s="14">
        <f t="shared" ca="1" si="6"/>
        <v>43501</v>
      </c>
      <c r="MN6" s="14">
        <f t="shared" ca="1" si="6"/>
        <v>43502</v>
      </c>
      <c r="MO6" s="14">
        <f t="shared" ca="1" si="6"/>
        <v>43503</v>
      </c>
      <c r="MP6" s="14">
        <f t="shared" ca="1" si="6"/>
        <v>43504</v>
      </c>
      <c r="MQ6" s="14">
        <f t="shared" ca="1" si="6"/>
        <v>43505</v>
      </c>
      <c r="MR6" s="14">
        <f t="shared" ca="1" si="6"/>
        <v>43506</v>
      </c>
      <c r="MS6" s="14">
        <f t="shared" ca="1" si="6"/>
        <v>43507</v>
      </c>
      <c r="MT6" s="14">
        <f t="shared" ca="1" si="6"/>
        <v>43508</v>
      </c>
      <c r="MU6" s="14">
        <f t="shared" ca="1" si="6"/>
        <v>43509</v>
      </c>
      <c r="MV6" s="14">
        <f t="shared" ca="1" si="6"/>
        <v>43510</v>
      </c>
      <c r="MW6" s="14">
        <f t="shared" ca="1" si="6"/>
        <v>43511</v>
      </c>
      <c r="MX6" s="14">
        <f t="shared" ca="1" si="6"/>
        <v>43512</v>
      </c>
      <c r="MY6" s="14">
        <f t="shared" ca="1" si="6"/>
        <v>43513</v>
      </c>
      <c r="MZ6" s="14">
        <f t="shared" ca="1" si="6"/>
        <v>43514</v>
      </c>
      <c r="NA6" s="14">
        <f t="shared" ca="1" si="6"/>
        <v>43515</v>
      </c>
    </row>
    <row r="7" spans="1:367" s="2" customFormat="1" ht="24" customHeight="1">
      <c r="A7" s="158" t="s">
        <v>604</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605</v>
      </c>
      <c r="B29" s="112"/>
      <c r="C29" s="115" t="s">
        <v>189</v>
      </c>
      <c r="D29" s="113">
        <v>43163</v>
      </c>
      <c r="E29" s="17">
        <v>43195</v>
      </c>
      <c r="F29" s="194">
        <v>0.6</v>
      </c>
    </row>
    <row r="30" spans="1:45" ht="20.100000000000001" customHeight="1">
      <c r="A30" s="160" t="s">
        <v>605</v>
      </c>
      <c r="B30" s="30" t="s">
        <v>190</v>
      </c>
      <c r="C30" s="16" t="s">
        <v>100</v>
      </c>
      <c r="D30" s="16">
        <v>43163</v>
      </c>
      <c r="E30" s="17">
        <v>43177</v>
      </c>
      <c r="F30" s="4">
        <v>1</v>
      </c>
      <c r="G30" s="114"/>
    </row>
    <row r="31" spans="1:45" ht="20.100000000000001" customHeight="1">
      <c r="A31" s="160" t="s">
        <v>605</v>
      </c>
      <c r="B31" s="30" t="s">
        <v>190</v>
      </c>
      <c r="C31" s="16" t="s">
        <v>207</v>
      </c>
      <c r="D31" s="16">
        <v>43163</v>
      </c>
      <c r="E31" s="17">
        <v>43172</v>
      </c>
      <c r="F31" s="4">
        <v>1</v>
      </c>
      <c r="G31" s="114"/>
    </row>
    <row r="32" spans="1:45" ht="20.100000000000001" customHeight="1">
      <c r="A32" s="160"/>
      <c r="B32" s="162"/>
      <c r="C32" s="163" t="s">
        <v>670</v>
      </c>
      <c r="D32" s="163">
        <v>43161</v>
      </c>
      <c r="E32" s="163">
        <v>43163</v>
      </c>
      <c r="F32" s="201">
        <v>1</v>
      </c>
      <c r="G32" s="114"/>
    </row>
    <row r="33" spans="1:14" ht="20.100000000000001" customHeight="1">
      <c r="A33" s="160" t="s">
        <v>605</v>
      </c>
      <c r="B33" s="30" t="s">
        <v>190</v>
      </c>
      <c r="C33" s="16" t="s">
        <v>188</v>
      </c>
      <c r="D33" s="16">
        <v>43180</v>
      </c>
      <c r="E33" s="17">
        <v>43195</v>
      </c>
      <c r="F33" s="4">
        <v>0.2</v>
      </c>
      <c r="G33" s="114"/>
    </row>
    <row r="34" spans="1:14" ht="20.100000000000001" customHeight="1">
      <c r="A34" s="160" t="s">
        <v>605</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613</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612</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43200</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270</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436" priority="147" timePeriod="yesterday">
      <formula>FLOOR(A6,1)=TODAY()-1</formula>
    </cfRule>
    <cfRule type="timePeriod" dxfId="435" priority="190" timePeriod="tomorrow">
      <formula>FLOOR(A6,1)=TODAY()+1</formula>
    </cfRule>
    <cfRule type="timePeriod" dxfId="434" priority="191" timePeriod="yesterday">
      <formula>FLOOR(A6,1)=TODAY()-1</formula>
    </cfRule>
    <cfRule type="timePeriod" dxfId="433" priority="192" timePeriod="yesterday">
      <formula>FLOOR(A6,1)=TODAY()-1</formula>
    </cfRule>
    <cfRule type="timePeriod" dxfId="432"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31" priority="173" operator="lessThanOrEqual">
      <formula>TODAY()</formula>
    </cfRule>
    <cfRule type="cellIs" dxfId="430" priority="174" operator="greaterThan">
      <formula>TODAY()</formula>
    </cfRule>
  </conditionalFormatting>
  <conditionalFormatting sqref="E27:E28 E30:E35 E37:E44 E57:E63 E65:E342 E11:E24 E46:E55">
    <cfRule type="expression" dxfId="429" priority="157">
      <formula>ISBLANK(INDIRECT("E"&amp;ROW()))</formula>
    </cfRule>
  </conditionalFormatting>
  <conditionalFormatting sqref="B27:D28 B30:D35 B37:D44 B46:D55 B57:D63 B65:D342 B11:D24">
    <cfRule type="expression" dxfId="428" priority="149">
      <formula>ISBLANK(INDIRECT("E"&amp;ROW()))*ISBLANK(INDIRECT("F"&amp;ROW()))</formula>
    </cfRule>
    <cfRule type="expression" dxfId="427" priority="150">
      <formula>INDIRECT("F"&amp;ROW()) &gt;= 0.9</formula>
    </cfRule>
    <cfRule type="expression" dxfId="426" priority="151">
      <formula>INDIRECT("F"&amp;ROW())&lt;0.9</formula>
    </cfRule>
    <cfRule type="expression" dxfId="425" priority="152">
      <formula>INDIRECT("E"&amp;ROW())&lt;TODAY() * NOT(ISBLANK(INDIRECT("E"&amp;ROW())))</formula>
    </cfRule>
  </conditionalFormatting>
  <conditionalFormatting sqref="B1:D8 B27:D28 B30:D35 B37:D44 B46:D55 B57:D63 B65:D1048576 B11:D24">
    <cfRule type="expression" dxfId="424" priority="143">
      <formula xml:space="preserve"> (INDIRECT("F" &amp; ROW()) &lt; 0.9) * (INDIRECT("E" &amp; ROW()) &gt; TODAY())</formula>
    </cfRule>
  </conditionalFormatting>
  <conditionalFormatting sqref="I7:DZ8 H27:DZ28 H30:DZ35 H37:DZ44 H46:DZ55 H57:DZ63 H65:DZ732 H11:DZ24">
    <cfRule type="expression" dxfId="423"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22" priority="92">
      <formula xml:space="preserve"> NOT(ISBLANK(INDIRECT("D"&amp;ROW()))) * NOT(ISODD(ROW())) *NOT(ISBLANK(INDIRECT("E"&amp;ROW())))*(INDIRECT(SUBSTITUTE(ADDRESS(1,COLUMN(),4),1,"") &amp; 6) &lt;= INDIRECT("E" &amp; ROW()))*(INDIRECT(SUBSTITUTE(ADDRESS(1,COLUMN(),4),1,"") &amp; 6) &gt;= INDIRECT("D" &amp; ROW()))</formula>
    </cfRule>
    <cfRule type="expression" dxfId="42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20"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9" priority="111">
      <formula xml:space="preserve"> (INDIRECT("F" &amp; ROW()) &lt; 0.9) * (INDIRECT("E" &amp; ROW()) &gt; TODAY())</formula>
    </cfRule>
  </conditionalFormatting>
  <conditionalFormatting sqref="H26:DZ26">
    <cfRule type="expression" dxfId="418" priority="108">
      <formula xml:space="preserve"> INDIRECT(SUBSTITUTE(ADDRESS(1,COLUMN(),4),1,"") &amp; 6) = TODAY()</formula>
    </cfRule>
  </conditionalFormatting>
  <conditionalFormatting sqref="A26:XFD26">
    <cfRule type="expression" dxfId="417" priority="109">
      <formula xml:space="preserve"> NOT(ISBLANK(INDIRECT("D"&amp;ROW()))) * NOT(ISODD(ROW())) *NOT(ISBLANK(INDIRECT("E"&amp;ROW())))*(INDIRECT(SUBSTITUTE(ADDRESS(1,COLUMN(),4),1,"") &amp; 6) &lt;= INDIRECT("E" &amp; ROW()))*(INDIRECT(SUBSTITUTE(ADDRESS(1,COLUMN(),4),1,"") &amp; 6) &gt;= INDIRECT("D" &amp; ROW()))</formula>
    </cfRule>
    <cfRule type="expression" dxfId="416"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15" priority="1">
      <formula xml:space="preserve"> INDIRECT("F" &amp; ROW()) &gt; 0.99</formula>
    </cfRule>
    <cfRule type="expression" dxfId="414" priority="137">
      <formula xml:space="preserve"> NOT(ISBLANK(INDIRECT("F" &amp; ROW()))) *( INDIRECT("D" &amp; ROW()) &gt; TODAY()) * INDIRECT("F"&amp;ROW()) &gt; 0.01 * NOT(INDIRECT("F" &amp; ROW()) &gt; 0.99)</formula>
    </cfRule>
    <cfRule type="expression" dxfId="413" priority="138">
      <formula>INDIRECT("D" &amp; ROW()) &gt; TODAY()</formula>
    </cfRule>
  </conditionalFormatting>
  <conditionalFormatting sqref="E33:E35 E27:E28 E24 E30 E37:E44 E57:E63 E65:E822 E46:E55">
    <cfRule type="expression" dxfId="412"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11" priority="81">
      <formula xml:space="preserve"> (INDIRECT("F" &amp; ROW()) &lt; 0.9) * (INDIRECT("E" &amp; ROW()) &gt; TODAY())</formula>
    </cfRule>
  </conditionalFormatting>
  <conditionalFormatting sqref="H10:DZ10">
    <cfRule type="expression" dxfId="410" priority="78">
      <formula xml:space="preserve"> INDIRECT(SUBSTITUTE(ADDRESS(1,COLUMN(),4),1,"") &amp; 6) = TODAY()</formula>
    </cfRule>
  </conditionalFormatting>
  <conditionalFormatting sqref="A10:D10 F10:XFD10">
    <cfRule type="expression" dxfId="409" priority="79">
      <formula xml:space="preserve"> NOT(ISBLANK(INDIRECT("D"&amp;ROW()))) * NOT(ISODD(ROW())) *NOT(ISBLANK(INDIRECT("E"&amp;ROW())))*(INDIRECT(SUBSTITUTE(ADDRESS(1,COLUMN(),4),1,"") &amp; 6) &lt;= INDIRECT("E" &amp; ROW()))*(INDIRECT(SUBSTITUTE(ADDRESS(1,COLUMN(),4),1,"") &amp; 6) &gt;= INDIRECT("D" &amp; ROW()))</formula>
    </cfRule>
    <cfRule type="expression" dxfId="408"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7" priority="76">
      <formula xml:space="preserve"> NOT(ISBLANK(INDIRECT("F" &amp; ROW()))) *( INDIRECT("D" &amp; ROW()) &gt; TODAY()) * INDIRECT("F"&amp;ROW()) &gt; 0.01</formula>
    </cfRule>
    <cfRule type="expression" dxfId="406" priority="77">
      <formula>INDIRECT("D" &amp; ROW()) &gt; TODAY()</formula>
    </cfRule>
  </conditionalFormatting>
  <conditionalFormatting sqref="B36:D36">
    <cfRule type="expression" dxfId="405" priority="52">
      <formula xml:space="preserve"> NOT(ISBLANK(INDIRECT("F" &amp; ROW()))) *( INDIRECT("D" &amp; ROW()) &gt; TODAY()) * INDIRECT("F"&amp;ROW()) &gt; 0.01</formula>
    </cfRule>
    <cfRule type="expression" dxfId="404"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403" priority="73">
      <formula xml:space="preserve"> (INDIRECT("F" &amp; ROW()) &lt; 0.9) * (INDIRECT("E" &amp; ROW()) &gt; TODAY())</formula>
    </cfRule>
  </conditionalFormatting>
  <conditionalFormatting sqref="H25:DZ25">
    <cfRule type="expression" dxfId="402" priority="70">
      <formula xml:space="preserve"> INDIRECT(SUBSTITUTE(ADDRESS(1,COLUMN(),4),1,"") &amp; 6) = TODAY()</formula>
    </cfRule>
  </conditionalFormatting>
  <conditionalFormatting sqref="A25:XFD25">
    <cfRule type="expression" dxfId="401" priority="71">
      <formula xml:space="preserve"> NOT(ISBLANK(INDIRECT("D"&amp;ROW()))) * NOT(ISODD(ROW())) *NOT(ISBLANK(INDIRECT("E"&amp;ROW())))*(INDIRECT(SUBSTITUTE(ADDRESS(1,COLUMN(),4),1,"") &amp; 6) &lt;= INDIRECT("E" &amp; ROW()))*(INDIRECT(SUBSTITUTE(ADDRESS(1,COLUMN(),4),1,"") &amp; 6) &gt;= INDIRECT("D" &amp; ROW()))</formula>
    </cfRule>
    <cfRule type="expression" dxfId="400"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9" priority="68">
      <formula xml:space="preserve"> NOT(ISBLANK(INDIRECT("F" &amp; ROW()))) *( INDIRECT("D" &amp; ROW()) &gt; TODAY()) * INDIRECT("F"&amp;ROW()) &gt; 0.01</formula>
    </cfRule>
    <cfRule type="expression" dxfId="398"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7" priority="65">
      <formula xml:space="preserve"> (INDIRECT("F" &amp; ROW()) &lt; 0.9) * (INDIRECT("E" &amp; ROW()) &gt; TODAY())</formula>
    </cfRule>
  </conditionalFormatting>
  <conditionalFormatting sqref="H29:DZ29">
    <cfRule type="expression" dxfId="396" priority="62">
      <formula xml:space="preserve"> INDIRECT(SUBSTITUTE(ADDRESS(1,COLUMN(),4),1,"") &amp; 6) = TODAY()</formula>
    </cfRule>
  </conditionalFormatting>
  <conditionalFormatting sqref="A29:D29 F29:XFD29 A30:A34">
    <cfRule type="expression" dxfId="395" priority="63">
      <formula xml:space="preserve"> NOT(ISBLANK(INDIRECT("D"&amp;ROW()))) * NOT(ISODD(ROW())) *NOT(ISBLANK(INDIRECT("E"&amp;ROW())))*(INDIRECT(SUBSTITUTE(ADDRESS(1,COLUMN(),4),1,"") &amp; 6) &lt;= INDIRECT("E" &amp; ROW()))*(INDIRECT(SUBSTITUTE(ADDRESS(1,COLUMN(),4),1,"") &amp; 6) &gt;= INDIRECT("D" &amp; ROW()))</formula>
    </cfRule>
    <cfRule type="expression" dxfId="394"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93" priority="60">
      <formula xml:space="preserve"> NOT(ISBLANK(INDIRECT("F" &amp; ROW()))) *( INDIRECT("D" &amp; ROW()) &gt; TODAY()) * INDIRECT("F"&amp;ROW()) &gt; 0.01</formula>
    </cfRule>
    <cfRule type="expression" dxfId="392"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91" priority="57">
      <formula xml:space="preserve"> (INDIRECT("F" &amp; ROW()) &lt; 0.9) * (INDIRECT("E" &amp; ROW()) &gt; TODAY())</formula>
    </cfRule>
  </conditionalFormatting>
  <conditionalFormatting sqref="H36:DZ36">
    <cfRule type="expression" dxfId="390" priority="54">
      <formula xml:space="preserve"> INDIRECT(SUBSTITUTE(ADDRESS(1,COLUMN(),4),1,"") &amp; 6) = TODAY()</formula>
    </cfRule>
  </conditionalFormatting>
  <conditionalFormatting sqref="A36:D36 F36:XFD36 A37:A43">
    <cfRule type="expression" dxfId="389" priority="55">
      <formula xml:space="preserve"> NOT(ISBLANK(INDIRECT("D"&amp;ROW()))) * NOT(ISODD(ROW())) *NOT(ISBLANK(INDIRECT("E"&amp;ROW())))*(INDIRECT(SUBSTITUTE(ADDRESS(1,COLUMN(),4),1,"") &amp; 6) &lt;= INDIRECT("E" &amp; ROW()))*(INDIRECT(SUBSTITUTE(ADDRESS(1,COLUMN(),4),1,"") &amp; 6) &gt;= INDIRECT("D" &amp; ROW()))</formula>
    </cfRule>
    <cfRule type="expression" dxfId="388"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7" priority="50" operator="lessThanOrEqual">
      <formula>TODAY()</formula>
    </cfRule>
    <cfRule type="cellIs" dxfId="386" priority="51" operator="greaterThan">
      <formula>TODAY()</formula>
    </cfRule>
  </conditionalFormatting>
  <conditionalFormatting sqref="E10">
    <cfRule type="expression" dxfId="385" priority="49">
      <formula>ISBLANK(INDIRECT("E"&amp;ROW()))</formula>
    </cfRule>
  </conditionalFormatting>
  <conditionalFormatting sqref="E10">
    <cfRule type="expression" dxfId="384" priority="47">
      <formula xml:space="preserve"> NOT(ISBLANK(INDIRECT("D"&amp;ROW()))) * NOT(ISODD(ROW())) *NOT(ISBLANK(INDIRECT("E"&amp;ROW())))*(INDIRECT(SUBSTITUTE(ADDRESS(1,COLUMN(),4),1,"") &amp; 6) &lt;= INDIRECT("E" &amp; ROW()))*(INDIRECT(SUBSTITUTE(ADDRESS(1,COLUMN(),4),1,"") &amp; 6) &gt;= INDIRECT("D" &amp; ROW()))</formula>
    </cfRule>
    <cfRule type="expression" dxfId="383"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82" priority="46">
      <formula xml:space="preserve"> INDIRECT("D" &amp; ROW()) &gt; TODAY()</formula>
    </cfRule>
  </conditionalFormatting>
  <conditionalFormatting sqref="E29">
    <cfRule type="cellIs" dxfId="381" priority="44" operator="lessThanOrEqual">
      <formula>TODAY()</formula>
    </cfRule>
    <cfRule type="cellIs" dxfId="380" priority="45" operator="greaterThan">
      <formula>TODAY()</formula>
    </cfRule>
  </conditionalFormatting>
  <conditionalFormatting sqref="E29">
    <cfRule type="expression" dxfId="379" priority="43">
      <formula>ISBLANK(INDIRECT("E"&amp;ROW()))</formula>
    </cfRule>
  </conditionalFormatting>
  <conditionalFormatting sqref="E29">
    <cfRule type="expression" dxfId="378" priority="41">
      <formula xml:space="preserve"> NOT(ISBLANK(INDIRECT("D"&amp;ROW()))) * NOT(ISODD(ROW())) *NOT(ISBLANK(INDIRECT("E"&amp;ROW())))*(INDIRECT(SUBSTITUTE(ADDRESS(1,COLUMN(),4),1,"") &amp; 6) &lt;= INDIRECT("E" &amp; ROW()))*(INDIRECT(SUBSTITUTE(ADDRESS(1,COLUMN(),4),1,"") &amp; 6) &gt;= INDIRECT("D" &amp; ROW()))</formula>
    </cfRule>
    <cfRule type="expression" dxfId="377"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6" priority="40">
      <formula xml:space="preserve"> INDIRECT("D" &amp; ROW()) &gt; TODAY()</formula>
    </cfRule>
  </conditionalFormatting>
  <conditionalFormatting sqref="E36">
    <cfRule type="cellIs" dxfId="375" priority="38" operator="lessThanOrEqual">
      <formula>TODAY()</formula>
    </cfRule>
    <cfRule type="cellIs" dxfId="374" priority="39" operator="greaterThan">
      <formula>TODAY()</formula>
    </cfRule>
  </conditionalFormatting>
  <conditionalFormatting sqref="E36">
    <cfRule type="expression" dxfId="373" priority="37">
      <formula>ISBLANK(INDIRECT("E"&amp;ROW()))</formula>
    </cfRule>
  </conditionalFormatting>
  <conditionalFormatting sqref="E36">
    <cfRule type="expression" dxfId="372" priority="35">
      <formula xml:space="preserve"> NOT(ISBLANK(INDIRECT("D"&amp;ROW()))) * NOT(ISODD(ROW())) *NOT(ISBLANK(INDIRECT("E"&amp;ROW())))*(INDIRECT(SUBSTITUTE(ADDRESS(1,COLUMN(),4),1,"") &amp; 6) &lt;= INDIRECT("E" &amp; ROW()))*(INDIRECT(SUBSTITUTE(ADDRESS(1,COLUMN(),4),1,"") &amp; 6) &gt;= INDIRECT("D" &amp; ROW()))</formula>
    </cfRule>
    <cfRule type="expression" dxfId="371"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70"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9" priority="31">
      <formula xml:space="preserve"> (INDIRECT("F" &amp; ROW()) &lt; 0.9) * (INDIRECT("E" &amp; ROW()) &gt; TODAY())</formula>
    </cfRule>
  </conditionalFormatting>
  <conditionalFormatting sqref="H9:DZ9">
    <cfRule type="expression" dxfId="368" priority="30">
      <formula xml:space="preserve"> INDIRECT(SUBSTITUTE(ADDRESS(1,COLUMN(),4),1,"") &amp; 6) = TODAY()</formula>
    </cfRule>
  </conditionalFormatting>
  <conditionalFormatting sqref="A9:XFD9">
    <cfRule type="expression" dxfId="367" priority="28">
      <formula xml:space="preserve"> NOT(ISBLANK(INDIRECT("D"&amp;ROW()))) * NOT(ISODD(ROW())) *NOT(ISBLANK(INDIRECT("E"&amp;ROW())))*(INDIRECT(SUBSTITUTE(ADDRESS(1,COLUMN(),4),1,"") &amp; 6) &lt;= INDIRECT("E" &amp; ROW()))*(INDIRECT(SUBSTITUTE(ADDRESS(1,COLUMN(),4),1,"") &amp; 6) &gt;= INDIRECT("D" &amp; ROW()))</formula>
    </cfRule>
    <cfRule type="expression" dxfId="366"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65" priority="26">
      <formula xml:space="preserve"> NOT(ISBLANK(INDIRECT("F" &amp; ROW()))) *( INDIRECT("D" &amp; ROW()) &gt; TODAY()) * INDIRECT("F"&amp;ROW()) &gt; 0.01</formula>
    </cfRule>
    <cfRule type="expression" dxfId="364"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63" priority="23">
      <formula xml:space="preserve"> (INDIRECT("F" &amp; ROW()) &lt; 0.9) * (INDIRECT("E" &amp; ROW()) &gt; TODAY())</formula>
    </cfRule>
  </conditionalFormatting>
  <conditionalFormatting sqref="H45:DZ45">
    <cfRule type="expression" dxfId="362" priority="22">
      <formula xml:space="preserve"> INDIRECT(SUBSTITUTE(ADDRESS(1,COLUMN(),4),1,"") &amp; 6) = TODAY()</formula>
    </cfRule>
  </conditionalFormatting>
  <conditionalFormatting sqref="A45:XFD45 A46:A54">
    <cfRule type="expression" dxfId="361" priority="20">
      <formula xml:space="preserve"> NOT(ISBLANK(INDIRECT("D"&amp;ROW()))) * NOT(ISODD(ROW())) *NOT(ISBLANK(INDIRECT("E"&amp;ROW())))*(INDIRECT(SUBSTITUTE(ADDRESS(1,COLUMN(),4),1,"") &amp; 6) &lt;= INDIRECT("E" &amp; ROW()))*(INDIRECT(SUBSTITUTE(ADDRESS(1,COLUMN(),4),1,"") &amp; 6) &gt;= INDIRECT("D" &amp; ROW()))</formula>
    </cfRule>
    <cfRule type="expression" dxfId="360"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9" priority="18">
      <formula xml:space="preserve"> NOT(ISBLANK(INDIRECT("F" &amp; ROW()))) *( INDIRECT("D" &amp; ROW()) &gt; TODAY()) * INDIRECT("F"&amp;ROW()) &gt; 0.01</formula>
    </cfRule>
    <cfRule type="expression" dxfId="358"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7" priority="15">
      <formula xml:space="preserve"> (INDIRECT("F" &amp; ROW()) &lt; 0.9) * (INDIRECT("E" &amp; ROW()) &gt; TODAY())</formula>
    </cfRule>
  </conditionalFormatting>
  <conditionalFormatting sqref="H56:DZ56">
    <cfRule type="expression" dxfId="356" priority="14">
      <formula xml:space="preserve"> INDIRECT(SUBSTITUTE(ADDRESS(1,COLUMN(),4),1,"") &amp; 6) = TODAY()</formula>
    </cfRule>
  </conditionalFormatting>
  <conditionalFormatting sqref="A56:XFD56 A57:A62">
    <cfRule type="expression" dxfId="355" priority="12">
      <formula xml:space="preserve"> NOT(ISBLANK(INDIRECT("D"&amp;ROW()))) * NOT(ISODD(ROW())) *NOT(ISBLANK(INDIRECT("E"&amp;ROW())))*(INDIRECT(SUBSTITUTE(ADDRESS(1,COLUMN(),4),1,"") &amp; 6) &lt;= INDIRECT("E" &amp; ROW()))*(INDIRECT(SUBSTITUTE(ADDRESS(1,COLUMN(),4),1,"") &amp; 6) &gt;= INDIRECT("D" &amp; ROW()))</formula>
    </cfRule>
    <cfRule type="expression" dxfId="354"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53" priority="10">
      <formula xml:space="preserve"> NOT(ISBLANK(INDIRECT("F" &amp; ROW()))) *( INDIRECT("D" &amp; ROW()) &gt; TODAY()) * INDIRECT("F"&amp;ROW()) &gt; 0.01</formula>
    </cfRule>
    <cfRule type="expression" dxfId="352"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51" priority="7">
      <formula xml:space="preserve"> (INDIRECT("F" &amp; ROW()) &lt; 0.9) * (INDIRECT("E" &amp; ROW()) &gt; TODAY())</formula>
    </cfRule>
  </conditionalFormatting>
  <conditionalFormatting sqref="H64:DZ64">
    <cfRule type="expression" dxfId="350" priority="6">
      <formula xml:space="preserve"> INDIRECT(SUBSTITUTE(ADDRESS(1,COLUMN(),4),1,"") &amp; 6) = TODAY()</formula>
    </cfRule>
  </conditionalFormatting>
  <conditionalFormatting sqref="A64:XFD64 A65:A67">
    <cfRule type="expression" dxfId="349" priority="4">
      <formula xml:space="preserve"> NOT(ISBLANK(INDIRECT("D"&amp;ROW()))) * NOT(ISODD(ROW())) *NOT(ISBLANK(INDIRECT("E"&amp;ROW())))*(INDIRECT(SUBSTITUTE(ADDRESS(1,COLUMN(),4),1,"") &amp; 6) &lt;= INDIRECT("E" &amp; ROW()))*(INDIRECT(SUBSTITUTE(ADDRESS(1,COLUMN(),4),1,"") &amp; 6) &gt;= INDIRECT("D" &amp; ROW()))</formula>
    </cfRule>
    <cfRule type="expression" dxfId="348"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7" priority="2">
      <formula xml:space="preserve"> NOT(ISBLANK(INDIRECT("F" &amp; ROW()))) *( INDIRECT("D" &amp; ROW()) &gt; TODAY()) * INDIRECT("F"&amp;ROW()) &gt; 0.01</formula>
    </cfRule>
    <cfRule type="expression" dxfId="346"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4"/>
    <col min="3" max="3" width="40.42578125" style="204" customWidth="1"/>
    <col min="4" max="4" width="61.140625" style="204" customWidth="1"/>
    <col min="5" max="5" width="18.42578125" style="204" customWidth="1"/>
    <col min="6" max="6" width="24.42578125" style="204" customWidth="1"/>
    <col min="7" max="7" width="27.28515625" style="204" customWidth="1"/>
    <col min="8" max="8" width="42.28515625" style="204" customWidth="1"/>
    <col min="9" max="9" width="36.28515625" style="204" customWidth="1"/>
    <col min="10" max="16384" width="8.85546875" style="204"/>
  </cols>
  <sheetData>
    <row r="1" spans="1:12" s="68" customFormat="1" ht="33.75" customHeight="1">
      <c r="A1" s="69">
        <f ca="1">TODAY()</f>
        <v>43172</v>
      </c>
      <c r="B1" s="69"/>
    </row>
    <row r="2" spans="1:12" s="141" customFormat="1" ht="33.75" customHeight="1">
      <c r="A2" s="140">
        <f ca="1">NOW()</f>
        <v>43172.882702083334</v>
      </c>
      <c r="B2" s="140"/>
      <c r="E2" s="142" t="s">
        <v>618</v>
      </c>
      <c r="F2" s="142"/>
      <c r="G2" s="142"/>
      <c r="J2" s="142"/>
      <c r="K2" s="142"/>
      <c r="L2" s="142"/>
    </row>
    <row r="3" spans="1:12">
      <c r="A3" s="175"/>
    </row>
    <row r="4" spans="1:12">
      <c r="A4" s="166"/>
    </row>
    <row r="5" spans="1:12">
      <c r="C5" s="205"/>
      <c r="D5" s="205"/>
      <c r="E5" s="205"/>
      <c r="F5" s="205"/>
      <c r="G5" s="205"/>
      <c r="H5" s="205"/>
      <c r="I5" s="205"/>
      <c r="J5" s="205"/>
    </row>
    <row r="6" spans="1:12">
      <c r="C6" s="205"/>
      <c r="D6" s="205"/>
      <c r="E6" s="205"/>
      <c r="F6" s="205"/>
      <c r="G6" s="205"/>
      <c r="H6" s="205"/>
      <c r="I6" s="205"/>
      <c r="J6" s="205"/>
    </row>
    <row r="7" spans="1:12">
      <c r="C7" s="206" t="s">
        <v>683</v>
      </c>
      <c r="D7" s="206"/>
      <c r="E7" s="206"/>
      <c r="F7" s="206"/>
      <c r="G7" s="206"/>
      <c r="H7" s="206"/>
      <c r="I7" s="206" t="s">
        <v>187</v>
      </c>
      <c r="J7" s="205"/>
    </row>
    <row r="8" spans="1:12">
      <c r="C8" s="205"/>
      <c r="D8" s="207" t="s">
        <v>684</v>
      </c>
      <c r="E8" s="207"/>
      <c r="F8" s="207"/>
      <c r="G8" s="207"/>
      <c r="H8" s="207" t="s">
        <v>685</v>
      </c>
      <c r="I8" s="205"/>
      <c r="J8" s="205"/>
    </row>
    <row r="9" spans="1:12">
      <c r="C9" s="205"/>
      <c r="D9" s="205"/>
      <c r="E9" s="206" t="s">
        <v>686</v>
      </c>
      <c r="F9" s="206"/>
      <c r="G9" s="206" t="s">
        <v>687</v>
      </c>
      <c r="H9" s="205"/>
      <c r="I9" s="205"/>
      <c r="J9" s="205"/>
    </row>
    <row r="10" spans="1:12">
      <c r="C10" s="205"/>
      <c r="D10" s="205"/>
      <c r="E10" s="205"/>
      <c r="F10" s="207"/>
      <c r="G10" s="205"/>
      <c r="H10" s="205"/>
      <c r="I10" s="205"/>
      <c r="J10" s="205"/>
    </row>
    <row r="11" spans="1:12">
      <c r="C11" s="205"/>
      <c r="D11" s="205"/>
      <c r="E11" s="205"/>
      <c r="F11" s="207" t="s">
        <v>688</v>
      </c>
      <c r="G11" s="205"/>
      <c r="H11" s="205"/>
      <c r="I11" s="205"/>
      <c r="J11" s="205"/>
    </row>
    <row r="12" spans="1:12">
      <c r="C12" s="205"/>
      <c r="D12" s="205"/>
      <c r="E12" s="205"/>
      <c r="F12" s="205"/>
      <c r="G12" s="205"/>
      <c r="H12" s="205"/>
      <c r="I12" s="205"/>
      <c r="J12" s="205"/>
    </row>
    <row r="13" spans="1:12">
      <c r="C13" s="205"/>
      <c r="D13" s="205"/>
      <c r="E13" s="205"/>
      <c r="F13" s="205"/>
      <c r="G13" s="205"/>
      <c r="H13" s="205"/>
      <c r="I13" s="205"/>
      <c r="J13" s="205"/>
    </row>
    <row r="15" spans="1:12">
      <c r="C15" s="93" t="s">
        <v>694</v>
      </c>
      <c r="D15" s="93" t="s">
        <v>9</v>
      </c>
      <c r="E15" s="93" t="s">
        <v>689</v>
      </c>
      <c r="F15" s="204" t="s">
        <v>691</v>
      </c>
      <c r="G15" s="93" t="s">
        <v>699</v>
      </c>
    </row>
    <row r="16" spans="1:12" ht="58.5" customHeight="1">
      <c r="C16" s="93" t="s">
        <v>711</v>
      </c>
      <c r="D16" s="94" t="s">
        <v>714</v>
      </c>
      <c r="E16" s="208">
        <v>0</v>
      </c>
      <c r="F16" s="209"/>
      <c r="G16" s="209"/>
    </row>
    <row r="17" spans="3:7" ht="58.5" customHeight="1">
      <c r="C17" s="204" t="s">
        <v>715</v>
      </c>
      <c r="D17" s="94" t="s">
        <v>716</v>
      </c>
      <c r="E17" s="211">
        <v>0.1</v>
      </c>
      <c r="F17" s="209"/>
      <c r="G17" s="209"/>
    </row>
    <row r="18" spans="3:7" ht="136.5" customHeight="1">
      <c r="C18" s="93" t="s">
        <v>683</v>
      </c>
      <c r="D18" s="94" t="s">
        <v>690</v>
      </c>
      <c r="E18" s="208">
        <v>0.1</v>
      </c>
      <c r="F18" s="209">
        <v>43226</v>
      </c>
      <c r="G18" s="209"/>
    </row>
    <row r="19" spans="3:7" ht="39" customHeight="1">
      <c r="C19" s="93" t="s">
        <v>684</v>
      </c>
      <c r="D19" s="94" t="s">
        <v>692</v>
      </c>
      <c r="E19" s="208">
        <v>0.05</v>
      </c>
    </row>
    <row r="20" spans="3:7" ht="47.25" customHeight="1">
      <c r="C20" s="93" t="s">
        <v>686</v>
      </c>
      <c r="D20" s="94" t="s">
        <v>693</v>
      </c>
      <c r="E20" s="208">
        <v>0.01</v>
      </c>
    </row>
    <row r="21" spans="3:7" ht="105" customHeight="1">
      <c r="C21" s="93" t="s">
        <v>687</v>
      </c>
      <c r="D21" s="94" t="s">
        <v>695</v>
      </c>
      <c r="E21" s="208">
        <v>1.4999999999999999E-2</v>
      </c>
    </row>
    <row r="22" spans="3:7" ht="64.5" customHeight="1">
      <c r="C22" s="93" t="s">
        <v>187</v>
      </c>
      <c r="D22" s="94" t="s">
        <v>696</v>
      </c>
      <c r="E22" s="208">
        <v>0.1</v>
      </c>
      <c r="F22" s="209">
        <v>43261</v>
      </c>
      <c r="G22" s="209"/>
    </row>
    <row r="23" spans="3:7" ht="84" customHeight="1">
      <c r="C23" s="93" t="s">
        <v>697</v>
      </c>
      <c r="D23" s="94" t="s">
        <v>698</v>
      </c>
      <c r="E23" s="208">
        <v>0.02</v>
      </c>
      <c r="F23" s="210">
        <v>43558</v>
      </c>
      <c r="G23" s="210"/>
    </row>
    <row r="24" spans="3:7" ht="119.25" customHeight="1">
      <c r="C24" s="204" t="s">
        <v>700</v>
      </c>
      <c r="D24" s="93" t="s">
        <v>702</v>
      </c>
      <c r="E24" s="208">
        <v>0.2</v>
      </c>
    </row>
    <row r="25" spans="3:7" ht="117" customHeight="1">
      <c r="C25" s="204" t="s">
        <v>701</v>
      </c>
      <c r="D25" s="93" t="s">
        <v>703</v>
      </c>
      <c r="E25" s="20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2018-03-13T11:11:05Z</dcterms:modified>
</cp:coreProperties>
</file>