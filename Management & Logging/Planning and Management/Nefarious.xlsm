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43980" windowWidth="25605" windowHeight="15540" tabRatio="540" activeTab="1"/>
  </bookViews>
  <sheets>
    <sheet name="GAANT" sheetId="1" r:id="rId1"/>
    <sheet name="Life Planner" sheetId="6" r:id="rId2"/>
    <sheet name="Day Planner" sheetId="11" r:id="rId3"/>
    <sheet name="Journal" sheetId="3" r:id="rId4"/>
    <sheet name="Project Scheduler" sheetId="8" r:id="rId5"/>
    <sheet name="Current Tasks" sheetId="9" r:id="rId6"/>
    <sheet name="Coding Tasks" sheetId="10" r:id="rId7"/>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0" l="1"/>
  <c r="A1" i="10"/>
  <c r="I11" i="9"/>
  <c r="A2" i="9"/>
  <c r="A1" i="9"/>
  <c r="E58"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<sst xmlns="http://schemas.openxmlformats.org/spreadsheetml/2006/main" count="1096" uniqueCount="777">
  <si>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</si>
  <si>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</si>
  <si>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</si>
  <si>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</si>
  <si>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</si>
  <si>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</si>
  <si>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</si>
  <si>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</si>
  <si>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</si>
  <si>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</si>
  <si>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</si>
  <si>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</si>
  <si>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</si>
  <si>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</si>
  <si>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</si>
  <si>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</si>
  <si>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</si>
  <si>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</si>
  <si>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</si>
  <si>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</si>
  <si>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</si>
  <si>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</si>
  <si>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</si>
  <si>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</si>
  <si>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</si>
  <si>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</si>
  <si>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</si>
  <si>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</si>
  <si>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</si>
  <si>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</si>
  <si>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</si>
  <si>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</si>
  <si>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</si>
  <si>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</si>
  <si>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</si>
  <si>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</si>
  <si>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</si>
  <si>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</si>
  <si>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</si>
  <si>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</si>
  <si>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</si>
  <si>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</si>
  <si>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</si>
  <si>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</si>
  <si>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</si>
  <si>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</si>
  <si>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</si>
  <si>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</si>
  <si>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</si>
  <si>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</si>
  <si>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</si>
  <si>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</si>
  <si>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</si>
  <si>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</si>
  <si>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</si>
  <si>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</si>
  <si>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</si>
  <si>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</si>
  <si>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</si>
  <si>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</si>
  <si>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</si>
  <si>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</si>
  <si>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</si>
  <si>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</si>
  <si>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</si>
  <si>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</si>
  <si>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</si>
  <si>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</si>
  <si>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</si>
  <si>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</si>
  <si>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</si>
  <si>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</si>
  <si>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</si>
  <si>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</si>
  <si>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</si>
  <si>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</si>
  <si>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</si>
  <si>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</si>
  <si>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</si>
  <si>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</si>
  <si>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</si>
  <si>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</si>
  <si>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</si>
  <si>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</si>
  <si>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</si>
  <si>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</si>
  <si>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</si>
  <si>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</si>
  <si>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</si>
  <si>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</si>
  <si>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</si>
  <si>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</si>
  <si>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</si>
  <si>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</si>
  <si>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</si>
  <si>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</si>
  <si>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</si>
  <si>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</si>
  <si>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</si>
  <si>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</si>
  <si>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</si>
  <si>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</si>
  <si>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</si>
  <si>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</si>
  <si>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</si>
  <si>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</si>
  <si>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</si>
  <si>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</si>
  <si>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</si>
  <si>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</si>
  <si>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</si>
  <si>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</si>
  <si>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</si>
  <si>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</si>
  <si>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</si>
  <si>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</si>
  <si>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</si>
  <si>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</si>
  <si>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</si>
  <si>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</si>
  <si>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</si>
  <si>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</si>
  <si>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</si>
  <si>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</si>
  <si>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</si>
  <si>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</si>
  <si>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</si>
  <si>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</si>
  <si>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</si>
  <si>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</si>
  <si>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</si>
  <si>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</si>
  <si>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</si>
  <si>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</si>
  <si>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</si>
  <si>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</si>
  <si>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</si>
  <si>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</si>
  <si>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</si>
  <si>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</si>
  <si>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</si>
  <si>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</si>
  <si>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</si>
  <si>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</si>
  <si>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</si>
  <si>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</si>
  <si>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</si>
  <si>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</si>
  <si>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</si>
  <si>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</si>
  <si>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</si>
  <si>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</si>
  <si>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</si>
  <si>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</si>
  <si>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</si>
  <si>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</si>
  <si>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</si>
  <si>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</si>
  <si>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</si>
  <si>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</si>
  <si>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</si>
  <si>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</si>
  <si>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</si>
  <si>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</si>
  <si>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</si>
  <si>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</si>
  <si>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</si>
  <si>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</si>
  <si>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</si>
  <si>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</si>
  <si>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</si>
  <si>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</si>
  <si>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</si>
  <si>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</si>
  <si>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</si>
  <si>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</si>
  <si>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</si>
  <si>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</si>
  <si>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</si>
  <si>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</si>
  <si>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</si>
  <si>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</si>
  <si>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</si>
  <si>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</si>
  <si>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</si>
  <si>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</si>
  <si>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</si>
  <si>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</si>
  <si>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</si>
  <si>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</si>
  <si>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</si>
  <si>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</si>
  <si>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</si>
  <si>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</si>
  <si>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</si>
  <si>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</si>
  <si>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</si>
  <si>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</si>
  <si>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</si>
  <si>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</si>
  <si>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</si>
  <si>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</si>
  <si>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</si>
  <si>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</si>
  <si>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</si>
  <si>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</si>
  <si>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</si>
  <si>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</si>
  <si>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</si>
  <si>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</si>
  <si>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</si>
  <si>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</si>
  <si>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</si>
  <si>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</si>
  <si>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</si>
  <si>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</si>
  <si>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</si>
  <si>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</si>
  <si>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</si>
  <si>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</si>
  <si>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</si>
  <si>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</si>
  <si>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</si>
  <si>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</si>
  <si>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</si>
  <si>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</si>
  <si>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</si>
  <si>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</si>
  <si>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</si>
  <si>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</si>
  <si>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</si>
  <si>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</si>
  <si>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</si>
  <si>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</si>
  <si>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</si>
  <si>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</si>
  <si>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</si>
  <si>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</si>
  <si>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</si>
  <si>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</si>
  <si>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</si>
  <si>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</si>
  <si>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</si>
  <si>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S</t>
  </si>
  <si>
    <t>T</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</si>
  <si>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</si>
  <si>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</si>
  <si>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</si>
  <si>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</si>
  <si>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</si>
  <si>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</si>
  <si>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</si>
  <si>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</si>
  <si>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</si>
  <si>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</si>
  <si>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</si>
  <si>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</si>
  <si>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</si>
  <si>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</si>
  <si>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</si>
  <si>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</si>
  <si>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</si>
  <si>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</si>
  <si>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</si>
  <si>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</si>
  <si>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</si>
  <si>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</si>
  <si>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</si>
  <si>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</si>
  <si>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</si>
  <si>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</si>
  <si>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</si>
  <si>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</si>
  <si>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</si>
  <si>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</si>
  <si>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</si>
  <si>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</si>
  <si>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</si>
  <si>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</si>
  <si>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</si>
  <si>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</si>
  <si>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</si>
  <si>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4.5 KM RUN</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</si>
  <si>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</si>
  <si>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</si>
  <si>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</si>
  <si>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</si>
  <si>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</si>
  <si>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</si>
  <si>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STORY WORK</t>
  </si>
  <si>
    <t xml:space="preserve">BLOG </t>
  </si>
  <si>
    <t>PLAYER CONTROLLER/RELAX</t>
  </si>
  <si>
    <t>https://itch.io/jam/metagamejam</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</si>
  <si>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</si>
  <si>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</si>
  <si>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</si>
  <si>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</si>
  <si>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</si>
  <si>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</si>
  <si>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</si>
  <si>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</si>
  <si>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</si>
  <si>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</si>
  <si>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</si>
  <si>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</si>
  <si>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</si>
  <si>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</si>
  <si>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</si>
  <si>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</si>
  <si>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</si>
  <si>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</si>
  <si>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</si>
  <si>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</si>
  <si>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</si>
  <si>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</si>
  <si>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</si>
  <si>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</si>
  <si>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</si>
  <si>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</si>
  <si>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</si>
  <si>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</si>
  <si>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</si>
  <si>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</si>
  <si>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</si>
  <si>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</si>
  <si>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</si>
  <si>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</si>
  <si>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</si>
  <si>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</si>
  <si>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</si>
  <si>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</si>
  <si>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</si>
  <si>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</si>
  <si>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</si>
  <si>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</si>
  <si>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</si>
  <si>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</si>
  <si>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</si>
  <si>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</si>
  <si>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</si>
  <si>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</si>
  <si>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</si>
  <si>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</si>
  <si>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</si>
  <si>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</si>
  <si>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</si>
  <si>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</si>
  <si>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</si>
  <si>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</si>
  <si>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</si>
  <si>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</si>
  <si>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</si>
  <si>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</si>
  <si>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</si>
  <si>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</si>
  <si>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</si>
  <si>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</si>
  <si>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</si>
  <si>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</si>
  <si>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</si>
  <si>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</si>
  <si>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</si>
  <si>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</si>
  <si>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</si>
  <si>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</si>
  <si>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</si>
  <si>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</si>
  <si>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</si>
  <si>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</si>
  <si>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</si>
  <si>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</si>
  <si>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</si>
  <si>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</si>
  <si>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</si>
  <si>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</si>
  <si>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</si>
  <si>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</si>
  <si>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</si>
  <si>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</si>
  <si>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</si>
  <si>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</si>
  <si>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</si>
  <si>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</si>
  <si>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</si>
  <si>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</si>
  <si>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</si>
  <si>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</si>
  <si>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</si>
  <si>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</si>
  <si>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</si>
  <si>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</si>
  <si>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</si>
  <si>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</si>
  <si>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</si>
  <si>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</si>
  <si>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</si>
  <si>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</si>
  <si>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</si>
  <si>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</si>
  <si>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</si>
  <si>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</si>
  <si>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</si>
  <si>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</si>
  <si>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</si>
  <si>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</si>
  <si>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</si>
  <si>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</si>
  <si>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</si>
  <si>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</si>
  <si>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</si>
  <si>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</si>
  <si>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</si>
  <si>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</si>
  <si>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</si>
  <si>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</si>
  <si>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</si>
  <si>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</si>
  <si>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</si>
  <si>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</si>
  <si>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</si>
  <si>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</si>
  <si>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</si>
  <si>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</si>
  <si>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</si>
  <si>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</si>
  <si>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</si>
  <si>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</si>
  <si>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</si>
  <si>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</si>
  <si>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</si>
  <si>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</si>
  <si>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</si>
  <si>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</si>
  <si>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</si>
  <si>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</si>
  <si>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</si>
  <si>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</si>
  <si>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</si>
  <si>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</si>
  <si>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</si>
  <si>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</si>
  <si>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</si>
  <si>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</si>
  <si>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</si>
  <si>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</si>
  <si>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</si>
  <si>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</si>
  <si>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</si>
  <si>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</si>
  <si>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</si>
  <si>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</si>
  <si>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</si>
  <si>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</si>
  <si>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</si>
  <si>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</si>
  <si>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</si>
  <si>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</si>
  <si>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</si>
  <si>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</si>
  <si>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</si>
  <si>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</si>
  <si>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</si>
  <si>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</si>
  <si>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</si>
  <si>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</si>
  <si>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</si>
  <si>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</si>
  <si>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</si>
  <si>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</si>
  <si>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</si>
  <si>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</si>
  <si>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</si>
  <si>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</si>
  <si>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</si>
  <si>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</si>
  <si>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</si>
  <si>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</si>
  <si>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</si>
  <si>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</si>
  <si>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</si>
  <si>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</si>
  <si>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</si>
  <si>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</si>
  <si>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</si>
  <si>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</si>
  <si>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</si>
  <si>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</si>
  <si>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</si>
  <si>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</si>
  <si>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</si>
  <si>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</si>
  <si>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</si>
  <si>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</si>
  <si>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</si>
  <si>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</si>
  <si>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</si>
  <si>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</si>
  <si>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</si>
  <si>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</si>
  <si>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</si>
  <si>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</si>
  <si>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</si>
  <si>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</si>
  <si>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</si>
  <si>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</si>
  <si>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</si>
  <si>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</si>
  <si>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</si>
  <si>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</si>
  <si>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</si>
  <si>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</si>
  <si>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</si>
  <si>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</si>
  <si>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</si>
  <si>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</si>
  <si>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</si>
  <si>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</si>
  <si>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</si>
  <si>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</si>
  <si>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</si>
  <si>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</si>
  <si>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</si>
  <si>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</si>
  <si>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</si>
  <si>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</si>
  <si>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</si>
  <si>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</si>
  <si>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</si>
  <si>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</si>
  <si>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</si>
  <si>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</si>
  <si>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</si>
  <si>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</si>
  <si>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</si>
  <si>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</si>
  <si>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</si>
  <si>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</si>
  <si>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</si>
  <si>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</si>
  <si>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</si>
  <si>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</si>
  <si>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</si>
  <si>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</si>
  <si>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</si>
  <si>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</si>
  <si>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</si>
  <si>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</si>
  <si>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</si>
  <si>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</si>
  <si>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</si>
  <si>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</si>
  <si>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</si>
  <si>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</si>
  <si>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</si>
  <si>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</si>
  <si>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</si>
  <si>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</si>
  <si>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</si>
  <si>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</si>
  <si>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</si>
  <si>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</si>
  <si>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</si>
  <si>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</si>
  <si>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</si>
  <si>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</si>
  <si>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</si>
  <si>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</si>
  <si>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</si>
  <si>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</si>
  <si>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</si>
  <si>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</si>
  <si>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</si>
  <si>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</si>
  <si>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</si>
  <si>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</si>
  <si>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</si>
  <si>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</si>
  <si>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</si>
  <si>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</si>
  <si>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</si>
  <si>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</si>
  <si>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</si>
  <si>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</si>
  <si>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</si>
  <si>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</si>
  <si>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</si>
  <si>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</si>
  <si>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</si>
  <si>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</si>
  <si>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</si>
  <si>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</si>
  <si>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</si>
  <si>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</si>
  <si>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</si>
  <si>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</si>
  <si>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</si>
  <si>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</si>
  <si>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</si>
  <si>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</si>
  <si>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</si>
  <si>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</si>
  <si>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</si>
  <si>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</si>
  <si>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</si>
  <si>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</si>
  <si>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</si>
  <si>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</si>
  <si>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</si>
  <si>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</si>
  <si>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</si>
  <si>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</si>
  <si>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</si>
  <si>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</si>
  <si>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</si>
  <si>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</si>
  <si>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</si>
  <si>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</si>
  <si>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</si>
  <si>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</si>
  <si>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</si>
  <si>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</si>
  <si>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</si>
  <si>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</si>
  <si>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</si>
  <si>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</si>
  <si>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</si>
  <si>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</si>
  <si>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</si>
  <si>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</si>
  <si>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</si>
  <si>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</si>
  <si>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</si>
  <si>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</si>
  <si>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</si>
  <si>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</si>
  <si>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</si>
  <si>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</si>
  <si>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</si>
  <si>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</si>
  <si>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</si>
  <si>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</si>
  <si>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</si>
  <si>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</si>
  <si>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</si>
  <si>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</si>
  <si>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</si>
  <si>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</si>
  <si>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</si>
  <si>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</si>
  <si>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</si>
  <si>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</si>
  <si>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SLEPT</t>
  </si>
  <si>
    <t>WOKE UP AND ATE</t>
  </si>
  <si>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</si>
  <si>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</si>
  <si>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UDEMY PLAN</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</si>
  <si>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</si>
  <si>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</si>
  <si>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</si>
  <si>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</si>
  <si>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</si>
  <si>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</si>
  <si>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</si>
  <si>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Make planner</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</si>
  <si>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</si>
  <si>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</si>
  <si>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</si>
  <si>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</si>
  <si>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</si>
  <si>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</si>
  <si>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</si>
  <si>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</si>
  <si>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</si>
  <si>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</si>
  <si>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</si>
  <si>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</si>
  <si>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</si>
  <si>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</si>
  <si>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</si>
  <si>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PLAN RECORDING</t>
  </si>
  <si>
    <t>Revise presentense verbs, basic vocabulary and conjigations.
Revise basic vocab from the start of the term, make sure you look In your book.</t>
  </si>
  <si>
    <t>SPANISH ON TRAIN</t>
  </si>
  <si>
    <t>SETUP COURSE</t>
  </si>
  <si>
    <t>PLAN OUT THE VIDEO</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</si>
  <si>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</si>
  <si>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CORRIDOR DETECTION</t>
  </si>
  <si>
    <t>SLOPE DETECTION</t>
  </si>
  <si>
    <t xml:space="preserve">WHAT NEEDS TO BE </t>
  </si>
  <si>
    <t>4K</t>
  </si>
  <si>
    <t>TASKS LEFT</t>
  </si>
  <si>
    <t>WEEK 6</t>
  </si>
  <si>
    <t>WEEK 7</t>
  </si>
  <si>
    <t>WEEK 8</t>
  </si>
  <si>
    <t>WEEK 9</t>
  </si>
  <si>
    <t>WEEK 10</t>
  </si>
  <si>
    <t>WEEK 5</t>
  </si>
  <si>
    <t>BUSINESS MANAGEMENT</t>
  </si>
  <si>
    <t>MATHEMATICS</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</si>
  <si>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</si>
  <si>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</si>
  <si>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</si>
  <si>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</si>
  <si>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</si>
  <si>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</si>
  <si>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BUS/PHYSICS</t>
  </si>
  <si>
    <t>ENG/MAT HARD/SPAN</t>
  </si>
  <si>
    <t>Write full para based on what you made</t>
  </si>
  <si>
    <t>4km</t>
  </si>
  <si>
    <t>Map + Story</t>
  </si>
  <si>
    <t>Summary Questions
+ 
Revision</t>
  </si>
  <si>
    <t>Revise all of the OneNote to make sure you are up to scratch</t>
  </si>
  <si>
    <t>REVISION-&gt;</t>
  </si>
  <si>
    <t>REVISION -&gt;</t>
  </si>
  <si>
    <t>MATHS REVISION #1</t>
  </si>
  <si>
    <t>MATHS REVISION #4</t>
  </si>
  <si>
    <t>MATHS REVISION #5</t>
  </si>
  <si>
    <t>MATHS REVISION #6</t>
  </si>
  <si>
    <t>BUS REV</t>
  </si>
  <si>
    <t>COM REV</t>
  </si>
  <si>
    <t>MATHS REVISION #7</t>
  </si>
  <si>
    <t>PHYSICS REV</t>
  </si>
  <si>
    <t>PHYSICS REVISION</t>
  </si>
  <si>
    <t>BUSINESS REVISION</t>
  </si>
  <si>
    <t>COM SCI REV</t>
  </si>
  <si>
    <t>FINISHING THE PLAYER</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</si>
  <si>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</si>
  <si>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</si>
  <si>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</si>
  <si>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</si>
  <si>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</si>
  <si>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</si>
  <si>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</si>
  <si>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</si>
  <si>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</si>
  <si>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</si>
  <si>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 xml:space="preserve">
- Write in full paragraphs and add thesis statement and directional statements
- Finish all the paragraphs by tomorrow (lucky teacher wasn’t here today)</t>
  </si>
  <si>
    <t>Revise main questions
Revision on old stuff
Conjuigations</t>
  </si>
  <si>
    <t>CAP COL</t>
  </si>
  <si>
    <t>Make sure you tell people it's not about making the perfect controller but it's about the level design + the player controller which leads to a good responsive polayer controller.</t>
  </si>
  <si>
    <t>CHARGE CALCULATOR</t>
  </si>
  <si>
    <t xml:space="preserve">
Revision
Ask Question (3A, 3B ~ Question 6)</t>
  </si>
  <si>
    <t>PHYSICS/EXERCISE</t>
  </si>
  <si>
    <t>PHYSICS/SLEEP :(</t>
  </si>
  <si>
    <t>CROSS COUNTRY</t>
  </si>
  <si>
    <t>RELAXED TRAINING…</t>
  </si>
  <si>
    <t>JOG + SOCCER</t>
  </si>
  <si>
    <t>ENGLISH/CAP COL</t>
  </si>
  <si>
    <t>&gt; Player Controller 
&gt; Quick FPS Camera
&gt; Quick camera collisions + Clipping
&gt; Record</t>
  </si>
  <si>
    <t>Revision Priority</t>
  </si>
  <si>
    <t>Links/Notes</t>
  </si>
  <si>
    <t>Reached it in 15 mins</t>
  </si>
  <si>
    <t>1) Take notes on the Physics One Note
2) Create a physics one note on the train</t>
  </si>
  <si>
    <t>Make sure you are working on the program
- Chat room stuff * start working on sending packets*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</si>
  <si>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</si>
  <si>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</si>
  <si>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</si>
  <si>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</si>
  <si>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</si>
  <si>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UDEMY CAM</t>
  </si>
  <si>
    <t>A) Finish IMATH
 B ) Revise chapter 17, problem solving and inequations etc… Look from start and revise everything
Bring calculator on Tuesday 
- Do problem solving and extra questions…
- Hard problems
- Start from the beginning…</t>
  </si>
  <si>
    <t>UDEMY CAM/JAMES</t>
  </si>
  <si>
    <t>TASKS TODAY</t>
  </si>
  <si>
    <t>- Finish writing the paragraphs (last PEEL and copy and paste that into the planner)…</t>
  </si>
  <si>
    <t>- Run atleast 3.7 km in a lower time</t>
  </si>
  <si>
    <t>- Make sure you work on the Story and add more, check your planner and then put that into action..</t>
  </si>
  <si>
    <t>- Finish the player controller, make notes on what you need to talk about and and record the first video tomorrow (the promo)… 
- Plan the promo and execute tomorrow morning</t>
  </si>
  <si>
    <t>=&gt; Revise the maths, start from the first exercise chapter and make sure you understand all of the aspects of the maths</t>
  </si>
  <si>
    <t xml:space="preserve">
Revise the verbs and congications + main verbs and activities
Get the time vocab (Everyday, yesterday) etc…
Revise Grammar + Vocab (Important) : 
Make vocab final list + use the textbook to revise
Revise Verbs + First Person
Check book there is revision there</t>
  </si>
  <si>
    <t xml:space="preserve">
Do the summary questions p165,167.
</t>
  </si>
  <si>
    <t>Go to textbook and revise the definitions, then go through your OneNote and make sure that you know everything… Answer some questions etc…</t>
  </si>
  <si>
    <t>PLAN UDEMY</t>
  </si>
  <si>
    <t>I need to plan the entire promo video because that's what will get you everything
: Plan the script (what you need to say)
: Different Cut-Scenes
: What you need to show and how to compare it and make it look good
: Asset $30
: Why they need it</t>
  </si>
  <si>
    <t>: You need to finish this to a high standard
: Make sure you are being very analytical</t>
  </si>
  <si>
    <t>: This can be held on delay for the moment because Udemy is the main priority to help this (This will get funding for this)…</t>
  </si>
  <si>
    <t>: Cross country is important and you will need this training to be able to run this</t>
  </si>
  <si>
    <t>: The test is extremely close, you must hurry up</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</si>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</sst>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d/mm/yy;@"/>
    <numFmt numFmtId="170" formatCode="0.0%"/>
  </numFmts>
  <fonts count="36">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sz val="11"/>
      <color theme="1"/>
      <name val="Calibri"/>
      <scheme val="minor"/>
    </font>
    <font>
      <b/>
      <sz val="12"/>
      <color theme="1"/>
      <name val="Calibri"/>
      <family val="2"/>
      <scheme val="minor"/>
    </font>
    <font>
      <b/>
      <sz val="11"/>
      <name val="Calibri"/>
      <family val="2"/>
      <scheme val="minor"/>
    </font>
    <font>
      <b/>
      <i/>
      <u/>
      <sz val="11"/>
      <color theme="1"/>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A6D86E"/>
        <bgColor indexed="64"/>
      </patternFill>
    </fill>
    <fill>
      <patternFill patternType="solid">
        <fgColor rgb="FF00B0F0"/>
        <bgColor indexed="64"/>
      </patternFill>
    </fill>
    <fill>
      <patternFill patternType="solid">
        <fgColor theme="9" tint="0.39997558519241921"/>
        <bgColor indexed="64"/>
      </patternFill>
    </fill>
    <fill>
      <patternFill patternType="solid">
        <fgColor theme="6" tint="0.79998168889431442"/>
        <bgColor indexed="64"/>
      </patternFill>
    </fill>
  </fills>
  <borders count="19">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style="thin">
        <color auto="1"/>
      </right>
      <top/>
      <bottom style="thin">
        <color auto="1"/>
      </bottom>
      <diagonal/>
    </border>
  </borders>
  <cellStyleXfs count="4">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1" borderId="14" applyNumberFormat="0" applyFont="0" applyAlignment="0" applyProtection="0"/>
  </cellStyleXfs>
  <cellXfs count="26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ont="1" applyFill="1" applyAlignment="1">
      <alignment horizontal="center" vertical="center" wrapText="1"/>
    </xf>
    <xf numFmtId="0" fontId="3" fillId="17"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3" fillId="18" borderId="0" xfId="0" applyNumberFormat="1" applyFont="1" applyFill="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0" fontId="0" fillId="20" borderId="0" xfId="0" applyFont="1" applyFill="1" applyAlignment="1">
      <alignment horizontal="center" vertical="center" wrapText="1"/>
    </xf>
    <xf numFmtId="0" fontId="3" fillId="20" borderId="0" xfId="0" applyFont="1" applyFill="1" applyAlignment="1">
      <alignment horizontal="center" vertical="center" wrapText="1"/>
    </xf>
    <xf numFmtId="166" fontId="3" fillId="20" borderId="0" xfId="0" applyNumberFormat="1" applyFont="1" applyFill="1" applyAlignment="1">
      <alignment horizontal="center" vertical="center" wrapText="1"/>
    </xf>
    <xf numFmtId="166" fontId="0" fillId="7" borderId="0" xfId="0" quotePrefix="1"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1"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166" fontId="21" fillId="9" borderId="0" xfId="0" applyNumberFormat="1" applyFont="1" applyFill="1" applyAlignment="1">
      <alignment horizontal="center" vertical="center" wrapText="1"/>
    </xf>
    <xf numFmtId="2" fontId="3" fillId="0" borderId="0" xfId="0" applyNumberFormat="1" applyFont="1" applyFill="1" applyAlignment="1">
      <alignment horizontal="center" vertical="center" wrapText="1"/>
    </xf>
    <xf numFmtId="166" fontId="0" fillId="6" borderId="0" xfId="0" quotePrefix="1"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0" fontId="3" fillId="0" borderId="0" xfId="0" applyFont="1" applyFill="1" applyAlignment="1">
      <alignment horizontal="center" vertical="center" wrapText="1"/>
    </xf>
    <xf numFmtId="166" fontId="21" fillId="14" borderId="0" xfId="0" quotePrefix="1" applyNumberFormat="1" applyFont="1" applyFill="1" applyAlignment="1">
      <alignment horizontal="center" vertical="center" wrapText="1"/>
    </xf>
    <xf numFmtId="0" fontId="0" fillId="0" borderId="15" xfId="0" applyBorder="1" applyAlignment="1">
      <alignment horizontal="center" vertical="center" wrapText="1"/>
    </xf>
    <xf numFmtId="0" fontId="30" fillId="21" borderId="14" xfId="3" applyFont="1" applyAlignment="1">
      <alignment horizontal="center" vertical="center" wrapText="1"/>
    </xf>
    <xf numFmtId="0" fontId="0" fillId="0" borderId="16" xfId="0" applyBorder="1" applyAlignment="1">
      <alignment horizontal="center" vertical="center" wrapText="1"/>
    </xf>
    <xf numFmtId="0" fontId="30" fillId="21"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1" borderId="14" xfId="3" applyFont="1" applyBorder="1" applyAlignment="1">
      <alignment horizontal="center" vertical="center" wrapText="1"/>
    </xf>
    <xf numFmtId="0" fontId="20" fillId="0" borderId="0" xfId="2" applyBorder="1" applyAlignment="1">
      <alignment horizontal="center" vertical="center" wrapText="1"/>
    </xf>
    <xf numFmtId="166" fontId="0" fillId="18"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8" borderId="0" xfId="0" applyNumberFormat="1" applyFont="1" applyFill="1" applyAlignment="1">
      <alignment horizontal="center" vertical="center" wrapText="1"/>
    </xf>
    <xf numFmtId="0" fontId="0" fillId="18" borderId="0" xfId="0" applyFont="1" applyFill="1" applyAlignment="1">
      <alignment horizontal="center" vertical="center" wrapText="1"/>
    </xf>
    <xf numFmtId="166" fontId="26" fillId="22"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24" borderId="0" xfId="0" quotePrefix="1"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6" fillId="24"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2" fillId="16" borderId="0" xfId="0" applyNumberFormat="1" applyFont="1" applyFill="1" applyAlignment="1">
      <alignment horizontal="center" vertical="center" wrapText="1"/>
    </xf>
    <xf numFmtId="166" fontId="26" fillId="9" borderId="0" xfId="0" applyNumberFormat="1" applyFont="1" applyFill="1" applyAlignment="1">
      <alignment horizontal="center" vertical="center" wrapText="1"/>
    </xf>
    <xf numFmtId="166" fontId="2" fillId="7" borderId="0" xfId="0" applyNumberFormat="1" applyFon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0" fontId="32" fillId="0" borderId="0" xfId="0" applyFont="1" applyAlignment="1">
      <alignment horizontal="center" vertical="center" wrapText="1"/>
    </xf>
    <xf numFmtId="166" fontId="19" fillId="14" borderId="0" xfId="0" applyNumberFormat="1" applyFont="1" applyFill="1" applyAlignment="1">
      <alignment horizontal="center" vertical="center" wrapText="1"/>
    </xf>
    <xf numFmtId="166" fontId="3" fillId="0" borderId="0" xfId="0" applyNumberFormat="1" applyFont="1" applyFill="1" applyAlignment="1">
      <alignment horizontal="center" vertical="center" wrapText="1"/>
    </xf>
    <xf numFmtId="14" fontId="7" fillId="25" borderId="0" xfId="0" applyNumberFormat="1" applyFont="1" applyFill="1" applyAlignment="1">
      <alignment horizontal="center" vertical="center" wrapText="1"/>
    </xf>
    <xf numFmtId="0" fontId="0" fillId="25" borderId="0" xfId="0" applyFont="1" applyFill="1" applyAlignment="1">
      <alignment horizontal="center" vertical="center" wrapText="1"/>
    </xf>
    <xf numFmtId="166" fontId="22" fillId="25" borderId="0" xfId="0" applyNumberFormat="1" applyFont="1" applyFill="1" applyAlignment="1">
      <alignment horizontal="center" vertical="center" wrapText="1"/>
    </xf>
    <xf numFmtId="166" fontId="22" fillId="16" borderId="0" xfId="0" applyNumberFormat="1" applyFont="1" applyFill="1" applyAlignment="1">
      <alignment horizontal="center" vertical="center" wrapText="1"/>
    </xf>
    <xf numFmtId="166" fontId="22" fillId="18" borderId="0" xfId="0" applyNumberFormat="1" applyFont="1" applyFill="1" applyAlignment="1">
      <alignment horizontal="center" vertical="center" wrapText="1"/>
    </xf>
    <xf numFmtId="166" fontId="33" fillId="16" borderId="0" xfId="0" applyNumberFormat="1" applyFont="1" applyFill="1" applyAlignment="1">
      <alignment horizontal="center" vertical="center" wrapText="1"/>
    </xf>
    <xf numFmtId="166" fontId="3" fillId="16" borderId="0" xfId="0" applyNumberFormat="1" applyFont="1" applyFill="1" applyAlignment="1">
      <alignment horizontal="center" vertical="center" wrapText="1"/>
    </xf>
    <xf numFmtId="166" fontId="3" fillId="2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0" fontId="20" fillId="0" borderId="16" xfId="2" applyBorder="1" applyAlignment="1">
      <alignment horizontal="center" vertical="center" wrapText="1"/>
    </xf>
    <xf numFmtId="166" fontId="0" fillId="26" borderId="0" xfId="0" applyNumberFormat="1" applyFont="1" applyFill="1" applyAlignment="1">
      <alignment horizontal="center" vertical="center" wrapText="1"/>
    </xf>
    <xf numFmtId="0" fontId="0" fillId="27" borderId="0" xfId="0" applyFont="1" applyFill="1" applyAlignment="1">
      <alignment horizontal="center" vertical="center" wrapText="1"/>
    </xf>
    <xf numFmtId="166" fontId="34" fillId="7" borderId="0" xfId="0" applyNumberFormat="1" applyFont="1" applyFill="1" applyAlignment="1">
      <alignment horizontal="center" vertical="center" wrapText="1"/>
    </xf>
    <xf numFmtId="10" fontId="35" fillId="3" borderId="0" xfId="0" applyNumberFormat="1" applyFont="1" applyFill="1" applyBorder="1" applyAlignment="1">
      <alignment horizontal="center" vertical="center" wrapText="1"/>
    </xf>
    <xf numFmtId="10" fontId="35" fillId="7" borderId="0" xfId="0" applyNumberFormat="1" applyFont="1" applyFill="1" applyBorder="1" applyAlignment="1">
      <alignment horizontal="center" vertical="center" wrapText="1"/>
    </xf>
    <xf numFmtId="10" fontId="35" fillId="5" borderId="0" xfId="0" applyNumberFormat="1" applyFont="1" applyFill="1" applyBorder="1" applyAlignment="1">
      <alignment horizontal="center" vertical="center" wrapText="1"/>
    </xf>
    <xf numFmtId="10" fontId="35" fillId="6" borderId="0" xfId="0" applyNumberFormat="1" applyFont="1" applyFill="1" applyBorder="1" applyAlignment="1">
      <alignment horizontal="center" vertical="center" wrapText="1"/>
    </xf>
    <xf numFmtId="10" fontId="35" fillId="12" borderId="0" xfId="0" applyNumberFormat="1" applyFont="1" applyFill="1" applyBorder="1" applyAlignment="1">
      <alignment horizontal="center" vertical="center" wrapText="1"/>
    </xf>
    <xf numFmtId="164" fontId="34" fillId="7" borderId="0" xfId="0" applyNumberFormat="1" applyFont="1" applyFill="1" applyBorder="1" applyAlignment="1">
      <alignment horizontal="center" vertical="center" wrapText="1"/>
    </xf>
    <xf numFmtId="0" fontId="34" fillId="3" borderId="0" xfId="0" applyFont="1" applyFill="1" applyAlignment="1">
      <alignment horizontal="center" vertical="center" wrapText="1"/>
    </xf>
    <xf numFmtId="0" fontId="29" fillId="21" borderId="14" xfId="3" applyFont="1" applyAlignment="1">
      <alignment horizontal="center" vertical="center" wrapText="1"/>
    </xf>
    <xf numFmtId="0" fontId="29" fillId="21" borderId="14" xfId="3" applyFont="1" applyBorder="1" applyAlignment="1">
      <alignment horizontal="center" vertical="center" wrapText="1"/>
    </xf>
    <xf numFmtId="165" fontId="1" fillId="2" borderId="0" xfId="1" applyNumberFormat="1" applyBorder="1" applyAlignment="1">
      <alignment horizontal="center" vertical="center" wrapText="1"/>
    </xf>
    <xf numFmtId="49" fontId="1" fillId="2" borderId="0" xfId="1" applyNumberFormat="1" applyBorder="1" applyAlignment="1">
      <alignment horizontal="center" vertical="center" wrapText="1"/>
    </xf>
    <xf numFmtId="2" fontId="1" fillId="2" borderId="0" xfId="1" applyNumberFormat="1" applyBorder="1" applyAlignment="1">
      <alignment horizontal="center" vertical="center" wrapText="1"/>
    </xf>
    <xf numFmtId="0" fontId="1" fillId="2" borderId="18" xfId="1" applyBorder="1" applyAlignment="1">
      <alignment horizontal="center" vertical="center" wrapText="1"/>
    </xf>
    <xf numFmtId="165" fontId="1" fillId="2" borderId="2" xfId="1" applyNumberFormat="1" applyBorder="1" applyAlignment="1">
      <alignment horizontal="center" vertical="center" wrapText="1"/>
    </xf>
    <xf numFmtId="49" fontId="1" fillId="2" borderId="2" xfId="1" applyNumberFormat="1" applyBorder="1" applyAlignment="1">
      <alignment horizontal="center" vertical="center" wrapText="1"/>
    </xf>
    <xf numFmtId="2" fontId="1" fillId="2" borderId="2" xfId="1" applyNumberFormat="1" applyBorder="1" applyAlignment="1">
      <alignment horizontal="center" vertical="center" wrapText="1"/>
    </xf>
    <xf numFmtId="0" fontId="0" fillId="0" borderId="0" xfId="0" applyAlignment="1">
      <alignment horizontal="center" vertical="center"/>
    </xf>
    <xf numFmtId="0" fontId="1" fillId="2" borderId="0" xfId="1" applyBorder="1"/>
    <xf numFmtId="0" fontId="1" fillId="2" borderId="2" xfId="1" applyBorder="1"/>
    <xf numFmtId="49" fontId="0" fillId="0" borderId="0" xfId="0" applyNumberFormat="1" applyAlignment="1">
      <alignment wrapText="1"/>
    </xf>
    <xf numFmtId="0" fontId="0" fillId="0" borderId="9" xfId="0" applyFont="1" applyBorder="1" applyAlignment="1">
      <alignment horizontal="center" vertical="center"/>
    </xf>
    <xf numFmtId="170" fontId="0" fillId="0" borderId="9" xfId="0" applyNumberFormat="1" applyBorder="1" applyAlignment="1">
      <alignment horizontal="center" vertical="center"/>
    </xf>
  </cellXfs>
  <cellStyles count="4">
    <cellStyle name="Good" xfId="1" builtinId="26"/>
    <cellStyle name="Hyperlink" xfId="2" builtinId="8"/>
    <cellStyle name="Normal" xfId="0" builtinId="0"/>
    <cellStyle name="Note" xfId="3" builtinId="10"/>
  </cellStyles>
  <dxfs count="499">
    <dxf>
      <numFmt numFmtId="170" formatCode="0.0%"/>
      <alignment horizontal="center" vertical="center" textRotation="0" wrapText="0" indent="0" justifyLastLine="0" shrinkToFit="0" readingOrder="0"/>
      <border diagonalUp="0" diagonalDown="0">
        <left/>
        <right style="thin">
          <color auto="1"/>
        </right>
        <top/>
        <bottom/>
        <vertical/>
        <horizontal/>
      </border>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border outline="0">
        <left style="thin">
          <color auto="1"/>
        </left>
      </border>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A6D86E"/>
      <color rgb="FFFF5050"/>
      <color rgb="FFABDB77"/>
      <color rgb="FF00F66F"/>
      <color rgb="FFFF2929"/>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1" totalsRowShown="0" dataDxfId="498" tableBorderDxfId="497">
  <autoFilter ref="A7:F731"/>
  <tableColumns count="6">
    <tableColumn id="1" name="CAT" dataDxfId="496" dataCellStyle="Good"/>
    <tableColumn id="2" name="STAGE" dataDxfId="495"/>
    <tableColumn id="3" name="TASK" dataDxfId="494"/>
    <tableColumn id="4" name="Start Date" dataDxfId="493"/>
    <tableColumn id="5" name="End Date" dataDxfId="492"/>
    <tableColumn id="6" name="Progress" dataDxfId="491"/>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490" dataDxfId="489">
  <autoFilter ref="C3:MM28"/>
  <tableColumns count="349">
    <tableColumn id="5" name="Friday"/>
    <tableColumn id="6" name="Saturday"/>
    <tableColumn id="7" name="Sunday"/>
    <tableColumn id="8" name="Monday" dataDxfId="488"/>
    <tableColumn id="9" name="Tuesday" dataDxfId="487"/>
    <tableColumn id="10" name="Wednesday" dataDxfId="486"/>
    <tableColumn id="11" name="Thursday" dataDxfId="485"/>
    <tableColumn id="12" name="Friday2" dataDxfId="484"/>
    <tableColumn id="13" name="Saturday3" dataDxfId="483"/>
    <tableColumn id="14" name="Sunday4" dataDxfId="482"/>
    <tableColumn id="15" name="Monday5" dataDxfId="481"/>
    <tableColumn id="16" name="Tuesday6" dataDxfId="480"/>
    <tableColumn id="17" name="Wednesday7" dataDxfId="479"/>
    <tableColumn id="18" name="Thursday8" dataDxfId="478"/>
    <tableColumn id="19" name="Friday9" dataDxfId="477"/>
    <tableColumn id="20" name="Saturday10" dataDxfId="476"/>
    <tableColumn id="21" name="Sunday11" dataDxfId="475"/>
    <tableColumn id="22" name="Monday12" dataDxfId="474"/>
    <tableColumn id="23" name="Tuesday13" dataDxfId="473"/>
    <tableColumn id="24" name="Wednesday14" dataDxfId="472"/>
    <tableColumn id="25" name="Thursday15" dataDxfId="471"/>
    <tableColumn id="26" name="Friday16" dataDxfId="470"/>
    <tableColumn id="27" name="Saturday17"/>
    <tableColumn id="28" name="Sunday18" dataDxfId="469"/>
    <tableColumn id="29" name="Monday19" dataDxfId="468"/>
    <tableColumn id="30" name="Tuesday20" dataDxfId="467"/>
    <tableColumn id="31" name="Wednesday21" dataDxfId="466"/>
    <tableColumn id="32" name="Thursday22" dataDxfId="465"/>
    <tableColumn id="33" name="Friday23" dataDxfId="464"/>
    <tableColumn id="34" name="Saturday24" dataDxfId="463"/>
    <tableColumn id="35" name="Sunday25" dataDxfId="462"/>
    <tableColumn id="36" name="Monday26" dataDxfId="461"/>
    <tableColumn id="37" name="Tuesday27" dataDxfId="460"/>
    <tableColumn id="38" name="Wednesday28" dataDxfId="459"/>
    <tableColumn id="39" name="Thursday29" dataDxfId="458"/>
    <tableColumn id="40" name="Friday30" dataDxfId="457"/>
    <tableColumn id="41" name="Saturday31" dataDxfId="456"/>
    <tableColumn id="42" name="Sunday32" dataDxfId="455"/>
    <tableColumn id="43" name="Monday33" dataDxfId="454"/>
    <tableColumn id="44" name="Tuesday34" dataDxfId="453"/>
    <tableColumn id="45" name="Wednesday35" dataDxfId="452"/>
    <tableColumn id="46" name="Thursday36" dataDxfId="451"/>
    <tableColumn id="47" name="Friday37" dataDxfId="450"/>
    <tableColumn id="48" name="Saturday38" dataDxfId="449"/>
    <tableColumn id="49" name="Sunday39" dataDxfId="448"/>
    <tableColumn id="50" name="Monday40" dataDxfId="447"/>
    <tableColumn id="51" name="Tuesday41" dataDxfId="446"/>
    <tableColumn id="52" name="Wednesday42" dataDxfId="445"/>
    <tableColumn id="53" name="Thursday43" dataDxfId="444"/>
    <tableColumn id="54" name="Friday44" dataDxfId="443"/>
    <tableColumn id="55" name="Saturday45" dataDxfId="442"/>
    <tableColumn id="56" name="Sunday46" dataDxfId="441"/>
    <tableColumn id="57" name="Monday47" dataDxfId="440"/>
    <tableColumn id="58" name="Tuesday48" dataDxfId="439"/>
    <tableColumn id="59" name="Wednesday49" dataDxfId="438"/>
    <tableColumn id="60" name="Thursday50" dataDxfId="437"/>
    <tableColumn id="61" name="Friday51" dataDxfId="436"/>
    <tableColumn id="62" name="Saturday52"/>
    <tableColumn id="63" name="Sunday53" dataDxfId="435"/>
    <tableColumn id="64" name="Monday54" dataDxfId="434"/>
    <tableColumn id="65" name="Tuesday55" dataDxfId="433"/>
    <tableColumn id="66" name="Wednesday56" dataDxfId="432"/>
    <tableColumn id="67" name="Thursday57" dataDxfId="431"/>
    <tableColumn id="68" name="Friday58" dataDxfId="430"/>
    <tableColumn id="69" name="Saturday59" dataDxfId="429"/>
    <tableColumn id="70" name="Sunday60" dataDxfId="428"/>
    <tableColumn id="71" name="Monday61" dataDxfId="427"/>
    <tableColumn id="72" name="Tuesday62" dataDxfId="426"/>
    <tableColumn id="73" name="Wednesday63" dataDxfId="425"/>
    <tableColumn id="74" name="Thursday64" dataDxfId="424"/>
    <tableColumn id="75" name="Friday65" dataDxfId="423"/>
    <tableColumn id="76" name="Saturday66" dataDxfId="422"/>
    <tableColumn id="77" name="Sunday67" dataDxfId="421"/>
    <tableColumn id="78" name="Monday68" dataDxfId="420"/>
    <tableColumn id="79" name="Tuesday69" dataDxfId="419"/>
    <tableColumn id="80" name="Wednesday70" dataDxfId="418"/>
    <tableColumn id="81" name="Thursday71" dataDxfId="417"/>
    <tableColumn id="82" name="Friday72" dataDxfId="416"/>
    <tableColumn id="83" name="Saturday73" dataDxfId="415"/>
    <tableColumn id="84" name="Sunday74" dataDxfId="414"/>
    <tableColumn id="85" name="Monday75" dataDxfId="413"/>
    <tableColumn id="86" name="Tuesday76" dataDxfId="412"/>
    <tableColumn id="87" name="Wednesday77" dataDxfId="411"/>
    <tableColumn id="88" name="Thursday78" dataDxfId="410"/>
    <tableColumn id="89" name="Friday79" dataDxfId="409"/>
    <tableColumn id="90" name="Saturday80" dataDxfId="408"/>
    <tableColumn id="91" name="Sunday81" dataDxfId="407"/>
    <tableColumn id="92" name="Monday82" dataDxfId="406"/>
    <tableColumn id="93" name="Tuesday83" dataDxfId="405"/>
    <tableColumn id="94" name="Wednesday84" dataDxfId="404"/>
    <tableColumn id="95" name="Thursday85" dataDxfId="403"/>
    <tableColumn id="96" name="Friday86" dataDxfId="402"/>
    <tableColumn id="97" name="Saturday87" dataDxfId="401"/>
    <tableColumn id="98" name="Sunday88" dataDxfId="400"/>
    <tableColumn id="99" name="Monday89" dataDxfId="399"/>
    <tableColumn id="100" name="Tuesday90" dataDxfId="398"/>
    <tableColumn id="101" name="Wednesday91" dataDxfId="397"/>
    <tableColumn id="102" name="Thursday92" dataDxfId="396"/>
    <tableColumn id="103" name="Friday93" dataDxfId="395"/>
    <tableColumn id="104" name="Saturday94" dataDxfId="394"/>
    <tableColumn id="105" name="Sunday95" dataDxfId="393"/>
    <tableColumn id="106" name="Monday96" dataDxfId="392"/>
    <tableColumn id="107" name="Tuesday97" dataDxfId="391"/>
    <tableColumn id="108" name="Wednesday98" dataDxfId="390"/>
    <tableColumn id="109" name="Thursday99" dataDxfId="389"/>
    <tableColumn id="110" name="Friday100" dataDxfId="388"/>
    <tableColumn id="111" name="Saturday101" dataDxfId="387"/>
    <tableColumn id="112" name="Sunday102" dataDxfId="386"/>
    <tableColumn id="113" name="Monday103" dataDxfId="385"/>
    <tableColumn id="114" name="Tuesday104" dataDxfId="384"/>
    <tableColumn id="115" name="Wednesday105" dataDxfId="383"/>
    <tableColumn id="116" name="Thursday106" dataDxfId="382"/>
    <tableColumn id="117" name="Friday107" dataDxfId="381"/>
    <tableColumn id="118" name="Saturday108" dataDxfId="380"/>
    <tableColumn id="119" name="Sunday109" dataDxfId="379"/>
    <tableColumn id="120" name="Monday110" dataDxfId="378"/>
    <tableColumn id="121" name="Tuesday111" dataDxfId="377"/>
    <tableColumn id="122" name="Wednesday112" dataDxfId="376"/>
    <tableColumn id="123" name="Thursday113" dataDxfId="375"/>
    <tableColumn id="124" name="Friday114" dataDxfId="374"/>
    <tableColumn id="125" name="Saturday115" dataDxfId="373"/>
    <tableColumn id="126" name="Sunday116" dataDxfId="372"/>
    <tableColumn id="127" name="Monday117" dataDxfId="371"/>
    <tableColumn id="128" name="Tuesday118" dataDxfId="370"/>
    <tableColumn id="129" name="Wednesday119" dataDxfId="369"/>
    <tableColumn id="130" name="Thursday120" dataDxfId="368"/>
    <tableColumn id="131" name="Friday121" dataDxfId="367"/>
    <tableColumn id="132" name="Saturday122" dataDxfId="366"/>
    <tableColumn id="133" name="Sunday123" dataDxfId="365"/>
    <tableColumn id="134" name="Monday124" dataDxfId="364"/>
    <tableColumn id="135" name="Tuesday125" dataDxfId="363"/>
    <tableColumn id="136" name="Wednesday126" dataDxfId="362"/>
    <tableColumn id="137" name="Thursday127" dataDxfId="361"/>
    <tableColumn id="138" name="Friday128" dataDxfId="360"/>
    <tableColumn id="139" name="Saturday129" dataDxfId="359"/>
    <tableColumn id="140" name="Sunday130" dataDxfId="358"/>
    <tableColumn id="141" name="Monday131" dataDxfId="357"/>
    <tableColumn id="142" name="Tuesday132" dataDxfId="356"/>
    <tableColumn id="143" name="Wednesday133" dataDxfId="355"/>
    <tableColumn id="144" name="Thursday134" dataDxfId="354"/>
    <tableColumn id="145" name="Friday135" dataDxfId="353"/>
    <tableColumn id="146" name="Saturday136" dataDxfId="352"/>
    <tableColumn id="147" name="Sunday137" dataDxfId="351"/>
    <tableColumn id="148" name="Monday138" dataDxfId="350"/>
    <tableColumn id="149" name="Tuesday139" dataDxfId="349"/>
    <tableColumn id="150" name="Wednesday140" dataDxfId="348"/>
    <tableColumn id="151" name="Thursday141" dataDxfId="347"/>
    <tableColumn id="152" name="Friday142" dataDxfId="346"/>
    <tableColumn id="153" name="Saturday143" dataDxfId="345"/>
    <tableColumn id="154" name="Sunday144" dataDxfId="344"/>
    <tableColumn id="155" name="Monday145" dataDxfId="343"/>
    <tableColumn id="156" name="Tuesday146" dataDxfId="342"/>
    <tableColumn id="157" name="Wednesday147" dataDxfId="341"/>
    <tableColumn id="158" name="Thursday148" dataDxfId="340"/>
    <tableColumn id="159" name="Friday149" dataDxfId="339"/>
    <tableColumn id="160" name="Saturday150" dataDxfId="338"/>
    <tableColumn id="161" name="Sunday151" dataDxfId="337"/>
    <tableColumn id="162" name="Monday152" dataDxfId="336"/>
    <tableColumn id="163" name="Tuesday153" dataDxfId="335"/>
    <tableColumn id="164" name="Wednesday154" dataDxfId="334"/>
    <tableColumn id="165" name="Thursday155" dataDxfId="333"/>
    <tableColumn id="166" name="Friday156" dataDxfId="332"/>
    <tableColumn id="167" name="Saturday157" dataDxfId="331"/>
    <tableColumn id="168" name="Sunday158" dataDxfId="330"/>
    <tableColumn id="169" name="Monday159" dataDxfId="329"/>
    <tableColumn id="170" name="Tuesday160" dataDxfId="328"/>
    <tableColumn id="171" name="Wednesday161" dataDxfId="327"/>
    <tableColumn id="172" name="Thursday162" dataDxfId="326"/>
    <tableColumn id="173" name="Friday163" dataDxfId="325"/>
    <tableColumn id="174" name="Saturday164" dataDxfId="324"/>
    <tableColumn id="175" name="Sunday165" dataDxfId="323"/>
    <tableColumn id="176" name="Monday166" dataDxfId="322"/>
    <tableColumn id="177" name="Tuesday167" dataDxfId="321"/>
    <tableColumn id="178" name="Wednesday168" dataDxfId="320"/>
    <tableColumn id="179" name="Thursday169" dataDxfId="319"/>
    <tableColumn id="180" name="Friday170" dataDxfId="318"/>
    <tableColumn id="181" name="Saturday171" dataDxfId="317"/>
    <tableColumn id="182" name="Sunday172" dataDxfId="316"/>
    <tableColumn id="183" name="Monday173" dataDxfId="315"/>
    <tableColumn id="184" name="Tuesday174" dataDxfId="314"/>
    <tableColumn id="185" name="Wednesday175" dataDxfId="313"/>
    <tableColumn id="186" name="Thursday176" dataDxfId="312"/>
    <tableColumn id="187" name="Friday177" dataDxfId="311"/>
    <tableColumn id="188" name="Saturday178" dataDxfId="310"/>
    <tableColumn id="189" name="Sunday179" dataDxfId="309"/>
    <tableColumn id="190" name="Monday180" dataDxfId="308"/>
    <tableColumn id="191" name="Tuesday181" dataDxfId="307"/>
    <tableColumn id="192" name="Wednesday182" dataDxfId="306"/>
    <tableColumn id="193" name="Thursday183" dataDxfId="305"/>
    <tableColumn id="194" name="Friday184" dataDxfId="304"/>
    <tableColumn id="195" name="Saturday185" dataDxfId="303"/>
    <tableColumn id="196" name="Sunday186" dataDxfId="302"/>
    <tableColumn id="197" name="Monday187" dataDxfId="301"/>
    <tableColumn id="198" name="Tuesday188" dataDxfId="300"/>
    <tableColumn id="199" name="Wednesday189" dataDxfId="299"/>
    <tableColumn id="200" name="Thursday190" dataDxfId="298"/>
    <tableColumn id="201" name="Friday191" dataDxfId="297"/>
    <tableColumn id="202" name="Saturday192" dataDxfId="296"/>
    <tableColumn id="203" name="Sunday193" dataDxfId="295"/>
    <tableColumn id="204" name="Monday194" dataDxfId="294"/>
    <tableColumn id="205" name="Tuesday195" dataDxfId="293"/>
    <tableColumn id="206" name="Wednesday196" dataDxfId="292"/>
    <tableColumn id="207" name="Thursday197" dataDxfId="291"/>
    <tableColumn id="208" name="Friday198" dataDxfId="290"/>
    <tableColumn id="209" name="Saturday199" dataDxfId="289"/>
    <tableColumn id="210" name="Sunday200" dataDxfId="288"/>
    <tableColumn id="211" name="Monday201" dataDxfId="287"/>
    <tableColumn id="212" name="Tuesday202" dataDxfId="286"/>
    <tableColumn id="213" name="Wednesday203" dataDxfId="285"/>
    <tableColumn id="214" name="Thursday204" dataDxfId="284"/>
    <tableColumn id="215" name="Friday205" dataDxfId="283"/>
    <tableColumn id="216" name="Saturday206" dataDxfId="282"/>
    <tableColumn id="217" name="Sunday207" dataDxfId="281"/>
    <tableColumn id="218" name="Monday208" dataDxfId="280"/>
    <tableColumn id="219" name="Tuesday209" dataDxfId="279"/>
    <tableColumn id="220" name="Wednesday210" dataDxfId="278"/>
    <tableColumn id="221" name="Thursday211" dataDxfId="277"/>
    <tableColumn id="222" name="Friday212" dataDxfId="276"/>
    <tableColumn id="223" name="Saturday213" dataDxfId="275"/>
    <tableColumn id="224" name="Sunday214" dataDxfId="274"/>
    <tableColumn id="225" name="Monday215" dataDxfId="273"/>
    <tableColumn id="226" name="Tuesday216" dataDxfId="272"/>
    <tableColumn id="227" name="Wednesday217" dataDxfId="271"/>
    <tableColumn id="228" name="Thursday218" dataDxfId="270"/>
    <tableColumn id="229" name="Friday219" dataDxfId="269"/>
    <tableColumn id="230" name="Saturday220" dataDxfId="268"/>
    <tableColumn id="231" name="Sunday221" dataDxfId="267"/>
    <tableColumn id="232" name="Monday222" dataDxfId="266"/>
    <tableColumn id="233" name="Tuesday223" dataDxfId="265"/>
    <tableColumn id="234" name="Wednesday224" dataDxfId="264"/>
    <tableColumn id="235" name="Thursday225" dataDxfId="263"/>
    <tableColumn id="236" name="Friday226" dataDxfId="262"/>
    <tableColumn id="237" name="Saturday227" dataDxfId="261"/>
    <tableColumn id="238" name="Sunday228" dataDxfId="260"/>
    <tableColumn id="239" name="Monday229" dataDxfId="259"/>
    <tableColumn id="240" name="Tuesday230" dataDxfId="258"/>
    <tableColumn id="241" name="Wednesday231" dataDxfId="257"/>
    <tableColumn id="242" name="Thursday232" dataDxfId="256"/>
    <tableColumn id="243" name="Friday233" dataDxfId="255"/>
    <tableColumn id="244" name="Saturday234" dataDxfId="254"/>
    <tableColumn id="245" name="Sunday235" dataDxfId="253"/>
    <tableColumn id="246" name="Monday236" dataDxfId="252"/>
    <tableColumn id="247" name="Tuesday237" dataDxfId="251"/>
    <tableColumn id="248" name="Wednesday238" dataDxfId="250"/>
    <tableColumn id="249" name="Thursday239" dataDxfId="249"/>
    <tableColumn id="250" name="Friday240" dataDxfId="248"/>
    <tableColumn id="251" name="Saturday241" dataDxfId="247"/>
    <tableColumn id="252" name="Sunday242" dataDxfId="246"/>
    <tableColumn id="253" name="Monday243" dataDxfId="245"/>
    <tableColumn id="254" name="Tuesday244" dataDxfId="244"/>
    <tableColumn id="255" name="Wednesday245" dataDxfId="243"/>
    <tableColumn id="256" name="Thursday246" dataDxfId="242"/>
    <tableColumn id="257" name="Friday247" dataDxfId="241"/>
    <tableColumn id="258" name="Saturday248" dataDxfId="240"/>
    <tableColumn id="259" name="Sunday249" dataDxfId="239"/>
    <tableColumn id="260" name="Monday250" dataDxfId="238"/>
    <tableColumn id="261" name="Tuesday251" dataDxfId="237"/>
    <tableColumn id="262" name="Wednesday252" dataDxfId="236"/>
    <tableColumn id="263" name="Thursday253" dataDxfId="235"/>
    <tableColumn id="264" name="Friday254" dataDxfId="234"/>
    <tableColumn id="265" name="Saturday255" dataDxfId="233"/>
    <tableColumn id="266" name="Sunday256" dataDxfId="232"/>
    <tableColumn id="267" name="Monday257" dataDxfId="231"/>
    <tableColumn id="268" name="Tuesday258" dataDxfId="230"/>
    <tableColumn id="269" name="Wednesday259" dataDxfId="229"/>
    <tableColumn id="270" name="Thursday260" dataDxfId="228"/>
    <tableColumn id="271" name="Friday261" dataDxfId="227"/>
    <tableColumn id="272" name="Saturday262" dataDxfId="226"/>
    <tableColumn id="273" name="Sunday263" dataDxfId="225"/>
    <tableColumn id="274" name="Monday264" dataDxfId="224"/>
    <tableColumn id="275" name="Tuesday265" dataDxfId="223"/>
    <tableColumn id="276" name="Wednesday266" dataDxfId="222"/>
    <tableColumn id="277" name="Thursday267" dataDxfId="221"/>
    <tableColumn id="278" name="Friday268" dataDxfId="220"/>
    <tableColumn id="279" name="Saturday269" dataDxfId="219"/>
    <tableColumn id="280" name="Sunday270" dataDxfId="218"/>
    <tableColumn id="281" name="Monday271" dataDxfId="217"/>
    <tableColumn id="282" name="Tuesday272" dataDxfId="216"/>
    <tableColumn id="283" name="Wednesday273" dataDxfId="215"/>
    <tableColumn id="284" name="Thursday274" dataDxfId="214"/>
    <tableColumn id="285" name="Friday275" dataDxfId="213"/>
    <tableColumn id="286" name="Saturday276" dataDxfId="212"/>
    <tableColumn id="287" name="Sunday277" dataDxfId="211"/>
    <tableColumn id="288" name="Monday278" dataDxfId="210"/>
    <tableColumn id="289" name="Tuesday279" dataDxfId="209"/>
    <tableColumn id="290" name="Wednesday280" dataDxfId="208"/>
    <tableColumn id="291" name="Thursday281" dataDxfId="207"/>
    <tableColumn id="292" name="Friday282" dataDxfId="206"/>
    <tableColumn id="293" name="Saturday283" dataDxfId="205"/>
    <tableColumn id="294" name="Sunday284" dataDxfId="204"/>
    <tableColumn id="295" name="Monday285" dataDxfId="203"/>
    <tableColumn id="296" name="Tuesday286" dataDxfId="202"/>
    <tableColumn id="297" name="Wednesday287" dataDxfId="201"/>
    <tableColumn id="298" name="Thursday288" dataDxfId="200"/>
    <tableColumn id="299" name="Friday289" dataDxfId="199"/>
    <tableColumn id="300" name="Saturday290" dataDxfId="198"/>
    <tableColumn id="301" name="Sunday291" dataDxfId="197"/>
    <tableColumn id="302" name="Monday292" dataDxfId="196"/>
    <tableColumn id="303" name="Tuesday293" dataDxfId="195"/>
    <tableColumn id="304" name="Wednesday294" dataDxfId="194"/>
    <tableColumn id="305" name="Thursday295" dataDxfId="193"/>
    <tableColumn id="306" name="Friday296" dataDxfId="192"/>
    <tableColumn id="307" name="Saturday297" dataDxfId="191"/>
    <tableColumn id="308" name="Sunday298" dataDxfId="190"/>
    <tableColumn id="309" name="Monday299" dataDxfId="189"/>
    <tableColumn id="310" name="Tuesday300" dataDxfId="188"/>
    <tableColumn id="311" name="Wednesday301" dataDxfId="187"/>
    <tableColumn id="312" name="Thursday302" dataDxfId="186"/>
    <tableColumn id="313" name="Friday303" dataDxfId="185"/>
    <tableColumn id="314" name="Saturday304" dataDxfId="184"/>
    <tableColumn id="315" name="Sunday305" dataDxfId="183"/>
    <tableColumn id="316" name="Monday306" dataDxfId="182"/>
    <tableColumn id="317" name="Tuesday307" dataDxfId="181"/>
    <tableColumn id="318" name="Wednesday308" dataDxfId="180"/>
    <tableColumn id="319" name="Thursday309" dataDxfId="179"/>
    <tableColumn id="320" name="Friday310" dataDxfId="178"/>
    <tableColumn id="321" name="Saturday311" dataDxfId="177"/>
    <tableColumn id="322" name="Sunday312" dataDxfId="176"/>
    <tableColumn id="323" name="Monday313" dataDxfId="175"/>
    <tableColumn id="324" name="Tuesday314" dataDxfId="174"/>
    <tableColumn id="325" name="Wednesday315" dataDxfId="173"/>
    <tableColumn id="326" name="Thursday316" dataDxfId="172"/>
    <tableColumn id="327" name="Friday317" dataDxfId="171"/>
    <tableColumn id="328" name="Saturday318" dataDxfId="170"/>
    <tableColumn id="329" name="Sunday319" dataDxfId="169"/>
    <tableColumn id="330" name="Monday320" dataDxfId="168"/>
    <tableColumn id="331" name="Tuesday321" dataDxfId="167"/>
    <tableColumn id="332" name="Wednesday322" dataDxfId="166"/>
    <tableColumn id="333" name="Thursday323" dataDxfId="165"/>
    <tableColumn id="334" name="Friday324" dataDxfId="164"/>
    <tableColumn id="335" name="Saturday325" dataDxfId="163"/>
    <tableColumn id="336" name="Sunday326" dataDxfId="162"/>
    <tableColumn id="337" name="Monday327" dataDxfId="161"/>
    <tableColumn id="338" name="Tuesday328" dataDxfId="160"/>
    <tableColumn id="339" name="Wednesday329" dataDxfId="159"/>
    <tableColumn id="340" name="Thursday330" dataDxfId="158"/>
    <tableColumn id="341" name="Friday331" dataDxfId="157"/>
    <tableColumn id="342" name="Saturday332" dataDxfId="156"/>
    <tableColumn id="343" name="Sunday333" dataDxfId="155"/>
    <tableColumn id="344" name="Monday334" dataDxfId="154"/>
    <tableColumn id="345" name="Tuesday335" dataDxfId="153"/>
    <tableColumn id="346" name="Wednesday336" dataDxfId="152"/>
    <tableColumn id="347" name="Thursday337" dataDxfId="151"/>
    <tableColumn id="348" name="Friday338" dataDxfId="150"/>
    <tableColumn id="349" name="Saturday339" dataDxfId="149"/>
    <tableColumn id="350" name="Sunday340" dataDxfId="148"/>
    <tableColumn id="351" name="Monday341" dataDxfId="147"/>
    <tableColumn id="352" name="Tuesday342" dataDxfId="146"/>
    <tableColumn id="353" name="Wednesday343" dataDxfId="145"/>
  </tableColumns>
  <tableStyleInfo name="TableStyleLight1" showFirstColumn="0" showLastColumn="0" showRowStripes="1" showColumnStripes="0"/>
</table>
</file>

<file path=xl/tables/table3.xml><?xml version="1.0" encoding="utf-8"?>
<table xmlns="http://schemas.openxmlformats.org/spreadsheetml/2006/main" id="7" name="Table7" displayName="Table7" ref="D4:H246" totalsRowShown="0" headerRowDxfId="4" dataDxfId="3" tableBorderDxfId="122">
  <autoFilter ref="D4:H246"/>
  <tableColumns count="5">
    <tableColumn id="1" name="CAT" dataDxfId="6"/>
    <tableColumn id="2" name="TASKS TODAY" dataDxfId="2"/>
    <tableColumn id="3" name="NOTES" dataDxfId="1"/>
    <tableColumn id="4" name="HOURS NEEDED" dataDxfId="5"/>
    <tableColumn id="5" name="PERCENT" dataDxfId="0"/>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2" totalsRowShown="0" headerRowDxfId="144" dataDxfId="143">
  <autoFilter ref="B4:K12"/>
  <sortState ref="B5:K12">
    <sortCondition descending="1" ref="B4:B12"/>
  </sortState>
  <tableColumns count="10">
    <tableColumn id="1" name="PRIORITY" dataDxfId="142"/>
    <tableColumn id="10" name="Revision Priority" dataDxfId="141"/>
    <tableColumn id="2" name="SUBJECT" dataDxfId="140"/>
    <tableColumn id="9" name="TASKS LEFT" dataDxfId="139"/>
    <tableColumn id="3" name="Tasks" dataDxfId="138" dataCellStyle="Note"/>
    <tableColumn id="4" name="Links" dataDxfId="137"/>
    <tableColumn id="5" name="Percent" dataDxfId="136"/>
    <tableColumn id="6" name="Due Dates" dataDxfId="135"/>
    <tableColumn id="7" name="Revision" dataDxfId="134" dataCellStyle="Normal"/>
    <tableColumn id="8" name="Next Assesment + Assignment" dataDxfId="133"/>
  </tableColumns>
  <tableStyleInfo name="TableStyleLight1" showFirstColumn="0" showLastColumn="0" showRowStripes="1" showColumnStripes="0"/>
</table>
</file>

<file path=xl/tables/table5.xml><?xml version="1.0" encoding="utf-8"?>
<table xmlns="http://schemas.openxmlformats.org/spreadsheetml/2006/main" id="2" name="Table13" displayName="Table13" ref="B4:I16" totalsRowShown="0" headerRowDxfId="132" dataDxfId="131">
  <autoFilter ref="B4:I16"/>
  <sortState ref="B5:I15">
    <sortCondition descending="1" ref="B4:B15"/>
  </sortState>
  <tableColumns count="8">
    <tableColumn id="1" name="PRIORITY" dataDxfId="130"/>
    <tableColumn id="2" name="CATEGORY" dataDxfId="129"/>
    <tableColumn id="9" name="TODO" dataDxfId="128"/>
    <tableColumn id="3" name="TASK DESCRIPTION" dataDxfId="127" dataCellStyle="Note"/>
    <tableColumn id="4" name="Links/Notes" dataDxfId="126"/>
    <tableColumn id="8" name="PERCENT" dataDxfId="125"/>
    <tableColumn id="5" name="HOURS NEEDED" dataDxfId="124"/>
    <tableColumn id="6" name="Due Dates" dataDxfId="12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hyperlink" Target="http://www.udemy.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4"/>
  <sheetViews>
    <sheetView zoomScale="89" zoomScaleNormal="115" workbookViewId="0">
      <selection activeCell="D13" sqref="D13"/>
    </sheetView>
  </sheetViews>
  <sheetFormatPr defaultColWidth="9.140625" defaultRowHeight="1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9" t="s">
        <v>232</v>
      </c>
      <c r="F3" s="128" t="s">
        <v>231</v>
      </c>
      <c r="G3" s="12"/>
      <c r="H3" s="6">
        <v>381</v>
      </c>
      <c r="I3" s="6"/>
      <c r="J3" s="6">
        <v>378</v>
      </c>
      <c r="K3" s="6"/>
      <c r="L3" s="6"/>
      <c r="M3" s="6" t="s">
        <v>202</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43160</v>
      </c>
      <c r="D4" s="37" t="s">
        <v>7</v>
      </c>
      <c r="E4" s="29"/>
      <c r="F4" s="20"/>
      <c r="G4" s="12"/>
      <c r="H4" s="6">
        <f>$H$3 - 365</f>
        <v>16</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69"/>
      <c r="B6" s="166"/>
      <c r="C6" s="166"/>
      <c r="D6" s="166"/>
      <c r="E6" s="166"/>
      <c r="F6" s="167"/>
      <c r="G6" s="15"/>
      <c r="H6" s="14">
        <f t="shared" ref="H6:K6" ca="1" si="0">TODAY()+((COLUMN()-$H$4)*$N$3)</f>
        <v>43152</v>
      </c>
      <c r="I6" s="14">
        <f t="shared" ca="1" si="0"/>
        <v>43153</v>
      </c>
      <c r="J6" s="14">
        <f t="shared" ca="1" si="0"/>
        <v>43154</v>
      </c>
      <c r="K6" s="14">
        <f t="shared" ca="1" si="0"/>
        <v>43155</v>
      </c>
      <c r="L6" s="14">
        <f ca="1">TODAY()+((COLUMN()-$H$4)*$N$3)</f>
        <v>43156</v>
      </c>
      <c r="M6" s="14">
        <f ca="1">TODAY()+((COLUMN()-$H$4)*$N$3)</f>
        <v>43157</v>
      </c>
      <c r="N6" s="14">
        <f ca="1">TODAY()+((COLUMN()-$H$4)*$N$3)</f>
        <v>43158</v>
      </c>
      <c r="O6" s="14">
        <f t="shared" ref="O6:BZ6" ca="1" si="1">TODAY()+((COLUMN()-$H$4)*$N$3)</f>
        <v>43159</v>
      </c>
      <c r="P6" s="14">
        <f t="shared" ca="1" si="1"/>
        <v>43160</v>
      </c>
      <c r="Q6" s="14">
        <f t="shared" ca="1" si="1"/>
        <v>43161</v>
      </c>
      <c r="R6" s="14">
        <f t="shared" ca="1" si="1"/>
        <v>43162</v>
      </c>
      <c r="S6" s="14">
        <f t="shared" ca="1" si="1"/>
        <v>43163</v>
      </c>
      <c r="T6" s="14">
        <f ca="1">TODAY()+((COLUMN()-$H$4)*$N$3)</f>
        <v>43164</v>
      </c>
      <c r="U6" s="14">
        <f t="shared" ca="1" si="1"/>
        <v>43165</v>
      </c>
      <c r="V6" s="14">
        <f t="shared" ca="1" si="1"/>
        <v>43166</v>
      </c>
      <c r="W6" s="14">
        <f t="shared" ca="1" si="1"/>
        <v>43167</v>
      </c>
      <c r="X6" s="14">
        <f t="shared" ca="1" si="1"/>
        <v>43168</v>
      </c>
      <c r="Y6" s="14">
        <f t="shared" ca="1" si="1"/>
        <v>43169</v>
      </c>
      <c r="Z6" s="14">
        <f t="shared" ca="1" si="1"/>
        <v>43170</v>
      </c>
      <c r="AA6" s="14">
        <f t="shared" ca="1" si="1"/>
        <v>43171</v>
      </c>
      <c r="AB6" s="14">
        <f t="shared" ca="1" si="1"/>
        <v>43172</v>
      </c>
      <c r="AC6" s="14">
        <f t="shared" ca="1" si="1"/>
        <v>43173</v>
      </c>
      <c r="AD6" s="14">
        <f t="shared" ca="1" si="1"/>
        <v>43174</v>
      </c>
      <c r="AE6" s="14">
        <f t="shared" ca="1" si="1"/>
        <v>43175</v>
      </c>
      <c r="AF6" s="14">
        <f t="shared" ca="1" si="1"/>
        <v>43176</v>
      </c>
      <c r="AG6" s="14">
        <f t="shared" ca="1" si="1"/>
        <v>43177</v>
      </c>
      <c r="AH6" s="14">
        <f t="shared" ca="1" si="1"/>
        <v>43178</v>
      </c>
      <c r="AI6" s="14">
        <f t="shared" ca="1" si="1"/>
        <v>43179</v>
      </c>
      <c r="AJ6" s="14">
        <f t="shared" ca="1" si="1"/>
        <v>43180</v>
      </c>
      <c r="AK6" s="14">
        <f t="shared" ca="1" si="1"/>
        <v>43181</v>
      </c>
      <c r="AL6" s="14">
        <f t="shared" ca="1" si="1"/>
        <v>43182</v>
      </c>
      <c r="AM6" s="14">
        <f t="shared" ca="1" si="1"/>
        <v>43183</v>
      </c>
      <c r="AN6" s="14">
        <f t="shared" ca="1" si="1"/>
        <v>43184</v>
      </c>
      <c r="AO6" s="14">
        <f t="shared" ca="1" si="1"/>
        <v>43185</v>
      </c>
      <c r="AP6" s="14">
        <f t="shared" ca="1" si="1"/>
        <v>43186</v>
      </c>
      <c r="AQ6" s="14">
        <f t="shared" ca="1" si="1"/>
        <v>43187</v>
      </c>
      <c r="AR6" s="14">
        <f t="shared" ca="1" si="1"/>
        <v>43188</v>
      </c>
      <c r="AS6" s="14">
        <f t="shared" ca="1" si="1"/>
        <v>43189</v>
      </c>
      <c r="AT6" s="14">
        <f t="shared" ca="1" si="1"/>
        <v>43190</v>
      </c>
      <c r="AU6" s="14">
        <f t="shared" ca="1" si="1"/>
        <v>43191</v>
      </c>
      <c r="AV6" s="14">
        <f t="shared" ca="1" si="1"/>
        <v>43192</v>
      </c>
      <c r="AW6" s="14">
        <f t="shared" ca="1" si="1"/>
        <v>43193</v>
      </c>
      <c r="AX6" s="14">
        <f t="shared" ca="1" si="1"/>
        <v>43194</v>
      </c>
      <c r="AY6" s="14">
        <f t="shared" ca="1" si="1"/>
        <v>43195</v>
      </c>
      <c r="AZ6" s="14">
        <f t="shared" ca="1" si="1"/>
        <v>43196</v>
      </c>
      <c r="BA6" s="14">
        <f t="shared" ca="1" si="1"/>
        <v>43197</v>
      </c>
      <c r="BB6" s="14">
        <f t="shared" ca="1" si="1"/>
        <v>43198</v>
      </c>
      <c r="BC6" s="14">
        <f t="shared" ca="1" si="1"/>
        <v>43199</v>
      </c>
      <c r="BD6" s="14">
        <f t="shared" ca="1" si="1"/>
        <v>43200</v>
      </c>
      <c r="BE6" s="14">
        <f t="shared" ca="1" si="1"/>
        <v>43201</v>
      </c>
      <c r="BF6" s="14">
        <f t="shared" ca="1" si="1"/>
        <v>43202</v>
      </c>
      <c r="BG6" s="14">
        <f t="shared" ca="1" si="1"/>
        <v>43203</v>
      </c>
      <c r="BH6" s="14">
        <f t="shared" ca="1" si="1"/>
        <v>43204</v>
      </c>
      <c r="BI6" s="14">
        <f t="shared" ca="1" si="1"/>
        <v>43205</v>
      </c>
      <c r="BJ6" s="14">
        <f t="shared" ca="1" si="1"/>
        <v>43206</v>
      </c>
      <c r="BK6" s="14">
        <f t="shared" ca="1" si="1"/>
        <v>43207</v>
      </c>
      <c r="BL6" s="14">
        <f t="shared" ca="1" si="1"/>
        <v>43208</v>
      </c>
      <c r="BM6" s="14">
        <f t="shared" ca="1" si="1"/>
        <v>43209</v>
      </c>
      <c r="BN6" s="14">
        <f t="shared" ca="1" si="1"/>
        <v>43210</v>
      </c>
      <c r="BO6" s="14">
        <f t="shared" ca="1" si="1"/>
        <v>43211</v>
      </c>
      <c r="BP6" s="14">
        <f t="shared" ca="1" si="1"/>
        <v>43212</v>
      </c>
      <c r="BQ6" s="14">
        <f t="shared" ca="1" si="1"/>
        <v>43213</v>
      </c>
      <c r="BR6" s="14">
        <f t="shared" ca="1" si="1"/>
        <v>43214</v>
      </c>
      <c r="BS6" s="14">
        <f t="shared" ca="1" si="1"/>
        <v>43215</v>
      </c>
      <c r="BT6" s="14">
        <f t="shared" ca="1" si="1"/>
        <v>43216</v>
      </c>
      <c r="BU6" s="14">
        <f t="shared" ca="1" si="1"/>
        <v>43217</v>
      </c>
      <c r="BV6" s="14">
        <f t="shared" ca="1" si="1"/>
        <v>43218</v>
      </c>
      <c r="BW6" s="14">
        <f t="shared" ca="1" si="1"/>
        <v>43219</v>
      </c>
      <c r="BX6" s="14">
        <f t="shared" ca="1" si="1"/>
        <v>43220</v>
      </c>
      <c r="BY6" s="14">
        <f t="shared" ca="1" si="1"/>
        <v>43221</v>
      </c>
      <c r="BZ6" s="14">
        <f t="shared" ca="1" si="1"/>
        <v>43222</v>
      </c>
      <c r="CA6" s="14">
        <f t="shared" ref="CA6:EL6" ca="1" si="2">TODAY()+((COLUMN()-$H$4)*$N$3)</f>
        <v>43223</v>
      </c>
      <c r="CB6" s="14">
        <f t="shared" ca="1" si="2"/>
        <v>43224</v>
      </c>
      <c r="CC6" s="14">
        <f t="shared" ca="1" si="2"/>
        <v>43225</v>
      </c>
      <c r="CD6" s="14">
        <f t="shared" ca="1" si="2"/>
        <v>43226</v>
      </c>
      <c r="CE6" s="14">
        <f t="shared" ca="1" si="2"/>
        <v>43227</v>
      </c>
      <c r="CF6" s="14">
        <f t="shared" ca="1" si="2"/>
        <v>43228</v>
      </c>
      <c r="CG6" s="14">
        <f t="shared" ca="1" si="2"/>
        <v>43229</v>
      </c>
      <c r="CH6" s="14">
        <f t="shared" ca="1" si="2"/>
        <v>43230</v>
      </c>
      <c r="CI6" s="14">
        <f t="shared" ca="1" si="2"/>
        <v>43231</v>
      </c>
      <c r="CJ6" s="14">
        <f t="shared" ca="1" si="2"/>
        <v>43232</v>
      </c>
      <c r="CK6" s="14">
        <f t="shared" ca="1" si="2"/>
        <v>43233</v>
      </c>
      <c r="CL6" s="14">
        <f t="shared" ca="1" si="2"/>
        <v>43234</v>
      </c>
      <c r="CM6" s="14">
        <f t="shared" ca="1" si="2"/>
        <v>43235</v>
      </c>
      <c r="CN6" s="14">
        <f t="shared" ca="1" si="2"/>
        <v>43236</v>
      </c>
      <c r="CO6" s="14">
        <f t="shared" ca="1" si="2"/>
        <v>43237</v>
      </c>
      <c r="CP6" s="14">
        <f t="shared" ca="1" si="2"/>
        <v>43238</v>
      </c>
      <c r="CQ6" s="14">
        <f t="shared" ca="1" si="2"/>
        <v>43239</v>
      </c>
      <c r="CR6" s="14">
        <f t="shared" ca="1" si="2"/>
        <v>43240</v>
      </c>
      <c r="CS6" s="14">
        <f t="shared" ca="1" si="2"/>
        <v>43241</v>
      </c>
      <c r="CT6" s="14">
        <f t="shared" ca="1" si="2"/>
        <v>43242</v>
      </c>
      <c r="CU6" s="14">
        <f t="shared" ca="1" si="2"/>
        <v>43243</v>
      </c>
      <c r="CV6" s="14">
        <f t="shared" ca="1" si="2"/>
        <v>43244</v>
      </c>
      <c r="CW6" s="14">
        <f t="shared" ca="1" si="2"/>
        <v>43245</v>
      </c>
      <c r="CX6" s="14">
        <f t="shared" ca="1" si="2"/>
        <v>43246</v>
      </c>
      <c r="CY6" s="14">
        <f t="shared" ca="1" si="2"/>
        <v>43247</v>
      </c>
      <c r="CZ6" s="14">
        <f t="shared" ca="1" si="2"/>
        <v>43248</v>
      </c>
      <c r="DA6" s="14">
        <f t="shared" ca="1" si="2"/>
        <v>43249</v>
      </c>
      <c r="DB6" s="14">
        <f t="shared" ca="1" si="2"/>
        <v>43250</v>
      </c>
      <c r="DC6" s="14">
        <f t="shared" ca="1" si="2"/>
        <v>43251</v>
      </c>
      <c r="DD6" s="14">
        <f t="shared" ca="1" si="2"/>
        <v>43252</v>
      </c>
      <c r="DE6" s="14">
        <f t="shared" ca="1" si="2"/>
        <v>43253</v>
      </c>
      <c r="DF6" s="14">
        <f t="shared" ca="1" si="2"/>
        <v>43254</v>
      </c>
      <c r="DG6" s="14">
        <f t="shared" ca="1" si="2"/>
        <v>43255</v>
      </c>
      <c r="DH6" s="14">
        <f t="shared" ca="1" si="2"/>
        <v>43256</v>
      </c>
      <c r="DI6" s="14">
        <f t="shared" ca="1" si="2"/>
        <v>43257</v>
      </c>
      <c r="DJ6" s="14">
        <f t="shared" ca="1" si="2"/>
        <v>43258</v>
      </c>
      <c r="DK6" s="14">
        <f t="shared" ca="1" si="2"/>
        <v>43259</v>
      </c>
      <c r="DL6" s="14">
        <f t="shared" ca="1" si="2"/>
        <v>43260</v>
      </c>
      <c r="DM6" s="14">
        <f t="shared" ca="1" si="2"/>
        <v>43261</v>
      </c>
      <c r="DN6" s="14">
        <f t="shared" ca="1" si="2"/>
        <v>43262</v>
      </c>
      <c r="DO6" s="14">
        <f t="shared" ca="1" si="2"/>
        <v>43263</v>
      </c>
      <c r="DP6" s="14">
        <f t="shared" ca="1" si="2"/>
        <v>43264</v>
      </c>
      <c r="DQ6" s="14">
        <f t="shared" ca="1" si="2"/>
        <v>43265</v>
      </c>
      <c r="DR6" s="14">
        <f t="shared" ca="1" si="2"/>
        <v>43266</v>
      </c>
      <c r="DS6" s="14">
        <f t="shared" ca="1" si="2"/>
        <v>43267</v>
      </c>
      <c r="DT6" s="14">
        <f t="shared" ca="1" si="2"/>
        <v>43268</v>
      </c>
      <c r="DU6" s="14">
        <f t="shared" ca="1" si="2"/>
        <v>43269</v>
      </c>
      <c r="DV6" s="14">
        <f t="shared" ca="1" si="2"/>
        <v>43270</v>
      </c>
      <c r="DW6" s="14">
        <f t="shared" ca="1" si="2"/>
        <v>43271</v>
      </c>
      <c r="DX6" s="14">
        <f t="shared" ca="1" si="2"/>
        <v>43272</v>
      </c>
      <c r="DY6" s="14">
        <f t="shared" ca="1" si="2"/>
        <v>43273</v>
      </c>
      <c r="DZ6" s="14">
        <f t="shared" ca="1" si="2"/>
        <v>43274</v>
      </c>
      <c r="EA6" s="14">
        <f t="shared" ca="1" si="2"/>
        <v>43275</v>
      </c>
      <c r="EB6" s="14">
        <f t="shared" ca="1" si="2"/>
        <v>43276</v>
      </c>
      <c r="EC6" s="14">
        <f t="shared" ca="1" si="2"/>
        <v>43277</v>
      </c>
      <c r="ED6" s="14">
        <f t="shared" ca="1" si="2"/>
        <v>43278</v>
      </c>
      <c r="EE6" s="14">
        <f t="shared" ca="1" si="2"/>
        <v>43279</v>
      </c>
      <c r="EF6" s="14">
        <f t="shared" ca="1" si="2"/>
        <v>43280</v>
      </c>
      <c r="EG6" s="14">
        <f t="shared" ca="1" si="2"/>
        <v>43281</v>
      </c>
      <c r="EH6" s="14">
        <f t="shared" ca="1" si="2"/>
        <v>43282</v>
      </c>
      <c r="EI6" s="14">
        <f t="shared" ca="1" si="2"/>
        <v>43283</v>
      </c>
      <c r="EJ6" s="14">
        <f t="shared" ca="1" si="2"/>
        <v>43284</v>
      </c>
      <c r="EK6" s="14">
        <f t="shared" ca="1" si="2"/>
        <v>43285</v>
      </c>
      <c r="EL6" s="14">
        <f t="shared" ca="1" si="2"/>
        <v>43286</v>
      </c>
      <c r="EM6" s="14">
        <f t="shared" ref="EM6:GX6" ca="1" si="3">TODAY()+((COLUMN()-$H$4)*$N$3)</f>
        <v>43287</v>
      </c>
      <c r="EN6" s="14">
        <f t="shared" ca="1" si="3"/>
        <v>43288</v>
      </c>
      <c r="EO6" s="14">
        <f t="shared" ca="1" si="3"/>
        <v>43289</v>
      </c>
      <c r="EP6" s="14">
        <f t="shared" ca="1" si="3"/>
        <v>43290</v>
      </c>
      <c r="EQ6" s="14">
        <f t="shared" ca="1" si="3"/>
        <v>43291</v>
      </c>
      <c r="ER6" s="14">
        <f t="shared" ca="1" si="3"/>
        <v>43292</v>
      </c>
      <c r="ES6" s="14">
        <f t="shared" ca="1" si="3"/>
        <v>43293</v>
      </c>
      <c r="ET6" s="14">
        <f t="shared" ca="1" si="3"/>
        <v>43294</v>
      </c>
      <c r="EU6" s="14">
        <f t="shared" ca="1" si="3"/>
        <v>43295</v>
      </c>
      <c r="EV6" s="14">
        <f t="shared" ca="1" si="3"/>
        <v>43296</v>
      </c>
      <c r="EW6" s="14">
        <f t="shared" ca="1" si="3"/>
        <v>43297</v>
      </c>
      <c r="EX6" s="14">
        <f t="shared" ca="1" si="3"/>
        <v>43298</v>
      </c>
      <c r="EY6" s="14">
        <f t="shared" ca="1" si="3"/>
        <v>43299</v>
      </c>
      <c r="EZ6" s="14">
        <f t="shared" ca="1" si="3"/>
        <v>43300</v>
      </c>
      <c r="FA6" s="14">
        <f t="shared" ca="1" si="3"/>
        <v>43301</v>
      </c>
      <c r="FB6" s="14">
        <f t="shared" ca="1" si="3"/>
        <v>43302</v>
      </c>
      <c r="FC6" s="14">
        <f t="shared" ca="1" si="3"/>
        <v>43303</v>
      </c>
      <c r="FD6" s="14">
        <f t="shared" ca="1" si="3"/>
        <v>43304</v>
      </c>
      <c r="FE6" s="14">
        <f t="shared" ca="1" si="3"/>
        <v>43305</v>
      </c>
      <c r="FF6" s="14">
        <f t="shared" ca="1" si="3"/>
        <v>43306</v>
      </c>
      <c r="FG6" s="14">
        <f t="shared" ca="1" si="3"/>
        <v>43307</v>
      </c>
      <c r="FH6" s="14">
        <f t="shared" ca="1" si="3"/>
        <v>43308</v>
      </c>
      <c r="FI6" s="14">
        <f t="shared" ca="1" si="3"/>
        <v>43309</v>
      </c>
      <c r="FJ6" s="14">
        <f t="shared" ca="1" si="3"/>
        <v>43310</v>
      </c>
      <c r="FK6" s="14">
        <f t="shared" ca="1" si="3"/>
        <v>43311</v>
      </c>
      <c r="FL6" s="14">
        <f t="shared" ca="1" si="3"/>
        <v>43312</v>
      </c>
      <c r="FM6" s="14">
        <f t="shared" ca="1" si="3"/>
        <v>43313</v>
      </c>
      <c r="FN6" s="14">
        <f t="shared" ca="1" si="3"/>
        <v>43314</v>
      </c>
      <c r="FO6" s="14">
        <f t="shared" ca="1" si="3"/>
        <v>43315</v>
      </c>
      <c r="FP6" s="14">
        <f t="shared" ca="1" si="3"/>
        <v>43316</v>
      </c>
      <c r="FQ6" s="14">
        <f t="shared" ca="1" si="3"/>
        <v>43317</v>
      </c>
      <c r="FR6" s="14">
        <f t="shared" ca="1" si="3"/>
        <v>43318</v>
      </c>
      <c r="FS6" s="14">
        <f t="shared" ca="1" si="3"/>
        <v>43319</v>
      </c>
      <c r="FT6" s="14">
        <f t="shared" ca="1" si="3"/>
        <v>43320</v>
      </c>
      <c r="FU6" s="14">
        <f t="shared" ca="1" si="3"/>
        <v>43321</v>
      </c>
      <c r="FV6" s="14">
        <f t="shared" ca="1" si="3"/>
        <v>43322</v>
      </c>
      <c r="FW6" s="14">
        <f t="shared" ca="1" si="3"/>
        <v>43323</v>
      </c>
      <c r="FX6" s="14">
        <f t="shared" ca="1" si="3"/>
        <v>43324</v>
      </c>
      <c r="FY6" s="14">
        <f t="shared" ca="1" si="3"/>
        <v>43325</v>
      </c>
      <c r="FZ6" s="14">
        <f t="shared" ca="1" si="3"/>
        <v>43326</v>
      </c>
      <c r="GA6" s="14">
        <f t="shared" ca="1" si="3"/>
        <v>43327</v>
      </c>
      <c r="GB6" s="14">
        <f t="shared" ca="1" si="3"/>
        <v>43328</v>
      </c>
      <c r="GC6" s="14">
        <f t="shared" ca="1" si="3"/>
        <v>43329</v>
      </c>
      <c r="GD6" s="14">
        <f t="shared" ca="1" si="3"/>
        <v>43330</v>
      </c>
      <c r="GE6" s="14">
        <f t="shared" ca="1" si="3"/>
        <v>43331</v>
      </c>
      <c r="GF6" s="14">
        <f t="shared" ca="1" si="3"/>
        <v>43332</v>
      </c>
      <c r="GG6" s="14">
        <f t="shared" ca="1" si="3"/>
        <v>43333</v>
      </c>
      <c r="GH6" s="14">
        <f t="shared" ca="1" si="3"/>
        <v>43334</v>
      </c>
      <c r="GI6" s="14">
        <f t="shared" ca="1" si="3"/>
        <v>43335</v>
      </c>
      <c r="GJ6" s="14">
        <f t="shared" ca="1" si="3"/>
        <v>43336</v>
      </c>
      <c r="GK6" s="14">
        <f t="shared" ca="1" si="3"/>
        <v>43337</v>
      </c>
      <c r="GL6" s="14">
        <f t="shared" ca="1" si="3"/>
        <v>43338</v>
      </c>
      <c r="GM6" s="14">
        <f t="shared" ca="1" si="3"/>
        <v>43339</v>
      </c>
      <c r="GN6" s="14">
        <f t="shared" ca="1" si="3"/>
        <v>43340</v>
      </c>
      <c r="GO6" s="14">
        <f t="shared" ca="1" si="3"/>
        <v>43341</v>
      </c>
      <c r="GP6" s="14">
        <f t="shared" ca="1" si="3"/>
        <v>43342</v>
      </c>
      <c r="GQ6" s="14">
        <f t="shared" ca="1" si="3"/>
        <v>43343</v>
      </c>
      <c r="GR6" s="14">
        <f t="shared" ca="1" si="3"/>
        <v>43344</v>
      </c>
      <c r="GS6" s="14">
        <f t="shared" ca="1" si="3"/>
        <v>43345</v>
      </c>
      <c r="GT6" s="14">
        <f t="shared" ca="1" si="3"/>
        <v>43346</v>
      </c>
      <c r="GU6" s="14">
        <f t="shared" ca="1" si="3"/>
        <v>43347</v>
      </c>
      <c r="GV6" s="14">
        <f t="shared" ca="1" si="3"/>
        <v>43348</v>
      </c>
      <c r="GW6" s="14">
        <f t="shared" ca="1" si="3"/>
        <v>43349</v>
      </c>
      <c r="GX6" s="14">
        <f t="shared" ca="1" si="3"/>
        <v>43350</v>
      </c>
      <c r="GY6" s="14">
        <f t="shared" ref="GY6:JJ6" ca="1" si="4">TODAY()+((COLUMN()-$H$4)*$N$3)</f>
        <v>43351</v>
      </c>
      <c r="GZ6" s="14">
        <f t="shared" ca="1" si="4"/>
        <v>43352</v>
      </c>
      <c r="HA6" s="14">
        <f t="shared" ca="1" si="4"/>
        <v>43353</v>
      </c>
      <c r="HB6" s="14">
        <f t="shared" ca="1" si="4"/>
        <v>43354</v>
      </c>
      <c r="HC6" s="14">
        <f t="shared" ca="1" si="4"/>
        <v>43355</v>
      </c>
      <c r="HD6" s="14">
        <f t="shared" ca="1" si="4"/>
        <v>43356</v>
      </c>
      <c r="HE6" s="14">
        <f t="shared" ca="1" si="4"/>
        <v>43357</v>
      </c>
      <c r="HF6" s="14">
        <f t="shared" ca="1" si="4"/>
        <v>43358</v>
      </c>
      <c r="HG6" s="14">
        <f t="shared" ca="1" si="4"/>
        <v>43359</v>
      </c>
      <c r="HH6" s="14">
        <f t="shared" ca="1" si="4"/>
        <v>43360</v>
      </c>
      <c r="HI6" s="14">
        <f t="shared" ca="1" si="4"/>
        <v>43361</v>
      </c>
      <c r="HJ6" s="14">
        <f t="shared" ca="1" si="4"/>
        <v>43362</v>
      </c>
      <c r="HK6" s="14">
        <f t="shared" ca="1" si="4"/>
        <v>43363</v>
      </c>
      <c r="HL6" s="14">
        <f t="shared" ca="1" si="4"/>
        <v>43364</v>
      </c>
      <c r="HM6" s="14">
        <f t="shared" ca="1" si="4"/>
        <v>43365</v>
      </c>
      <c r="HN6" s="14">
        <f t="shared" ca="1" si="4"/>
        <v>43366</v>
      </c>
      <c r="HO6" s="14">
        <f t="shared" ca="1" si="4"/>
        <v>43367</v>
      </c>
      <c r="HP6" s="14">
        <f t="shared" ca="1" si="4"/>
        <v>43368</v>
      </c>
      <c r="HQ6" s="14">
        <f t="shared" ca="1" si="4"/>
        <v>43369</v>
      </c>
      <c r="HR6" s="14">
        <f t="shared" ca="1" si="4"/>
        <v>43370</v>
      </c>
      <c r="HS6" s="14">
        <f t="shared" ca="1" si="4"/>
        <v>43371</v>
      </c>
      <c r="HT6" s="14">
        <f t="shared" ca="1" si="4"/>
        <v>43372</v>
      </c>
      <c r="HU6" s="14">
        <f t="shared" ca="1" si="4"/>
        <v>43373</v>
      </c>
      <c r="HV6" s="14">
        <f t="shared" ca="1" si="4"/>
        <v>43374</v>
      </c>
      <c r="HW6" s="14">
        <f t="shared" ca="1" si="4"/>
        <v>43375</v>
      </c>
      <c r="HX6" s="14">
        <f t="shared" ca="1" si="4"/>
        <v>43376</v>
      </c>
      <c r="HY6" s="14">
        <f t="shared" ca="1" si="4"/>
        <v>43377</v>
      </c>
      <c r="HZ6" s="14">
        <f t="shared" ca="1" si="4"/>
        <v>43378</v>
      </c>
      <c r="IA6" s="14">
        <f t="shared" ca="1" si="4"/>
        <v>43379</v>
      </c>
      <c r="IB6" s="14">
        <f t="shared" ca="1" si="4"/>
        <v>43380</v>
      </c>
      <c r="IC6" s="14">
        <f t="shared" ca="1" si="4"/>
        <v>43381</v>
      </c>
      <c r="ID6" s="14">
        <f t="shared" ca="1" si="4"/>
        <v>43382</v>
      </c>
      <c r="IE6" s="14">
        <f t="shared" ca="1" si="4"/>
        <v>43383</v>
      </c>
      <c r="IF6" s="14">
        <f t="shared" ca="1" si="4"/>
        <v>43384</v>
      </c>
      <c r="IG6" s="14">
        <f t="shared" ca="1" si="4"/>
        <v>43385</v>
      </c>
      <c r="IH6" s="14">
        <f t="shared" ca="1" si="4"/>
        <v>43386</v>
      </c>
      <c r="II6" s="14">
        <f t="shared" ca="1" si="4"/>
        <v>43387</v>
      </c>
      <c r="IJ6" s="14">
        <f t="shared" ca="1" si="4"/>
        <v>43388</v>
      </c>
      <c r="IK6" s="14">
        <f t="shared" ca="1" si="4"/>
        <v>43389</v>
      </c>
      <c r="IL6" s="14">
        <f t="shared" ca="1" si="4"/>
        <v>43390</v>
      </c>
      <c r="IM6" s="14">
        <f t="shared" ca="1" si="4"/>
        <v>43391</v>
      </c>
      <c r="IN6" s="14">
        <f t="shared" ca="1" si="4"/>
        <v>43392</v>
      </c>
      <c r="IO6" s="14">
        <f t="shared" ca="1" si="4"/>
        <v>43393</v>
      </c>
      <c r="IP6" s="14">
        <f t="shared" ca="1" si="4"/>
        <v>43394</v>
      </c>
      <c r="IQ6" s="14">
        <f t="shared" ca="1" si="4"/>
        <v>43395</v>
      </c>
      <c r="IR6" s="14">
        <f t="shared" ca="1" si="4"/>
        <v>43396</v>
      </c>
      <c r="IS6" s="14">
        <f t="shared" ca="1" si="4"/>
        <v>43397</v>
      </c>
      <c r="IT6" s="14">
        <f t="shared" ca="1" si="4"/>
        <v>43398</v>
      </c>
      <c r="IU6" s="14">
        <f t="shared" ca="1" si="4"/>
        <v>43399</v>
      </c>
      <c r="IV6" s="14">
        <f t="shared" ca="1" si="4"/>
        <v>43400</v>
      </c>
      <c r="IW6" s="14">
        <f t="shared" ca="1" si="4"/>
        <v>43401</v>
      </c>
      <c r="IX6" s="14">
        <f t="shared" ca="1" si="4"/>
        <v>43402</v>
      </c>
      <c r="IY6" s="14">
        <f t="shared" ca="1" si="4"/>
        <v>43403</v>
      </c>
      <c r="IZ6" s="14">
        <f t="shared" ca="1" si="4"/>
        <v>43404</v>
      </c>
      <c r="JA6" s="14">
        <f t="shared" ca="1" si="4"/>
        <v>43405</v>
      </c>
      <c r="JB6" s="14">
        <f t="shared" ca="1" si="4"/>
        <v>43406</v>
      </c>
      <c r="JC6" s="14">
        <f t="shared" ca="1" si="4"/>
        <v>43407</v>
      </c>
      <c r="JD6" s="14">
        <f t="shared" ca="1" si="4"/>
        <v>43408</v>
      </c>
      <c r="JE6" s="14">
        <f t="shared" ca="1" si="4"/>
        <v>43409</v>
      </c>
      <c r="JF6" s="14">
        <f t="shared" ca="1" si="4"/>
        <v>43410</v>
      </c>
      <c r="JG6" s="14">
        <f t="shared" ca="1" si="4"/>
        <v>43411</v>
      </c>
      <c r="JH6" s="14">
        <f t="shared" ca="1" si="4"/>
        <v>43412</v>
      </c>
      <c r="JI6" s="14">
        <f t="shared" ca="1" si="4"/>
        <v>43413</v>
      </c>
      <c r="JJ6" s="14">
        <f t="shared" ca="1" si="4"/>
        <v>43414</v>
      </c>
      <c r="JK6" s="14">
        <f t="shared" ref="JK6:LV6" ca="1" si="5">TODAY()+((COLUMN()-$H$4)*$N$3)</f>
        <v>43415</v>
      </c>
      <c r="JL6" s="14">
        <f t="shared" ca="1" si="5"/>
        <v>43416</v>
      </c>
      <c r="JM6" s="14">
        <f t="shared" ca="1" si="5"/>
        <v>43417</v>
      </c>
      <c r="JN6" s="14">
        <f t="shared" ca="1" si="5"/>
        <v>43418</v>
      </c>
      <c r="JO6" s="14">
        <f t="shared" ca="1" si="5"/>
        <v>43419</v>
      </c>
      <c r="JP6" s="14">
        <f t="shared" ca="1" si="5"/>
        <v>43420</v>
      </c>
      <c r="JQ6" s="14">
        <f t="shared" ca="1" si="5"/>
        <v>43421</v>
      </c>
      <c r="JR6" s="14">
        <f t="shared" ca="1" si="5"/>
        <v>43422</v>
      </c>
      <c r="JS6" s="14">
        <f t="shared" ca="1" si="5"/>
        <v>43423</v>
      </c>
      <c r="JT6" s="14">
        <f t="shared" ca="1" si="5"/>
        <v>43424</v>
      </c>
      <c r="JU6" s="14">
        <f t="shared" ca="1" si="5"/>
        <v>43425</v>
      </c>
      <c r="JV6" s="14">
        <f t="shared" ca="1" si="5"/>
        <v>43426</v>
      </c>
      <c r="JW6" s="14">
        <f t="shared" ca="1" si="5"/>
        <v>43427</v>
      </c>
      <c r="JX6" s="14">
        <f t="shared" ca="1" si="5"/>
        <v>43428</v>
      </c>
      <c r="JY6" s="14">
        <f t="shared" ca="1" si="5"/>
        <v>43429</v>
      </c>
      <c r="JZ6" s="14">
        <f t="shared" ca="1" si="5"/>
        <v>43430</v>
      </c>
      <c r="KA6" s="14">
        <f t="shared" ca="1" si="5"/>
        <v>43431</v>
      </c>
      <c r="KB6" s="14">
        <f t="shared" ca="1" si="5"/>
        <v>43432</v>
      </c>
      <c r="KC6" s="14">
        <f t="shared" ca="1" si="5"/>
        <v>43433</v>
      </c>
      <c r="KD6" s="14">
        <f t="shared" ca="1" si="5"/>
        <v>43434</v>
      </c>
      <c r="KE6" s="14">
        <f t="shared" ca="1" si="5"/>
        <v>43435</v>
      </c>
      <c r="KF6" s="14">
        <f t="shared" ca="1" si="5"/>
        <v>43436</v>
      </c>
      <c r="KG6" s="14">
        <f t="shared" ca="1" si="5"/>
        <v>43437</v>
      </c>
      <c r="KH6" s="14">
        <f t="shared" ca="1" si="5"/>
        <v>43438</v>
      </c>
      <c r="KI6" s="14">
        <f t="shared" ca="1" si="5"/>
        <v>43439</v>
      </c>
      <c r="KJ6" s="14">
        <f t="shared" ca="1" si="5"/>
        <v>43440</v>
      </c>
      <c r="KK6" s="14">
        <f t="shared" ca="1" si="5"/>
        <v>43441</v>
      </c>
      <c r="KL6" s="14">
        <f t="shared" ca="1" si="5"/>
        <v>43442</v>
      </c>
      <c r="KM6" s="14">
        <f t="shared" ca="1" si="5"/>
        <v>43443</v>
      </c>
      <c r="KN6" s="14">
        <f t="shared" ca="1" si="5"/>
        <v>43444</v>
      </c>
      <c r="KO6" s="14">
        <f t="shared" ca="1" si="5"/>
        <v>43445</v>
      </c>
      <c r="KP6" s="14">
        <f t="shared" ca="1" si="5"/>
        <v>43446</v>
      </c>
      <c r="KQ6" s="14">
        <f t="shared" ca="1" si="5"/>
        <v>43447</v>
      </c>
      <c r="KR6" s="14">
        <f t="shared" ca="1" si="5"/>
        <v>43448</v>
      </c>
      <c r="KS6" s="14">
        <f t="shared" ca="1" si="5"/>
        <v>43449</v>
      </c>
      <c r="KT6" s="14">
        <f t="shared" ca="1" si="5"/>
        <v>43450</v>
      </c>
      <c r="KU6" s="14">
        <f t="shared" ca="1" si="5"/>
        <v>43451</v>
      </c>
      <c r="KV6" s="14">
        <f t="shared" ca="1" si="5"/>
        <v>43452</v>
      </c>
      <c r="KW6" s="14">
        <f t="shared" ca="1" si="5"/>
        <v>43453</v>
      </c>
      <c r="KX6" s="14">
        <f t="shared" ca="1" si="5"/>
        <v>43454</v>
      </c>
      <c r="KY6" s="14">
        <f t="shared" ca="1" si="5"/>
        <v>43455</v>
      </c>
      <c r="KZ6" s="14">
        <f t="shared" ca="1" si="5"/>
        <v>43456</v>
      </c>
      <c r="LA6" s="14">
        <f t="shared" ca="1" si="5"/>
        <v>43457</v>
      </c>
      <c r="LB6" s="14">
        <f t="shared" ca="1" si="5"/>
        <v>43458</v>
      </c>
      <c r="LC6" s="14">
        <f t="shared" ca="1" si="5"/>
        <v>43459</v>
      </c>
      <c r="LD6" s="14">
        <f t="shared" ca="1" si="5"/>
        <v>43460</v>
      </c>
      <c r="LE6" s="14">
        <f t="shared" ca="1" si="5"/>
        <v>43461</v>
      </c>
      <c r="LF6" s="14">
        <f t="shared" ca="1" si="5"/>
        <v>43462</v>
      </c>
      <c r="LG6" s="14">
        <f t="shared" ca="1" si="5"/>
        <v>43463</v>
      </c>
      <c r="LH6" s="14">
        <f t="shared" ca="1" si="5"/>
        <v>43464</v>
      </c>
      <c r="LI6" s="14">
        <f t="shared" ca="1" si="5"/>
        <v>43465</v>
      </c>
      <c r="LJ6" s="14">
        <f t="shared" ca="1" si="5"/>
        <v>43466</v>
      </c>
      <c r="LK6" s="14">
        <f t="shared" ca="1" si="5"/>
        <v>43467</v>
      </c>
      <c r="LL6" s="14">
        <f t="shared" ca="1" si="5"/>
        <v>43468</v>
      </c>
      <c r="LM6" s="14">
        <f t="shared" ca="1" si="5"/>
        <v>43469</v>
      </c>
      <c r="LN6" s="14">
        <f t="shared" ca="1" si="5"/>
        <v>43470</v>
      </c>
      <c r="LO6" s="14">
        <f t="shared" ca="1" si="5"/>
        <v>43471</v>
      </c>
      <c r="LP6" s="14">
        <f t="shared" ca="1" si="5"/>
        <v>43472</v>
      </c>
      <c r="LQ6" s="14">
        <f t="shared" ca="1" si="5"/>
        <v>43473</v>
      </c>
      <c r="LR6" s="14">
        <f t="shared" ca="1" si="5"/>
        <v>43474</v>
      </c>
      <c r="LS6" s="14">
        <f t="shared" ca="1" si="5"/>
        <v>43475</v>
      </c>
      <c r="LT6" s="14">
        <f t="shared" ca="1" si="5"/>
        <v>43476</v>
      </c>
      <c r="LU6" s="14">
        <f t="shared" ca="1" si="5"/>
        <v>43477</v>
      </c>
      <c r="LV6" s="14">
        <f t="shared" ca="1" si="5"/>
        <v>43478</v>
      </c>
      <c r="LW6" s="14">
        <f t="shared" ref="LW6:NA6" ca="1" si="6">TODAY()+((COLUMN()-$H$4)*$N$3)</f>
        <v>43479</v>
      </c>
      <c r="LX6" s="14">
        <f t="shared" ca="1" si="6"/>
        <v>43480</v>
      </c>
      <c r="LY6" s="14">
        <f t="shared" ca="1" si="6"/>
        <v>43481</v>
      </c>
      <c r="LZ6" s="14">
        <f t="shared" ca="1" si="6"/>
        <v>43482</v>
      </c>
      <c r="MA6" s="14">
        <f t="shared" ca="1" si="6"/>
        <v>43483</v>
      </c>
      <c r="MB6" s="14">
        <f t="shared" ca="1" si="6"/>
        <v>43484</v>
      </c>
      <c r="MC6" s="14">
        <f t="shared" ca="1" si="6"/>
        <v>43485</v>
      </c>
      <c r="MD6" s="14">
        <f t="shared" ca="1" si="6"/>
        <v>43486</v>
      </c>
      <c r="ME6" s="14">
        <f t="shared" ca="1" si="6"/>
        <v>43487</v>
      </c>
      <c r="MF6" s="14">
        <f t="shared" ca="1" si="6"/>
        <v>43488</v>
      </c>
      <c r="MG6" s="14">
        <f t="shared" ca="1" si="6"/>
        <v>43489</v>
      </c>
      <c r="MH6" s="14">
        <f t="shared" ca="1" si="6"/>
        <v>43490</v>
      </c>
      <c r="MI6" s="14">
        <f t="shared" ca="1" si="6"/>
        <v>43491</v>
      </c>
      <c r="MJ6" s="14">
        <f t="shared" ca="1" si="6"/>
        <v>43492</v>
      </c>
      <c r="MK6" s="14">
        <f t="shared" ca="1" si="6"/>
        <v>43493</v>
      </c>
      <c r="ML6" s="14">
        <f t="shared" ca="1" si="6"/>
        <v>43494</v>
      </c>
      <c r="MM6" s="14">
        <f t="shared" ca="1" si="6"/>
        <v>43495</v>
      </c>
      <c r="MN6" s="14">
        <f t="shared" ca="1" si="6"/>
        <v>43496</v>
      </c>
      <c r="MO6" s="14">
        <f t="shared" ca="1" si="6"/>
        <v>43497</v>
      </c>
      <c r="MP6" s="14">
        <f t="shared" ca="1" si="6"/>
        <v>43498</v>
      </c>
      <c r="MQ6" s="14">
        <f t="shared" ca="1" si="6"/>
        <v>43499</v>
      </c>
      <c r="MR6" s="14">
        <f t="shared" ca="1" si="6"/>
        <v>43500</v>
      </c>
      <c r="MS6" s="14">
        <f t="shared" ca="1" si="6"/>
        <v>43501</v>
      </c>
      <c r="MT6" s="14">
        <f t="shared" ca="1" si="6"/>
        <v>43502</v>
      </c>
      <c r="MU6" s="14">
        <f t="shared" ca="1" si="6"/>
        <v>43503</v>
      </c>
      <c r="MV6" s="14">
        <f t="shared" ca="1" si="6"/>
        <v>43504</v>
      </c>
      <c r="MW6" s="14">
        <f t="shared" ca="1" si="6"/>
        <v>43505</v>
      </c>
      <c r="MX6" s="14">
        <f t="shared" ca="1" si="6"/>
        <v>43506</v>
      </c>
      <c r="MY6" s="14">
        <f t="shared" ca="1" si="6"/>
        <v>43507</v>
      </c>
      <c r="MZ6" s="14">
        <f t="shared" ca="1" si="6"/>
        <v>43508</v>
      </c>
      <c r="NA6" s="14">
        <f t="shared" ca="1" si="6"/>
        <v>43509</v>
      </c>
    </row>
    <row r="7" spans="1:367" s="2" customFormat="1" ht="24" customHeight="1">
      <c r="A7" s="168" t="s">
        <v>643</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70"/>
      <c r="B8" s="34"/>
      <c r="C8" s="34"/>
      <c r="D8" s="33"/>
      <c r="E8" s="33"/>
      <c r="F8" s="247"/>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7" customFormat="1" ht="24" customHeight="1">
      <c r="A9" s="170"/>
      <c r="B9" s="154"/>
      <c r="C9" s="155" t="s">
        <v>7</v>
      </c>
      <c r="D9" s="156"/>
      <c r="E9" s="156"/>
      <c r="F9" s="248"/>
    </row>
    <row r="10" spans="1:367" s="114" customFormat="1" ht="24" customHeight="1">
      <c r="A10" s="170" t="s">
        <v>192</v>
      </c>
      <c r="B10" s="112"/>
      <c r="C10" s="115" t="s">
        <v>218</v>
      </c>
      <c r="D10" s="113">
        <v>43132</v>
      </c>
      <c r="E10" s="17">
        <v>43181</v>
      </c>
      <c r="F10" s="171">
        <v>0.45</v>
      </c>
    </row>
    <row r="11" spans="1:367" ht="20.100000000000001" customHeight="1">
      <c r="A11" s="170" t="s">
        <v>192</v>
      </c>
      <c r="B11" s="30" t="s">
        <v>192</v>
      </c>
      <c r="C11" s="16" t="s">
        <v>223</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70" t="s">
        <v>192</v>
      </c>
      <c r="B12" s="30" t="s">
        <v>192</v>
      </c>
      <c r="C12" s="16" t="s">
        <v>224</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70" t="s">
        <v>192</v>
      </c>
      <c r="B13" s="30" t="s">
        <v>233</v>
      </c>
      <c r="C13" s="252" t="s">
        <v>234</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70" t="s">
        <v>192</v>
      </c>
      <c r="B14" s="30" t="s">
        <v>192</v>
      </c>
      <c r="C14" s="16" t="s">
        <v>219</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70" t="s">
        <v>192</v>
      </c>
      <c r="B15" s="30" t="s">
        <v>192</v>
      </c>
      <c r="C15" s="16" t="s">
        <v>101</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70" t="s">
        <v>192</v>
      </c>
      <c r="B16" s="30" t="s">
        <v>192</v>
      </c>
      <c r="C16" s="16" t="s">
        <v>225</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70" t="s">
        <v>192</v>
      </c>
      <c r="B17" s="30" t="s">
        <v>192</v>
      </c>
      <c r="C17" s="16" t="s">
        <v>226</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70" t="s">
        <v>192</v>
      </c>
      <c r="B18" s="30" t="s">
        <v>192</v>
      </c>
      <c r="C18" s="16" t="s">
        <v>227</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70" t="s">
        <v>192</v>
      </c>
      <c r="B19" s="30" t="s">
        <v>192</v>
      </c>
      <c r="C19" s="16" t="s">
        <v>228</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70" t="s">
        <v>192</v>
      </c>
      <c r="B20" s="30" t="s">
        <v>192</v>
      </c>
      <c r="C20" s="16" t="s">
        <v>220</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70" t="s">
        <v>192</v>
      </c>
      <c r="B21" s="30" t="s">
        <v>192</v>
      </c>
      <c r="C21" s="16" t="s">
        <v>221</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c r="A22" s="170" t="s">
        <v>192</v>
      </c>
      <c r="B22" s="30" t="s">
        <v>192</v>
      </c>
      <c r="C22" s="16" t="s">
        <v>229</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70" t="s">
        <v>192</v>
      </c>
      <c r="B23" s="30" t="s">
        <v>192</v>
      </c>
      <c r="C23" s="16" t="s">
        <v>222</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7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70"/>
      <c r="B25" s="112"/>
      <c r="C25" s="115" t="s">
        <v>230</v>
      </c>
      <c r="D25" s="113"/>
      <c r="E25" s="113"/>
      <c r="F25" s="249"/>
    </row>
    <row r="26" spans="1:45" ht="20.100000000000001" customHeight="1">
      <c r="A26" s="170" t="s">
        <v>189</v>
      </c>
      <c r="B26" s="30" t="s">
        <v>189</v>
      </c>
      <c r="C26" s="16" t="s">
        <v>87</v>
      </c>
      <c r="D26" s="16">
        <v>43142</v>
      </c>
      <c r="E26" s="17">
        <v>43149</v>
      </c>
      <c r="F26" s="4">
        <v>1</v>
      </c>
      <c r="G26" s="114"/>
    </row>
    <row r="27" spans="1:45" ht="20.100000000000001" customHeight="1">
      <c r="A27" s="170" t="s">
        <v>189</v>
      </c>
      <c r="B27" s="30" t="s">
        <v>189</v>
      </c>
      <c r="C27" s="16" t="s">
        <v>191</v>
      </c>
      <c r="D27" s="16">
        <v>43143</v>
      </c>
      <c r="E27" s="17">
        <v>43150</v>
      </c>
      <c r="F27" s="4">
        <v>1</v>
      </c>
      <c r="G27" s="114"/>
    </row>
    <row r="28" spans="1:45" ht="20.100000000000001" customHeight="1">
      <c r="A28" s="170"/>
      <c r="B28" s="30"/>
      <c r="C28" s="16"/>
      <c r="D28" s="16"/>
      <c r="E28" s="17"/>
      <c r="F28" s="4"/>
      <c r="G28" s="114"/>
    </row>
    <row r="29" spans="1:45" s="114" customFormat="1" ht="24" customHeight="1">
      <c r="A29" s="170" t="s">
        <v>644</v>
      </c>
      <c r="B29" s="112"/>
      <c r="C29" s="115" t="s">
        <v>197</v>
      </c>
      <c r="D29" s="113">
        <v>43163</v>
      </c>
      <c r="E29" s="17">
        <v>43195</v>
      </c>
      <c r="F29" s="249">
        <v>0.4</v>
      </c>
    </row>
    <row r="30" spans="1:45" ht="20.100000000000001" customHeight="1">
      <c r="A30" s="170" t="s">
        <v>644</v>
      </c>
      <c r="B30" s="30" t="s">
        <v>198</v>
      </c>
      <c r="C30" s="16" t="s">
        <v>108</v>
      </c>
      <c r="D30" s="16">
        <v>43163</v>
      </c>
      <c r="E30" s="17">
        <v>43177</v>
      </c>
      <c r="F30" s="4">
        <v>0.8</v>
      </c>
      <c r="G30" s="114"/>
    </row>
    <row r="31" spans="1:45" ht="20.100000000000001" customHeight="1">
      <c r="A31" s="170" t="s">
        <v>644</v>
      </c>
      <c r="B31" s="30" t="s">
        <v>198</v>
      </c>
      <c r="C31" s="16" t="s">
        <v>215</v>
      </c>
      <c r="D31" s="16">
        <v>43163</v>
      </c>
      <c r="E31" s="17">
        <v>43172</v>
      </c>
      <c r="F31" s="4">
        <v>1</v>
      </c>
      <c r="G31" s="114"/>
    </row>
    <row r="32" spans="1:45" ht="20.100000000000001" customHeight="1">
      <c r="A32" s="170" t="s">
        <v>644</v>
      </c>
      <c r="B32" s="30" t="s">
        <v>198</v>
      </c>
      <c r="C32" s="16" t="s">
        <v>196</v>
      </c>
      <c r="D32" s="16">
        <v>43180</v>
      </c>
      <c r="E32" s="17">
        <v>43195</v>
      </c>
      <c r="F32" s="4">
        <v>0.2</v>
      </c>
      <c r="G32" s="114"/>
    </row>
    <row r="33" spans="1:14" ht="20.100000000000001" customHeight="1">
      <c r="A33" s="170" t="s">
        <v>644</v>
      </c>
      <c r="B33" s="30" t="s">
        <v>198</v>
      </c>
      <c r="C33" s="16" t="s">
        <v>238</v>
      </c>
      <c r="D33" s="16">
        <v>43173</v>
      </c>
      <c r="E33" s="17">
        <v>43195</v>
      </c>
      <c r="F33" s="4">
        <v>0.3</v>
      </c>
      <c r="G33" s="114"/>
    </row>
    <row r="34" spans="1:14" ht="20.100000000000001" customHeight="1">
      <c r="A34" s="170"/>
      <c r="B34" s="30"/>
      <c r="C34" s="16"/>
      <c r="D34" s="16"/>
      <c r="E34" s="17"/>
      <c r="F34" s="4"/>
      <c r="G34" s="114"/>
    </row>
    <row r="35" spans="1:14" s="114" customFormat="1" ht="24" customHeight="1">
      <c r="A35" s="170" t="s">
        <v>203</v>
      </c>
      <c r="B35" s="112"/>
      <c r="C35" s="115" t="s">
        <v>199</v>
      </c>
      <c r="D35" s="113">
        <v>43195</v>
      </c>
      <c r="E35" s="17">
        <v>43271</v>
      </c>
      <c r="F35" s="249">
        <v>0</v>
      </c>
    </row>
    <row r="36" spans="1:14" ht="20.100000000000001" customHeight="1">
      <c r="A36" s="170" t="s">
        <v>203</v>
      </c>
      <c r="B36" s="30" t="s">
        <v>203</v>
      </c>
      <c r="C36" s="16" t="s">
        <v>118</v>
      </c>
      <c r="D36" s="16">
        <v>43195</v>
      </c>
      <c r="E36" s="17">
        <v>43217</v>
      </c>
      <c r="F36" s="4">
        <v>0</v>
      </c>
      <c r="G36" s="114"/>
    </row>
    <row r="37" spans="1:14" ht="20.100000000000001" customHeight="1">
      <c r="A37" s="170" t="s">
        <v>203</v>
      </c>
      <c r="B37" s="30" t="s">
        <v>203</v>
      </c>
      <c r="C37" s="16" t="s">
        <v>204</v>
      </c>
      <c r="D37" s="16">
        <v>43217</v>
      </c>
      <c r="E37" s="17">
        <v>43230</v>
      </c>
      <c r="F37" s="4">
        <v>0</v>
      </c>
      <c r="G37" s="114"/>
    </row>
    <row r="38" spans="1:14" ht="20.100000000000001" customHeight="1">
      <c r="A38" s="170" t="s">
        <v>203</v>
      </c>
      <c r="B38" s="30" t="s">
        <v>203</v>
      </c>
      <c r="C38" s="16" t="s">
        <v>120</v>
      </c>
      <c r="D38" s="16">
        <v>43230</v>
      </c>
      <c r="E38" s="17">
        <v>43240</v>
      </c>
      <c r="F38" s="4">
        <v>0</v>
      </c>
      <c r="G38" s="114"/>
    </row>
    <row r="39" spans="1:14" ht="20.100000000000001" customHeight="1">
      <c r="A39" s="170" t="s">
        <v>203</v>
      </c>
      <c r="B39" s="30" t="s">
        <v>203</v>
      </c>
      <c r="C39" s="16" t="s">
        <v>205</v>
      </c>
      <c r="D39" s="16">
        <v>43240</v>
      </c>
      <c r="E39" s="17">
        <v>43243</v>
      </c>
      <c r="F39" s="4">
        <v>0</v>
      </c>
      <c r="G39" s="114"/>
    </row>
    <row r="40" spans="1:14" ht="20.100000000000001" customHeight="1">
      <c r="A40" s="170" t="s">
        <v>203</v>
      </c>
      <c r="B40" s="30" t="s">
        <v>203</v>
      </c>
      <c r="C40" s="16" t="s">
        <v>211</v>
      </c>
      <c r="D40" s="16">
        <v>43240</v>
      </c>
      <c r="E40" s="17">
        <v>43250</v>
      </c>
      <c r="F40" s="4">
        <v>0</v>
      </c>
      <c r="G40" s="114"/>
    </row>
    <row r="41" spans="1:14" ht="20.100000000000001" customHeight="1">
      <c r="A41" s="170" t="s">
        <v>203</v>
      </c>
      <c r="B41" s="30" t="s">
        <v>203</v>
      </c>
      <c r="C41" s="16" t="s">
        <v>212</v>
      </c>
      <c r="D41" s="16">
        <v>43250</v>
      </c>
      <c r="E41" s="17">
        <v>43261</v>
      </c>
      <c r="F41" s="4">
        <v>0</v>
      </c>
      <c r="G41" s="114"/>
      <c r="N41" s="2" t="s">
        <v>658</v>
      </c>
    </row>
    <row r="42" spans="1:14" ht="20.100000000000001" customHeight="1">
      <c r="A42" s="170" t="s">
        <v>203</v>
      </c>
      <c r="B42" s="30" t="s">
        <v>203</v>
      </c>
      <c r="C42" s="16" t="s">
        <v>213</v>
      </c>
      <c r="D42" s="16">
        <v>43261</v>
      </c>
      <c r="E42" s="17">
        <v>43271</v>
      </c>
      <c r="F42" s="4">
        <v>0</v>
      </c>
      <c r="G42" s="114"/>
    </row>
    <row r="43" spans="1:14" ht="20.100000000000001" customHeight="1">
      <c r="A43" s="170"/>
      <c r="B43" s="30"/>
      <c r="C43" s="16"/>
      <c r="D43" s="16"/>
      <c r="E43" s="17"/>
      <c r="F43" s="4"/>
      <c r="G43" s="114"/>
    </row>
    <row r="44" spans="1:14" s="161" customFormat="1" ht="24" customHeight="1">
      <c r="A44" s="170" t="s">
        <v>242</v>
      </c>
      <c r="B44" s="158"/>
      <c r="C44" s="159" t="s">
        <v>242</v>
      </c>
      <c r="D44" s="160"/>
      <c r="E44" s="160"/>
      <c r="F44" s="250"/>
    </row>
    <row r="45" spans="1:14" ht="20.100000000000001" customHeight="1">
      <c r="A45" s="170" t="s">
        <v>242</v>
      </c>
      <c r="B45" s="30" t="s">
        <v>257</v>
      </c>
      <c r="C45" s="16" t="s">
        <v>253</v>
      </c>
      <c r="D45" s="16">
        <v>43151</v>
      </c>
      <c r="E45" s="17">
        <v>43152</v>
      </c>
      <c r="F45" s="4">
        <v>1</v>
      </c>
      <c r="G45" s="114"/>
    </row>
    <row r="46" spans="1:14" ht="20.100000000000001" customHeight="1">
      <c r="A46" s="170" t="s">
        <v>242</v>
      </c>
      <c r="B46" s="30" t="s">
        <v>259</v>
      </c>
      <c r="C46" s="16" t="s">
        <v>250</v>
      </c>
      <c r="D46" s="16">
        <v>43151</v>
      </c>
      <c r="E46" s="17">
        <v>43152</v>
      </c>
      <c r="F46" s="4">
        <v>1</v>
      </c>
      <c r="G46" s="114"/>
    </row>
    <row r="47" spans="1:14" ht="20.100000000000001" customHeight="1">
      <c r="A47" s="170" t="s">
        <v>242</v>
      </c>
      <c r="B47" s="173" t="s">
        <v>257</v>
      </c>
      <c r="C47" s="174" t="s">
        <v>657</v>
      </c>
      <c r="D47" s="174">
        <v>43156</v>
      </c>
      <c r="E47" s="174">
        <v>43161</v>
      </c>
      <c r="F47" s="4">
        <v>0.1</v>
      </c>
      <c r="G47" s="114"/>
    </row>
    <row r="48" spans="1:14" ht="20.100000000000001" customHeight="1">
      <c r="A48" s="170" t="s">
        <v>242</v>
      </c>
      <c r="B48" s="30" t="s">
        <v>260</v>
      </c>
      <c r="C48" s="16" t="s">
        <v>251</v>
      </c>
      <c r="D48" s="16">
        <v>43152</v>
      </c>
      <c r="E48" s="17">
        <v>43160</v>
      </c>
      <c r="F48" s="4">
        <v>0.1</v>
      </c>
      <c r="G48" s="114"/>
    </row>
    <row r="49" spans="1:7" ht="20.100000000000001" customHeight="1">
      <c r="A49" s="170" t="s">
        <v>242</v>
      </c>
      <c r="B49" s="30" t="s">
        <v>260</v>
      </c>
      <c r="C49" s="16" t="s">
        <v>252</v>
      </c>
      <c r="D49" s="16">
        <v>43152</v>
      </c>
      <c r="E49" s="17">
        <v>43161</v>
      </c>
      <c r="F49" s="4">
        <v>0.1</v>
      </c>
      <c r="G49" s="114"/>
    </row>
    <row r="50" spans="1:7" ht="20.100000000000001" customHeight="1">
      <c r="A50" s="170" t="s">
        <v>242</v>
      </c>
      <c r="B50" s="30" t="s">
        <v>261</v>
      </c>
      <c r="C50" s="16" t="s">
        <v>254</v>
      </c>
      <c r="D50" s="16">
        <v>43152</v>
      </c>
      <c r="E50" s="17">
        <v>43162</v>
      </c>
      <c r="F50" s="4">
        <v>0.1</v>
      </c>
      <c r="G50" s="114"/>
    </row>
    <row r="51" spans="1:7" ht="20.100000000000001" customHeight="1">
      <c r="A51" s="170" t="s">
        <v>242</v>
      </c>
      <c r="B51" s="30" t="s">
        <v>262</v>
      </c>
      <c r="C51" s="16" t="s">
        <v>255</v>
      </c>
      <c r="D51" s="16">
        <v>43153</v>
      </c>
      <c r="E51" s="17">
        <v>43163</v>
      </c>
      <c r="F51" s="4">
        <v>0.1</v>
      </c>
      <c r="G51" s="114"/>
    </row>
    <row r="52" spans="1:7" ht="20.100000000000001" customHeight="1">
      <c r="A52" s="170" t="s">
        <v>242</v>
      </c>
      <c r="B52" s="30" t="s">
        <v>263</v>
      </c>
      <c r="C52" s="16" t="s">
        <v>256</v>
      </c>
      <c r="D52" s="16">
        <v>43154</v>
      </c>
      <c r="E52" s="17">
        <v>43167</v>
      </c>
      <c r="F52" s="4">
        <v>0.1</v>
      </c>
      <c r="G52" s="114"/>
    </row>
    <row r="53" spans="1:7" ht="20.100000000000001" customHeight="1">
      <c r="A53" s="170" t="s">
        <v>242</v>
      </c>
      <c r="B53" s="30" t="s">
        <v>260</v>
      </c>
      <c r="C53" s="16" t="s">
        <v>258</v>
      </c>
      <c r="D53" s="16">
        <v>43156</v>
      </c>
      <c r="E53" s="17">
        <v>43168</v>
      </c>
      <c r="F53" s="4">
        <v>0.1</v>
      </c>
      <c r="G53" s="114"/>
    </row>
    <row r="54" spans="1:7" ht="20.100000000000001" customHeight="1">
      <c r="A54" s="170"/>
      <c r="B54" s="30"/>
      <c r="C54" s="16"/>
      <c r="D54" s="16"/>
      <c r="E54" s="17"/>
      <c r="F54" s="4"/>
      <c r="G54" s="114"/>
    </row>
    <row r="55" spans="1:7" s="153" customFormat="1" ht="24" customHeight="1">
      <c r="A55" s="170" t="s">
        <v>264</v>
      </c>
      <c r="B55" s="150"/>
      <c r="C55" s="151" t="s">
        <v>264</v>
      </c>
      <c r="D55" s="152"/>
      <c r="E55" s="152"/>
      <c r="F55" s="251"/>
    </row>
    <row r="56" spans="1:7" ht="20.100000000000001" customHeight="1">
      <c r="A56" s="170" t="s">
        <v>264</v>
      </c>
      <c r="B56" s="30"/>
      <c r="C56" s="16" t="s">
        <v>265</v>
      </c>
      <c r="D56" s="16">
        <v>43151</v>
      </c>
      <c r="E56" s="17">
        <v>43156</v>
      </c>
      <c r="F56" s="4">
        <v>1</v>
      </c>
      <c r="G56" s="114"/>
    </row>
    <row r="57" spans="1:7" ht="20.100000000000001" customHeight="1">
      <c r="A57" s="170" t="s">
        <v>264</v>
      </c>
      <c r="B57" s="30"/>
      <c r="C57" s="16" t="s">
        <v>266</v>
      </c>
      <c r="D57" s="16">
        <v>43151</v>
      </c>
      <c r="E57" s="17">
        <v>43174</v>
      </c>
      <c r="F57" s="4">
        <v>0.5</v>
      </c>
      <c r="G57" s="114"/>
    </row>
    <row r="58" spans="1:7" ht="20.100000000000001" customHeight="1">
      <c r="A58" s="170" t="s">
        <v>264</v>
      </c>
      <c r="B58" s="30"/>
      <c r="C58" s="16" t="s">
        <v>281</v>
      </c>
      <c r="D58" s="16">
        <v>43151</v>
      </c>
      <c r="E58" s="17">
        <f ca="1">TODAY()+28</f>
        <v>43188</v>
      </c>
      <c r="F58" s="4">
        <v>0</v>
      </c>
      <c r="G58" s="114"/>
    </row>
    <row r="59" spans="1:7" ht="20.100000000000001" customHeight="1">
      <c r="A59" s="170" t="s">
        <v>264</v>
      </c>
      <c r="B59" s="30"/>
      <c r="C59" s="16" t="s">
        <v>267</v>
      </c>
      <c r="D59" s="16">
        <v>43151</v>
      </c>
      <c r="E59" s="17">
        <v>43164</v>
      </c>
      <c r="F59" s="4">
        <v>0.4</v>
      </c>
      <c r="G59" s="114"/>
    </row>
    <row r="60" spans="1:7" ht="20.100000000000001" customHeight="1">
      <c r="A60" s="170" t="s">
        <v>264</v>
      </c>
      <c r="B60" s="30"/>
      <c r="C60" s="16" t="s">
        <v>288</v>
      </c>
      <c r="D60" s="16">
        <v>43153</v>
      </c>
      <c r="E60" s="17">
        <v>43167</v>
      </c>
      <c r="F60" s="4">
        <v>0.3</v>
      </c>
      <c r="G60" s="114"/>
    </row>
    <row r="61" spans="1:7" ht="20.100000000000001" customHeight="1">
      <c r="A61" s="170" t="s">
        <v>264</v>
      </c>
      <c r="B61" s="30"/>
      <c r="C61" s="16" t="s">
        <v>268</v>
      </c>
      <c r="D61" s="16">
        <v>43151</v>
      </c>
      <c r="E61" s="17">
        <v>43167</v>
      </c>
      <c r="F61" s="4">
        <v>0.2</v>
      </c>
      <c r="G61" s="114"/>
    </row>
    <row r="62" spans="1:7" ht="20.100000000000001" customHeight="1">
      <c r="A62" s="170"/>
      <c r="B62" s="30"/>
      <c r="C62" s="16"/>
      <c r="D62" s="16"/>
      <c r="E62" s="17"/>
      <c r="F62" s="4"/>
      <c r="G62" s="114"/>
    </row>
    <row r="63" spans="1:7" s="157" customFormat="1" ht="24" customHeight="1">
      <c r="A63" s="170" t="s">
        <v>272</v>
      </c>
      <c r="B63" s="154"/>
      <c r="C63" s="155" t="s">
        <v>272</v>
      </c>
      <c r="D63" s="156"/>
      <c r="E63" s="156"/>
      <c r="F63" s="248"/>
    </row>
    <row r="64" spans="1:7" ht="20.100000000000001" customHeight="1">
      <c r="A64" s="170" t="s">
        <v>272</v>
      </c>
      <c r="B64" s="30"/>
      <c r="C64" s="16" t="s">
        <v>273</v>
      </c>
      <c r="D64" s="16"/>
      <c r="E64" s="17"/>
      <c r="F64" s="4"/>
      <c r="G64" s="114"/>
    </row>
    <row r="65" spans="1:7" ht="20.100000000000001" customHeight="1">
      <c r="A65" s="170" t="s">
        <v>272</v>
      </c>
      <c r="B65" s="30"/>
      <c r="C65" s="16" t="s">
        <v>274</v>
      </c>
      <c r="D65" s="16"/>
      <c r="E65" s="17"/>
      <c r="F65" s="4"/>
      <c r="G65" s="114"/>
    </row>
    <row r="66" spans="1:7" ht="20.100000000000001" customHeight="1">
      <c r="A66" s="170" t="s">
        <v>272</v>
      </c>
      <c r="B66" s="30"/>
      <c r="C66" s="16" t="s">
        <v>275</v>
      </c>
      <c r="D66" s="16"/>
      <c r="E66" s="17"/>
      <c r="F66" s="4"/>
      <c r="G66" s="114"/>
    </row>
    <row r="67" spans="1:7" ht="20.100000000000001" customHeight="1">
      <c r="A67" s="170"/>
      <c r="B67" s="30"/>
      <c r="C67" s="16"/>
      <c r="D67" s="16"/>
      <c r="E67" s="17"/>
      <c r="F67" s="4"/>
      <c r="G67" s="114"/>
    </row>
    <row r="68" spans="1:7" ht="20.100000000000001" customHeight="1">
      <c r="A68" s="170"/>
      <c r="B68" s="30"/>
      <c r="C68" s="16"/>
      <c r="D68" s="16"/>
      <c r="E68" s="17"/>
      <c r="F68" s="4"/>
      <c r="G68" s="114"/>
    </row>
    <row r="69" spans="1:7" ht="20.100000000000001" customHeight="1">
      <c r="A69" s="170"/>
      <c r="B69" s="30"/>
      <c r="C69" s="16"/>
      <c r="D69" s="16"/>
      <c r="E69" s="17"/>
      <c r="F69" s="4"/>
      <c r="G69" s="114"/>
    </row>
    <row r="70" spans="1:7" ht="20.100000000000001" customHeight="1">
      <c r="A70" s="170"/>
      <c r="B70" s="30"/>
      <c r="C70" s="16"/>
      <c r="D70" s="16"/>
      <c r="E70" s="17"/>
      <c r="F70" s="4"/>
      <c r="G70" s="114"/>
    </row>
    <row r="71" spans="1:7" ht="20.100000000000001" customHeight="1">
      <c r="A71" s="170"/>
      <c r="B71" s="30"/>
      <c r="C71" s="16"/>
      <c r="D71" s="16"/>
      <c r="E71" s="17"/>
      <c r="F71" s="4"/>
      <c r="G71" s="114"/>
    </row>
    <row r="72" spans="1:7" ht="20.100000000000001" customHeight="1">
      <c r="A72" s="170"/>
      <c r="B72" s="30"/>
      <c r="C72" s="16"/>
      <c r="D72" s="16"/>
      <c r="E72" s="17"/>
      <c r="F72" s="4"/>
      <c r="G72" s="114"/>
    </row>
    <row r="73" spans="1:7" ht="20.100000000000001" customHeight="1">
      <c r="A73" s="170"/>
      <c r="B73" s="30"/>
      <c r="C73" s="16"/>
      <c r="D73" s="16"/>
      <c r="E73" s="17"/>
      <c r="F73" s="4"/>
      <c r="G73" s="114"/>
    </row>
    <row r="74" spans="1:7" ht="20.100000000000001" customHeight="1">
      <c r="A74" s="170"/>
      <c r="B74" s="30"/>
      <c r="C74" s="16"/>
      <c r="D74" s="16"/>
      <c r="E74" s="17"/>
      <c r="F74" s="4"/>
      <c r="G74" s="114"/>
    </row>
    <row r="75" spans="1:7" ht="20.100000000000001" customHeight="1">
      <c r="A75" s="170"/>
      <c r="B75" s="30"/>
      <c r="C75" s="16"/>
      <c r="D75" s="16"/>
      <c r="E75" s="17"/>
      <c r="F75" s="4"/>
      <c r="G75" s="114"/>
    </row>
    <row r="76" spans="1:7" ht="20.100000000000001" customHeight="1">
      <c r="A76" s="170"/>
      <c r="B76" s="30"/>
      <c r="C76" s="16"/>
      <c r="D76" s="16"/>
      <c r="E76" s="17"/>
      <c r="F76" s="4"/>
      <c r="G76" s="114"/>
    </row>
    <row r="77" spans="1:7" ht="20.100000000000001" customHeight="1">
      <c r="A77" s="170"/>
      <c r="B77" s="30"/>
      <c r="C77" s="16"/>
      <c r="D77" s="16"/>
      <c r="E77" s="17"/>
      <c r="F77" s="4"/>
      <c r="G77" s="114"/>
    </row>
    <row r="78" spans="1:7" ht="20.100000000000001" customHeight="1">
      <c r="A78" s="170"/>
      <c r="B78" s="30"/>
      <c r="C78" s="16"/>
      <c r="D78" s="16"/>
      <c r="E78" s="17"/>
      <c r="F78" s="4"/>
      <c r="G78" s="114"/>
    </row>
    <row r="79" spans="1:7" ht="20.100000000000001" customHeight="1">
      <c r="A79" s="170"/>
      <c r="B79" s="30"/>
      <c r="C79" s="16"/>
      <c r="D79" s="16"/>
      <c r="E79" s="17"/>
      <c r="F79" s="4"/>
      <c r="G79" s="114"/>
    </row>
    <row r="80" spans="1:7" ht="20.100000000000001" customHeight="1">
      <c r="A80" s="170"/>
      <c r="B80" s="30"/>
      <c r="C80" s="16"/>
      <c r="D80" s="16"/>
      <c r="E80" s="17"/>
      <c r="F80" s="4"/>
      <c r="G80" s="114"/>
    </row>
    <row r="81" spans="1:7" ht="20.100000000000001" customHeight="1">
      <c r="A81" s="170"/>
      <c r="B81" s="30"/>
      <c r="C81" s="16"/>
      <c r="D81" s="16"/>
      <c r="E81" s="17"/>
      <c r="F81" s="4"/>
      <c r="G81" s="114"/>
    </row>
    <row r="82" spans="1:7" ht="20.100000000000001" customHeight="1">
      <c r="A82" s="170"/>
      <c r="B82" s="30"/>
      <c r="C82" s="16"/>
      <c r="D82" s="16"/>
      <c r="E82" s="17"/>
      <c r="F82" s="4"/>
      <c r="G82" s="114"/>
    </row>
    <row r="83" spans="1:7" ht="20.100000000000001" customHeight="1">
      <c r="A83" s="170"/>
      <c r="B83" s="30"/>
      <c r="C83" s="16"/>
      <c r="D83" s="16"/>
      <c r="E83" s="17"/>
      <c r="F83" s="4"/>
      <c r="G83" s="114"/>
    </row>
    <row r="84" spans="1:7" ht="20.100000000000001" customHeight="1">
      <c r="A84" s="170"/>
      <c r="B84" s="30"/>
      <c r="C84" s="16"/>
      <c r="D84" s="16"/>
      <c r="E84" s="17"/>
      <c r="F84" s="4"/>
      <c r="G84" s="114"/>
    </row>
    <row r="85" spans="1:7" ht="20.100000000000001" customHeight="1">
      <c r="A85" s="170"/>
      <c r="B85" s="30"/>
      <c r="C85" s="16"/>
      <c r="D85" s="16"/>
      <c r="E85" s="17"/>
      <c r="F85" s="4"/>
      <c r="G85" s="114"/>
    </row>
    <row r="86" spans="1:7" ht="20.100000000000001" customHeight="1">
      <c r="A86" s="170"/>
      <c r="B86" s="30"/>
      <c r="C86" s="16"/>
      <c r="D86" s="16"/>
      <c r="E86" s="17"/>
      <c r="F86" s="4"/>
      <c r="G86" s="114"/>
    </row>
    <row r="87" spans="1:7" ht="20.100000000000001" customHeight="1">
      <c r="A87" s="170"/>
      <c r="B87" s="30"/>
      <c r="C87" s="16"/>
      <c r="D87" s="16"/>
      <c r="E87" s="17"/>
      <c r="F87" s="4"/>
      <c r="G87" s="114"/>
    </row>
    <row r="88" spans="1:7" ht="20.100000000000001" customHeight="1">
      <c r="A88" s="170"/>
      <c r="B88" s="30"/>
      <c r="C88" s="16"/>
      <c r="D88" s="16"/>
      <c r="E88" s="17"/>
      <c r="F88" s="4"/>
      <c r="G88" s="114"/>
    </row>
    <row r="89" spans="1:7" ht="20.100000000000001" customHeight="1">
      <c r="A89" s="170"/>
      <c r="B89" s="30"/>
      <c r="C89" s="16"/>
      <c r="D89" s="16"/>
      <c r="E89" s="17"/>
      <c r="F89" s="4"/>
      <c r="G89" s="114"/>
    </row>
    <row r="90" spans="1:7" ht="20.100000000000001" customHeight="1">
      <c r="A90" s="170"/>
      <c r="B90" s="30"/>
      <c r="C90" s="16"/>
      <c r="D90" s="16"/>
      <c r="E90" s="17"/>
      <c r="F90" s="4"/>
      <c r="G90" s="114"/>
    </row>
    <row r="91" spans="1:7" ht="20.100000000000001" customHeight="1">
      <c r="A91" s="170"/>
      <c r="B91" s="30"/>
      <c r="C91" s="16"/>
      <c r="D91" s="16"/>
      <c r="E91" s="17"/>
      <c r="F91" s="4"/>
      <c r="G91" s="114"/>
    </row>
    <row r="92" spans="1:7" ht="20.100000000000001" customHeight="1">
      <c r="A92" s="170"/>
      <c r="B92" s="30"/>
      <c r="C92" s="16"/>
      <c r="D92" s="16"/>
      <c r="E92" s="17"/>
      <c r="F92" s="4"/>
      <c r="G92" s="114"/>
    </row>
    <row r="93" spans="1:7" ht="20.100000000000001" customHeight="1">
      <c r="A93" s="170"/>
      <c r="B93" s="30"/>
      <c r="C93" s="16"/>
      <c r="D93" s="16"/>
      <c r="E93" s="17"/>
      <c r="F93" s="4"/>
      <c r="G93" s="114"/>
    </row>
    <row r="94" spans="1:7" ht="20.100000000000001" customHeight="1">
      <c r="A94" s="170"/>
      <c r="B94" s="30"/>
      <c r="C94" s="16"/>
      <c r="D94" s="16"/>
      <c r="E94" s="17"/>
      <c r="F94" s="4"/>
      <c r="G94" s="114"/>
    </row>
    <row r="95" spans="1:7" ht="20.100000000000001" customHeight="1">
      <c r="A95" s="170"/>
      <c r="B95" s="30"/>
      <c r="C95" s="16"/>
      <c r="D95" s="16"/>
      <c r="E95" s="17"/>
      <c r="F95" s="4"/>
      <c r="G95" s="114"/>
    </row>
    <row r="96" spans="1:7" ht="20.100000000000001" customHeight="1">
      <c r="A96" s="170"/>
      <c r="B96" s="30"/>
      <c r="C96" s="16"/>
      <c r="D96" s="16"/>
      <c r="E96" s="17"/>
      <c r="F96" s="4"/>
      <c r="G96" s="114"/>
    </row>
    <row r="97" spans="1:7" ht="20.100000000000001" customHeight="1">
      <c r="A97" s="170"/>
      <c r="B97" s="30"/>
      <c r="C97" s="16"/>
      <c r="D97" s="16"/>
      <c r="E97" s="17"/>
      <c r="F97" s="4"/>
      <c r="G97" s="114"/>
    </row>
    <row r="98" spans="1:7" ht="20.100000000000001" customHeight="1">
      <c r="A98" s="170"/>
      <c r="B98" s="30"/>
      <c r="C98" s="16"/>
      <c r="D98" s="16"/>
      <c r="E98" s="17"/>
      <c r="F98" s="4"/>
      <c r="G98" s="114"/>
    </row>
    <row r="99" spans="1:7" ht="20.100000000000001" customHeight="1">
      <c r="A99" s="170"/>
      <c r="B99" s="30"/>
      <c r="C99" s="16"/>
      <c r="D99" s="16"/>
      <c r="E99" s="17"/>
      <c r="F99" s="4"/>
      <c r="G99" s="114"/>
    </row>
    <row r="100" spans="1:7" ht="20.100000000000001" customHeight="1">
      <c r="A100" s="170"/>
      <c r="B100" s="30"/>
      <c r="C100" s="16"/>
      <c r="D100" s="16"/>
      <c r="E100" s="17"/>
      <c r="F100" s="4"/>
      <c r="G100" s="114"/>
    </row>
    <row r="101" spans="1:7" ht="20.100000000000001" customHeight="1">
      <c r="A101" s="170"/>
      <c r="B101" s="30"/>
      <c r="C101" s="16"/>
      <c r="D101" s="16"/>
      <c r="E101" s="17"/>
      <c r="F101" s="4"/>
      <c r="G101" s="114"/>
    </row>
    <row r="102" spans="1:7" ht="20.100000000000001" customHeight="1">
      <c r="A102" s="170"/>
      <c r="B102" s="30"/>
      <c r="C102" s="16"/>
      <c r="D102" s="16"/>
      <c r="E102" s="17"/>
      <c r="F102" s="4"/>
      <c r="G102" s="114"/>
    </row>
    <row r="103" spans="1:7" ht="20.100000000000001" customHeight="1">
      <c r="A103" s="170"/>
      <c r="B103" s="30"/>
      <c r="C103" s="16"/>
      <c r="D103" s="16"/>
      <c r="E103" s="17"/>
      <c r="F103" s="4"/>
      <c r="G103" s="114"/>
    </row>
    <row r="104" spans="1:7" ht="20.100000000000001" customHeight="1">
      <c r="A104" s="170"/>
      <c r="B104" s="30"/>
      <c r="C104" s="16"/>
      <c r="D104" s="16"/>
      <c r="E104" s="17"/>
      <c r="F104" s="4"/>
      <c r="G104" s="114"/>
    </row>
    <row r="105" spans="1:7" ht="20.100000000000001" customHeight="1">
      <c r="A105" s="170"/>
      <c r="B105" s="30"/>
      <c r="C105" s="16"/>
      <c r="D105" s="16"/>
      <c r="E105" s="17"/>
      <c r="F105" s="4"/>
      <c r="G105" s="114"/>
    </row>
    <row r="106" spans="1:7" ht="20.100000000000001" customHeight="1">
      <c r="A106" s="170"/>
      <c r="B106" s="30"/>
      <c r="C106" s="16"/>
      <c r="D106" s="16"/>
      <c r="E106" s="17"/>
      <c r="F106" s="4"/>
      <c r="G106" s="114"/>
    </row>
    <row r="107" spans="1:7" ht="20.100000000000001" customHeight="1">
      <c r="A107" s="170"/>
      <c r="B107" s="30"/>
      <c r="C107" s="16"/>
      <c r="D107" s="16"/>
      <c r="E107" s="17"/>
      <c r="F107" s="4"/>
      <c r="G107" s="114"/>
    </row>
    <row r="108" spans="1:7" ht="20.100000000000001" customHeight="1">
      <c r="A108" s="170"/>
      <c r="B108" s="30"/>
      <c r="C108" s="16"/>
      <c r="D108" s="16"/>
      <c r="E108" s="17"/>
      <c r="F108" s="4"/>
      <c r="G108" s="114"/>
    </row>
    <row r="109" spans="1:7" ht="20.100000000000001" customHeight="1">
      <c r="A109" s="170"/>
      <c r="B109" s="30"/>
      <c r="C109" s="16"/>
      <c r="D109" s="16"/>
      <c r="E109" s="17"/>
      <c r="F109" s="4"/>
      <c r="G109" s="114"/>
    </row>
    <row r="110" spans="1:7" ht="20.100000000000001" customHeight="1">
      <c r="A110" s="170"/>
      <c r="B110" s="30"/>
      <c r="C110" s="16"/>
      <c r="D110" s="16"/>
      <c r="E110" s="17"/>
      <c r="F110" s="4"/>
      <c r="G110" s="114"/>
    </row>
    <row r="111" spans="1:7" ht="20.100000000000001" customHeight="1">
      <c r="A111" s="170"/>
      <c r="B111" s="30"/>
      <c r="C111" s="16"/>
      <c r="D111" s="16"/>
      <c r="E111" s="17"/>
      <c r="F111" s="4"/>
      <c r="G111" s="114"/>
    </row>
    <row r="112" spans="1:7" ht="20.100000000000001" customHeight="1">
      <c r="A112" s="170"/>
      <c r="B112" s="30"/>
      <c r="C112" s="16"/>
      <c r="D112" s="16"/>
      <c r="E112" s="17"/>
      <c r="F112" s="4"/>
      <c r="G112" s="114"/>
    </row>
    <row r="113" spans="1:7" ht="20.100000000000001" customHeight="1">
      <c r="A113" s="170"/>
      <c r="B113" s="30"/>
      <c r="C113" s="16"/>
      <c r="D113" s="16"/>
      <c r="E113" s="17"/>
      <c r="F113" s="4"/>
      <c r="G113" s="114"/>
    </row>
    <row r="114" spans="1:7" ht="20.100000000000001" customHeight="1">
      <c r="A114" s="170"/>
      <c r="B114" s="30"/>
      <c r="C114" s="16"/>
      <c r="D114" s="16"/>
      <c r="E114" s="17"/>
      <c r="F114" s="4"/>
      <c r="G114" s="114"/>
    </row>
    <row r="115" spans="1:7" ht="20.100000000000001" customHeight="1">
      <c r="A115" s="170"/>
      <c r="B115" s="30"/>
      <c r="C115" s="16"/>
      <c r="D115" s="16"/>
      <c r="E115" s="17"/>
      <c r="F115" s="4"/>
      <c r="G115" s="114"/>
    </row>
    <row r="116" spans="1:7" ht="20.100000000000001" customHeight="1">
      <c r="A116" s="170"/>
      <c r="B116" s="30"/>
      <c r="C116" s="16"/>
      <c r="D116" s="16"/>
      <c r="E116" s="17"/>
      <c r="F116" s="4"/>
      <c r="G116" s="114"/>
    </row>
    <row r="117" spans="1:7" ht="20.100000000000001" customHeight="1">
      <c r="A117" s="170"/>
      <c r="B117" s="30"/>
      <c r="C117" s="16"/>
      <c r="D117" s="16"/>
      <c r="E117" s="17"/>
      <c r="F117" s="4"/>
      <c r="G117" s="114"/>
    </row>
    <row r="118" spans="1:7" ht="20.100000000000001" customHeight="1">
      <c r="A118" s="170"/>
      <c r="B118" s="30"/>
      <c r="C118" s="16"/>
      <c r="D118" s="16"/>
      <c r="E118" s="17"/>
      <c r="F118" s="4"/>
      <c r="G118" s="114"/>
    </row>
    <row r="119" spans="1:7" ht="20.100000000000001" customHeight="1">
      <c r="A119" s="170"/>
      <c r="B119" s="30"/>
      <c r="C119" s="16"/>
      <c r="D119" s="16"/>
      <c r="E119" s="17"/>
      <c r="F119" s="4"/>
      <c r="G119" s="114"/>
    </row>
    <row r="120" spans="1:7" ht="20.100000000000001" customHeight="1">
      <c r="A120" s="170"/>
      <c r="B120" s="30"/>
      <c r="C120" s="16"/>
      <c r="D120" s="16"/>
      <c r="E120" s="17"/>
      <c r="F120" s="4"/>
      <c r="G120" s="114"/>
    </row>
    <row r="121" spans="1:7" ht="20.100000000000001" customHeight="1">
      <c r="A121" s="170"/>
      <c r="B121" s="30"/>
      <c r="C121" s="16"/>
      <c r="D121" s="16"/>
      <c r="E121" s="17"/>
      <c r="F121" s="4"/>
      <c r="G121" s="114"/>
    </row>
    <row r="122" spans="1:7" ht="20.100000000000001" customHeight="1">
      <c r="A122" s="170"/>
      <c r="B122" s="30"/>
      <c r="C122" s="16"/>
      <c r="D122" s="16"/>
      <c r="E122" s="17"/>
      <c r="F122" s="4"/>
      <c r="G122" s="114"/>
    </row>
    <row r="123" spans="1:7" ht="20.100000000000001" customHeight="1">
      <c r="A123" s="170"/>
      <c r="B123" s="30"/>
      <c r="C123" s="16"/>
      <c r="D123" s="16"/>
      <c r="E123" s="17"/>
      <c r="F123" s="4"/>
      <c r="G123" s="114"/>
    </row>
    <row r="124" spans="1:7" ht="20.100000000000001" customHeight="1">
      <c r="A124" s="170"/>
      <c r="B124" s="30"/>
      <c r="C124" s="16"/>
      <c r="D124" s="16"/>
      <c r="E124" s="17"/>
      <c r="F124" s="4"/>
      <c r="G124" s="114"/>
    </row>
    <row r="125" spans="1:7" ht="20.100000000000001" customHeight="1">
      <c r="A125" s="170"/>
      <c r="B125" s="30"/>
      <c r="C125" s="16"/>
      <c r="D125" s="16"/>
      <c r="E125" s="17"/>
      <c r="F125" s="4"/>
      <c r="G125" s="114"/>
    </row>
    <row r="126" spans="1:7" ht="20.100000000000001" customHeight="1">
      <c r="A126" s="170"/>
      <c r="B126" s="30"/>
      <c r="C126" s="16"/>
      <c r="D126" s="16"/>
      <c r="E126" s="17"/>
      <c r="F126" s="4"/>
      <c r="G126" s="114"/>
    </row>
    <row r="127" spans="1:7" ht="20.100000000000001" customHeight="1">
      <c r="A127" s="170"/>
      <c r="B127" s="30"/>
      <c r="C127" s="16"/>
      <c r="D127" s="16"/>
      <c r="E127" s="17"/>
      <c r="F127" s="4"/>
      <c r="G127" s="114"/>
    </row>
    <row r="128" spans="1:7" ht="20.100000000000001" customHeight="1">
      <c r="A128" s="170"/>
      <c r="B128" s="30"/>
      <c r="C128" s="16"/>
      <c r="D128" s="16"/>
      <c r="E128" s="17"/>
      <c r="F128" s="4"/>
      <c r="G128" s="114"/>
    </row>
    <row r="129" spans="1:7" ht="20.100000000000001" customHeight="1">
      <c r="A129" s="170"/>
      <c r="B129" s="30"/>
      <c r="C129" s="16"/>
      <c r="D129" s="16"/>
      <c r="E129" s="17"/>
      <c r="F129" s="4"/>
      <c r="G129" s="114"/>
    </row>
    <row r="130" spans="1:7" ht="20.100000000000001" customHeight="1">
      <c r="A130" s="170"/>
      <c r="B130" s="30"/>
      <c r="C130" s="16"/>
      <c r="D130" s="16"/>
      <c r="E130" s="17"/>
      <c r="F130" s="4"/>
      <c r="G130" s="114"/>
    </row>
    <row r="131" spans="1:7" ht="20.100000000000001" customHeight="1">
      <c r="A131" s="170"/>
      <c r="B131" s="30"/>
      <c r="C131" s="16"/>
      <c r="D131" s="16"/>
      <c r="E131" s="17"/>
      <c r="F131" s="4"/>
      <c r="G131" s="114"/>
    </row>
    <row r="132" spans="1:7" ht="20.100000000000001" customHeight="1">
      <c r="A132" s="170"/>
      <c r="B132" s="30"/>
      <c r="C132" s="16"/>
      <c r="D132" s="16"/>
      <c r="E132" s="17"/>
      <c r="F132" s="4"/>
      <c r="G132" s="114"/>
    </row>
    <row r="133" spans="1:7" ht="20.100000000000001" customHeight="1">
      <c r="A133" s="170"/>
      <c r="B133" s="30"/>
      <c r="C133" s="16"/>
      <c r="D133" s="16"/>
      <c r="E133" s="17"/>
      <c r="F133" s="4"/>
      <c r="G133" s="114"/>
    </row>
    <row r="134" spans="1:7" ht="20.100000000000001" customHeight="1">
      <c r="A134" s="170"/>
      <c r="B134" s="30"/>
      <c r="C134" s="16"/>
      <c r="D134" s="16"/>
      <c r="E134" s="17"/>
      <c r="F134" s="4"/>
      <c r="G134" s="114"/>
    </row>
    <row r="135" spans="1:7" ht="20.100000000000001" customHeight="1">
      <c r="A135" s="170"/>
      <c r="B135" s="30"/>
      <c r="C135" s="16"/>
      <c r="D135" s="16"/>
      <c r="E135" s="17"/>
      <c r="F135" s="4"/>
      <c r="G135" s="114"/>
    </row>
    <row r="136" spans="1:7" ht="20.100000000000001" customHeight="1">
      <c r="A136" s="170"/>
      <c r="B136" s="30"/>
      <c r="C136" s="16"/>
      <c r="D136" s="16"/>
      <c r="E136" s="17"/>
      <c r="F136" s="4"/>
      <c r="G136" s="114"/>
    </row>
    <row r="137" spans="1:7" ht="20.100000000000001" customHeight="1">
      <c r="A137" s="170"/>
      <c r="B137" s="30"/>
      <c r="C137" s="16"/>
      <c r="D137" s="16"/>
      <c r="E137" s="17"/>
      <c r="F137" s="4"/>
      <c r="G137" s="114"/>
    </row>
    <row r="138" spans="1:7" ht="20.100000000000001" customHeight="1">
      <c r="A138" s="170"/>
      <c r="B138" s="30"/>
      <c r="C138" s="16"/>
      <c r="D138" s="16"/>
      <c r="E138" s="17"/>
      <c r="F138" s="4"/>
      <c r="G138" s="114"/>
    </row>
    <row r="139" spans="1:7" ht="20.100000000000001" customHeight="1">
      <c r="A139" s="170"/>
      <c r="B139" s="30"/>
      <c r="C139" s="16"/>
      <c r="D139" s="16"/>
      <c r="E139" s="17"/>
      <c r="F139" s="4"/>
      <c r="G139" s="114"/>
    </row>
    <row r="140" spans="1:7" ht="20.100000000000001" customHeight="1">
      <c r="A140" s="170"/>
      <c r="B140" s="30"/>
      <c r="C140" s="16"/>
      <c r="D140" s="16"/>
      <c r="E140" s="17"/>
      <c r="F140" s="4"/>
      <c r="G140" s="114"/>
    </row>
    <row r="141" spans="1:7" ht="20.100000000000001" customHeight="1">
      <c r="A141" s="170"/>
      <c r="B141" s="30"/>
      <c r="C141" s="16"/>
      <c r="D141" s="16"/>
      <c r="E141" s="17"/>
      <c r="F141" s="4"/>
      <c r="G141" s="114"/>
    </row>
    <row r="142" spans="1:7" ht="20.100000000000001" customHeight="1">
      <c r="A142" s="170"/>
      <c r="B142" s="30"/>
      <c r="C142" s="16"/>
      <c r="D142" s="16"/>
      <c r="E142" s="17"/>
      <c r="F142" s="4"/>
      <c r="G142" s="114"/>
    </row>
    <row r="143" spans="1:7" ht="20.100000000000001" customHeight="1">
      <c r="A143" s="170"/>
      <c r="B143" s="30"/>
      <c r="C143" s="16"/>
      <c r="D143" s="16"/>
      <c r="E143" s="17"/>
      <c r="F143" s="4"/>
      <c r="G143" s="114"/>
    </row>
    <row r="144" spans="1:7" ht="20.100000000000001" customHeight="1">
      <c r="A144" s="170"/>
      <c r="B144" s="30"/>
      <c r="C144" s="16"/>
      <c r="D144" s="16"/>
      <c r="E144" s="17"/>
      <c r="F144" s="4"/>
      <c r="G144" s="114"/>
    </row>
    <row r="145" spans="1:7" ht="20.100000000000001" customHeight="1">
      <c r="A145" s="170"/>
      <c r="B145" s="30"/>
      <c r="C145" s="16"/>
      <c r="D145" s="16"/>
      <c r="E145" s="17"/>
      <c r="F145" s="4"/>
      <c r="G145" s="114"/>
    </row>
    <row r="146" spans="1:7" ht="20.100000000000001" customHeight="1">
      <c r="A146" s="170"/>
      <c r="B146" s="30"/>
      <c r="C146" s="16"/>
      <c r="D146" s="16"/>
      <c r="E146" s="17"/>
      <c r="F146" s="4"/>
      <c r="G146" s="114"/>
    </row>
    <row r="147" spans="1:7" ht="20.100000000000001" customHeight="1">
      <c r="A147" s="170"/>
      <c r="B147" s="30"/>
      <c r="C147" s="16"/>
      <c r="D147" s="16"/>
      <c r="E147" s="17"/>
      <c r="F147" s="4"/>
      <c r="G147" s="114"/>
    </row>
    <row r="148" spans="1:7" ht="20.100000000000001" customHeight="1">
      <c r="A148" s="170"/>
      <c r="B148" s="30"/>
      <c r="C148" s="16"/>
      <c r="D148" s="16"/>
      <c r="E148" s="17"/>
      <c r="F148" s="4"/>
      <c r="G148" s="114"/>
    </row>
    <row r="149" spans="1:7" ht="20.100000000000001" customHeight="1">
      <c r="A149" s="170"/>
      <c r="B149" s="30"/>
      <c r="C149" s="16"/>
      <c r="D149" s="16"/>
      <c r="E149" s="17"/>
      <c r="F149" s="4"/>
      <c r="G149" s="114"/>
    </row>
    <row r="150" spans="1:7" ht="20.100000000000001" customHeight="1">
      <c r="A150" s="170"/>
      <c r="B150" s="30"/>
      <c r="C150" s="16"/>
      <c r="D150" s="16"/>
      <c r="E150" s="17"/>
      <c r="F150" s="4"/>
      <c r="G150" s="114"/>
    </row>
    <row r="151" spans="1:7" ht="20.100000000000001" customHeight="1">
      <c r="A151" s="170"/>
      <c r="B151" s="30"/>
      <c r="C151" s="16"/>
      <c r="D151" s="16"/>
      <c r="E151" s="17"/>
      <c r="F151" s="4"/>
      <c r="G151" s="114"/>
    </row>
    <row r="152" spans="1:7" ht="20.100000000000001" customHeight="1">
      <c r="A152" s="170"/>
      <c r="B152" s="30"/>
      <c r="C152" s="16"/>
      <c r="D152" s="16"/>
      <c r="E152" s="17"/>
      <c r="F152" s="4"/>
      <c r="G152" s="114"/>
    </row>
    <row r="153" spans="1:7" ht="20.100000000000001" customHeight="1">
      <c r="A153" s="170"/>
      <c r="B153" s="30"/>
      <c r="C153" s="16"/>
      <c r="D153" s="16"/>
      <c r="E153" s="17"/>
      <c r="F153" s="4"/>
      <c r="G153" s="114"/>
    </row>
    <row r="154" spans="1:7" ht="20.100000000000001" customHeight="1">
      <c r="A154" s="170"/>
      <c r="B154" s="30"/>
      <c r="C154" s="16"/>
      <c r="D154" s="16"/>
      <c r="E154" s="17"/>
      <c r="F154" s="4"/>
      <c r="G154" s="114"/>
    </row>
    <row r="155" spans="1:7" ht="20.100000000000001" customHeight="1">
      <c r="A155" s="170"/>
      <c r="B155" s="30"/>
      <c r="C155" s="16"/>
      <c r="D155" s="16"/>
      <c r="E155" s="17"/>
      <c r="F155" s="4"/>
      <c r="G155" s="114"/>
    </row>
    <row r="156" spans="1:7" ht="20.100000000000001" customHeight="1">
      <c r="A156" s="170"/>
      <c r="B156" s="30"/>
      <c r="C156" s="16"/>
      <c r="D156" s="16"/>
      <c r="E156" s="17"/>
      <c r="F156" s="4"/>
      <c r="G156" s="114"/>
    </row>
    <row r="157" spans="1:7" ht="20.100000000000001" customHeight="1">
      <c r="A157" s="170"/>
      <c r="B157" s="30"/>
      <c r="C157" s="16"/>
      <c r="D157" s="16"/>
      <c r="E157" s="17"/>
      <c r="F157" s="4"/>
      <c r="G157" s="114"/>
    </row>
    <row r="158" spans="1:7" ht="20.100000000000001" customHeight="1">
      <c r="A158" s="170"/>
      <c r="B158" s="30"/>
      <c r="C158" s="16"/>
      <c r="D158" s="16"/>
      <c r="E158" s="17"/>
      <c r="F158" s="4"/>
      <c r="G158" s="114"/>
    </row>
    <row r="159" spans="1:7" ht="20.100000000000001" customHeight="1">
      <c r="A159" s="170"/>
      <c r="B159" s="30"/>
      <c r="C159" s="16"/>
      <c r="D159" s="16"/>
      <c r="E159" s="17"/>
      <c r="F159" s="4"/>
      <c r="G159" s="114"/>
    </row>
    <row r="160" spans="1:7" ht="20.100000000000001" customHeight="1">
      <c r="A160" s="170"/>
      <c r="B160" s="30"/>
      <c r="C160" s="16"/>
      <c r="D160" s="16"/>
      <c r="E160" s="17"/>
      <c r="F160" s="4"/>
      <c r="G160" s="114"/>
    </row>
    <row r="161" spans="1:7" ht="20.100000000000001" customHeight="1">
      <c r="A161" s="170"/>
      <c r="B161" s="30"/>
      <c r="C161" s="16"/>
      <c r="D161" s="16"/>
      <c r="E161" s="17"/>
      <c r="F161" s="4"/>
      <c r="G161" s="114"/>
    </row>
    <row r="162" spans="1:7" ht="20.100000000000001" customHeight="1">
      <c r="A162" s="170"/>
      <c r="B162" s="30"/>
      <c r="C162" s="16"/>
      <c r="D162" s="16"/>
      <c r="E162" s="17"/>
      <c r="F162" s="4"/>
      <c r="G162" s="114"/>
    </row>
    <row r="163" spans="1:7" ht="20.100000000000001" customHeight="1">
      <c r="A163" s="170"/>
      <c r="B163" s="30"/>
      <c r="C163" s="16"/>
      <c r="D163" s="16"/>
      <c r="E163" s="17"/>
      <c r="F163" s="4"/>
      <c r="G163" s="114"/>
    </row>
    <row r="164" spans="1:7" ht="20.100000000000001" customHeight="1">
      <c r="A164" s="170"/>
      <c r="B164" s="30"/>
      <c r="C164" s="16"/>
      <c r="D164" s="16"/>
      <c r="E164" s="17"/>
      <c r="F164" s="4"/>
      <c r="G164" s="114"/>
    </row>
    <row r="165" spans="1:7" ht="20.100000000000001" customHeight="1">
      <c r="A165" s="170"/>
      <c r="B165" s="30"/>
      <c r="C165" s="16"/>
      <c r="D165" s="16"/>
      <c r="E165" s="17"/>
      <c r="F165" s="4"/>
      <c r="G165" s="114"/>
    </row>
    <row r="166" spans="1:7" ht="20.100000000000001" customHeight="1">
      <c r="A166" s="170"/>
      <c r="B166" s="30"/>
      <c r="C166" s="16"/>
      <c r="D166" s="16"/>
      <c r="E166" s="17"/>
      <c r="F166" s="4"/>
      <c r="G166" s="114"/>
    </row>
    <row r="167" spans="1:7" ht="20.100000000000001" customHeight="1">
      <c r="A167" s="170"/>
      <c r="B167" s="30"/>
      <c r="C167" s="16"/>
      <c r="D167" s="16"/>
      <c r="E167" s="17"/>
      <c r="F167" s="4"/>
      <c r="G167" s="114"/>
    </row>
    <row r="168" spans="1:7" ht="20.100000000000001" customHeight="1">
      <c r="A168" s="170"/>
      <c r="B168" s="30"/>
      <c r="C168" s="16"/>
      <c r="D168" s="16"/>
      <c r="E168" s="17"/>
      <c r="F168" s="4"/>
      <c r="G168" s="114"/>
    </row>
    <row r="169" spans="1:7" ht="20.100000000000001" customHeight="1">
      <c r="A169" s="170"/>
      <c r="B169" s="30"/>
      <c r="C169" s="16"/>
      <c r="D169" s="16"/>
      <c r="E169" s="17"/>
      <c r="F169" s="4"/>
      <c r="G169" s="114"/>
    </row>
    <row r="170" spans="1:7" ht="20.100000000000001" customHeight="1">
      <c r="A170" s="170"/>
      <c r="B170" s="30"/>
      <c r="C170" s="16"/>
      <c r="D170" s="16"/>
      <c r="E170" s="17"/>
      <c r="F170" s="4"/>
      <c r="G170" s="114"/>
    </row>
    <row r="171" spans="1:7" ht="20.100000000000001" customHeight="1">
      <c r="A171" s="170"/>
      <c r="B171" s="30"/>
      <c r="C171" s="16"/>
      <c r="D171" s="16"/>
      <c r="E171" s="17"/>
      <c r="F171" s="4"/>
      <c r="G171" s="114"/>
    </row>
    <row r="172" spans="1:7" ht="20.100000000000001" customHeight="1">
      <c r="A172" s="170"/>
      <c r="B172" s="30"/>
      <c r="C172" s="16"/>
      <c r="D172" s="16"/>
      <c r="E172" s="17"/>
      <c r="F172" s="4"/>
      <c r="G172" s="114"/>
    </row>
    <row r="173" spans="1:7" ht="20.100000000000001" customHeight="1">
      <c r="A173" s="170"/>
      <c r="B173" s="30"/>
      <c r="C173" s="16"/>
      <c r="D173" s="16"/>
      <c r="E173" s="17"/>
      <c r="F173" s="4"/>
      <c r="G173" s="114"/>
    </row>
    <row r="174" spans="1:7" ht="20.100000000000001" customHeight="1">
      <c r="A174" s="170"/>
      <c r="B174" s="30"/>
      <c r="C174" s="16"/>
      <c r="D174" s="16"/>
      <c r="E174" s="17"/>
      <c r="F174" s="4"/>
      <c r="G174" s="114"/>
    </row>
    <row r="175" spans="1:7" ht="20.100000000000001" customHeight="1">
      <c r="A175" s="170"/>
      <c r="B175" s="30"/>
      <c r="C175" s="16"/>
      <c r="D175" s="16"/>
      <c r="E175" s="17"/>
      <c r="F175" s="4"/>
      <c r="G175" s="114"/>
    </row>
    <row r="176" spans="1:7" ht="20.100000000000001" customHeight="1">
      <c r="A176" s="170"/>
      <c r="B176" s="30"/>
      <c r="C176" s="16"/>
      <c r="D176" s="16"/>
      <c r="E176" s="17"/>
      <c r="F176" s="4"/>
      <c r="G176" s="114"/>
    </row>
    <row r="177" spans="1:7" ht="20.100000000000001" customHeight="1">
      <c r="A177" s="170"/>
      <c r="B177" s="30"/>
      <c r="C177" s="16"/>
      <c r="D177" s="16"/>
      <c r="E177" s="17"/>
      <c r="F177" s="4"/>
      <c r="G177" s="114"/>
    </row>
    <row r="178" spans="1:7" ht="20.100000000000001" customHeight="1">
      <c r="A178" s="170"/>
      <c r="B178" s="30"/>
      <c r="C178" s="16"/>
      <c r="D178" s="16"/>
      <c r="E178" s="17"/>
      <c r="F178" s="4"/>
      <c r="G178" s="114"/>
    </row>
    <row r="179" spans="1:7" ht="20.100000000000001" customHeight="1">
      <c r="A179" s="170"/>
      <c r="B179" s="30"/>
      <c r="C179" s="16"/>
      <c r="D179" s="16"/>
      <c r="E179" s="17"/>
      <c r="F179" s="4"/>
      <c r="G179" s="114"/>
    </row>
    <row r="180" spans="1:7" ht="20.100000000000001" customHeight="1">
      <c r="A180" s="170"/>
      <c r="B180" s="30"/>
      <c r="C180" s="16"/>
      <c r="D180" s="16"/>
      <c r="E180" s="17"/>
      <c r="F180" s="4"/>
      <c r="G180" s="114"/>
    </row>
    <row r="181" spans="1:7" ht="20.100000000000001" customHeight="1">
      <c r="A181" s="170"/>
      <c r="B181" s="30"/>
      <c r="C181" s="16"/>
      <c r="D181" s="16"/>
      <c r="E181" s="17"/>
      <c r="F181" s="4"/>
      <c r="G181" s="114"/>
    </row>
    <row r="182" spans="1:7" ht="20.100000000000001" customHeight="1">
      <c r="A182" s="170"/>
      <c r="B182" s="30"/>
      <c r="C182" s="16"/>
      <c r="D182" s="16"/>
      <c r="E182" s="17"/>
      <c r="F182" s="4"/>
      <c r="G182" s="114"/>
    </row>
    <row r="183" spans="1:7" ht="20.100000000000001" customHeight="1">
      <c r="A183" s="170"/>
      <c r="B183" s="30"/>
      <c r="C183" s="16"/>
      <c r="D183" s="16"/>
      <c r="E183" s="17"/>
      <c r="F183" s="4"/>
      <c r="G183" s="114"/>
    </row>
    <row r="184" spans="1:7" ht="20.100000000000001" customHeight="1">
      <c r="A184" s="170"/>
      <c r="B184" s="30"/>
      <c r="C184" s="16"/>
      <c r="D184" s="16"/>
      <c r="E184" s="17"/>
      <c r="F184" s="4"/>
      <c r="G184" s="114"/>
    </row>
    <row r="185" spans="1:7" ht="20.100000000000001" customHeight="1">
      <c r="A185" s="170"/>
      <c r="B185" s="30"/>
      <c r="C185" s="16"/>
      <c r="D185" s="16"/>
      <c r="E185" s="17"/>
      <c r="F185" s="4"/>
      <c r="G185" s="114"/>
    </row>
    <row r="186" spans="1:7" ht="20.100000000000001" customHeight="1">
      <c r="A186" s="170"/>
      <c r="B186" s="30"/>
      <c r="C186" s="16"/>
      <c r="D186" s="16"/>
      <c r="E186" s="17"/>
      <c r="F186" s="4"/>
      <c r="G186" s="114"/>
    </row>
    <row r="187" spans="1:7" ht="20.100000000000001" customHeight="1">
      <c r="A187" s="170"/>
      <c r="B187" s="30"/>
      <c r="C187" s="16"/>
      <c r="D187" s="16"/>
      <c r="E187" s="17"/>
      <c r="F187" s="4"/>
      <c r="G187" s="114"/>
    </row>
    <row r="188" spans="1:7" ht="20.100000000000001" customHeight="1">
      <c r="A188" s="170"/>
      <c r="B188" s="30"/>
      <c r="C188" s="16"/>
      <c r="D188" s="16"/>
      <c r="E188" s="17"/>
      <c r="F188" s="4"/>
      <c r="G188" s="114"/>
    </row>
    <row r="189" spans="1:7" ht="20.100000000000001" customHeight="1">
      <c r="A189" s="170"/>
      <c r="B189" s="30"/>
      <c r="C189" s="16"/>
      <c r="D189" s="16"/>
      <c r="E189" s="17"/>
      <c r="F189" s="4"/>
      <c r="G189" s="114"/>
    </row>
    <row r="190" spans="1:7" ht="20.100000000000001" customHeight="1">
      <c r="A190" s="170"/>
      <c r="B190" s="30"/>
      <c r="C190" s="16"/>
      <c r="D190" s="16"/>
      <c r="E190" s="17"/>
      <c r="F190" s="4"/>
      <c r="G190" s="114"/>
    </row>
    <row r="191" spans="1:7" ht="20.100000000000001" customHeight="1">
      <c r="A191" s="170"/>
      <c r="B191" s="30"/>
      <c r="C191" s="16"/>
      <c r="D191" s="16"/>
      <c r="E191" s="17"/>
      <c r="F191" s="4"/>
      <c r="G191" s="114"/>
    </row>
    <row r="192" spans="1:7" ht="20.100000000000001" customHeight="1">
      <c r="A192" s="170"/>
      <c r="B192" s="30"/>
      <c r="C192" s="16"/>
      <c r="D192" s="16"/>
      <c r="E192" s="17"/>
      <c r="F192" s="4"/>
      <c r="G192" s="114"/>
    </row>
    <row r="193" spans="1:7" ht="20.100000000000001" customHeight="1">
      <c r="A193" s="170"/>
      <c r="B193" s="30"/>
      <c r="C193" s="16"/>
      <c r="D193" s="16"/>
      <c r="E193" s="17"/>
      <c r="F193" s="4"/>
      <c r="G193" s="114"/>
    </row>
    <row r="194" spans="1:7" ht="20.100000000000001" customHeight="1">
      <c r="A194" s="170"/>
      <c r="B194" s="30"/>
      <c r="C194" s="16"/>
      <c r="D194" s="16"/>
      <c r="E194" s="17"/>
      <c r="F194" s="4"/>
      <c r="G194" s="114"/>
    </row>
    <row r="195" spans="1:7" ht="20.100000000000001" customHeight="1">
      <c r="A195" s="170"/>
      <c r="B195" s="30"/>
      <c r="C195" s="16"/>
      <c r="D195" s="16"/>
      <c r="E195" s="17"/>
      <c r="F195" s="4"/>
      <c r="G195" s="114"/>
    </row>
    <row r="196" spans="1:7" ht="20.100000000000001" customHeight="1">
      <c r="A196" s="170"/>
      <c r="B196" s="30"/>
      <c r="C196" s="16"/>
      <c r="D196" s="16"/>
      <c r="E196" s="17"/>
      <c r="F196" s="4"/>
      <c r="G196" s="114"/>
    </row>
    <row r="197" spans="1:7" ht="20.100000000000001" customHeight="1">
      <c r="A197" s="170"/>
      <c r="B197" s="30"/>
      <c r="C197" s="16"/>
      <c r="D197" s="16"/>
      <c r="E197" s="17"/>
      <c r="F197" s="4"/>
      <c r="G197" s="114"/>
    </row>
    <row r="198" spans="1:7" ht="20.100000000000001" customHeight="1">
      <c r="A198" s="170"/>
      <c r="B198" s="30"/>
      <c r="C198" s="16"/>
      <c r="D198" s="16"/>
      <c r="E198" s="17"/>
      <c r="F198" s="4"/>
      <c r="G198" s="114"/>
    </row>
    <row r="199" spans="1:7" ht="20.100000000000001" customHeight="1">
      <c r="A199" s="170"/>
      <c r="B199" s="30"/>
      <c r="C199" s="16"/>
      <c r="D199" s="16"/>
      <c r="E199" s="17"/>
      <c r="F199" s="4"/>
      <c r="G199" s="114"/>
    </row>
    <row r="200" spans="1:7" ht="20.100000000000001" customHeight="1">
      <c r="A200" s="170"/>
      <c r="B200" s="30"/>
      <c r="C200" s="16"/>
      <c r="D200" s="16"/>
      <c r="E200" s="17"/>
      <c r="F200" s="4"/>
      <c r="G200" s="114"/>
    </row>
    <row r="201" spans="1:7" ht="20.100000000000001" customHeight="1">
      <c r="A201" s="170"/>
      <c r="B201" s="30"/>
      <c r="C201" s="16"/>
      <c r="D201" s="16"/>
      <c r="E201" s="17"/>
      <c r="F201" s="4"/>
      <c r="G201" s="114"/>
    </row>
    <row r="202" spans="1:7" ht="20.100000000000001" customHeight="1">
      <c r="A202" s="170"/>
      <c r="B202" s="30"/>
      <c r="C202" s="16"/>
      <c r="D202" s="16"/>
      <c r="E202" s="17"/>
      <c r="F202" s="4"/>
      <c r="G202" s="114"/>
    </row>
    <row r="203" spans="1:7" ht="20.100000000000001" customHeight="1">
      <c r="A203" s="170"/>
      <c r="B203" s="30"/>
      <c r="C203" s="16"/>
      <c r="D203" s="16"/>
      <c r="E203" s="17"/>
      <c r="F203" s="4"/>
      <c r="G203" s="114"/>
    </row>
    <row r="204" spans="1:7" ht="20.100000000000001" customHeight="1">
      <c r="A204" s="170"/>
      <c r="B204" s="30"/>
      <c r="C204" s="16"/>
      <c r="D204" s="16"/>
      <c r="E204" s="17"/>
      <c r="F204" s="4"/>
      <c r="G204" s="114"/>
    </row>
    <row r="205" spans="1:7" ht="20.100000000000001" customHeight="1">
      <c r="A205" s="170"/>
      <c r="B205" s="30"/>
      <c r="C205" s="16"/>
      <c r="D205" s="16"/>
      <c r="E205" s="17"/>
      <c r="F205" s="4"/>
      <c r="G205" s="114"/>
    </row>
    <row r="206" spans="1:7" ht="20.100000000000001" customHeight="1">
      <c r="A206" s="170"/>
      <c r="B206" s="30"/>
      <c r="C206" s="16"/>
      <c r="D206" s="16"/>
      <c r="E206" s="17"/>
      <c r="F206" s="4"/>
      <c r="G206" s="114"/>
    </row>
    <row r="207" spans="1:7" ht="20.100000000000001" customHeight="1">
      <c r="A207" s="170"/>
      <c r="B207" s="30"/>
      <c r="C207" s="16"/>
      <c r="D207" s="16"/>
      <c r="E207" s="17"/>
      <c r="F207" s="4"/>
      <c r="G207" s="114"/>
    </row>
    <row r="208" spans="1:7" ht="20.100000000000001" customHeight="1">
      <c r="A208" s="170"/>
      <c r="B208" s="30"/>
      <c r="C208" s="16"/>
      <c r="D208" s="16"/>
      <c r="E208" s="17"/>
      <c r="F208" s="4"/>
      <c r="G208" s="114"/>
    </row>
    <row r="209" spans="1:7" ht="20.100000000000001" customHeight="1">
      <c r="A209" s="170"/>
      <c r="B209" s="30"/>
      <c r="C209" s="16"/>
      <c r="D209" s="16"/>
      <c r="E209" s="17"/>
      <c r="F209" s="4"/>
      <c r="G209" s="114"/>
    </row>
    <row r="210" spans="1:7" ht="20.100000000000001" customHeight="1">
      <c r="A210" s="170"/>
      <c r="B210" s="30"/>
      <c r="C210" s="16"/>
      <c r="D210" s="16"/>
      <c r="E210" s="17"/>
      <c r="F210" s="4"/>
      <c r="G210" s="114"/>
    </row>
    <row r="211" spans="1:7" ht="20.100000000000001" customHeight="1">
      <c r="A211" s="170"/>
      <c r="B211" s="30"/>
      <c r="C211" s="16"/>
      <c r="D211" s="16"/>
      <c r="E211" s="17"/>
      <c r="F211" s="4"/>
      <c r="G211" s="114"/>
    </row>
    <row r="212" spans="1:7" ht="20.100000000000001" customHeight="1">
      <c r="A212" s="170"/>
      <c r="B212" s="30"/>
      <c r="C212" s="16"/>
      <c r="D212" s="16"/>
      <c r="E212" s="17"/>
      <c r="F212" s="4"/>
      <c r="G212" s="114"/>
    </row>
    <row r="213" spans="1:7" ht="20.100000000000001" customHeight="1">
      <c r="A213" s="170"/>
      <c r="B213" s="30"/>
      <c r="C213" s="16"/>
      <c r="D213" s="16"/>
      <c r="E213" s="17"/>
      <c r="F213" s="4"/>
      <c r="G213" s="114"/>
    </row>
    <row r="214" spans="1:7" ht="20.100000000000001" customHeight="1">
      <c r="A214" s="170"/>
      <c r="B214" s="30"/>
      <c r="C214" s="16"/>
      <c r="D214" s="16"/>
      <c r="E214" s="17"/>
      <c r="F214" s="4"/>
      <c r="G214" s="114"/>
    </row>
    <row r="215" spans="1:7" ht="20.100000000000001" customHeight="1">
      <c r="A215" s="170"/>
      <c r="B215" s="30"/>
      <c r="C215" s="16"/>
      <c r="D215" s="16"/>
      <c r="E215" s="17"/>
      <c r="F215" s="4"/>
      <c r="G215" s="114"/>
    </row>
    <row r="216" spans="1:7" ht="20.100000000000001" customHeight="1">
      <c r="A216" s="170"/>
      <c r="B216" s="30"/>
      <c r="C216" s="16"/>
      <c r="D216" s="16"/>
      <c r="E216" s="17"/>
      <c r="F216" s="4"/>
      <c r="G216" s="114"/>
    </row>
    <row r="217" spans="1:7" ht="20.100000000000001" customHeight="1">
      <c r="A217" s="170"/>
      <c r="B217" s="30"/>
      <c r="C217" s="16"/>
      <c r="D217" s="16"/>
      <c r="E217" s="17"/>
      <c r="F217" s="4"/>
      <c r="G217" s="114"/>
    </row>
    <row r="218" spans="1:7" ht="20.100000000000001" customHeight="1">
      <c r="A218" s="170"/>
      <c r="B218" s="30"/>
      <c r="C218" s="16"/>
      <c r="D218" s="16"/>
      <c r="E218" s="17"/>
      <c r="F218" s="4"/>
      <c r="G218" s="114"/>
    </row>
    <row r="219" spans="1:7" ht="20.100000000000001" customHeight="1">
      <c r="A219" s="170"/>
      <c r="B219" s="30"/>
      <c r="C219" s="16"/>
      <c r="D219" s="16"/>
      <c r="E219" s="17"/>
      <c r="F219" s="4"/>
      <c r="G219" s="114"/>
    </row>
    <row r="220" spans="1:7" ht="20.100000000000001" customHeight="1">
      <c r="A220" s="170"/>
      <c r="B220" s="30"/>
      <c r="C220" s="16"/>
      <c r="D220" s="16"/>
      <c r="E220" s="17"/>
      <c r="F220" s="4"/>
      <c r="G220" s="114"/>
    </row>
    <row r="221" spans="1:7" ht="20.100000000000001" customHeight="1">
      <c r="A221" s="170"/>
      <c r="B221" s="30"/>
      <c r="C221" s="16"/>
      <c r="D221" s="16"/>
      <c r="E221" s="17"/>
      <c r="F221" s="4"/>
      <c r="G221" s="114"/>
    </row>
    <row r="222" spans="1:7" ht="20.100000000000001" customHeight="1">
      <c r="A222" s="170"/>
      <c r="B222" s="30"/>
      <c r="C222" s="16"/>
      <c r="D222" s="16"/>
      <c r="E222" s="17"/>
      <c r="F222" s="4"/>
      <c r="G222" s="114"/>
    </row>
    <row r="223" spans="1:7" ht="20.100000000000001" customHeight="1">
      <c r="A223" s="170"/>
      <c r="B223" s="30"/>
      <c r="C223" s="16"/>
      <c r="D223" s="16"/>
      <c r="E223" s="17"/>
      <c r="F223" s="4"/>
      <c r="G223" s="114"/>
    </row>
    <row r="224" spans="1:7" ht="20.100000000000001" customHeight="1">
      <c r="A224" s="170"/>
      <c r="B224" s="30"/>
      <c r="C224" s="16"/>
      <c r="D224" s="16"/>
      <c r="E224" s="17"/>
      <c r="F224" s="4"/>
      <c r="G224" s="114"/>
    </row>
    <row r="225" spans="1:7" ht="20.100000000000001" customHeight="1">
      <c r="A225" s="170"/>
      <c r="B225" s="30"/>
      <c r="C225" s="16"/>
      <c r="D225" s="16"/>
      <c r="E225" s="17"/>
      <c r="F225" s="4"/>
      <c r="G225" s="114"/>
    </row>
    <row r="226" spans="1:7" ht="20.100000000000001" customHeight="1">
      <c r="A226" s="170"/>
      <c r="B226" s="30"/>
      <c r="C226" s="16"/>
      <c r="D226" s="16"/>
      <c r="E226" s="17"/>
      <c r="F226" s="4"/>
      <c r="G226" s="114"/>
    </row>
    <row r="227" spans="1:7" ht="20.100000000000001" customHeight="1">
      <c r="A227" s="170"/>
      <c r="B227" s="30"/>
      <c r="C227" s="16"/>
      <c r="D227" s="16"/>
      <c r="E227" s="17"/>
      <c r="F227" s="4"/>
      <c r="G227" s="114"/>
    </row>
    <row r="228" spans="1:7" ht="20.100000000000001" customHeight="1">
      <c r="A228" s="170"/>
      <c r="B228" s="30"/>
      <c r="C228" s="16"/>
      <c r="D228" s="16"/>
      <c r="E228" s="17"/>
      <c r="F228" s="4"/>
      <c r="G228" s="114"/>
    </row>
    <row r="229" spans="1:7" ht="20.100000000000001" customHeight="1">
      <c r="A229" s="170"/>
      <c r="B229" s="30"/>
      <c r="C229" s="16"/>
      <c r="D229" s="16"/>
      <c r="E229" s="17"/>
      <c r="F229" s="4"/>
      <c r="G229" s="114"/>
    </row>
    <row r="230" spans="1:7" ht="20.100000000000001" customHeight="1">
      <c r="A230" s="170"/>
      <c r="B230" s="30"/>
      <c r="C230" s="16"/>
      <c r="D230" s="16"/>
      <c r="E230" s="17"/>
      <c r="F230" s="4"/>
      <c r="G230" s="114"/>
    </row>
    <row r="231" spans="1:7" ht="20.100000000000001" customHeight="1">
      <c r="A231" s="170"/>
      <c r="B231" s="30"/>
      <c r="C231" s="16"/>
      <c r="D231" s="16"/>
      <c r="E231" s="17"/>
      <c r="F231" s="4"/>
      <c r="G231" s="114"/>
    </row>
    <row r="232" spans="1:7" ht="20.100000000000001" customHeight="1">
      <c r="A232" s="170"/>
      <c r="B232" s="30"/>
      <c r="C232" s="16"/>
      <c r="D232" s="16"/>
      <c r="E232" s="17"/>
      <c r="F232" s="4"/>
      <c r="G232" s="114"/>
    </row>
    <row r="233" spans="1:7" ht="20.100000000000001" customHeight="1">
      <c r="A233" s="170"/>
      <c r="B233" s="30"/>
      <c r="C233" s="16"/>
      <c r="D233" s="16"/>
      <c r="E233" s="17"/>
      <c r="F233" s="4"/>
      <c r="G233" s="114"/>
    </row>
    <row r="234" spans="1:7" ht="20.100000000000001" customHeight="1">
      <c r="A234" s="170"/>
      <c r="B234" s="30"/>
      <c r="C234" s="16"/>
      <c r="D234" s="16"/>
      <c r="E234" s="17"/>
      <c r="F234" s="4"/>
      <c r="G234" s="114"/>
    </row>
    <row r="235" spans="1:7" ht="20.100000000000001" customHeight="1">
      <c r="A235" s="170"/>
      <c r="B235" s="30"/>
      <c r="C235" s="16"/>
      <c r="D235" s="16"/>
      <c r="E235" s="17"/>
      <c r="F235" s="4"/>
      <c r="G235" s="114"/>
    </row>
    <row r="236" spans="1:7" ht="20.100000000000001" customHeight="1">
      <c r="A236" s="170"/>
      <c r="B236" s="30"/>
      <c r="C236" s="16"/>
      <c r="D236" s="16"/>
      <c r="E236" s="17"/>
      <c r="F236" s="4"/>
      <c r="G236" s="114"/>
    </row>
    <row r="237" spans="1:7" ht="20.100000000000001" customHeight="1">
      <c r="A237" s="170"/>
      <c r="B237" s="30"/>
      <c r="C237" s="16"/>
      <c r="D237" s="16"/>
      <c r="E237" s="17"/>
      <c r="F237" s="4"/>
      <c r="G237" s="114"/>
    </row>
    <row r="238" spans="1:7" ht="20.100000000000001" customHeight="1">
      <c r="A238" s="170"/>
      <c r="B238" s="30"/>
      <c r="C238" s="16"/>
      <c r="D238" s="16"/>
      <c r="E238" s="17"/>
      <c r="F238" s="4"/>
      <c r="G238" s="114"/>
    </row>
    <row r="239" spans="1:7" ht="20.100000000000001" customHeight="1">
      <c r="A239" s="170"/>
      <c r="B239" s="30"/>
      <c r="C239" s="16"/>
      <c r="D239" s="16"/>
      <c r="E239" s="17"/>
      <c r="F239" s="4"/>
      <c r="G239" s="114"/>
    </row>
    <row r="240" spans="1:7" ht="20.100000000000001" customHeight="1">
      <c r="A240" s="170"/>
      <c r="B240" s="30"/>
      <c r="C240" s="16"/>
      <c r="D240" s="16"/>
      <c r="E240" s="17"/>
      <c r="F240" s="4"/>
      <c r="G240" s="114"/>
    </row>
    <row r="241" spans="1:7" ht="20.100000000000001" customHeight="1">
      <c r="A241" s="170"/>
      <c r="B241" s="30"/>
      <c r="C241" s="16"/>
      <c r="D241" s="16"/>
      <c r="E241" s="17"/>
      <c r="F241" s="4"/>
      <c r="G241" s="114"/>
    </row>
    <row r="242" spans="1:7" ht="20.100000000000001" customHeight="1">
      <c r="A242" s="170"/>
      <c r="B242" s="30"/>
      <c r="C242" s="16"/>
      <c r="D242" s="16"/>
      <c r="E242" s="17"/>
      <c r="F242" s="4"/>
      <c r="G242" s="114"/>
    </row>
    <row r="243" spans="1:7" ht="20.100000000000001" customHeight="1">
      <c r="A243" s="170"/>
      <c r="B243" s="30"/>
      <c r="C243" s="16"/>
      <c r="D243" s="16"/>
      <c r="E243" s="17"/>
      <c r="F243" s="4"/>
      <c r="G243" s="114"/>
    </row>
    <row r="244" spans="1:7" ht="20.100000000000001" customHeight="1">
      <c r="A244" s="170"/>
      <c r="B244" s="30"/>
      <c r="C244" s="16"/>
      <c r="D244" s="16"/>
      <c r="E244" s="17"/>
      <c r="F244" s="4"/>
      <c r="G244" s="114"/>
    </row>
    <row r="245" spans="1:7" ht="20.100000000000001" customHeight="1">
      <c r="A245" s="170"/>
      <c r="B245" s="30"/>
      <c r="C245" s="16"/>
      <c r="D245" s="16"/>
      <c r="E245" s="17"/>
      <c r="F245" s="4"/>
      <c r="G245" s="114"/>
    </row>
    <row r="246" spans="1:7" ht="20.100000000000001" customHeight="1">
      <c r="A246" s="170"/>
      <c r="B246" s="30"/>
      <c r="C246" s="16"/>
      <c r="D246" s="16"/>
      <c r="E246" s="17"/>
      <c r="F246" s="4"/>
      <c r="G246" s="114"/>
    </row>
    <row r="247" spans="1:7" ht="20.100000000000001" customHeight="1">
      <c r="A247" s="170"/>
      <c r="B247" s="30"/>
      <c r="C247" s="16"/>
      <c r="D247" s="16"/>
      <c r="E247" s="17"/>
      <c r="F247" s="4"/>
      <c r="G247" s="114"/>
    </row>
    <row r="248" spans="1:7" ht="20.100000000000001" customHeight="1">
      <c r="A248" s="170"/>
      <c r="B248" s="30"/>
      <c r="C248" s="16"/>
      <c r="D248" s="16"/>
      <c r="E248" s="17"/>
      <c r="F248" s="4"/>
      <c r="G248" s="114"/>
    </row>
    <row r="249" spans="1:7" ht="20.100000000000001" customHeight="1">
      <c r="A249" s="170"/>
      <c r="B249" s="30"/>
      <c r="C249" s="16"/>
      <c r="D249" s="16"/>
      <c r="E249" s="17"/>
      <c r="F249" s="4"/>
      <c r="G249" s="114"/>
    </row>
    <row r="250" spans="1:7" ht="20.100000000000001" customHeight="1">
      <c r="A250" s="170"/>
      <c r="B250" s="30"/>
      <c r="C250" s="16"/>
      <c r="D250" s="16"/>
      <c r="E250" s="17"/>
      <c r="F250" s="4"/>
      <c r="G250" s="114"/>
    </row>
    <row r="251" spans="1:7" ht="20.100000000000001" customHeight="1">
      <c r="A251" s="170"/>
      <c r="B251" s="30"/>
      <c r="C251" s="16"/>
      <c r="D251" s="16"/>
      <c r="E251" s="17"/>
      <c r="F251" s="4"/>
      <c r="G251" s="114"/>
    </row>
    <row r="252" spans="1:7" ht="20.100000000000001" customHeight="1">
      <c r="A252" s="170"/>
      <c r="B252" s="30"/>
      <c r="C252" s="16"/>
      <c r="D252" s="16"/>
      <c r="E252" s="17"/>
      <c r="F252" s="4"/>
      <c r="G252" s="114"/>
    </row>
    <row r="253" spans="1:7" ht="20.100000000000001" customHeight="1">
      <c r="A253" s="170"/>
      <c r="B253" s="30"/>
      <c r="C253" s="16"/>
      <c r="D253" s="16"/>
      <c r="E253" s="17"/>
      <c r="F253" s="4"/>
      <c r="G253" s="114"/>
    </row>
    <row r="254" spans="1:7" ht="20.100000000000001" customHeight="1">
      <c r="A254" s="170"/>
      <c r="B254" s="30"/>
      <c r="C254" s="16"/>
      <c r="D254" s="16"/>
      <c r="E254" s="17"/>
      <c r="F254" s="4"/>
      <c r="G254" s="114"/>
    </row>
    <row r="255" spans="1:7" ht="20.100000000000001" customHeight="1">
      <c r="A255" s="170"/>
      <c r="B255" s="30"/>
      <c r="C255" s="16"/>
      <c r="D255" s="16"/>
      <c r="E255" s="17"/>
      <c r="F255" s="4"/>
      <c r="G255" s="114"/>
    </row>
    <row r="256" spans="1:7" ht="20.100000000000001" customHeight="1">
      <c r="A256" s="170"/>
      <c r="B256" s="30"/>
      <c r="C256" s="16"/>
      <c r="D256" s="16"/>
      <c r="E256" s="17"/>
      <c r="F256" s="4"/>
      <c r="G256" s="114"/>
    </row>
    <row r="257" spans="1:7" ht="20.100000000000001" customHeight="1">
      <c r="A257" s="170"/>
      <c r="B257" s="30"/>
      <c r="C257" s="16"/>
      <c r="D257" s="16"/>
      <c r="E257" s="17"/>
      <c r="F257" s="4"/>
      <c r="G257" s="114"/>
    </row>
    <row r="258" spans="1:7" ht="20.100000000000001" customHeight="1">
      <c r="A258" s="170"/>
      <c r="B258" s="30"/>
      <c r="C258" s="16"/>
      <c r="D258" s="16"/>
      <c r="E258" s="17"/>
      <c r="F258" s="4"/>
      <c r="G258" s="114"/>
    </row>
    <row r="259" spans="1:7" ht="20.100000000000001" customHeight="1">
      <c r="A259" s="170"/>
      <c r="B259" s="30"/>
      <c r="C259" s="16"/>
      <c r="D259" s="16"/>
      <c r="E259" s="17"/>
      <c r="F259" s="4"/>
      <c r="G259" s="114"/>
    </row>
    <row r="260" spans="1:7" ht="20.100000000000001" customHeight="1">
      <c r="A260" s="170"/>
      <c r="B260" s="30"/>
      <c r="C260" s="16"/>
      <c r="D260" s="16"/>
      <c r="E260" s="17"/>
      <c r="F260" s="4"/>
      <c r="G260" s="114"/>
    </row>
    <row r="261" spans="1:7" ht="20.100000000000001" customHeight="1">
      <c r="A261" s="170"/>
      <c r="B261" s="30"/>
      <c r="C261" s="16"/>
      <c r="D261" s="16"/>
      <c r="E261" s="17"/>
      <c r="F261" s="4"/>
      <c r="G261" s="114"/>
    </row>
    <row r="262" spans="1:7" ht="20.100000000000001" customHeight="1">
      <c r="A262" s="170"/>
      <c r="B262" s="30"/>
      <c r="C262" s="16"/>
      <c r="D262" s="16"/>
      <c r="E262" s="17"/>
      <c r="F262" s="4"/>
      <c r="G262" s="114"/>
    </row>
    <row r="263" spans="1:7" ht="20.100000000000001" customHeight="1">
      <c r="A263" s="170"/>
      <c r="B263" s="30"/>
      <c r="C263" s="16"/>
      <c r="D263" s="16"/>
      <c r="E263" s="17"/>
      <c r="F263" s="4"/>
      <c r="G263" s="114"/>
    </row>
    <row r="264" spans="1:7" ht="20.100000000000001" customHeight="1">
      <c r="A264" s="170"/>
      <c r="B264" s="30"/>
      <c r="C264" s="16"/>
      <c r="D264" s="16"/>
      <c r="E264" s="17"/>
      <c r="F264" s="4"/>
      <c r="G264" s="114"/>
    </row>
    <row r="265" spans="1:7" ht="20.100000000000001" customHeight="1">
      <c r="A265" s="170"/>
      <c r="B265" s="30"/>
      <c r="C265" s="16"/>
      <c r="D265" s="16"/>
      <c r="E265" s="17"/>
      <c r="F265" s="4"/>
      <c r="G265" s="114"/>
    </row>
    <row r="266" spans="1:7" ht="20.100000000000001" customHeight="1">
      <c r="A266" s="170"/>
      <c r="B266" s="30"/>
      <c r="C266" s="16"/>
      <c r="D266" s="16"/>
      <c r="E266" s="17"/>
      <c r="F266" s="4"/>
      <c r="G266" s="114"/>
    </row>
    <row r="267" spans="1:7" ht="20.100000000000001" customHeight="1">
      <c r="A267" s="170"/>
      <c r="B267" s="30"/>
      <c r="C267" s="16"/>
      <c r="D267" s="16"/>
      <c r="E267" s="17"/>
      <c r="F267" s="4"/>
      <c r="G267" s="114"/>
    </row>
    <row r="268" spans="1:7" ht="20.100000000000001" customHeight="1">
      <c r="A268" s="170"/>
      <c r="B268" s="30"/>
      <c r="C268" s="16"/>
      <c r="D268" s="16"/>
      <c r="E268" s="17"/>
      <c r="F268" s="4"/>
      <c r="G268" s="114"/>
    </row>
    <row r="269" spans="1:7" ht="20.100000000000001" customHeight="1">
      <c r="A269" s="170"/>
      <c r="B269" s="30"/>
      <c r="C269" s="16"/>
      <c r="D269" s="16"/>
      <c r="E269" s="17"/>
      <c r="F269" s="4"/>
      <c r="G269" s="114"/>
    </row>
    <row r="270" spans="1:7" ht="20.100000000000001" customHeight="1">
      <c r="A270" s="170"/>
      <c r="B270" s="30"/>
      <c r="C270" s="16"/>
      <c r="D270" s="16"/>
      <c r="E270" s="17"/>
      <c r="F270" s="4"/>
      <c r="G270" s="114"/>
    </row>
    <row r="271" spans="1:7" ht="20.100000000000001" customHeight="1">
      <c r="A271" s="170"/>
      <c r="B271" s="30"/>
      <c r="C271" s="16"/>
      <c r="D271" s="16"/>
      <c r="E271" s="17"/>
      <c r="F271" s="4"/>
      <c r="G271" s="114"/>
    </row>
    <row r="272" spans="1:7" ht="20.100000000000001" customHeight="1">
      <c r="A272" s="170"/>
      <c r="B272" s="30"/>
      <c r="C272" s="16"/>
      <c r="D272" s="16"/>
      <c r="E272" s="17"/>
      <c r="F272" s="4"/>
      <c r="G272" s="114"/>
    </row>
    <row r="273" spans="1:7" ht="20.100000000000001" customHeight="1">
      <c r="A273" s="170"/>
      <c r="B273" s="30"/>
      <c r="C273" s="16"/>
      <c r="D273" s="16"/>
      <c r="E273" s="17"/>
      <c r="F273" s="4"/>
      <c r="G273" s="114"/>
    </row>
    <row r="274" spans="1:7" ht="20.100000000000001" customHeight="1">
      <c r="A274" s="170"/>
      <c r="B274" s="30"/>
      <c r="C274" s="16"/>
      <c r="D274" s="16"/>
      <c r="E274" s="17"/>
      <c r="F274" s="4"/>
      <c r="G274" s="114"/>
    </row>
    <row r="275" spans="1:7" ht="20.100000000000001" customHeight="1">
      <c r="A275" s="170"/>
      <c r="B275" s="30"/>
      <c r="C275" s="16"/>
      <c r="D275" s="16"/>
      <c r="E275" s="17"/>
      <c r="F275" s="4"/>
      <c r="G275" s="114"/>
    </row>
    <row r="276" spans="1:7" ht="20.100000000000001" customHeight="1">
      <c r="A276" s="170"/>
      <c r="B276" s="30"/>
      <c r="C276" s="16"/>
      <c r="D276" s="16"/>
      <c r="E276" s="17"/>
      <c r="F276" s="4"/>
      <c r="G276" s="114"/>
    </row>
    <row r="277" spans="1:7" ht="20.100000000000001" customHeight="1">
      <c r="A277" s="170"/>
      <c r="B277" s="30"/>
      <c r="C277" s="16"/>
      <c r="D277" s="16"/>
      <c r="E277" s="17"/>
      <c r="F277" s="4"/>
      <c r="G277" s="114"/>
    </row>
    <row r="278" spans="1:7" ht="20.100000000000001" customHeight="1">
      <c r="A278" s="170"/>
      <c r="B278" s="30"/>
      <c r="C278" s="16"/>
      <c r="D278" s="16"/>
      <c r="E278" s="17"/>
      <c r="F278" s="4"/>
      <c r="G278" s="114"/>
    </row>
    <row r="279" spans="1:7" ht="20.100000000000001" customHeight="1">
      <c r="A279" s="170"/>
      <c r="B279" s="30"/>
      <c r="C279" s="16"/>
      <c r="D279" s="16"/>
      <c r="E279" s="17"/>
      <c r="F279" s="4"/>
      <c r="G279" s="114"/>
    </row>
    <row r="280" spans="1:7" ht="20.100000000000001" customHeight="1">
      <c r="A280" s="170"/>
      <c r="B280" s="30"/>
      <c r="C280" s="16"/>
      <c r="D280" s="16"/>
      <c r="E280" s="17"/>
      <c r="F280" s="4"/>
      <c r="G280" s="114"/>
    </row>
    <row r="281" spans="1:7" ht="20.100000000000001" customHeight="1">
      <c r="A281" s="170"/>
      <c r="B281" s="30"/>
      <c r="C281" s="16"/>
      <c r="D281" s="16"/>
      <c r="E281" s="17"/>
      <c r="F281" s="4"/>
      <c r="G281" s="114"/>
    </row>
    <row r="282" spans="1:7" ht="20.100000000000001" customHeight="1">
      <c r="A282" s="170"/>
      <c r="B282" s="30"/>
      <c r="C282" s="16"/>
      <c r="D282" s="16"/>
      <c r="E282" s="17"/>
      <c r="F282" s="4"/>
      <c r="G282" s="114"/>
    </row>
    <row r="283" spans="1:7" ht="20.100000000000001" customHeight="1">
      <c r="A283" s="170"/>
      <c r="B283" s="30"/>
      <c r="C283" s="16"/>
      <c r="D283" s="16"/>
      <c r="E283" s="17"/>
      <c r="F283" s="4"/>
      <c r="G283" s="114"/>
    </row>
    <row r="284" spans="1:7" ht="20.100000000000001" customHeight="1">
      <c r="A284" s="170"/>
      <c r="B284" s="30"/>
      <c r="C284" s="16"/>
      <c r="D284" s="16"/>
      <c r="E284" s="17"/>
      <c r="F284" s="4"/>
      <c r="G284" s="114"/>
    </row>
    <row r="285" spans="1:7" ht="20.100000000000001" customHeight="1">
      <c r="A285" s="170"/>
      <c r="B285" s="30"/>
      <c r="C285" s="16"/>
      <c r="D285" s="16"/>
      <c r="E285" s="17"/>
      <c r="F285" s="4"/>
      <c r="G285" s="114"/>
    </row>
    <row r="286" spans="1:7" ht="20.100000000000001" customHeight="1">
      <c r="A286" s="170"/>
      <c r="B286" s="30"/>
      <c r="C286" s="16"/>
      <c r="D286" s="16"/>
      <c r="E286" s="17"/>
      <c r="F286" s="4"/>
      <c r="G286" s="114"/>
    </row>
    <row r="287" spans="1:7" ht="20.100000000000001" customHeight="1">
      <c r="A287" s="170"/>
      <c r="B287" s="30"/>
      <c r="C287" s="16"/>
      <c r="D287" s="16"/>
      <c r="E287" s="17"/>
      <c r="F287" s="4"/>
      <c r="G287" s="114"/>
    </row>
    <row r="288" spans="1:7" ht="20.100000000000001" customHeight="1">
      <c r="A288" s="170"/>
      <c r="B288" s="30"/>
      <c r="C288" s="16"/>
      <c r="D288" s="16"/>
      <c r="E288" s="17"/>
      <c r="F288" s="4"/>
      <c r="G288" s="114"/>
    </row>
    <row r="289" spans="1:7" ht="20.100000000000001" customHeight="1">
      <c r="A289" s="170"/>
      <c r="B289" s="30"/>
      <c r="C289" s="16"/>
      <c r="D289" s="16"/>
      <c r="E289" s="17"/>
      <c r="F289" s="4"/>
      <c r="G289" s="114"/>
    </row>
    <row r="290" spans="1:7" ht="20.100000000000001" customHeight="1">
      <c r="A290" s="170"/>
      <c r="B290" s="30"/>
      <c r="C290" s="16"/>
      <c r="D290" s="16"/>
      <c r="E290" s="17"/>
      <c r="F290" s="4"/>
      <c r="G290" s="114"/>
    </row>
    <row r="291" spans="1:7" ht="20.100000000000001" customHeight="1">
      <c r="A291" s="170"/>
      <c r="B291" s="30"/>
      <c r="C291" s="16"/>
      <c r="D291" s="16"/>
      <c r="E291" s="17"/>
      <c r="F291" s="4"/>
      <c r="G291" s="114"/>
    </row>
    <row r="292" spans="1:7" ht="20.100000000000001" customHeight="1">
      <c r="A292" s="170"/>
      <c r="B292" s="30"/>
      <c r="C292" s="16"/>
      <c r="D292" s="16"/>
      <c r="E292" s="17"/>
      <c r="F292" s="4"/>
      <c r="G292" s="114"/>
    </row>
    <row r="293" spans="1:7" ht="20.100000000000001" customHeight="1">
      <c r="A293" s="170"/>
      <c r="B293" s="30"/>
      <c r="C293" s="16"/>
      <c r="D293" s="16"/>
      <c r="E293" s="17"/>
      <c r="F293" s="4"/>
      <c r="G293" s="114"/>
    </row>
    <row r="294" spans="1:7" ht="20.100000000000001" customHeight="1">
      <c r="A294" s="170"/>
      <c r="B294" s="30"/>
      <c r="C294" s="16"/>
      <c r="D294" s="16"/>
      <c r="E294" s="17"/>
      <c r="F294" s="4"/>
      <c r="G294" s="114"/>
    </row>
    <row r="295" spans="1:7" ht="20.100000000000001" customHeight="1">
      <c r="A295" s="170"/>
      <c r="B295" s="30"/>
      <c r="C295" s="16"/>
      <c r="D295" s="16"/>
      <c r="E295" s="17"/>
      <c r="F295" s="4"/>
      <c r="G295" s="114"/>
    </row>
    <row r="296" spans="1:7" ht="20.100000000000001" customHeight="1">
      <c r="A296" s="170"/>
      <c r="B296" s="30"/>
      <c r="C296" s="16"/>
      <c r="D296" s="16"/>
      <c r="E296" s="17"/>
      <c r="F296" s="4"/>
      <c r="G296" s="114"/>
    </row>
    <row r="297" spans="1:7" ht="20.100000000000001" customHeight="1">
      <c r="A297" s="170"/>
      <c r="B297" s="30"/>
      <c r="C297" s="16"/>
      <c r="D297" s="16"/>
      <c r="E297" s="17"/>
      <c r="F297" s="4"/>
      <c r="G297" s="114"/>
    </row>
    <row r="298" spans="1:7" ht="20.100000000000001" customHeight="1">
      <c r="A298" s="170"/>
      <c r="B298" s="30"/>
      <c r="C298" s="16"/>
      <c r="D298" s="16"/>
      <c r="E298" s="17"/>
      <c r="F298" s="4"/>
      <c r="G298" s="114"/>
    </row>
    <row r="299" spans="1:7" ht="20.100000000000001" customHeight="1">
      <c r="A299" s="170"/>
      <c r="B299" s="30"/>
      <c r="C299" s="16"/>
      <c r="D299" s="16"/>
      <c r="E299" s="17"/>
      <c r="F299" s="4"/>
      <c r="G299" s="114"/>
    </row>
    <row r="300" spans="1:7" ht="20.100000000000001" customHeight="1">
      <c r="A300" s="170"/>
      <c r="B300" s="30"/>
      <c r="C300" s="16"/>
      <c r="D300" s="16"/>
      <c r="E300" s="17"/>
      <c r="F300" s="4"/>
      <c r="G300" s="114"/>
    </row>
    <row r="301" spans="1:7" ht="20.100000000000001" customHeight="1">
      <c r="A301" s="170"/>
      <c r="B301" s="30"/>
      <c r="C301" s="16"/>
      <c r="D301" s="16"/>
      <c r="E301" s="17"/>
      <c r="F301" s="4"/>
      <c r="G301" s="114"/>
    </row>
    <row r="302" spans="1:7" ht="20.100000000000001" customHeight="1">
      <c r="A302" s="170"/>
      <c r="B302" s="30"/>
      <c r="C302" s="16"/>
      <c r="D302" s="16"/>
      <c r="E302" s="17"/>
      <c r="F302" s="4"/>
      <c r="G302" s="114"/>
    </row>
    <row r="303" spans="1:7" ht="20.100000000000001" customHeight="1">
      <c r="A303" s="170"/>
      <c r="B303" s="30"/>
      <c r="C303" s="16"/>
      <c r="D303" s="16"/>
      <c r="E303" s="17"/>
      <c r="F303" s="4"/>
      <c r="G303" s="114"/>
    </row>
    <row r="304" spans="1:7" ht="20.100000000000001" customHeight="1">
      <c r="A304" s="170"/>
      <c r="B304" s="30"/>
      <c r="C304" s="16"/>
      <c r="D304" s="16"/>
      <c r="E304" s="17"/>
      <c r="F304" s="4"/>
      <c r="G304" s="114"/>
    </row>
    <row r="305" spans="1:7" ht="20.100000000000001" customHeight="1">
      <c r="A305" s="170"/>
      <c r="B305" s="30"/>
      <c r="C305" s="16"/>
      <c r="D305" s="16"/>
      <c r="E305" s="17"/>
      <c r="F305" s="4"/>
      <c r="G305" s="114"/>
    </row>
    <row r="306" spans="1:7" ht="20.100000000000001" customHeight="1">
      <c r="A306" s="170"/>
      <c r="B306" s="30"/>
      <c r="C306" s="16"/>
      <c r="D306" s="16"/>
      <c r="E306" s="17"/>
      <c r="F306" s="4"/>
      <c r="G306" s="114"/>
    </row>
    <row r="307" spans="1:7" ht="20.100000000000001" customHeight="1">
      <c r="A307" s="170"/>
      <c r="B307" s="30"/>
      <c r="C307" s="16"/>
      <c r="D307" s="16"/>
      <c r="E307" s="17"/>
      <c r="F307" s="4"/>
      <c r="G307" s="114"/>
    </row>
    <row r="308" spans="1:7" ht="20.100000000000001" customHeight="1">
      <c r="A308" s="170"/>
      <c r="B308" s="30"/>
      <c r="C308" s="16"/>
      <c r="D308" s="16"/>
      <c r="E308" s="17"/>
      <c r="F308" s="4"/>
      <c r="G308" s="114"/>
    </row>
    <row r="309" spans="1:7" ht="20.100000000000001" customHeight="1">
      <c r="A309" s="170"/>
      <c r="B309" s="30"/>
      <c r="C309" s="16"/>
      <c r="D309" s="16"/>
      <c r="E309" s="17"/>
      <c r="F309" s="4"/>
      <c r="G309" s="114"/>
    </row>
    <row r="310" spans="1:7" ht="20.100000000000001" customHeight="1">
      <c r="A310" s="170"/>
      <c r="B310" s="30"/>
      <c r="C310" s="16"/>
      <c r="D310" s="16"/>
      <c r="E310" s="17"/>
      <c r="F310" s="4"/>
      <c r="G310" s="114"/>
    </row>
    <row r="311" spans="1:7" ht="20.100000000000001" customHeight="1">
      <c r="A311" s="170"/>
      <c r="B311" s="30"/>
      <c r="C311" s="16"/>
      <c r="D311" s="16"/>
      <c r="E311" s="17"/>
      <c r="F311" s="4"/>
      <c r="G311" s="114"/>
    </row>
    <row r="312" spans="1:7" ht="20.100000000000001" customHeight="1">
      <c r="A312" s="170"/>
      <c r="B312" s="30"/>
      <c r="C312" s="16"/>
      <c r="D312" s="16"/>
      <c r="E312" s="17"/>
      <c r="F312" s="4"/>
      <c r="G312" s="114"/>
    </row>
    <row r="313" spans="1:7" ht="20.100000000000001" customHeight="1">
      <c r="A313" s="170"/>
      <c r="B313" s="30"/>
      <c r="C313" s="16"/>
      <c r="D313" s="16"/>
      <c r="E313" s="17"/>
      <c r="F313" s="4"/>
      <c r="G313" s="114"/>
    </row>
    <row r="314" spans="1:7" ht="20.100000000000001" customHeight="1">
      <c r="A314" s="170"/>
      <c r="B314" s="30"/>
      <c r="C314" s="16"/>
      <c r="D314" s="16"/>
      <c r="E314" s="17"/>
      <c r="F314" s="4"/>
      <c r="G314" s="114"/>
    </row>
    <row r="315" spans="1:7" ht="20.100000000000001" customHeight="1">
      <c r="A315" s="170"/>
      <c r="B315" s="30"/>
      <c r="C315" s="16"/>
      <c r="D315" s="16"/>
      <c r="E315" s="17"/>
      <c r="F315" s="4"/>
      <c r="G315" s="114"/>
    </row>
    <row r="316" spans="1:7" ht="20.100000000000001" customHeight="1">
      <c r="A316" s="170"/>
      <c r="B316" s="30"/>
      <c r="C316" s="16"/>
      <c r="D316" s="16"/>
      <c r="E316" s="17"/>
      <c r="F316" s="4"/>
      <c r="G316" s="114"/>
    </row>
    <row r="317" spans="1:7" ht="20.100000000000001" customHeight="1">
      <c r="A317" s="170"/>
      <c r="B317" s="30"/>
      <c r="C317" s="16"/>
      <c r="D317" s="16"/>
      <c r="E317" s="17"/>
      <c r="F317" s="4"/>
      <c r="G317" s="114"/>
    </row>
    <row r="318" spans="1:7" ht="20.100000000000001" customHeight="1">
      <c r="A318" s="170"/>
      <c r="B318" s="30"/>
      <c r="C318" s="16"/>
      <c r="D318" s="16"/>
      <c r="E318" s="17"/>
      <c r="F318" s="4"/>
      <c r="G318" s="114"/>
    </row>
    <row r="319" spans="1:7" ht="20.100000000000001" customHeight="1">
      <c r="A319" s="170"/>
      <c r="B319" s="30"/>
      <c r="C319" s="16"/>
      <c r="D319" s="16"/>
      <c r="E319" s="17"/>
      <c r="F319" s="4"/>
      <c r="G319" s="114"/>
    </row>
    <row r="320" spans="1:7" ht="20.100000000000001" customHeight="1">
      <c r="A320" s="170"/>
      <c r="B320" s="30"/>
      <c r="C320" s="16"/>
      <c r="D320" s="16"/>
      <c r="E320" s="17"/>
      <c r="F320" s="4"/>
      <c r="G320" s="114"/>
    </row>
    <row r="321" spans="1:7" ht="20.100000000000001" customHeight="1">
      <c r="A321" s="170"/>
      <c r="B321" s="30"/>
      <c r="C321" s="16"/>
      <c r="D321" s="16"/>
      <c r="E321" s="17"/>
      <c r="F321" s="4"/>
      <c r="G321" s="114"/>
    </row>
    <row r="322" spans="1:7" ht="20.100000000000001" customHeight="1">
      <c r="A322" s="170"/>
      <c r="B322" s="30"/>
      <c r="C322" s="16"/>
      <c r="D322" s="16"/>
      <c r="E322" s="17"/>
      <c r="F322" s="4"/>
      <c r="G322" s="114"/>
    </row>
    <row r="323" spans="1:7" ht="20.100000000000001" customHeight="1">
      <c r="A323" s="170"/>
      <c r="B323" s="30"/>
      <c r="C323" s="16"/>
      <c r="D323" s="16"/>
      <c r="E323" s="17"/>
      <c r="F323" s="4"/>
      <c r="G323" s="114"/>
    </row>
    <row r="324" spans="1:7" ht="20.100000000000001" customHeight="1">
      <c r="A324" s="170"/>
      <c r="B324" s="30"/>
      <c r="C324" s="16"/>
      <c r="D324" s="16"/>
      <c r="E324" s="17"/>
      <c r="F324" s="4"/>
      <c r="G324" s="114"/>
    </row>
    <row r="325" spans="1:7" ht="20.100000000000001" customHeight="1">
      <c r="A325" s="170"/>
      <c r="B325" s="30"/>
      <c r="C325" s="16"/>
      <c r="D325" s="16"/>
      <c r="E325" s="17"/>
      <c r="F325" s="4"/>
      <c r="G325" s="114"/>
    </row>
    <row r="326" spans="1:7" ht="20.100000000000001" customHeight="1">
      <c r="A326" s="170"/>
      <c r="B326" s="30"/>
      <c r="C326" s="16"/>
      <c r="D326" s="16"/>
      <c r="E326" s="17"/>
      <c r="F326" s="4"/>
      <c r="G326" s="114"/>
    </row>
    <row r="327" spans="1:7" ht="20.100000000000001" customHeight="1">
      <c r="A327" s="170"/>
      <c r="B327" s="30"/>
      <c r="C327" s="16"/>
      <c r="D327" s="16"/>
      <c r="E327" s="17"/>
      <c r="F327" s="4"/>
      <c r="G327" s="114"/>
    </row>
    <row r="328" spans="1:7" ht="20.100000000000001" customHeight="1">
      <c r="A328" s="170"/>
      <c r="B328" s="30"/>
      <c r="C328" s="16"/>
      <c r="D328" s="16"/>
      <c r="E328" s="17"/>
      <c r="F328" s="4"/>
      <c r="G328" s="114"/>
    </row>
    <row r="329" spans="1:7" ht="20.100000000000001" customHeight="1">
      <c r="A329" s="170"/>
      <c r="B329" s="30"/>
      <c r="C329" s="16"/>
      <c r="D329" s="16"/>
      <c r="E329" s="17"/>
      <c r="F329" s="4"/>
      <c r="G329" s="114"/>
    </row>
    <row r="330" spans="1:7" ht="20.100000000000001" customHeight="1">
      <c r="A330" s="170"/>
      <c r="B330" s="30"/>
      <c r="C330" s="16"/>
      <c r="D330" s="16"/>
      <c r="E330" s="17"/>
      <c r="F330" s="4"/>
      <c r="G330" s="114"/>
    </row>
    <row r="331" spans="1:7" ht="20.100000000000001" customHeight="1">
      <c r="A331" s="170"/>
      <c r="B331" s="30"/>
      <c r="C331" s="16"/>
      <c r="D331" s="16"/>
      <c r="E331" s="17"/>
      <c r="F331" s="4"/>
      <c r="G331" s="114"/>
    </row>
    <row r="332" spans="1:7" ht="20.100000000000001" customHeight="1">
      <c r="A332" s="170"/>
      <c r="B332" s="30"/>
      <c r="C332" s="16"/>
      <c r="D332" s="16"/>
      <c r="E332" s="17"/>
      <c r="F332" s="4"/>
      <c r="G332" s="114"/>
    </row>
    <row r="333" spans="1:7" ht="20.100000000000001" customHeight="1">
      <c r="A333" s="170"/>
      <c r="B333" s="30"/>
      <c r="C333" s="16"/>
      <c r="D333" s="16"/>
      <c r="E333" s="17"/>
      <c r="F333" s="4"/>
      <c r="G333" s="114"/>
    </row>
    <row r="334" spans="1:7" ht="20.100000000000001" customHeight="1">
      <c r="A334" s="170"/>
      <c r="B334" s="30"/>
      <c r="C334" s="16"/>
      <c r="D334" s="16"/>
      <c r="E334" s="17"/>
      <c r="F334" s="4"/>
      <c r="G334" s="114"/>
    </row>
    <row r="335" spans="1:7" ht="20.100000000000001" customHeight="1">
      <c r="A335" s="170"/>
      <c r="B335" s="30"/>
      <c r="C335" s="16"/>
      <c r="D335" s="16"/>
      <c r="E335" s="17"/>
      <c r="F335" s="4"/>
      <c r="G335" s="114"/>
    </row>
    <row r="336" spans="1:7" ht="20.100000000000001" customHeight="1">
      <c r="A336" s="170"/>
      <c r="B336" s="30"/>
      <c r="C336" s="16"/>
      <c r="D336" s="16"/>
      <c r="E336" s="17"/>
      <c r="F336" s="4"/>
      <c r="G336" s="114"/>
    </row>
    <row r="337" spans="1:7" ht="20.100000000000001" customHeight="1">
      <c r="A337" s="170"/>
      <c r="B337" s="30"/>
      <c r="C337" s="16"/>
      <c r="D337" s="16"/>
      <c r="E337" s="17"/>
      <c r="F337" s="4"/>
      <c r="G337" s="114"/>
    </row>
    <row r="338" spans="1:7" ht="20.100000000000001" customHeight="1">
      <c r="A338" s="170"/>
      <c r="B338" s="30"/>
      <c r="C338" s="16"/>
      <c r="D338" s="16"/>
      <c r="E338" s="17"/>
      <c r="F338" s="4"/>
      <c r="G338" s="114"/>
    </row>
    <row r="339" spans="1:7" ht="20.100000000000001" customHeight="1">
      <c r="A339" s="170"/>
      <c r="B339" s="30"/>
      <c r="C339" s="16"/>
      <c r="D339" s="16"/>
      <c r="E339" s="17"/>
      <c r="F339" s="4"/>
      <c r="G339" s="114"/>
    </row>
    <row r="340" spans="1:7" ht="20.100000000000001" customHeight="1">
      <c r="A340" s="170"/>
      <c r="B340" s="30"/>
      <c r="C340" s="16"/>
      <c r="D340" s="16"/>
      <c r="E340" s="17"/>
      <c r="F340" s="4"/>
      <c r="G340" s="114"/>
    </row>
    <row r="341" spans="1:7" ht="20.100000000000001" customHeight="1">
      <c r="A341" s="170"/>
      <c r="B341" s="30"/>
      <c r="C341" s="16"/>
      <c r="D341" s="16"/>
      <c r="E341" s="17"/>
      <c r="F341" s="4"/>
      <c r="G341" s="114"/>
    </row>
    <row r="342" spans="1:7" ht="20.100000000000001" customHeight="1">
      <c r="A342" s="170"/>
      <c r="B342" s="30"/>
      <c r="C342" s="16"/>
      <c r="D342" s="16"/>
      <c r="E342" s="17"/>
      <c r="F342" s="4"/>
      <c r="G342" s="114"/>
    </row>
    <row r="343" spans="1:7" ht="20.100000000000001" customHeight="1">
      <c r="A343" s="170"/>
      <c r="B343" s="30"/>
      <c r="C343" s="16"/>
      <c r="D343" s="16"/>
      <c r="E343" s="17"/>
      <c r="F343" s="4"/>
      <c r="G343" s="114"/>
    </row>
    <row r="344" spans="1:7" ht="20.100000000000001" customHeight="1">
      <c r="A344" s="170"/>
      <c r="B344" s="30"/>
      <c r="C344" s="16"/>
      <c r="D344" s="16"/>
      <c r="E344" s="17"/>
      <c r="F344" s="4"/>
      <c r="G344" s="114"/>
    </row>
    <row r="345" spans="1:7" ht="20.100000000000001" customHeight="1">
      <c r="A345" s="170"/>
      <c r="G345" s="114"/>
    </row>
    <row r="346" spans="1:7" ht="20.100000000000001" customHeight="1">
      <c r="A346" s="170"/>
      <c r="G346" s="114"/>
    </row>
    <row r="347" spans="1:7" ht="20.100000000000001" customHeight="1">
      <c r="A347" s="170"/>
      <c r="G347" s="114"/>
    </row>
    <row r="348" spans="1:7" ht="20.100000000000001" customHeight="1">
      <c r="A348" s="170"/>
      <c r="G348" s="114"/>
    </row>
    <row r="349" spans="1:7" ht="20.100000000000001" customHeight="1">
      <c r="A349" s="170"/>
      <c r="G349" s="114"/>
    </row>
    <row r="350" spans="1:7" ht="20.100000000000001" customHeight="1">
      <c r="A350" s="170"/>
      <c r="G350" s="114"/>
    </row>
    <row r="351" spans="1:7" ht="20.100000000000001" customHeight="1">
      <c r="A351" s="170"/>
      <c r="G351" s="114"/>
    </row>
    <row r="352" spans="1:7" ht="20.100000000000001" customHeight="1">
      <c r="A352" s="170"/>
      <c r="G352" s="114"/>
    </row>
    <row r="353" spans="1:7" ht="20.100000000000001" customHeight="1">
      <c r="A353" s="170"/>
      <c r="G353" s="114"/>
    </row>
    <row r="354" spans="1:7" ht="20.100000000000001" customHeight="1">
      <c r="A354" s="170"/>
      <c r="G354" s="114"/>
    </row>
    <row r="355" spans="1:7" ht="20.100000000000001" customHeight="1">
      <c r="A355" s="170"/>
      <c r="G355" s="114"/>
    </row>
    <row r="356" spans="1:7" ht="20.100000000000001" customHeight="1">
      <c r="A356" s="170"/>
      <c r="G356" s="114"/>
    </row>
    <row r="357" spans="1:7" ht="20.100000000000001" customHeight="1">
      <c r="A357" s="170"/>
      <c r="G357" s="114"/>
    </row>
    <row r="358" spans="1:7" ht="20.100000000000001" customHeight="1">
      <c r="A358" s="170"/>
      <c r="G358" s="114"/>
    </row>
    <row r="359" spans="1:7" ht="20.100000000000001" customHeight="1">
      <c r="A359" s="170"/>
      <c r="G359" s="114"/>
    </row>
    <row r="360" spans="1:7" ht="20.100000000000001" customHeight="1">
      <c r="A360" s="170"/>
      <c r="G360" s="114"/>
    </row>
    <row r="361" spans="1:7" ht="20.100000000000001" customHeight="1">
      <c r="A361" s="170"/>
      <c r="G361" s="114"/>
    </row>
    <row r="362" spans="1:7" ht="20.100000000000001" customHeight="1">
      <c r="A362" s="170"/>
      <c r="G362" s="114"/>
    </row>
    <row r="363" spans="1:7" ht="20.100000000000001" customHeight="1">
      <c r="A363" s="170"/>
      <c r="G363" s="114"/>
    </row>
    <row r="364" spans="1:7" ht="20.100000000000001" customHeight="1">
      <c r="A364" s="170"/>
      <c r="G364" s="114"/>
    </row>
    <row r="365" spans="1:7" ht="20.100000000000001" customHeight="1">
      <c r="A365" s="170"/>
      <c r="G365" s="114"/>
    </row>
    <row r="366" spans="1:7" ht="20.100000000000001" customHeight="1">
      <c r="A366" s="170"/>
      <c r="G366" s="114"/>
    </row>
    <row r="367" spans="1:7" ht="20.100000000000001" customHeight="1">
      <c r="A367" s="170"/>
      <c r="G367" s="114"/>
    </row>
    <row r="368" spans="1:7" ht="20.100000000000001" customHeight="1">
      <c r="A368" s="170"/>
      <c r="G368" s="114"/>
    </row>
    <row r="369" spans="1:7" ht="20.100000000000001" customHeight="1">
      <c r="A369" s="170"/>
      <c r="G369" s="114"/>
    </row>
    <row r="370" spans="1:7" ht="20.100000000000001" customHeight="1">
      <c r="A370" s="170"/>
      <c r="G370" s="114"/>
    </row>
    <row r="371" spans="1:7" ht="20.100000000000001" customHeight="1">
      <c r="A371" s="170"/>
      <c r="G371" s="114"/>
    </row>
    <row r="372" spans="1:7" ht="20.100000000000001" customHeight="1">
      <c r="A372" s="170"/>
      <c r="G372" s="114"/>
    </row>
    <row r="373" spans="1:7" ht="20.100000000000001" customHeight="1">
      <c r="A373" s="170"/>
      <c r="G373" s="114"/>
    </row>
    <row r="374" spans="1:7" ht="20.100000000000001" customHeight="1">
      <c r="A374" s="170"/>
      <c r="G374" s="114"/>
    </row>
    <row r="375" spans="1:7" ht="20.100000000000001" customHeight="1">
      <c r="A375" s="170"/>
      <c r="G375" s="114"/>
    </row>
    <row r="376" spans="1:7" ht="20.100000000000001" customHeight="1">
      <c r="A376" s="170"/>
      <c r="G376" s="114"/>
    </row>
    <row r="377" spans="1:7" ht="20.100000000000001" customHeight="1">
      <c r="A377" s="170"/>
      <c r="G377" s="114"/>
    </row>
    <row r="378" spans="1:7" ht="20.100000000000001" customHeight="1">
      <c r="A378" s="170"/>
      <c r="G378" s="114"/>
    </row>
    <row r="379" spans="1:7" ht="20.100000000000001" customHeight="1">
      <c r="A379" s="170"/>
      <c r="G379" s="114"/>
    </row>
    <row r="380" spans="1:7" ht="20.100000000000001" customHeight="1">
      <c r="A380" s="170"/>
      <c r="G380" s="114"/>
    </row>
    <row r="381" spans="1:7" ht="20.100000000000001" customHeight="1">
      <c r="A381" s="170"/>
      <c r="G381" s="114"/>
    </row>
    <row r="382" spans="1:7" ht="20.100000000000001" customHeight="1">
      <c r="A382" s="170"/>
      <c r="G382" s="114"/>
    </row>
    <row r="383" spans="1:7" ht="20.100000000000001" customHeight="1">
      <c r="A383" s="170"/>
      <c r="G383" s="114"/>
    </row>
    <row r="384" spans="1:7" ht="20.100000000000001" customHeight="1">
      <c r="A384" s="170"/>
      <c r="G384" s="114"/>
    </row>
    <row r="385" spans="1:7" ht="20.100000000000001" customHeight="1">
      <c r="A385" s="170"/>
      <c r="G385" s="114"/>
    </row>
    <row r="386" spans="1:7" ht="20.100000000000001" customHeight="1">
      <c r="A386" s="170"/>
      <c r="G386" s="114"/>
    </row>
    <row r="387" spans="1:7" ht="20.100000000000001" customHeight="1">
      <c r="A387" s="170"/>
      <c r="G387" s="114"/>
    </row>
    <row r="388" spans="1:7" ht="20.100000000000001" customHeight="1">
      <c r="A388" s="170"/>
      <c r="G388" s="114"/>
    </row>
    <row r="389" spans="1:7" ht="20.100000000000001" customHeight="1">
      <c r="A389" s="170"/>
      <c r="G389" s="114"/>
    </row>
    <row r="390" spans="1:7" ht="20.100000000000001" customHeight="1">
      <c r="A390" s="170"/>
      <c r="G390" s="114"/>
    </row>
    <row r="391" spans="1:7" ht="20.100000000000001" customHeight="1">
      <c r="A391" s="170"/>
      <c r="G391" s="114"/>
    </row>
    <row r="392" spans="1:7" ht="20.100000000000001" customHeight="1">
      <c r="A392" s="170"/>
      <c r="G392" s="114"/>
    </row>
    <row r="393" spans="1:7" ht="20.100000000000001" customHeight="1">
      <c r="A393" s="170"/>
      <c r="G393" s="114"/>
    </row>
    <row r="394" spans="1:7" ht="20.100000000000001" customHeight="1">
      <c r="A394" s="170"/>
      <c r="G394" s="114"/>
    </row>
    <row r="395" spans="1:7" ht="20.100000000000001" customHeight="1">
      <c r="A395" s="170"/>
      <c r="G395" s="114"/>
    </row>
    <row r="396" spans="1:7" ht="20.100000000000001" customHeight="1">
      <c r="A396" s="170"/>
      <c r="G396" s="114"/>
    </row>
    <row r="397" spans="1:7" ht="20.100000000000001" customHeight="1">
      <c r="A397" s="170"/>
      <c r="G397" s="114"/>
    </row>
    <row r="398" spans="1:7" ht="20.100000000000001" customHeight="1">
      <c r="A398" s="170"/>
      <c r="G398" s="114"/>
    </row>
    <row r="399" spans="1:7" ht="20.100000000000001" customHeight="1">
      <c r="A399" s="170"/>
      <c r="G399" s="114"/>
    </row>
    <row r="400" spans="1:7" ht="20.100000000000001" customHeight="1">
      <c r="A400" s="170"/>
      <c r="G400" s="114"/>
    </row>
    <row r="401" spans="1:7" ht="20.100000000000001" customHeight="1">
      <c r="A401" s="170"/>
      <c r="G401" s="114"/>
    </row>
    <row r="402" spans="1:7" ht="20.100000000000001" customHeight="1">
      <c r="A402" s="170"/>
      <c r="G402" s="114"/>
    </row>
    <row r="403" spans="1:7" ht="20.100000000000001" customHeight="1">
      <c r="A403" s="170"/>
      <c r="G403" s="114"/>
    </row>
    <row r="404" spans="1:7" ht="20.100000000000001" customHeight="1">
      <c r="A404" s="170"/>
      <c r="G404" s="114"/>
    </row>
    <row r="405" spans="1:7" ht="20.100000000000001" customHeight="1">
      <c r="A405" s="170"/>
      <c r="G405" s="114"/>
    </row>
    <row r="406" spans="1:7" ht="20.100000000000001" customHeight="1">
      <c r="A406" s="170"/>
      <c r="G406" s="114"/>
    </row>
    <row r="407" spans="1:7" ht="20.100000000000001" customHeight="1">
      <c r="A407" s="170"/>
      <c r="G407" s="114"/>
    </row>
    <row r="408" spans="1:7" ht="20.100000000000001" customHeight="1">
      <c r="A408" s="170"/>
      <c r="G408" s="114"/>
    </row>
    <row r="409" spans="1:7" ht="20.100000000000001" customHeight="1">
      <c r="A409" s="170"/>
      <c r="G409" s="114"/>
    </row>
    <row r="410" spans="1:7" ht="20.100000000000001" customHeight="1">
      <c r="A410" s="170"/>
      <c r="G410" s="114"/>
    </row>
    <row r="411" spans="1:7" ht="20.100000000000001" customHeight="1">
      <c r="A411" s="170"/>
      <c r="G411" s="114"/>
    </row>
    <row r="412" spans="1:7" ht="20.100000000000001" customHeight="1">
      <c r="A412" s="170"/>
      <c r="G412" s="114"/>
    </row>
    <row r="413" spans="1:7" ht="20.100000000000001" customHeight="1">
      <c r="A413" s="170"/>
      <c r="G413" s="114"/>
    </row>
    <row r="414" spans="1:7" ht="20.100000000000001" customHeight="1">
      <c r="A414" s="170"/>
      <c r="G414" s="114"/>
    </row>
    <row r="415" spans="1:7" ht="20.100000000000001" customHeight="1">
      <c r="A415" s="170"/>
      <c r="G415" s="114"/>
    </row>
    <row r="416" spans="1:7" ht="20.100000000000001" customHeight="1">
      <c r="A416" s="170"/>
      <c r="G416" s="114"/>
    </row>
    <row r="417" spans="1:7" ht="20.100000000000001" customHeight="1">
      <c r="A417" s="170"/>
      <c r="G417" s="114"/>
    </row>
    <row r="418" spans="1:7" ht="20.100000000000001" customHeight="1">
      <c r="A418" s="170"/>
      <c r="G418" s="114"/>
    </row>
    <row r="419" spans="1:7" ht="20.100000000000001" customHeight="1">
      <c r="A419" s="170"/>
      <c r="G419" s="114"/>
    </row>
    <row r="420" spans="1:7" ht="20.100000000000001" customHeight="1">
      <c r="A420" s="170"/>
      <c r="G420" s="114"/>
    </row>
    <row r="421" spans="1:7" ht="20.100000000000001" customHeight="1">
      <c r="A421" s="170"/>
      <c r="G421" s="114"/>
    </row>
    <row r="422" spans="1:7" ht="20.100000000000001" customHeight="1">
      <c r="A422" s="170"/>
      <c r="G422" s="114"/>
    </row>
    <row r="423" spans="1:7" ht="20.100000000000001" customHeight="1">
      <c r="A423" s="170"/>
      <c r="G423" s="114"/>
    </row>
    <row r="424" spans="1:7" ht="20.100000000000001" customHeight="1">
      <c r="A424" s="170"/>
      <c r="G424" s="114"/>
    </row>
    <row r="425" spans="1:7" ht="20.100000000000001" customHeight="1">
      <c r="A425" s="170"/>
      <c r="G425" s="114"/>
    </row>
    <row r="426" spans="1:7" ht="20.100000000000001" customHeight="1">
      <c r="A426" s="170"/>
      <c r="G426" s="114"/>
    </row>
    <row r="427" spans="1:7" ht="20.100000000000001" customHeight="1">
      <c r="A427" s="170"/>
      <c r="G427" s="114"/>
    </row>
    <row r="428" spans="1:7" ht="20.100000000000001" customHeight="1">
      <c r="A428" s="170"/>
      <c r="G428" s="114"/>
    </row>
    <row r="429" spans="1:7" ht="20.100000000000001" customHeight="1">
      <c r="A429" s="170"/>
      <c r="G429" s="114"/>
    </row>
    <row r="430" spans="1:7" ht="20.100000000000001" customHeight="1">
      <c r="A430" s="170"/>
      <c r="G430" s="114"/>
    </row>
    <row r="431" spans="1:7" ht="20.100000000000001" customHeight="1">
      <c r="A431" s="170"/>
      <c r="G431" s="114"/>
    </row>
    <row r="432" spans="1:7" ht="20.100000000000001" customHeight="1">
      <c r="A432" s="170"/>
      <c r="G432" s="114"/>
    </row>
    <row r="433" spans="1:7" ht="20.100000000000001" customHeight="1">
      <c r="A433" s="170"/>
      <c r="G433" s="114"/>
    </row>
    <row r="434" spans="1:7" ht="20.100000000000001" customHeight="1">
      <c r="A434" s="170"/>
      <c r="G434" s="114"/>
    </row>
    <row r="435" spans="1:7" ht="20.100000000000001" customHeight="1">
      <c r="A435" s="170"/>
      <c r="G435" s="114"/>
    </row>
    <row r="436" spans="1:7" ht="20.100000000000001" customHeight="1">
      <c r="A436" s="170"/>
      <c r="G436" s="114"/>
    </row>
    <row r="437" spans="1:7" ht="20.100000000000001" customHeight="1">
      <c r="A437" s="170"/>
      <c r="G437" s="114"/>
    </row>
    <row r="438" spans="1:7" ht="20.100000000000001" customHeight="1">
      <c r="A438" s="170"/>
      <c r="G438" s="114"/>
    </row>
    <row r="439" spans="1:7" ht="20.100000000000001" customHeight="1">
      <c r="A439" s="170"/>
      <c r="G439" s="114"/>
    </row>
    <row r="440" spans="1:7" ht="20.100000000000001" customHeight="1">
      <c r="A440" s="170"/>
      <c r="G440" s="114"/>
    </row>
    <row r="441" spans="1:7" ht="20.100000000000001" customHeight="1">
      <c r="A441" s="170"/>
      <c r="G441" s="114"/>
    </row>
    <row r="442" spans="1:7" ht="20.100000000000001" customHeight="1">
      <c r="A442" s="170"/>
      <c r="G442" s="114"/>
    </row>
    <row r="443" spans="1:7" ht="20.100000000000001" customHeight="1">
      <c r="A443" s="170"/>
      <c r="G443" s="114"/>
    </row>
    <row r="444" spans="1:7" ht="20.100000000000001" customHeight="1">
      <c r="A444" s="170"/>
      <c r="G444" s="114"/>
    </row>
    <row r="445" spans="1:7" ht="20.100000000000001" customHeight="1">
      <c r="A445" s="170"/>
      <c r="G445" s="114"/>
    </row>
    <row r="446" spans="1:7" ht="20.100000000000001" customHeight="1">
      <c r="A446" s="170"/>
      <c r="G446" s="114"/>
    </row>
    <row r="447" spans="1:7" ht="20.100000000000001" customHeight="1">
      <c r="A447" s="170"/>
      <c r="G447" s="114"/>
    </row>
    <row r="448" spans="1:7" ht="20.100000000000001" customHeight="1">
      <c r="A448" s="170"/>
      <c r="G448" s="114"/>
    </row>
    <row r="449" spans="1:7" ht="20.100000000000001" customHeight="1">
      <c r="A449" s="170"/>
      <c r="G449" s="114"/>
    </row>
    <row r="450" spans="1:7" ht="20.100000000000001" customHeight="1">
      <c r="A450" s="170"/>
      <c r="G450" s="114"/>
    </row>
    <row r="451" spans="1:7" ht="20.100000000000001" customHeight="1">
      <c r="A451" s="170"/>
      <c r="G451" s="114"/>
    </row>
    <row r="452" spans="1:7" ht="20.100000000000001" customHeight="1">
      <c r="A452" s="170"/>
      <c r="G452" s="114"/>
    </row>
    <row r="453" spans="1:7" ht="20.100000000000001" customHeight="1">
      <c r="A453" s="170"/>
      <c r="G453" s="114"/>
    </row>
    <row r="454" spans="1:7" ht="20.100000000000001" customHeight="1">
      <c r="A454" s="170"/>
      <c r="G454" s="114"/>
    </row>
    <row r="455" spans="1:7" ht="20.100000000000001" customHeight="1">
      <c r="A455" s="170"/>
      <c r="G455" s="114"/>
    </row>
    <row r="456" spans="1:7" ht="20.100000000000001" customHeight="1">
      <c r="A456" s="170"/>
      <c r="G456" s="114"/>
    </row>
    <row r="457" spans="1:7" ht="20.100000000000001" customHeight="1">
      <c r="A457" s="170"/>
      <c r="G457" s="114"/>
    </row>
    <row r="458" spans="1:7" ht="20.100000000000001" customHeight="1">
      <c r="A458" s="170"/>
      <c r="G458" s="114"/>
    </row>
    <row r="459" spans="1:7" ht="20.100000000000001" customHeight="1">
      <c r="A459" s="170"/>
      <c r="G459" s="114"/>
    </row>
    <row r="460" spans="1:7" ht="20.100000000000001" customHeight="1">
      <c r="A460" s="170"/>
      <c r="G460" s="114"/>
    </row>
    <row r="461" spans="1:7" ht="20.100000000000001" customHeight="1">
      <c r="A461" s="170"/>
      <c r="G461" s="114"/>
    </row>
    <row r="462" spans="1:7" ht="20.100000000000001" customHeight="1">
      <c r="A462" s="170"/>
      <c r="G462" s="114"/>
    </row>
    <row r="463" spans="1:7" ht="20.100000000000001" customHeight="1">
      <c r="A463" s="170"/>
      <c r="G463" s="114"/>
    </row>
    <row r="464" spans="1:7" ht="20.100000000000001" customHeight="1">
      <c r="A464" s="170"/>
      <c r="G464" s="114"/>
    </row>
    <row r="465" spans="1:7" ht="20.100000000000001" customHeight="1">
      <c r="A465" s="170"/>
      <c r="G465" s="114"/>
    </row>
    <row r="466" spans="1:7" ht="20.100000000000001" customHeight="1">
      <c r="A466" s="170"/>
      <c r="G466" s="114"/>
    </row>
    <row r="467" spans="1:7" ht="20.100000000000001" customHeight="1">
      <c r="A467" s="170"/>
      <c r="G467" s="114"/>
    </row>
    <row r="468" spans="1:7" ht="20.100000000000001" customHeight="1">
      <c r="A468" s="170"/>
      <c r="G468" s="114"/>
    </row>
    <row r="469" spans="1:7" ht="20.100000000000001" customHeight="1">
      <c r="A469" s="170"/>
      <c r="G469" s="114"/>
    </row>
    <row r="470" spans="1:7" ht="20.100000000000001" customHeight="1">
      <c r="A470" s="170"/>
      <c r="G470" s="114"/>
    </row>
    <row r="471" spans="1:7" ht="20.100000000000001" customHeight="1">
      <c r="A471" s="170"/>
      <c r="G471" s="114"/>
    </row>
    <row r="472" spans="1:7" ht="20.100000000000001" customHeight="1">
      <c r="A472" s="170"/>
      <c r="G472" s="114"/>
    </row>
    <row r="473" spans="1:7" ht="20.100000000000001" customHeight="1">
      <c r="A473" s="170"/>
      <c r="G473" s="114"/>
    </row>
    <row r="474" spans="1:7" ht="20.100000000000001" customHeight="1">
      <c r="A474" s="170"/>
      <c r="G474" s="114"/>
    </row>
    <row r="475" spans="1:7" ht="20.100000000000001" customHeight="1">
      <c r="A475" s="170"/>
      <c r="G475" s="114"/>
    </row>
    <row r="476" spans="1:7" ht="20.100000000000001" customHeight="1">
      <c r="A476" s="170"/>
      <c r="G476" s="114"/>
    </row>
    <row r="477" spans="1:7" ht="20.100000000000001" customHeight="1">
      <c r="A477" s="170"/>
      <c r="G477" s="114"/>
    </row>
    <row r="478" spans="1:7" ht="20.100000000000001" customHeight="1">
      <c r="A478" s="170"/>
      <c r="G478" s="114"/>
    </row>
    <row r="479" spans="1:7" ht="20.100000000000001" customHeight="1">
      <c r="A479" s="170"/>
      <c r="G479" s="114"/>
    </row>
    <row r="480" spans="1:7" ht="20.100000000000001" customHeight="1">
      <c r="A480" s="170"/>
      <c r="G480" s="114"/>
    </row>
    <row r="481" spans="1:7" ht="20.100000000000001" customHeight="1">
      <c r="A481" s="170"/>
      <c r="G481" s="114"/>
    </row>
    <row r="482" spans="1:7" ht="20.100000000000001" customHeight="1">
      <c r="A482" s="170"/>
      <c r="G482" s="114"/>
    </row>
    <row r="483" spans="1:7" ht="20.100000000000001" customHeight="1">
      <c r="A483" s="170"/>
      <c r="G483" s="114"/>
    </row>
    <row r="484" spans="1:7" ht="20.100000000000001" customHeight="1">
      <c r="A484" s="170"/>
      <c r="G484" s="114"/>
    </row>
    <row r="485" spans="1:7" ht="20.100000000000001" customHeight="1">
      <c r="A485" s="170"/>
      <c r="G485" s="114"/>
    </row>
    <row r="486" spans="1:7" ht="20.100000000000001" customHeight="1">
      <c r="A486" s="170"/>
      <c r="G486" s="114"/>
    </row>
    <row r="487" spans="1:7" ht="20.100000000000001" customHeight="1">
      <c r="A487" s="170"/>
      <c r="G487" s="114"/>
    </row>
    <row r="488" spans="1:7" ht="20.100000000000001" customHeight="1">
      <c r="A488" s="170"/>
      <c r="G488" s="114"/>
    </row>
    <row r="489" spans="1:7" ht="20.100000000000001" customHeight="1">
      <c r="A489" s="170"/>
      <c r="G489" s="114"/>
    </row>
    <row r="490" spans="1:7" ht="20.100000000000001" customHeight="1">
      <c r="A490" s="170"/>
      <c r="G490" s="114"/>
    </row>
    <row r="491" spans="1:7" ht="20.100000000000001" customHeight="1">
      <c r="A491" s="170"/>
      <c r="G491" s="114"/>
    </row>
    <row r="492" spans="1:7" ht="20.100000000000001" customHeight="1">
      <c r="A492" s="170"/>
      <c r="G492" s="114"/>
    </row>
    <row r="493" spans="1:7" ht="20.100000000000001" customHeight="1">
      <c r="A493" s="170"/>
      <c r="G493" s="114"/>
    </row>
    <row r="494" spans="1:7" ht="20.100000000000001" customHeight="1">
      <c r="A494" s="170"/>
      <c r="G494" s="114"/>
    </row>
    <row r="495" spans="1:7" ht="20.100000000000001" customHeight="1">
      <c r="A495" s="170"/>
      <c r="G495" s="114"/>
    </row>
    <row r="496" spans="1:7" ht="20.100000000000001" customHeight="1">
      <c r="A496" s="170"/>
      <c r="G496" s="114"/>
    </row>
    <row r="497" spans="1:7" ht="20.100000000000001" customHeight="1">
      <c r="A497" s="170"/>
      <c r="G497" s="114"/>
    </row>
    <row r="498" spans="1:7" ht="20.100000000000001" customHeight="1">
      <c r="A498" s="170"/>
      <c r="G498" s="114"/>
    </row>
    <row r="499" spans="1:7" ht="20.100000000000001" customHeight="1">
      <c r="A499" s="170"/>
      <c r="G499" s="114"/>
    </row>
    <row r="500" spans="1:7" ht="20.100000000000001" customHeight="1">
      <c r="A500" s="170"/>
      <c r="G500" s="114"/>
    </row>
    <row r="501" spans="1:7" ht="20.100000000000001" customHeight="1">
      <c r="A501" s="170"/>
      <c r="G501" s="114"/>
    </row>
    <row r="502" spans="1:7" ht="20.100000000000001" customHeight="1">
      <c r="A502" s="170"/>
      <c r="G502" s="114"/>
    </row>
    <row r="503" spans="1:7" ht="20.100000000000001" customHeight="1">
      <c r="A503" s="170"/>
      <c r="G503" s="114"/>
    </row>
    <row r="504" spans="1:7" ht="20.100000000000001" customHeight="1">
      <c r="A504" s="170"/>
      <c r="G504" s="114"/>
    </row>
    <row r="505" spans="1:7" ht="20.100000000000001" customHeight="1">
      <c r="A505" s="170"/>
      <c r="G505" s="114"/>
    </row>
    <row r="506" spans="1:7" ht="20.100000000000001" customHeight="1">
      <c r="A506" s="170"/>
      <c r="G506" s="114"/>
    </row>
    <row r="507" spans="1:7" ht="20.100000000000001" customHeight="1">
      <c r="A507" s="170"/>
      <c r="G507" s="114"/>
    </row>
    <row r="508" spans="1:7" ht="20.100000000000001" customHeight="1">
      <c r="A508" s="170"/>
      <c r="G508" s="114"/>
    </row>
    <row r="509" spans="1:7" ht="20.100000000000001" customHeight="1">
      <c r="A509" s="170"/>
      <c r="G509" s="114"/>
    </row>
    <row r="510" spans="1:7" ht="20.100000000000001" customHeight="1">
      <c r="A510" s="170"/>
      <c r="G510" s="114"/>
    </row>
    <row r="511" spans="1:7" ht="20.100000000000001" customHeight="1">
      <c r="A511" s="170"/>
      <c r="G511" s="114"/>
    </row>
    <row r="512" spans="1:7" ht="20.100000000000001" customHeight="1">
      <c r="A512" s="170"/>
      <c r="G512" s="114"/>
    </row>
    <row r="513" spans="1:7" ht="20.100000000000001" customHeight="1">
      <c r="A513" s="170"/>
      <c r="G513" s="114"/>
    </row>
    <row r="514" spans="1:7" ht="20.100000000000001" customHeight="1">
      <c r="A514" s="170"/>
      <c r="G514" s="114"/>
    </row>
    <row r="515" spans="1:7" ht="20.100000000000001" customHeight="1">
      <c r="A515" s="170"/>
      <c r="G515" s="114"/>
    </row>
    <row r="516" spans="1:7" ht="20.100000000000001" customHeight="1">
      <c r="A516" s="170"/>
      <c r="G516" s="114"/>
    </row>
    <row r="517" spans="1:7" ht="20.100000000000001" customHeight="1">
      <c r="A517" s="170"/>
      <c r="G517" s="114"/>
    </row>
    <row r="518" spans="1:7" ht="20.100000000000001" customHeight="1">
      <c r="A518" s="170"/>
      <c r="G518" s="114"/>
    </row>
    <row r="519" spans="1:7" ht="20.100000000000001" customHeight="1">
      <c r="A519" s="170"/>
      <c r="G519" s="114"/>
    </row>
    <row r="520" spans="1:7" ht="20.100000000000001" customHeight="1">
      <c r="A520" s="170"/>
      <c r="G520" s="114"/>
    </row>
    <row r="521" spans="1:7" ht="20.100000000000001" customHeight="1">
      <c r="A521" s="170"/>
      <c r="G521" s="114"/>
    </row>
    <row r="522" spans="1:7" ht="20.100000000000001" customHeight="1">
      <c r="A522" s="170"/>
      <c r="G522" s="114"/>
    </row>
    <row r="523" spans="1:7" ht="20.100000000000001" customHeight="1">
      <c r="A523" s="170"/>
      <c r="G523" s="114"/>
    </row>
    <row r="524" spans="1:7" ht="20.100000000000001" customHeight="1">
      <c r="A524" s="170"/>
      <c r="G524" s="114"/>
    </row>
    <row r="525" spans="1:7" ht="20.100000000000001" customHeight="1">
      <c r="A525" s="170"/>
      <c r="G525" s="114"/>
    </row>
    <row r="526" spans="1:7" ht="20.100000000000001" customHeight="1">
      <c r="A526" s="170"/>
      <c r="G526" s="114"/>
    </row>
    <row r="527" spans="1:7" ht="20.100000000000001" customHeight="1">
      <c r="A527" s="170"/>
      <c r="G527" s="114"/>
    </row>
    <row r="528" spans="1:7" ht="20.100000000000001" customHeight="1">
      <c r="A528" s="170"/>
      <c r="G528" s="114"/>
    </row>
    <row r="529" spans="1:7" ht="20.100000000000001" customHeight="1">
      <c r="A529" s="170"/>
      <c r="G529" s="114"/>
    </row>
    <row r="530" spans="1:7" ht="20.100000000000001" customHeight="1">
      <c r="A530" s="170"/>
      <c r="G530" s="114"/>
    </row>
    <row r="531" spans="1:7" ht="20.100000000000001" customHeight="1">
      <c r="A531" s="170"/>
      <c r="G531" s="114"/>
    </row>
    <row r="532" spans="1:7" ht="20.100000000000001" customHeight="1">
      <c r="A532" s="170"/>
      <c r="G532" s="114"/>
    </row>
    <row r="533" spans="1:7" ht="20.100000000000001" customHeight="1">
      <c r="A533" s="170"/>
      <c r="G533" s="114"/>
    </row>
    <row r="534" spans="1:7" ht="20.100000000000001" customHeight="1">
      <c r="A534" s="170"/>
      <c r="G534" s="114"/>
    </row>
    <row r="535" spans="1:7" ht="20.100000000000001" customHeight="1">
      <c r="A535" s="170"/>
      <c r="G535" s="114"/>
    </row>
    <row r="536" spans="1:7" ht="20.100000000000001" customHeight="1">
      <c r="A536" s="170"/>
      <c r="G536" s="114"/>
    </row>
    <row r="537" spans="1:7" ht="20.100000000000001" customHeight="1">
      <c r="A537" s="170"/>
      <c r="G537" s="114"/>
    </row>
    <row r="538" spans="1:7" ht="20.100000000000001" customHeight="1">
      <c r="A538" s="170"/>
      <c r="G538" s="114"/>
    </row>
    <row r="539" spans="1:7" ht="20.100000000000001" customHeight="1">
      <c r="A539" s="170"/>
      <c r="G539" s="114"/>
    </row>
    <row r="540" spans="1:7" ht="20.100000000000001" customHeight="1">
      <c r="A540" s="170"/>
      <c r="G540" s="114"/>
    </row>
    <row r="541" spans="1:7" ht="20.100000000000001" customHeight="1">
      <c r="A541" s="170"/>
      <c r="G541" s="114"/>
    </row>
    <row r="542" spans="1:7" ht="20.100000000000001" customHeight="1">
      <c r="A542" s="170"/>
      <c r="G542" s="114"/>
    </row>
    <row r="543" spans="1:7" ht="20.100000000000001" customHeight="1">
      <c r="A543" s="170"/>
      <c r="G543" s="114"/>
    </row>
    <row r="544" spans="1:7" ht="20.100000000000001" customHeight="1">
      <c r="A544" s="170"/>
      <c r="G544" s="114"/>
    </row>
    <row r="545" spans="1:7" ht="20.100000000000001" customHeight="1">
      <c r="A545" s="170"/>
      <c r="G545" s="114"/>
    </row>
    <row r="546" spans="1:7" ht="20.100000000000001" customHeight="1">
      <c r="A546" s="170"/>
      <c r="G546" s="114"/>
    </row>
    <row r="547" spans="1:7" ht="20.100000000000001" customHeight="1">
      <c r="A547" s="170"/>
      <c r="G547" s="114"/>
    </row>
    <row r="548" spans="1:7" ht="20.100000000000001" customHeight="1">
      <c r="A548" s="170"/>
      <c r="G548" s="114"/>
    </row>
    <row r="549" spans="1:7" ht="20.100000000000001" customHeight="1">
      <c r="A549" s="170"/>
      <c r="G549" s="114"/>
    </row>
    <row r="550" spans="1:7" ht="20.100000000000001" customHeight="1">
      <c r="A550" s="170"/>
      <c r="G550" s="114"/>
    </row>
    <row r="551" spans="1:7" ht="20.100000000000001" customHeight="1">
      <c r="A551" s="170"/>
      <c r="G551" s="114"/>
    </row>
    <row r="552" spans="1:7" ht="20.100000000000001" customHeight="1">
      <c r="A552" s="170"/>
      <c r="G552" s="114"/>
    </row>
    <row r="553" spans="1:7" ht="20.100000000000001" customHeight="1">
      <c r="A553" s="170"/>
      <c r="G553" s="114"/>
    </row>
    <row r="554" spans="1:7" ht="20.100000000000001" customHeight="1">
      <c r="A554" s="170"/>
      <c r="G554" s="114"/>
    </row>
    <row r="555" spans="1:7" ht="20.100000000000001" customHeight="1">
      <c r="A555" s="170"/>
      <c r="G555" s="114"/>
    </row>
    <row r="556" spans="1:7" ht="20.100000000000001" customHeight="1">
      <c r="A556" s="170"/>
      <c r="G556" s="114"/>
    </row>
    <row r="557" spans="1:7" ht="20.100000000000001" customHeight="1">
      <c r="A557" s="170"/>
      <c r="G557" s="114"/>
    </row>
    <row r="558" spans="1:7" ht="20.100000000000001" customHeight="1">
      <c r="A558" s="170"/>
      <c r="G558" s="114"/>
    </row>
    <row r="559" spans="1:7" ht="20.100000000000001" customHeight="1">
      <c r="A559" s="170"/>
      <c r="G559" s="114"/>
    </row>
    <row r="560" spans="1:7" ht="20.100000000000001" customHeight="1">
      <c r="A560" s="170"/>
      <c r="G560" s="114"/>
    </row>
    <row r="561" spans="1:7" ht="20.100000000000001" customHeight="1">
      <c r="A561" s="170"/>
      <c r="G561" s="114"/>
    </row>
    <row r="562" spans="1:7" ht="20.100000000000001" customHeight="1">
      <c r="A562" s="170"/>
      <c r="G562" s="114"/>
    </row>
    <row r="563" spans="1:7" ht="20.100000000000001" customHeight="1">
      <c r="A563" s="170"/>
      <c r="G563" s="114"/>
    </row>
    <row r="564" spans="1:7" ht="20.100000000000001" customHeight="1">
      <c r="A564" s="170"/>
      <c r="G564" s="114"/>
    </row>
    <row r="565" spans="1:7" ht="20.100000000000001" customHeight="1">
      <c r="A565" s="170"/>
      <c r="G565" s="114"/>
    </row>
    <row r="566" spans="1:7" ht="20.100000000000001" customHeight="1">
      <c r="A566" s="170"/>
      <c r="G566" s="114"/>
    </row>
    <row r="567" spans="1:7" ht="20.100000000000001" customHeight="1">
      <c r="A567" s="170"/>
      <c r="G567" s="114"/>
    </row>
    <row r="568" spans="1:7" ht="20.100000000000001" customHeight="1">
      <c r="A568" s="170"/>
      <c r="G568" s="114"/>
    </row>
    <row r="569" spans="1:7" ht="20.100000000000001" customHeight="1">
      <c r="A569" s="170"/>
      <c r="G569" s="114"/>
    </row>
    <row r="570" spans="1:7" ht="20.100000000000001" customHeight="1">
      <c r="A570" s="170"/>
      <c r="G570" s="114"/>
    </row>
    <row r="571" spans="1:7" ht="20.100000000000001" customHeight="1">
      <c r="A571" s="170"/>
      <c r="G571" s="114"/>
    </row>
    <row r="572" spans="1:7" ht="20.100000000000001" customHeight="1">
      <c r="A572" s="170"/>
      <c r="G572" s="114"/>
    </row>
    <row r="573" spans="1:7" ht="20.100000000000001" customHeight="1">
      <c r="A573" s="170"/>
      <c r="G573" s="114"/>
    </row>
    <row r="574" spans="1:7" ht="20.100000000000001" customHeight="1">
      <c r="A574" s="170"/>
      <c r="G574" s="114"/>
    </row>
    <row r="575" spans="1:7" ht="20.100000000000001" customHeight="1">
      <c r="A575" s="170"/>
      <c r="G575" s="114"/>
    </row>
    <row r="576" spans="1:7" ht="20.100000000000001" customHeight="1">
      <c r="A576" s="170"/>
      <c r="G576" s="114"/>
    </row>
    <row r="577" spans="1:7" ht="20.100000000000001" customHeight="1">
      <c r="A577" s="170"/>
      <c r="G577" s="114"/>
    </row>
    <row r="578" spans="1:7" ht="20.100000000000001" customHeight="1">
      <c r="A578" s="170"/>
      <c r="G578" s="114"/>
    </row>
    <row r="579" spans="1:7" ht="20.100000000000001" customHeight="1">
      <c r="A579" s="170"/>
      <c r="G579" s="114"/>
    </row>
    <row r="580" spans="1:7" ht="20.100000000000001" customHeight="1">
      <c r="A580" s="170"/>
      <c r="G580" s="114"/>
    </row>
    <row r="581" spans="1:7" ht="20.100000000000001" customHeight="1">
      <c r="A581" s="170"/>
      <c r="G581" s="114"/>
    </row>
    <row r="582" spans="1:7" ht="20.100000000000001" customHeight="1">
      <c r="A582" s="170"/>
      <c r="G582" s="114"/>
    </row>
    <row r="583" spans="1:7" ht="20.100000000000001" customHeight="1">
      <c r="A583" s="170"/>
      <c r="G583" s="114"/>
    </row>
    <row r="584" spans="1:7" ht="20.100000000000001" customHeight="1">
      <c r="A584" s="170"/>
      <c r="G584" s="114"/>
    </row>
    <row r="585" spans="1:7" ht="20.100000000000001" customHeight="1">
      <c r="A585" s="170"/>
      <c r="G585" s="114"/>
    </row>
    <row r="586" spans="1:7" ht="20.100000000000001" customHeight="1">
      <c r="A586" s="170"/>
      <c r="G586" s="114"/>
    </row>
    <row r="587" spans="1:7" ht="20.100000000000001" customHeight="1">
      <c r="A587" s="170"/>
      <c r="G587" s="114"/>
    </row>
    <row r="588" spans="1:7" ht="20.100000000000001" customHeight="1">
      <c r="A588" s="170"/>
      <c r="G588" s="114"/>
    </row>
    <row r="589" spans="1:7" ht="20.100000000000001" customHeight="1">
      <c r="A589" s="170"/>
      <c r="G589" s="114"/>
    </row>
    <row r="590" spans="1:7" ht="20.100000000000001" customHeight="1">
      <c r="A590" s="170"/>
      <c r="G590" s="114"/>
    </row>
    <row r="591" spans="1:7" ht="20.100000000000001" customHeight="1">
      <c r="A591" s="170"/>
      <c r="G591" s="114"/>
    </row>
    <row r="592" spans="1:7" ht="20.100000000000001" customHeight="1">
      <c r="A592" s="170"/>
      <c r="G592" s="114"/>
    </row>
    <row r="593" spans="1:7" ht="20.100000000000001" customHeight="1">
      <c r="A593" s="170"/>
      <c r="G593" s="114"/>
    </row>
    <row r="594" spans="1:7" ht="20.100000000000001" customHeight="1">
      <c r="A594" s="170"/>
      <c r="G594" s="114"/>
    </row>
    <row r="595" spans="1:7" ht="20.100000000000001" customHeight="1">
      <c r="A595" s="170"/>
      <c r="G595" s="114"/>
    </row>
    <row r="596" spans="1:7" ht="20.100000000000001" customHeight="1">
      <c r="A596" s="170"/>
      <c r="G596" s="114"/>
    </row>
    <row r="597" spans="1:7" ht="20.100000000000001" customHeight="1">
      <c r="A597" s="170"/>
      <c r="G597" s="114"/>
    </row>
    <row r="598" spans="1:7" ht="20.100000000000001" customHeight="1">
      <c r="A598" s="170"/>
      <c r="G598" s="114"/>
    </row>
    <row r="599" spans="1:7" ht="20.100000000000001" customHeight="1">
      <c r="A599" s="170"/>
      <c r="G599" s="114"/>
    </row>
    <row r="600" spans="1:7" ht="20.100000000000001" customHeight="1">
      <c r="A600" s="170"/>
      <c r="G600" s="114"/>
    </row>
    <row r="601" spans="1:7" ht="20.100000000000001" customHeight="1">
      <c r="A601" s="170"/>
      <c r="G601" s="114"/>
    </row>
    <row r="602" spans="1:7" ht="20.100000000000001" customHeight="1">
      <c r="A602" s="170"/>
      <c r="G602" s="114"/>
    </row>
    <row r="603" spans="1:7" ht="20.100000000000001" customHeight="1">
      <c r="A603" s="170"/>
      <c r="G603" s="114"/>
    </row>
    <row r="604" spans="1:7" ht="20.100000000000001" customHeight="1">
      <c r="A604" s="170"/>
      <c r="G604" s="114"/>
    </row>
    <row r="605" spans="1:7" ht="20.100000000000001" customHeight="1">
      <c r="A605" s="170"/>
      <c r="G605" s="114"/>
    </row>
    <row r="606" spans="1:7" ht="20.100000000000001" customHeight="1">
      <c r="A606" s="170"/>
      <c r="G606" s="114"/>
    </row>
    <row r="607" spans="1:7" ht="20.100000000000001" customHeight="1">
      <c r="A607" s="170"/>
      <c r="G607" s="114"/>
    </row>
    <row r="608" spans="1:7" ht="20.100000000000001" customHeight="1">
      <c r="A608" s="170"/>
      <c r="G608" s="114"/>
    </row>
    <row r="609" spans="1:7" ht="20.100000000000001" customHeight="1">
      <c r="A609" s="170"/>
      <c r="G609" s="114"/>
    </row>
    <row r="610" spans="1:7" ht="20.100000000000001" customHeight="1">
      <c r="A610" s="170"/>
      <c r="G610" s="114"/>
    </row>
    <row r="611" spans="1:7" ht="20.100000000000001" customHeight="1">
      <c r="A611" s="170"/>
      <c r="G611" s="114"/>
    </row>
    <row r="612" spans="1:7" ht="20.100000000000001" customHeight="1">
      <c r="A612" s="170"/>
      <c r="G612" s="114"/>
    </row>
    <row r="613" spans="1:7" ht="20.100000000000001" customHeight="1">
      <c r="A613" s="170"/>
      <c r="G613" s="114"/>
    </row>
    <row r="614" spans="1:7" ht="20.100000000000001" customHeight="1">
      <c r="A614" s="170"/>
      <c r="G614" s="114"/>
    </row>
    <row r="615" spans="1:7" ht="20.100000000000001" customHeight="1">
      <c r="A615" s="170"/>
      <c r="G615" s="114"/>
    </row>
    <row r="616" spans="1:7" ht="20.100000000000001" customHeight="1">
      <c r="A616" s="170"/>
      <c r="G616" s="114"/>
    </row>
    <row r="617" spans="1:7" ht="20.100000000000001" customHeight="1">
      <c r="A617" s="170"/>
      <c r="G617" s="114"/>
    </row>
    <row r="618" spans="1:7" ht="20.100000000000001" customHeight="1">
      <c r="A618" s="170"/>
      <c r="G618" s="114"/>
    </row>
    <row r="619" spans="1:7" ht="20.100000000000001" customHeight="1">
      <c r="A619" s="170"/>
      <c r="G619" s="114"/>
    </row>
    <row r="620" spans="1:7" ht="20.100000000000001" customHeight="1">
      <c r="A620" s="170"/>
      <c r="G620" s="114"/>
    </row>
    <row r="621" spans="1:7" ht="20.100000000000001" customHeight="1">
      <c r="A621" s="170"/>
      <c r="G621" s="114"/>
    </row>
    <row r="622" spans="1:7" ht="20.100000000000001" customHeight="1">
      <c r="A622" s="170"/>
      <c r="G622" s="114"/>
    </row>
    <row r="623" spans="1:7" ht="20.100000000000001" customHeight="1">
      <c r="A623" s="170"/>
      <c r="G623" s="114"/>
    </row>
    <row r="624" spans="1:7" ht="20.100000000000001" customHeight="1">
      <c r="A624" s="170"/>
      <c r="G624" s="114"/>
    </row>
    <row r="625" spans="1:7" ht="20.100000000000001" customHeight="1">
      <c r="A625" s="170"/>
      <c r="G625" s="114"/>
    </row>
    <row r="626" spans="1:7" ht="20.100000000000001" customHeight="1">
      <c r="A626" s="170"/>
      <c r="G626" s="114"/>
    </row>
    <row r="627" spans="1:7" ht="20.100000000000001" customHeight="1">
      <c r="A627" s="170"/>
      <c r="G627" s="114"/>
    </row>
    <row r="628" spans="1:7" ht="20.100000000000001" customHeight="1">
      <c r="A628" s="170"/>
      <c r="G628" s="114"/>
    </row>
    <row r="629" spans="1:7" ht="20.100000000000001" customHeight="1">
      <c r="A629" s="170"/>
      <c r="G629" s="114"/>
    </row>
    <row r="630" spans="1:7" ht="20.100000000000001" customHeight="1">
      <c r="A630" s="170"/>
      <c r="G630" s="114"/>
    </row>
    <row r="631" spans="1:7" ht="20.100000000000001" customHeight="1">
      <c r="A631" s="170"/>
      <c r="G631" s="114"/>
    </row>
    <row r="632" spans="1:7" ht="20.100000000000001" customHeight="1">
      <c r="A632" s="170"/>
      <c r="G632" s="114"/>
    </row>
    <row r="633" spans="1:7" ht="20.100000000000001" customHeight="1">
      <c r="A633" s="170"/>
      <c r="G633" s="114"/>
    </row>
    <row r="634" spans="1:7" ht="20.100000000000001" customHeight="1">
      <c r="A634" s="170"/>
      <c r="G634" s="114"/>
    </row>
    <row r="635" spans="1:7" ht="20.100000000000001" customHeight="1">
      <c r="A635" s="170"/>
      <c r="G635" s="114"/>
    </row>
    <row r="636" spans="1:7" ht="20.100000000000001" customHeight="1">
      <c r="A636" s="170"/>
      <c r="G636" s="114"/>
    </row>
    <row r="637" spans="1:7" ht="20.100000000000001" customHeight="1">
      <c r="A637" s="170"/>
      <c r="G637" s="114"/>
    </row>
    <row r="638" spans="1:7" ht="20.100000000000001" customHeight="1">
      <c r="A638" s="170"/>
      <c r="G638" s="114"/>
    </row>
    <row r="639" spans="1:7" ht="20.100000000000001" customHeight="1">
      <c r="A639" s="170"/>
      <c r="G639" s="114"/>
    </row>
    <row r="640" spans="1:7" ht="20.100000000000001" customHeight="1">
      <c r="A640" s="170"/>
      <c r="G640" s="114"/>
    </row>
    <row r="641" spans="1:7" ht="20.100000000000001" customHeight="1">
      <c r="A641" s="170"/>
      <c r="G641" s="114"/>
    </row>
    <row r="642" spans="1:7" ht="20.100000000000001" customHeight="1">
      <c r="A642" s="170"/>
      <c r="G642" s="114"/>
    </row>
    <row r="643" spans="1:7" ht="20.100000000000001" customHeight="1">
      <c r="A643" s="170"/>
      <c r="G643" s="114"/>
    </row>
    <row r="644" spans="1:7" ht="20.100000000000001" customHeight="1">
      <c r="A644" s="170"/>
      <c r="G644" s="114"/>
    </row>
    <row r="645" spans="1:7" ht="20.100000000000001" customHeight="1">
      <c r="A645" s="170"/>
      <c r="G645" s="114"/>
    </row>
    <row r="646" spans="1:7" ht="20.100000000000001" customHeight="1">
      <c r="A646" s="170"/>
      <c r="G646" s="114"/>
    </row>
    <row r="647" spans="1:7" ht="20.100000000000001" customHeight="1">
      <c r="A647" s="170"/>
      <c r="G647" s="114"/>
    </row>
    <row r="648" spans="1:7" ht="20.100000000000001" customHeight="1">
      <c r="A648" s="170"/>
      <c r="G648" s="114"/>
    </row>
    <row r="649" spans="1:7" ht="20.100000000000001" customHeight="1">
      <c r="A649" s="170"/>
      <c r="G649" s="114"/>
    </row>
    <row r="650" spans="1:7" ht="20.100000000000001" customHeight="1">
      <c r="A650" s="170"/>
      <c r="G650" s="114"/>
    </row>
    <row r="651" spans="1:7" ht="20.100000000000001" customHeight="1">
      <c r="A651" s="170"/>
      <c r="G651" s="114"/>
    </row>
    <row r="652" spans="1:7" ht="20.100000000000001" customHeight="1">
      <c r="A652" s="170"/>
      <c r="G652" s="114"/>
    </row>
    <row r="653" spans="1:7" ht="20.100000000000001" customHeight="1">
      <c r="A653" s="170"/>
      <c r="G653" s="114"/>
    </row>
    <row r="654" spans="1:7" ht="20.100000000000001" customHeight="1">
      <c r="A654" s="170"/>
      <c r="G654" s="114"/>
    </row>
    <row r="655" spans="1:7" ht="20.100000000000001" customHeight="1">
      <c r="A655" s="170"/>
      <c r="G655" s="114"/>
    </row>
    <row r="656" spans="1:7" ht="20.100000000000001" customHeight="1">
      <c r="A656" s="170"/>
      <c r="G656" s="114"/>
    </row>
    <row r="657" spans="1:7" ht="20.100000000000001" customHeight="1">
      <c r="A657" s="170"/>
      <c r="G657" s="114"/>
    </row>
    <row r="658" spans="1:7" ht="20.100000000000001" customHeight="1">
      <c r="A658" s="170"/>
      <c r="G658" s="114"/>
    </row>
    <row r="659" spans="1:7" ht="20.100000000000001" customHeight="1">
      <c r="A659" s="170"/>
      <c r="G659" s="114"/>
    </row>
    <row r="660" spans="1:7" ht="20.100000000000001" customHeight="1">
      <c r="A660" s="170"/>
      <c r="G660" s="114"/>
    </row>
    <row r="661" spans="1:7" ht="20.100000000000001" customHeight="1">
      <c r="A661" s="170"/>
      <c r="G661" s="114"/>
    </row>
    <row r="662" spans="1:7" ht="20.100000000000001" customHeight="1">
      <c r="A662" s="170"/>
      <c r="G662" s="114"/>
    </row>
    <row r="663" spans="1:7" ht="20.100000000000001" customHeight="1">
      <c r="A663" s="170"/>
      <c r="G663" s="114"/>
    </row>
    <row r="664" spans="1:7" ht="20.100000000000001" customHeight="1">
      <c r="A664" s="170"/>
      <c r="G664" s="114"/>
    </row>
    <row r="665" spans="1:7" ht="20.100000000000001" customHeight="1">
      <c r="A665" s="170"/>
      <c r="G665" s="114"/>
    </row>
    <row r="666" spans="1:7" ht="20.100000000000001" customHeight="1">
      <c r="A666" s="170"/>
      <c r="G666" s="114"/>
    </row>
    <row r="667" spans="1:7" ht="20.100000000000001" customHeight="1">
      <c r="A667" s="170"/>
      <c r="G667" s="114"/>
    </row>
    <row r="668" spans="1:7" ht="20.100000000000001" customHeight="1">
      <c r="A668" s="170"/>
      <c r="G668" s="114"/>
    </row>
    <row r="669" spans="1:7" ht="20.100000000000001" customHeight="1">
      <c r="A669" s="170"/>
      <c r="G669" s="114"/>
    </row>
    <row r="670" spans="1:7" ht="20.100000000000001" customHeight="1">
      <c r="A670" s="170"/>
      <c r="G670" s="114"/>
    </row>
    <row r="671" spans="1:7" ht="20.100000000000001" customHeight="1">
      <c r="A671" s="170"/>
      <c r="G671" s="114"/>
    </row>
    <row r="672" spans="1:7" ht="20.100000000000001" customHeight="1">
      <c r="A672" s="170"/>
      <c r="G672" s="114"/>
    </row>
    <row r="673" spans="1:7" ht="20.100000000000001" customHeight="1">
      <c r="A673" s="170"/>
      <c r="G673" s="114"/>
    </row>
    <row r="674" spans="1:7" ht="20.100000000000001" customHeight="1">
      <c r="A674" s="170"/>
      <c r="G674" s="114"/>
    </row>
    <row r="675" spans="1:7" ht="20.100000000000001" customHeight="1">
      <c r="A675" s="170"/>
      <c r="G675" s="114"/>
    </row>
    <row r="676" spans="1:7" ht="20.100000000000001" customHeight="1">
      <c r="A676" s="170"/>
      <c r="G676" s="114"/>
    </row>
    <row r="677" spans="1:7" ht="20.100000000000001" customHeight="1">
      <c r="A677" s="170"/>
      <c r="G677" s="114"/>
    </row>
    <row r="678" spans="1:7" ht="20.100000000000001" customHeight="1">
      <c r="A678" s="170"/>
      <c r="G678" s="114"/>
    </row>
    <row r="679" spans="1:7" ht="20.100000000000001" customHeight="1">
      <c r="A679" s="170"/>
      <c r="G679" s="114"/>
    </row>
    <row r="680" spans="1:7" ht="20.100000000000001" customHeight="1">
      <c r="A680" s="170"/>
      <c r="G680" s="114"/>
    </row>
    <row r="681" spans="1:7" ht="20.100000000000001" customHeight="1">
      <c r="A681" s="170"/>
      <c r="G681" s="114"/>
    </row>
    <row r="682" spans="1:7" ht="20.100000000000001" customHeight="1">
      <c r="A682" s="170"/>
      <c r="G682" s="114"/>
    </row>
    <row r="683" spans="1:7" ht="20.100000000000001" customHeight="1">
      <c r="A683" s="170"/>
      <c r="G683" s="114"/>
    </row>
    <row r="684" spans="1:7" ht="20.100000000000001" customHeight="1">
      <c r="A684" s="170"/>
      <c r="G684" s="114"/>
    </row>
    <row r="685" spans="1:7" ht="20.100000000000001" customHeight="1">
      <c r="A685" s="170"/>
      <c r="G685" s="114"/>
    </row>
    <row r="686" spans="1:7" ht="20.100000000000001" customHeight="1">
      <c r="A686" s="170"/>
      <c r="G686" s="114"/>
    </row>
    <row r="687" spans="1:7" ht="20.100000000000001" customHeight="1">
      <c r="A687" s="170"/>
      <c r="G687" s="114"/>
    </row>
    <row r="688" spans="1:7" ht="20.100000000000001" customHeight="1">
      <c r="A688" s="170"/>
      <c r="G688" s="114"/>
    </row>
    <row r="689" spans="1:7" ht="20.100000000000001" customHeight="1">
      <c r="A689" s="170"/>
      <c r="G689" s="114"/>
    </row>
    <row r="690" spans="1:7" ht="20.100000000000001" customHeight="1">
      <c r="A690" s="170"/>
      <c r="G690" s="114"/>
    </row>
    <row r="691" spans="1:7" ht="20.100000000000001" customHeight="1">
      <c r="A691" s="170"/>
      <c r="G691" s="114"/>
    </row>
    <row r="692" spans="1:7" ht="20.100000000000001" customHeight="1">
      <c r="A692" s="170"/>
      <c r="G692" s="114"/>
    </row>
    <row r="693" spans="1:7" ht="20.100000000000001" customHeight="1">
      <c r="A693" s="170"/>
      <c r="G693" s="114"/>
    </row>
    <row r="694" spans="1:7" ht="20.100000000000001" customHeight="1">
      <c r="A694" s="170"/>
      <c r="G694" s="114"/>
    </row>
    <row r="695" spans="1:7" ht="20.100000000000001" customHeight="1">
      <c r="A695" s="170"/>
      <c r="G695" s="114"/>
    </row>
    <row r="696" spans="1:7" ht="20.100000000000001" customHeight="1">
      <c r="A696" s="170"/>
      <c r="G696" s="114"/>
    </row>
    <row r="697" spans="1:7" ht="20.100000000000001" customHeight="1">
      <c r="A697" s="170"/>
      <c r="G697" s="114"/>
    </row>
    <row r="698" spans="1:7" ht="20.100000000000001" customHeight="1">
      <c r="A698" s="170"/>
      <c r="G698" s="114"/>
    </row>
    <row r="699" spans="1:7" ht="20.100000000000001" customHeight="1">
      <c r="A699" s="170"/>
      <c r="G699" s="114"/>
    </row>
    <row r="700" spans="1:7" ht="20.100000000000001" customHeight="1">
      <c r="A700" s="170"/>
      <c r="G700" s="114"/>
    </row>
    <row r="701" spans="1:7" ht="20.100000000000001" customHeight="1">
      <c r="A701" s="170"/>
      <c r="G701" s="114"/>
    </row>
    <row r="702" spans="1:7" ht="20.100000000000001" customHeight="1">
      <c r="A702" s="170"/>
      <c r="G702" s="114"/>
    </row>
    <row r="703" spans="1:7" ht="20.100000000000001" customHeight="1">
      <c r="A703" s="170"/>
      <c r="G703" s="114"/>
    </row>
    <row r="704" spans="1:7" ht="20.100000000000001" customHeight="1">
      <c r="A704" s="170"/>
      <c r="G704" s="114"/>
    </row>
    <row r="705" spans="1:7" ht="20.100000000000001" customHeight="1">
      <c r="A705" s="170"/>
      <c r="G705" s="114"/>
    </row>
    <row r="706" spans="1:7" ht="20.100000000000001" customHeight="1">
      <c r="A706" s="170"/>
      <c r="G706" s="114"/>
    </row>
    <row r="707" spans="1:7" ht="20.100000000000001" customHeight="1">
      <c r="A707" s="170"/>
      <c r="G707" s="114"/>
    </row>
    <row r="708" spans="1:7" ht="20.100000000000001" customHeight="1">
      <c r="A708" s="170"/>
      <c r="G708" s="114"/>
    </row>
    <row r="709" spans="1:7" ht="20.100000000000001" customHeight="1">
      <c r="A709" s="170"/>
      <c r="G709" s="114"/>
    </row>
    <row r="710" spans="1:7" ht="20.100000000000001" customHeight="1">
      <c r="A710" s="170"/>
      <c r="G710" s="114"/>
    </row>
    <row r="711" spans="1:7" ht="20.100000000000001" customHeight="1">
      <c r="A711" s="170"/>
      <c r="G711" s="114"/>
    </row>
    <row r="712" spans="1:7" ht="20.100000000000001" customHeight="1">
      <c r="A712" s="170"/>
      <c r="G712" s="114"/>
    </row>
    <row r="713" spans="1:7" ht="20.100000000000001" customHeight="1">
      <c r="A713" s="170"/>
      <c r="G713" s="114"/>
    </row>
    <row r="714" spans="1:7" ht="20.100000000000001" customHeight="1">
      <c r="A714" s="170"/>
      <c r="G714" s="114"/>
    </row>
    <row r="715" spans="1:7" ht="20.100000000000001" customHeight="1">
      <c r="A715" s="170"/>
      <c r="G715" s="114"/>
    </row>
    <row r="716" spans="1:7" ht="20.100000000000001" customHeight="1">
      <c r="A716" s="170"/>
      <c r="G716" s="114"/>
    </row>
    <row r="717" spans="1:7" ht="20.100000000000001" customHeight="1">
      <c r="A717" s="170"/>
      <c r="G717" s="114"/>
    </row>
    <row r="718" spans="1:7" ht="20.100000000000001" customHeight="1">
      <c r="A718" s="170"/>
      <c r="G718" s="114"/>
    </row>
    <row r="719" spans="1:7" ht="20.100000000000001" customHeight="1">
      <c r="A719" s="170"/>
      <c r="G719" s="114"/>
    </row>
    <row r="720" spans="1:7" ht="20.100000000000001" customHeight="1">
      <c r="A720" s="170"/>
      <c r="G720" s="114"/>
    </row>
    <row r="721" spans="1:7" ht="20.100000000000001" customHeight="1">
      <c r="A721" s="170"/>
      <c r="G721" s="114"/>
    </row>
    <row r="722" spans="1:7" ht="20.100000000000001" customHeight="1">
      <c r="A722" s="170"/>
      <c r="G722" s="114"/>
    </row>
    <row r="723" spans="1:7" ht="20.100000000000001" customHeight="1">
      <c r="A723" s="170"/>
      <c r="G723" s="114"/>
    </row>
    <row r="724" spans="1:7" ht="20.100000000000001" customHeight="1">
      <c r="A724" s="170"/>
      <c r="G724" s="114"/>
    </row>
    <row r="725" spans="1:7" ht="20.100000000000001" customHeight="1">
      <c r="A725" s="170"/>
      <c r="G725" s="114"/>
    </row>
    <row r="726" spans="1:7" ht="20.100000000000001" customHeight="1">
      <c r="A726" s="170"/>
      <c r="G726" s="114"/>
    </row>
    <row r="727" spans="1:7" ht="20.100000000000001" customHeight="1">
      <c r="A727" s="170"/>
      <c r="G727" s="114"/>
    </row>
    <row r="728" spans="1:7" ht="20.100000000000001" customHeight="1">
      <c r="A728" s="170"/>
      <c r="G728" s="114"/>
    </row>
    <row r="729" spans="1:7" ht="20.100000000000001" customHeight="1">
      <c r="A729" s="170"/>
      <c r="G729" s="114"/>
    </row>
    <row r="730" spans="1:7" ht="20.100000000000001" customHeight="1">
      <c r="A730" s="170"/>
      <c r="G730" s="114"/>
    </row>
    <row r="731" spans="1:7" ht="20.100000000000001" customHeight="1">
      <c r="A731" s="170"/>
      <c r="G731" s="114"/>
    </row>
    <row r="732" spans="1:7" ht="20.100000000000001" customHeight="1"/>
    <row r="733" spans="1:7" ht="20.100000000000001" customHeight="1"/>
    <row r="734" spans="1:7" ht="20.100000000000001" customHeight="1"/>
  </sheetData>
  <conditionalFormatting sqref="A6:XFD6">
    <cfRule type="timePeriod" dxfId="121" priority="147" timePeriod="yesterday">
      <formula>FLOOR(A6,1)=TODAY()-1</formula>
    </cfRule>
    <cfRule type="timePeriod" dxfId="120" priority="190" timePeriod="tomorrow">
      <formula>FLOOR(A6,1)=TODAY()+1</formula>
    </cfRule>
    <cfRule type="timePeriod" dxfId="119" priority="191" timePeriod="yesterday">
      <formula>FLOOR(A6,1)=TODAY()-1</formula>
    </cfRule>
    <cfRule type="timePeriod" dxfId="118" priority="192" timePeriod="yesterday">
      <formula>FLOOR(A6,1)=TODAY()-1</formula>
    </cfRule>
    <cfRule type="timePeriod" dxfId="117" priority="193" timePeriod="today">
      <formula>FLOOR(A6,1)=TODAY()</formula>
    </cfRule>
  </conditionalFormatting>
  <conditionalFormatting sqref="F27:F28 F30:F34 F36:F43 F45:F54 F56:F62 F64:F341 F11:F24">
    <cfRule type="colorScale" priority="184">
      <colorScale>
        <cfvo type="num" val="0"/>
        <cfvo type="num" val="0.5"/>
        <cfvo type="num" val="1"/>
        <color rgb="FFFF3300"/>
        <color rgb="FFFFC000"/>
        <color rgb="FF92D050"/>
      </colorScale>
    </cfRule>
  </conditionalFormatting>
  <conditionalFormatting sqref="F1:F2 F27:F28 F30:F34 F36:F43 F4:F8 F45:F54 F56:F62 F64:F1048576 F11:F24">
    <cfRule type="colorScale" priority="183">
      <colorScale>
        <cfvo type="num" val="0"/>
        <cfvo type="num" val="0.5"/>
        <cfvo type="num" val="1"/>
        <color rgb="FFF8696B"/>
        <color rgb="FFFFEB84"/>
        <color rgb="FF63BE7B"/>
      </colorScale>
    </cfRule>
  </conditionalFormatting>
  <conditionalFormatting sqref="E1:E8 E342:E1048576">
    <cfRule type="cellIs" priority="179" operator="lessThan">
      <formula>TODAY()</formula>
    </cfRule>
  </conditionalFormatting>
  <conditionalFormatting sqref="E27:E28 E30:E34 E36:E43 E45:E54 E56:E62 E64:E341 E11:E24">
    <cfRule type="cellIs" dxfId="116" priority="173" operator="lessThanOrEqual">
      <formula>TODAY()</formula>
    </cfRule>
    <cfRule type="cellIs" dxfId="115" priority="174" operator="greaterThan">
      <formula>TODAY()</formula>
    </cfRule>
  </conditionalFormatting>
  <conditionalFormatting sqref="E27:E28 E30:E34 E36:E43 E45:E54 E56:E62 E64:E341 E11:E24">
    <cfRule type="expression" dxfId="114" priority="157">
      <formula>ISBLANK(INDIRECT("E"&amp;ROW()))</formula>
    </cfRule>
  </conditionalFormatting>
  <conditionalFormatting sqref="B27:D28 B30:D34 B36:D43 B45:D54 B56:D62 B64:D341 B11:D24">
    <cfRule type="expression" dxfId="113" priority="149">
      <formula>ISBLANK(INDIRECT("E"&amp;ROW()))*ISBLANK(INDIRECT("F"&amp;ROW()))</formula>
    </cfRule>
    <cfRule type="expression" dxfId="112" priority="150">
      <formula>INDIRECT("F"&amp;ROW()) &gt;= 0.9</formula>
    </cfRule>
    <cfRule type="expression" dxfId="111" priority="151">
      <formula>INDIRECT("F"&amp;ROW())&lt;0.9</formula>
    </cfRule>
    <cfRule type="expression" dxfId="110" priority="152">
      <formula>INDIRECT("E"&amp;ROW())&lt;TODAY() * NOT(ISBLANK(INDIRECT("E"&amp;ROW())))</formula>
    </cfRule>
  </conditionalFormatting>
  <conditionalFormatting sqref="B1:D8 B27:D28 B30:D34 B36:D43 B45:D54 B56:D62 B64:D1048576 B11:D24">
    <cfRule type="expression" dxfId="109" priority="143">
      <formula xml:space="preserve"> (INDIRECT("F" &amp; ROW()) &lt; 0.9) * (INDIRECT("E" &amp; ROW()) &gt; TODAY())</formula>
    </cfRule>
  </conditionalFormatting>
  <conditionalFormatting sqref="I7:DZ8 H27:DZ28 H30:DZ34 H36:DZ43 H45:DZ54 H56:DZ62 H64:DZ731 H11:DZ24">
    <cfRule type="expression" dxfId="108" priority="141">
      <formula xml:space="preserve"> INDIRECT(SUBSTITUTE(ADDRESS(1,COLUMN(),4),1,"") &amp; 6) = TODAY()</formula>
    </cfRule>
  </conditionalFormatting>
  <conditionalFormatting sqref="A7:G8 I7:XFD8 A27:XFD28 A34:XFD34 A43:XFD43 A5:XFD6 A4:T4 V4:XFD4 A1:XFD3 A54:XFD54 A62:XFD62 A67:XFD1048576 B30:XFD33 B36:XFD42 B45:XFD53 B56:XFD61 B64:XFD66 A11:XFD24">
    <cfRule type="expression" dxfId="107" priority="92">
      <formula xml:space="preserve"> NOT(ISBLANK(INDIRECT("D"&amp;ROW()))) * NOT(ISODD(ROW())) *NOT(ISBLANK(INDIRECT("E"&amp;ROW())))*(INDIRECT(SUBSTITUTE(ADDRESS(1,COLUMN(),4),1,"") &amp; 6) &lt;= INDIRECT("E" &amp; ROW()))*(INDIRECT(SUBSTITUTE(ADDRESS(1,COLUMN(),4),1,"") &amp; 6) &gt;= INDIRECT("D" &amp; ROW()))</formula>
    </cfRule>
    <cfRule type="expression" dxfId="106"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105"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104" priority="111">
      <formula xml:space="preserve"> (INDIRECT("F" &amp; ROW()) &lt; 0.9) * (INDIRECT("E" &amp; ROW()) &gt; TODAY())</formula>
    </cfRule>
  </conditionalFormatting>
  <conditionalFormatting sqref="H26:DZ26">
    <cfRule type="expression" dxfId="103" priority="108">
      <formula xml:space="preserve"> INDIRECT(SUBSTITUTE(ADDRESS(1,COLUMN(),4),1,"") &amp; 6) = TODAY()</formula>
    </cfRule>
  </conditionalFormatting>
  <conditionalFormatting sqref="A26:XFD26">
    <cfRule type="expression" dxfId="102" priority="109">
      <formula xml:space="preserve"> NOT(ISBLANK(INDIRECT("D"&amp;ROW()))) * NOT(ISODD(ROW())) *NOT(ISBLANK(INDIRECT("E"&amp;ROW())))*(INDIRECT(SUBSTITUTE(ADDRESS(1,COLUMN(),4),1,"") &amp; 6) &lt;= INDIRECT("E" &amp; ROW()))*(INDIRECT(SUBSTITUTE(ADDRESS(1,COLUMN(),4),1,"") &amp; 6) &gt;= INDIRECT("D" &amp; ROW()))</formula>
    </cfRule>
    <cfRule type="expression" dxfId="101"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4 B36:D43 B45:D54 B56:D62 B64:D729 B11:D24">
    <cfRule type="expression" dxfId="100" priority="1">
      <formula xml:space="preserve"> INDIRECT("F" &amp; ROW()) &gt; 0.99</formula>
    </cfRule>
    <cfRule type="expression" dxfId="99" priority="137">
      <formula xml:space="preserve"> NOT(ISBLANK(INDIRECT("F" &amp; ROW()))) *( INDIRECT("D" &amp; ROW()) &gt; TODAY()) * INDIRECT("F"&amp;ROW()) &gt; 0.01 * NOT(INDIRECT("F" &amp; ROW()) &gt; 0.99)</formula>
    </cfRule>
    <cfRule type="expression" dxfId="98" priority="138">
      <formula>INDIRECT("D" &amp; ROW()) &gt; TODAY()</formula>
    </cfRule>
  </conditionalFormatting>
  <conditionalFormatting sqref="E32:E34 E27:E28 E24 E30 E36:E43 E45:E54 E56:E62 E64:E821">
    <cfRule type="expression" dxfId="97"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96" priority="81">
      <formula xml:space="preserve"> (INDIRECT("F" &amp; ROW()) &lt; 0.9) * (INDIRECT("E" &amp; ROW()) &gt; TODAY())</formula>
    </cfRule>
  </conditionalFormatting>
  <conditionalFormatting sqref="H10:DZ10">
    <cfRule type="expression" dxfId="95" priority="78">
      <formula xml:space="preserve"> INDIRECT(SUBSTITUTE(ADDRESS(1,COLUMN(),4),1,"") &amp; 6) = TODAY()</formula>
    </cfRule>
  </conditionalFormatting>
  <conditionalFormatting sqref="A10:D10 F10:XFD10">
    <cfRule type="expression" dxfId="94" priority="79">
      <formula xml:space="preserve"> NOT(ISBLANK(INDIRECT("D"&amp;ROW()))) * NOT(ISODD(ROW())) *NOT(ISBLANK(INDIRECT("E"&amp;ROW())))*(INDIRECT(SUBSTITUTE(ADDRESS(1,COLUMN(),4),1,"") &amp; 6) &lt;= INDIRECT("E" &amp; ROW()))*(INDIRECT(SUBSTITUTE(ADDRESS(1,COLUMN(),4),1,"") &amp; 6) &gt;= INDIRECT("D" &amp; ROW()))</formula>
    </cfRule>
    <cfRule type="expression" dxfId="93"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92" priority="76">
      <formula xml:space="preserve"> NOT(ISBLANK(INDIRECT("F" &amp; ROW()))) *( INDIRECT("D" &amp; ROW()) &gt; TODAY()) * INDIRECT("F"&amp;ROW()) &gt; 0.01</formula>
    </cfRule>
    <cfRule type="expression" dxfId="91" priority="77">
      <formula>INDIRECT("D" &amp; ROW()) &gt; TODAY()</formula>
    </cfRule>
  </conditionalFormatting>
  <conditionalFormatting sqref="B35:D35">
    <cfRule type="expression" dxfId="90" priority="52">
      <formula xml:space="preserve"> NOT(ISBLANK(INDIRECT("F" &amp; ROW()))) *( INDIRECT("D" &amp; ROW()) &gt; TODAY()) * INDIRECT("F"&amp;ROW()) &gt; 0.01</formula>
    </cfRule>
    <cfRule type="expression" dxfId="89"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88" priority="73">
      <formula xml:space="preserve"> (INDIRECT("F" &amp; ROW()) &lt; 0.9) * (INDIRECT("E" &amp; ROW()) &gt; TODAY())</formula>
    </cfRule>
  </conditionalFormatting>
  <conditionalFormatting sqref="H25:DZ25">
    <cfRule type="expression" dxfId="87" priority="70">
      <formula xml:space="preserve"> INDIRECT(SUBSTITUTE(ADDRESS(1,COLUMN(),4),1,"") &amp; 6) = TODAY()</formula>
    </cfRule>
  </conditionalFormatting>
  <conditionalFormatting sqref="A25:XFD25">
    <cfRule type="expression" dxfId="86" priority="71">
      <formula xml:space="preserve"> NOT(ISBLANK(INDIRECT("D"&amp;ROW()))) * NOT(ISODD(ROW())) *NOT(ISBLANK(INDIRECT("E"&amp;ROW())))*(INDIRECT(SUBSTITUTE(ADDRESS(1,COLUMN(),4),1,"") &amp; 6) &lt;= INDIRECT("E" &amp; ROW()))*(INDIRECT(SUBSTITUTE(ADDRESS(1,COLUMN(),4),1,"") &amp; 6) &gt;= INDIRECT("D" &amp; ROW()))</formula>
    </cfRule>
    <cfRule type="expression" dxfId="85"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84" priority="68">
      <formula xml:space="preserve"> NOT(ISBLANK(INDIRECT("F" &amp; ROW()))) *( INDIRECT("D" &amp; ROW()) &gt; TODAY()) * INDIRECT("F"&amp;ROW()) &gt; 0.01</formula>
    </cfRule>
    <cfRule type="expression" dxfId="83"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82" priority="65">
      <formula xml:space="preserve"> (INDIRECT("F" &amp; ROW()) &lt; 0.9) * (INDIRECT("E" &amp; ROW()) &gt; TODAY())</formula>
    </cfRule>
  </conditionalFormatting>
  <conditionalFormatting sqref="H29:DZ29">
    <cfRule type="expression" dxfId="81" priority="62">
      <formula xml:space="preserve"> INDIRECT(SUBSTITUTE(ADDRESS(1,COLUMN(),4),1,"") &amp; 6) = TODAY()</formula>
    </cfRule>
  </conditionalFormatting>
  <conditionalFormatting sqref="A29:D29 F29:XFD29 A30:A33">
    <cfRule type="expression" dxfId="80" priority="63">
      <formula xml:space="preserve"> NOT(ISBLANK(INDIRECT("D"&amp;ROW()))) * NOT(ISODD(ROW())) *NOT(ISBLANK(INDIRECT("E"&amp;ROW())))*(INDIRECT(SUBSTITUTE(ADDRESS(1,COLUMN(),4),1,"") &amp; 6) &lt;= INDIRECT("E" &amp; ROW()))*(INDIRECT(SUBSTITUTE(ADDRESS(1,COLUMN(),4),1,"") &amp; 6) &gt;= INDIRECT("D" &amp; ROW()))</formula>
    </cfRule>
    <cfRule type="expression" dxfId="79"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78" priority="60">
      <formula xml:space="preserve"> NOT(ISBLANK(INDIRECT("F" &amp; ROW()))) *( INDIRECT("D" &amp; ROW()) &gt; TODAY()) * INDIRECT("F"&amp;ROW()) &gt; 0.01</formula>
    </cfRule>
    <cfRule type="expression" dxfId="77" priority="61">
      <formula>INDIRECT("D" &amp; ROW()) &gt; TODAY()</formula>
    </cfRule>
  </conditionalFormatting>
  <conditionalFormatting sqref="F35">
    <cfRule type="colorScale" priority="59">
      <colorScale>
        <cfvo type="num" val="0"/>
        <cfvo type="num" val="0.5"/>
        <cfvo type="num" val="1"/>
        <color rgb="FFF8696B"/>
        <color rgb="FFFFEB84"/>
        <color rgb="FF63BE7B"/>
      </colorScale>
    </cfRule>
  </conditionalFormatting>
  <conditionalFormatting sqref="B35:D35">
    <cfRule type="expression" dxfId="76" priority="57">
      <formula xml:space="preserve"> (INDIRECT("F" &amp; ROW()) &lt; 0.9) * (INDIRECT("E" &amp; ROW()) &gt; TODAY())</formula>
    </cfRule>
  </conditionalFormatting>
  <conditionalFormatting sqref="H35:DZ35">
    <cfRule type="expression" dxfId="75" priority="54">
      <formula xml:space="preserve"> INDIRECT(SUBSTITUTE(ADDRESS(1,COLUMN(),4),1,"") &amp; 6) = TODAY()</formula>
    </cfRule>
  </conditionalFormatting>
  <conditionalFormatting sqref="A35:D35 F35:XFD35 A36:A42">
    <cfRule type="expression" dxfId="74" priority="55">
      <formula xml:space="preserve"> NOT(ISBLANK(INDIRECT("D"&amp;ROW()))) * NOT(ISODD(ROW())) *NOT(ISBLANK(INDIRECT("E"&amp;ROW())))*(INDIRECT(SUBSTITUTE(ADDRESS(1,COLUMN(),4),1,"") &amp; 6) &lt;= INDIRECT("E" &amp; ROW()))*(INDIRECT(SUBSTITUTE(ADDRESS(1,COLUMN(),4),1,"") &amp; 6) &gt;= INDIRECT("D" &amp; ROW()))</formula>
    </cfRule>
    <cfRule type="expression" dxfId="73"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72" priority="50" operator="lessThanOrEqual">
      <formula>TODAY()</formula>
    </cfRule>
    <cfRule type="cellIs" dxfId="71" priority="51" operator="greaterThan">
      <formula>TODAY()</formula>
    </cfRule>
  </conditionalFormatting>
  <conditionalFormatting sqref="E10">
    <cfRule type="expression" dxfId="70" priority="49">
      <formula>ISBLANK(INDIRECT("E"&amp;ROW()))</formula>
    </cfRule>
  </conditionalFormatting>
  <conditionalFormatting sqref="E10">
    <cfRule type="expression" dxfId="69" priority="47">
      <formula xml:space="preserve"> NOT(ISBLANK(INDIRECT("D"&amp;ROW()))) * NOT(ISODD(ROW())) *NOT(ISBLANK(INDIRECT("E"&amp;ROW())))*(INDIRECT(SUBSTITUTE(ADDRESS(1,COLUMN(),4),1,"") &amp; 6) &lt;= INDIRECT("E" &amp; ROW()))*(INDIRECT(SUBSTITUTE(ADDRESS(1,COLUMN(),4),1,"") &amp; 6) &gt;= INDIRECT("D" &amp; ROW()))</formula>
    </cfRule>
    <cfRule type="expression" dxfId="68"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67" priority="46">
      <formula xml:space="preserve"> INDIRECT("D" &amp; ROW()) &gt; TODAY()</formula>
    </cfRule>
  </conditionalFormatting>
  <conditionalFormatting sqref="E29">
    <cfRule type="cellIs" dxfId="66" priority="44" operator="lessThanOrEqual">
      <formula>TODAY()</formula>
    </cfRule>
    <cfRule type="cellIs" dxfId="65" priority="45" operator="greaterThan">
      <formula>TODAY()</formula>
    </cfRule>
  </conditionalFormatting>
  <conditionalFormatting sqref="E29">
    <cfRule type="expression" dxfId="64" priority="43">
      <formula>ISBLANK(INDIRECT("E"&amp;ROW()))</formula>
    </cfRule>
  </conditionalFormatting>
  <conditionalFormatting sqref="E29">
    <cfRule type="expression" dxfId="63" priority="41">
      <formula xml:space="preserve"> NOT(ISBLANK(INDIRECT("D"&amp;ROW()))) * NOT(ISODD(ROW())) *NOT(ISBLANK(INDIRECT("E"&amp;ROW())))*(INDIRECT(SUBSTITUTE(ADDRESS(1,COLUMN(),4),1,"") &amp; 6) &lt;= INDIRECT("E" &amp; ROW()))*(INDIRECT(SUBSTITUTE(ADDRESS(1,COLUMN(),4),1,"") &amp; 6) &gt;= INDIRECT("D" &amp; ROW()))</formula>
    </cfRule>
    <cfRule type="expression" dxfId="62"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61" priority="40">
      <formula xml:space="preserve"> INDIRECT("D" &amp; ROW()) &gt; TODAY()</formula>
    </cfRule>
  </conditionalFormatting>
  <conditionalFormatting sqref="E35">
    <cfRule type="cellIs" dxfId="60" priority="38" operator="lessThanOrEqual">
      <formula>TODAY()</formula>
    </cfRule>
    <cfRule type="cellIs" dxfId="59" priority="39" operator="greaterThan">
      <formula>TODAY()</formula>
    </cfRule>
  </conditionalFormatting>
  <conditionalFormatting sqref="E35">
    <cfRule type="expression" dxfId="58" priority="37">
      <formula>ISBLANK(INDIRECT("E"&amp;ROW()))</formula>
    </cfRule>
  </conditionalFormatting>
  <conditionalFormatting sqref="E35">
    <cfRule type="expression" dxfId="57" priority="35">
      <formula xml:space="preserve"> NOT(ISBLANK(INDIRECT("D"&amp;ROW()))) * NOT(ISODD(ROW())) *NOT(ISBLANK(INDIRECT("E"&amp;ROW())))*(INDIRECT(SUBSTITUTE(ADDRESS(1,COLUMN(),4),1,"") &amp; 6) &lt;= INDIRECT("E" &amp; ROW()))*(INDIRECT(SUBSTITUTE(ADDRESS(1,COLUMN(),4),1,"") &amp; 6) &gt;= INDIRECT("D" &amp; ROW()))</formula>
    </cfRule>
    <cfRule type="expression" dxfId="56"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5">
    <cfRule type="expression" dxfId="55"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54" priority="31">
      <formula xml:space="preserve"> (INDIRECT("F" &amp; ROW()) &lt; 0.9) * (INDIRECT("E" &amp; ROW()) &gt; TODAY())</formula>
    </cfRule>
  </conditionalFormatting>
  <conditionalFormatting sqref="H9:DZ9">
    <cfRule type="expression" dxfId="53" priority="30">
      <formula xml:space="preserve"> INDIRECT(SUBSTITUTE(ADDRESS(1,COLUMN(),4),1,"") &amp; 6) = TODAY()</formula>
    </cfRule>
  </conditionalFormatting>
  <conditionalFormatting sqref="A9:XFD9">
    <cfRule type="expression" dxfId="52" priority="28">
      <formula xml:space="preserve"> NOT(ISBLANK(INDIRECT("D"&amp;ROW()))) * NOT(ISODD(ROW())) *NOT(ISBLANK(INDIRECT("E"&amp;ROW())))*(INDIRECT(SUBSTITUTE(ADDRESS(1,COLUMN(),4),1,"") &amp; 6) &lt;= INDIRECT("E" &amp; ROW()))*(INDIRECT(SUBSTITUTE(ADDRESS(1,COLUMN(),4),1,"") &amp; 6) &gt;= INDIRECT("D" &amp; ROW()))</formula>
    </cfRule>
    <cfRule type="expression" dxfId="51"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50" priority="26">
      <formula xml:space="preserve"> NOT(ISBLANK(INDIRECT("F" &amp; ROW()))) *( INDIRECT("D" &amp; ROW()) &gt; TODAY()) * INDIRECT("F"&amp;ROW()) &gt; 0.01</formula>
    </cfRule>
    <cfRule type="expression" dxfId="49" priority="27">
      <formula>INDIRECT("D" &amp; ROW()) &gt; TODAY()</formula>
    </cfRule>
  </conditionalFormatting>
  <conditionalFormatting sqref="F44">
    <cfRule type="colorScale" priority="25">
      <colorScale>
        <cfvo type="num" val="0"/>
        <cfvo type="num" val="0.5"/>
        <cfvo type="num" val="1"/>
        <color rgb="FFF8696B"/>
        <color rgb="FFFFEB84"/>
        <color rgb="FF63BE7B"/>
      </colorScale>
    </cfRule>
  </conditionalFormatting>
  <conditionalFormatting sqref="E44">
    <cfRule type="cellIs" priority="24" operator="lessThan">
      <formula>TODAY()</formula>
    </cfRule>
  </conditionalFormatting>
  <conditionalFormatting sqref="B44:D44">
    <cfRule type="expression" dxfId="48" priority="23">
      <formula xml:space="preserve"> (INDIRECT("F" &amp; ROW()) &lt; 0.9) * (INDIRECT("E" &amp; ROW()) &gt; TODAY())</formula>
    </cfRule>
  </conditionalFormatting>
  <conditionalFormatting sqref="H44:DZ44">
    <cfRule type="expression" dxfId="47" priority="22">
      <formula xml:space="preserve"> INDIRECT(SUBSTITUTE(ADDRESS(1,COLUMN(),4),1,"") &amp; 6) = TODAY()</formula>
    </cfRule>
  </conditionalFormatting>
  <conditionalFormatting sqref="A44:XFD44 A45:A53">
    <cfRule type="expression" dxfId="46" priority="20">
      <formula xml:space="preserve"> NOT(ISBLANK(INDIRECT("D"&amp;ROW()))) * NOT(ISODD(ROW())) *NOT(ISBLANK(INDIRECT("E"&amp;ROW())))*(INDIRECT(SUBSTITUTE(ADDRESS(1,COLUMN(),4),1,"") &amp; 6) &lt;= INDIRECT("E" &amp; ROW()))*(INDIRECT(SUBSTITUTE(ADDRESS(1,COLUMN(),4),1,"") &amp; 6) &gt;= INDIRECT("D" &amp; ROW()))</formula>
    </cfRule>
    <cfRule type="expression" dxfId="45"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4:D44">
    <cfRule type="expression" dxfId="44" priority="18">
      <formula xml:space="preserve"> NOT(ISBLANK(INDIRECT("F" &amp; ROW()))) *( INDIRECT("D" &amp; ROW()) &gt; TODAY()) * INDIRECT("F"&amp;ROW()) &gt; 0.01</formula>
    </cfRule>
    <cfRule type="expression" dxfId="43" priority="19">
      <formula>INDIRECT("D" &amp; ROW()) &gt; TODAY()</formula>
    </cfRule>
  </conditionalFormatting>
  <conditionalFormatting sqref="F55">
    <cfRule type="colorScale" priority="17">
      <colorScale>
        <cfvo type="num" val="0"/>
        <cfvo type="num" val="0.5"/>
        <cfvo type="num" val="1"/>
        <color rgb="FFF8696B"/>
        <color rgb="FFFFEB84"/>
        <color rgb="FF63BE7B"/>
      </colorScale>
    </cfRule>
  </conditionalFormatting>
  <conditionalFormatting sqref="E55">
    <cfRule type="cellIs" priority="16" operator="lessThan">
      <formula>TODAY()</formula>
    </cfRule>
  </conditionalFormatting>
  <conditionalFormatting sqref="B55:D55">
    <cfRule type="expression" dxfId="42" priority="15">
      <formula xml:space="preserve"> (INDIRECT("F" &amp; ROW()) &lt; 0.9) * (INDIRECT("E" &amp; ROW()) &gt; TODAY())</formula>
    </cfRule>
  </conditionalFormatting>
  <conditionalFormatting sqref="H55:DZ55">
    <cfRule type="expression" dxfId="41" priority="14">
      <formula xml:space="preserve"> INDIRECT(SUBSTITUTE(ADDRESS(1,COLUMN(),4),1,"") &amp; 6) = TODAY()</formula>
    </cfRule>
  </conditionalFormatting>
  <conditionalFormatting sqref="A55:XFD55 A56:A61">
    <cfRule type="expression" dxfId="40" priority="12">
      <formula xml:space="preserve"> NOT(ISBLANK(INDIRECT("D"&amp;ROW()))) * NOT(ISODD(ROW())) *NOT(ISBLANK(INDIRECT("E"&amp;ROW())))*(INDIRECT(SUBSTITUTE(ADDRESS(1,COLUMN(),4),1,"") &amp; 6) &lt;= INDIRECT("E" &amp; ROW()))*(INDIRECT(SUBSTITUTE(ADDRESS(1,COLUMN(),4),1,"") &amp; 6) &gt;= INDIRECT("D" &amp; ROW()))</formula>
    </cfRule>
    <cfRule type="expression" dxfId="39"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5:D55">
    <cfRule type="expression" dxfId="38" priority="10">
      <formula xml:space="preserve"> NOT(ISBLANK(INDIRECT("F" &amp; ROW()))) *( INDIRECT("D" &amp; ROW()) &gt; TODAY()) * INDIRECT("F"&amp;ROW()) &gt; 0.01</formula>
    </cfRule>
    <cfRule type="expression" dxfId="37" priority="11">
      <formula>INDIRECT("D" &amp; ROW()) &gt; TODAY()</formula>
    </cfRule>
  </conditionalFormatting>
  <conditionalFormatting sqref="F63">
    <cfRule type="colorScale" priority="9">
      <colorScale>
        <cfvo type="num" val="0"/>
        <cfvo type="num" val="0.5"/>
        <cfvo type="num" val="1"/>
        <color rgb="FFF8696B"/>
        <color rgb="FFFFEB84"/>
        <color rgb="FF63BE7B"/>
      </colorScale>
    </cfRule>
  </conditionalFormatting>
  <conditionalFormatting sqref="E63">
    <cfRule type="cellIs" priority="8" operator="lessThan">
      <formula>TODAY()</formula>
    </cfRule>
  </conditionalFormatting>
  <conditionalFormatting sqref="B63:D63">
    <cfRule type="expression" dxfId="36" priority="7">
      <formula xml:space="preserve"> (INDIRECT("F" &amp; ROW()) &lt; 0.9) * (INDIRECT("E" &amp; ROW()) &gt; TODAY())</formula>
    </cfRule>
  </conditionalFormatting>
  <conditionalFormatting sqref="H63:DZ63">
    <cfRule type="expression" dxfId="35" priority="6">
      <formula xml:space="preserve"> INDIRECT(SUBSTITUTE(ADDRESS(1,COLUMN(),4),1,"") &amp; 6) = TODAY()</formula>
    </cfRule>
  </conditionalFormatting>
  <conditionalFormatting sqref="A63:XFD63 A64:A66">
    <cfRule type="expression" dxfId="34" priority="4">
      <formula xml:space="preserve"> NOT(ISBLANK(INDIRECT("D"&amp;ROW()))) * NOT(ISODD(ROW())) *NOT(ISBLANK(INDIRECT("E"&amp;ROW())))*(INDIRECT(SUBSTITUTE(ADDRESS(1,COLUMN(),4),1,"") &amp; 6) &lt;= INDIRECT("E" &amp; ROW()))*(INDIRECT(SUBSTITUTE(ADDRESS(1,COLUMN(),4),1,"") &amp; 6) &gt;= INDIRECT("D" &amp; ROW()))</formula>
    </cfRule>
    <cfRule type="expression" dxfId="33"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3:D63">
    <cfRule type="expression" dxfId="32" priority="2">
      <formula xml:space="preserve"> NOT(ISBLANK(INDIRECT("F" &amp; ROW()))) *( INDIRECT("D" &amp; ROW()) &gt; TODAY()) * INDIRECT("F"&amp;ROW()) &gt; 0.01</formula>
    </cfRule>
    <cfRule type="expression" dxfId="31"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abSelected="1" topLeftCell="A4" zoomScale="84" zoomScaleNormal="100" workbookViewId="0">
      <selection activeCell="H20" sqref="H20"/>
    </sheetView>
  </sheetViews>
  <sheetFormatPr defaultColWidth="8.85546875" defaultRowHeight="15"/>
  <cols>
    <col min="1" max="1" width="19.28515625" style="67" customWidth="1"/>
    <col min="2" max="2" width="21.85546875" style="71" customWidth="1"/>
    <col min="3" max="351" width="20.7109375" style="76" customWidth="1"/>
    <col min="352" max="16384" width="8.85546875" style="76"/>
  </cols>
  <sheetData>
    <row r="1" spans="1:351" s="68" customFormat="1">
      <c r="A1" s="69">
        <f ca="1">TODAY()</f>
        <v>43160</v>
      </c>
    </row>
    <row r="2" spans="1:351" s="148" customFormat="1" ht="29.25" customHeight="1">
      <c r="A2" s="147">
        <f ca="1">NOW()</f>
        <v>43160.852736574074</v>
      </c>
      <c r="B2" s="149">
        <v>43157</v>
      </c>
      <c r="C2" s="149" t="s">
        <v>249</v>
      </c>
      <c r="D2" s="149" t="s">
        <v>269</v>
      </c>
      <c r="E2" s="149" t="s">
        <v>271</v>
      </c>
      <c r="F2" s="149" t="s">
        <v>270</v>
      </c>
      <c r="G2" s="149"/>
    </row>
    <row r="3" spans="1:351" s="242" customFormat="1" ht="33" customHeight="1">
      <c r="A3" s="164">
        <f ca="1">HOUR(A2)</f>
        <v>20</v>
      </c>
      <c r="B3" s="241"/>
      <c r="C3" s="242" t="s">
        <v>49</v>
      </c>
      <c r="D3" s="242" t="s">
        <v>50</v>
      </c>
      <c r="E3" s="242" t="s">
        <v>51</v>
      </c>
      <c r="F3" s="242" t="s">
        <v>52</v>
      </c>
      <c r="G3" s="242" t="s">
        <v>46</v>
      </c>
      <c r="H3" s="242" t="s">
        <v>47</v>
      </c>
      <c r="I3" s="242" t="s">
        <v>48</v>
      </c>
      <c r="J3" s="242" t="s">
        <v>301</v>
      </c>
      <c r="K3" s="242" t="s">
        <v>302</v>
      </c>
      <c r="L3" s="242" t="s">
        <v>303</v>
      </c>
      <c r="M3" s="242" t="s">
        <v>304</v>
      </c>
      <c r="N3" s="242" t="s">
        <v>305</v>
      </c>
      <c r="O3" s="242" t="s">
        <v>306</v>
      </c>
      <c r="P3" s="242" t="s">
        <v>307</v>
      </c>
      <c r="Q3" s="242" t="s">
        <v>308</v>
      </c>
      <c r="R3" s="242" t="s">
        <v>309</v>
      </c>
      <c r="S3" s="242" t="s">
        <v>310</v>
      </c>
      <c r="T3" s="242" t="s">
        <v>311</v>
      </c>
      <c r="U3" s="242" t="s">
        <v>312</v>
      </c>
      <c r="V3" s="242" t="s">
        <v>313</v>
      </c>
      <c r="W3" s="242" t="s">
        <v>314</v>
      </c>
      <c r="X3" s="242" t="s">
        <v>315</v>
      </c>
      <c r="Y3" s="242" t="s">
        <v>316</v>
      </c>
      <c r="Z3" s="242" t="s">
        <v>317</v>
      </c>
      <c r="AA3" s="242" t="s">
        <v>318</v>
      </c>
      <c r="AB3" s="242" t="s">
        <v>319</v>
      </c>
      <c r="AC3" s="242" t="s">
        <v>320</v>
      </c>
      <c r="AD3" s="242" t="s">
        <v>321</v>
      </c>
      <c r="AE3" s="242" t="s">
        <v>322</v>
      </c>
      <c r="AF3" s="242" t="s">
        <v>323</v>
      </c>
      <c r="AG3" s="242" t="s">
        <v>324</v>
      </c>
      <c r="AH3" s="242" t="s">
        <v>325</v>
      </c>
      <c r="AI3" s="242" t="s">
        <v>326</v>
      </c>
      <c r="AJ3" s="242" t="s">
        <v>327</v>
      </c>
      <c r="AK3" s="242" t="s">
        <v>328</v>
      </c>
      <c r="AL3" s="242" t="s">
        <v>329</v>
      </c>
      <c r="AM3" s="242" t="s">
        <v>330</v>
      </c>
      <c r="AN3" s="242" t="s">
        <v>331</v>
      </c>
      <c r="AO3" s="242" t="s">
        <v>332</v>
      </c>
      <c r="AP3" s="242" t="s">
        <v>333</v>
      </c>
      <c r="AQ3" s="242" t="s">
        <v>334</v>
      </c>
      <c r="AR3" s="242" t="s">
        <v>335</v>
      </c>
      <c r="AS3" s="242" t="s">
        <v>336</v>
      </c>
      <c r="AT3" s="242" t="s">
        <v>337</v>
      </c>
      <c r="AU3" s="242" t="s">
        <v>338</v>
      </c>
      <c r="AV3" s="242" t="s">
        <v>339</v>
      </c>
      <c r="AW3" s="242" t="s">
        <v>340</v>
      </c>
      <c r="AX3" s="242" t="s">
        <v>341</v>
      </c>
      <c r="AY3" s="242" t="s">
        <v>342</v>
      </c>
      <c r="AZ3" s="242" t="s">
        <v>343</v>
      </c>
      <c r="BA3" s="242" t="s">
        <v>344</v>
      </c>
      <c r="BB3" s="242" t="s">
        <v>345</v>
      </c>
      <c r="BC3" s="242" t="s">
        <v>346</v>
      </c>
      <c r="BD3" s="242" t="s">
        <v>347</v>
      </c>
      <c r="BE3" s="242" t="s">
        <v>348</v>
      </c>
      <c r="BF3" s="242" t="s">
        <v>349</v>
      </c>
      <c r="BG3" s="242" t="s">
        <v>350</v>
      </c>
      <c r="BH3" s="242" t="s">
        <v>351</v>
      </c>
      <c r="BI3" s="242" t="s">
        <v>352</v>
      </c>
      <c r="BJ3" s="242" t="s">
        <v>353</v>
      </c>
      <c r="BK3" s="242" t="s">
        <v>354</v>
      </c>
      <c r="BL3" s="242" t="s">
        <v>355</v>
      </c>
      <c r="BM3" s="242" t="s">
        <v>356</v>
      </c>
      <c r="BN3" s="242" t="s">
        <v>357</v>
      </c>
      <c r="BO3" s="242" t="s">
        <v>358</v>
      </c>
      <c r="BP3" s="242" t="s">
        <v>359</v>
      </c>
      <c r="BQ3" s="242" t="s">
        <v>360</v>
      </c>
      <c r="BR3" s="242" t="s">
        <v>361</v>
      </c>
      <c r="BS3" s="242" t="s">
        <v>362</v>
      </c>
      <c r="BT3" s="242" t="s">
        <v>363</v>
      </c>
      <c r="BU3" s="242" t="s">
        <v>364</v>
      </c>
      <c r="BV3" s="242" t="s">
        <v>365</v>
      </c>
      <c r="BW3" s="242" t="s">
        <v>366</v>
      </c>
      <c r="BX3" s="242" t="s">
        <v>367</v>
      </c>
      <c r="BY3" s="242" t="s">
        <v>368</v>
      </c>
      <c r="BZ3" s="242" t="s">
        <v>369</v>
      </c>
      <c r="CA3" s="242" t="s">
        <v>370</v>
      </c>
      <c r="CB3" s="242" t="s">
        <v>371</v>
      </c>
      <c r="CC3" s="242" t="s">
        <v>372</v>
      </c>
      <c r="CD3" s="242" t="s">
        <v>373</v>
      </c>
      <c r="CE3" s="242" t="s">
        <v>374</v>
      </c>
      <c r="CF3" s="242" t="s">
        <v>375</v>
      </c>
      <c r="CG3" s="242" t="s">
        <v>376</v>
      </c>
      <c r="CH3" s="242" t="s">
        <v>377</v>
      </c>
      <c r="CI3" s="242" t="s">
        <v>378</v>
      </c>
      <c r="CJ3" s="242" t="s">
        <v>379</v>
      </c>
      <c r="CK3" s="242" t="s">
        <v>380</v>
      </c>
      <c r="CL3" s="242" t="s">
        <v>381</v>
      </c>
      <c r="CM3" s="242" t="s">
        <v>382</v>
      </c>
      <c r="CN3" s="242" t="s">
        <v>383</v>
      </c>
      <c r="CO3" s="242" t="s">
        <v>384</v>
      </c>
      <c r="CP3" s="242" t="s">
        <v>385</v>
      </c>
      <c r="CQ3" s="242" t="s">
        <v>386</v>
      </c>
      <c r="CR3" s="242" t="s">
        <v>387</v>
      </c>
      <c r="CS3" s="242" t="s">
        <v>388</v>
      </c>
      <c r="CT3" s="242" t="s">
        <v>389</v>
      </c>
      <c r="CU3" s="242" t="s">
        <v>390</v>
      </c>
      <c r="CV3" s="242" t="s">
        <v>391</v>
      </c>
      <c r="CW3" s="242" t="s">
        <v>392</v>
      </c>
      <c r="CX3" s="242" t="s">
        <v>393</v>
      </c>
      <c r="CY3" s="242" t="s">
        <v>394</v>
      </c>
      <c r="CZ3" s="242" t="s">
        <v>395</v>
      </c>
      <c r="DA3" s="242" t="s">
        <v>396</v>
      </c>
      <c r="DB3" s="242" t="s">
        <v>397</v>
      </c>
      <c r="DC3" s="242" t="s">
        <v>398</v>
      </c>
      <c r="DD3" s="242" t="s">
        <v>399</v>
      </c>
      <c r="DE3" s="242" t="s">
        <v>400</v>
      </c>
      <c r="DF3" s="242" t="s">
        <v>401</v>
      </c>
      <c r="DG3" s="242" t="s">
        <v>402</v>
      </c>
      <c r="DH3" s="242" t="s">
        <v>403</v>
      </c>
      <c r="DI3" s="242" t="s">
        <v>404</v>
      </c>
      <c r="DJ3" s="242" t="s">
        <v>405</v>
      </c>
      <c r="DK3" s="242" t="s">
        <v>406</v>
      </c>
      <c r="DL3" s="242" t="s">
        <v>407</v>
      </c>
      <c r="DM3" s="242" t="s">
        <v>408</v>
      </c>
      <c r="DN3" s="242" t="s">
        <v>409</v>
      </c>
      <c r="DO3" s="242" t="s">
        <v>410</v>
      </c>
      <c r="DP3" s="242" t="s">
        <v>411</v>
      </c>
      <c r="DQ3" s="242" t="s">
        <v>412</v>
      </c>
      <c r="DR3" s="242" t="s">
        <v>413</v>
      </c>
      <c r="DS3" s="242" t="s">
        <v>414</v>
      </c>
      <c r="DT3" s="242" t="s">
        <v>415</v>
      </c>
      <c r="DU3" s="242" t="s">
        <v>416</v>
      </c>
      <c r="DV3" s="242" t="s">
        <v>417</v>
      </c>
      <c r="DW3" s="242" t="s">
        <v>418</v>
      </c>
      <c r="DX3" s="242" t="s">
        <v>419</v>
      </c>
      <c r="DY3" s="242" t="s">
        <v>420</v>
      </c>
      <c r="DZ3" s="242" t="s">
        <v>421</v>
      </c>
      <c r="EA3" s="242" t="s">
        <v>422</v>
      </c>
      <c r="EB3" s="242" t="s">
        <v>423</v>
      </c>
      <c r="EC3" s="242" t="s">
        <v>424</v>
      </c>
      <c r="ED3" s="242" t="s">
        <v>425</v>
      </c>
      <c r="EE3" s="242" t="s">
        <v>426</v>
      </c>
      <c r="EF3" s="242" t="s">
        <v>427</v>
      </c>
      <c r="EG3" s="242" t="s">
        <v>428</v>
      </c>
      <c r="EH3" s="242" t="s">
        <v>429</v>
      </c>
      <c r="EI3" s="242" t="s">
        <v>430</v>
      </c>
      <c r="EJ3" s="242" t="s">
        <v>431</v>
      </c>
      <c r="EK3" s="242" t="s">
        <v>432</v>
      </c>
      <c r="EL3" s="242" t="s">
        <v>433</v>
      </c>
      <c r="EM3" s="242" t="s">
        <v>434</v>
      </c>
      <c r="EN3" s="242" t="s">
        <v>435</v>
      </c>
      <c r="EO3" s="242" t="s">
        <v>436</v>
      </c>
      <c r="EP3" s="242" t="s">
        <v>437</v>
      </c>
      <c r="EQ3" s="242" t="s">
        <v>438</v>
      </c>
      <c r="ER3" s="242" t="s">
        <v>439</v>
      </c>
      <c r="ES3" s="242" t="s">
        <v>440</v>
      </c>
      <c r="ET3" s="242" t="s">
        <v>441</v>
      </c>
      <c r="EU3" s="242" t="s">
        <v>442</v>
      </c>
      <c r="EV3" s="242" t="s">
        <v>443</v>
      </c>
      <c r="EW3" s="242" t="s">
        <v>444</v>
      </c>
      <c r="EX3" s="242" t="s">
        <v>445</v>
      </c>
      <c r="EY3" s="242" t="s">
        <v>446</v>
      </c>
      <c r="EZ3" s="242" t="s">
        <v>447</v>
      </c>
      <c r="FA3" s="242" t="s">
        <v>448</v>
      </c>
      <c r="FB3" s="242" t="s">
        <v>449</v>
      </c>
      <c r="FC3" s="242" t="s">
        <v>450</v>
      </c>
      <c r="FD3" s="242" t="s">
        <v>451</v>
      </c>
      <c r="FE3" s="242" t="s">
        <v>452</v>
      </c>
      <c r="FF3" s="242" t="s">
        <v>453</v>
      </c>
      <c r="FG3" s="242" t="s">
        <v>454</v>
      </c>
      <c r="FH3" s="242" t="s">
        <v>455</v>
      </c>
      <c r="FI3" s="242" t="s">
        <v>456</v>
      </c>
      <c r="FJ3" s="242" t="s">
        <v>457</v>
      </c>
      <c r="FK3" s="242" t="s">
        <v>458</v>
      </c>
      <c r="FL3" s="242" t="s">
        <v>459</v>
      </c>
      <c r="FM3" s="242" t="s">
        <v>460</v>
      </c>
      <c r="FN3" s="242" t="s">
        <v>461</v>
      </c>
      <c r="FO3" s="242" t="s">
        <v>462</v>
      </c>
      <c r="FP3" s="242" t="s">
        <v>463</v>
      </c>
      <c r="FQ3" s="242" t="s">
        <v>464</v>
      </c>
      <c r="FR3" s="242" t="s">
        <v>465</v>
      </c>
      <c r="FS3" s="242" t="s">
        <v>466</v>
      </c>
      <c r="FT3" s="242" t="s">
        <v>467</v>
      </c>
      <c r="FU3" s="242" t="s">
        <v>468</v>
      </c>
      <c r="FV3" s="242" t="s">
        <v>469</v>
      </c>
      <c r="FW3" s="242" t="s">
        <v>470</v>
      </c>
      <c r="FX3" s="242" t="s">
        <v>471</v>
      </c>
      <c r="FY3" s="242" t="s">
        <v>472</v>
      </c>
      <c r="FZ3" s="242" t="s">
        <v>473</v>
      </c>
      <c r="GA3" s="242" t="s">
        <v>474</v>
      </c>
      <c r="GB3" s="242" t="s">
        <v>475</v>
      </c>
      <c r="GC3" s="242" t="s">
        <v>476</v>
      </c>
      <c r="GD3" s="242" t="s">
        <v>477</v>
      </c>
      <c r="GE3" s="242" t="s">
        <v>478</v>
      </c>
      <c r="GF3" s="242" t="s">
        <v>479</v>
      </c>
      <c r="GG3" s="242" t="s">
        <v>480</v>
      </c>
      <c r="GH3" s="242" t="s">
        <v>481</v>
      </c>
      <c r="GI3" s="242" t="s">
        <v>482</v>
      </c>
      <c r="GJ3" s="242" t="s">
        <v>483</v>
      </c>
      <c r="GK3" s="242" t="s">
        <v>484</v>
      </c>
      <c r="GL3" s="242" t="s">
        <v>485</v>
      </c>
      <c r="GM3" s="242" t="s">
        <v>486</v>
      </c>
      <c r="GN3" s="242" t="s">
        <v>487</v>
      </c>
      <c r="GO3" s="242" t="s">
        <v>488</v>
      </c>
      <c r="GP3" s="242" t="s">
        <v>489</v>
      </c>
      <c r="GQ3" s="242" t="s">
        <v>490</v>
      </c>
      <c r="GR3" s="242" t="s">
        <v>491</v>
      </c>
      <c r="GS3" s="242" t="s">
        <v>492</v>
      </c>
      <c r="GT3" s="242" t="s">
        <v>493</v>
      </c>
      <c r="GU3" s="242" t="s">
        <v>494</v>
      </c>
      <c r="GV3" s="242" t="s">
        <v>495</v>
      </c>
      <c r="GW3" s="242" t="s">
        <v>496</v>
      </c>
      <c r="GX3" s="242" t="s">
        <v>497</v>
      </c>
      <c r="GY3" s="242" t="s">
        <v>498</v>
      </c>
      <c r="GZ3" s="242" t="s">
        <v>499</v>
      </c>
      <c r="HA3" s="242" t="s">
        <v>500</v>
      </c>
      <c r="HB3" s="242" t="s">
        <v>501</v>
      </c>
      <c r="HC3" s="242" t="s">
        <v>502</v>
      </c>
      <c r="HD3" s="242" t="s">
        <v>503</v>
      </c>
      <c r="HE3" s="242" t="s">
        <v>504</v>
      </c>
      <c r="HF3" s="242" t="s">
        <v>505</v>
      </c>
      <c r="HG3" s="242" t="s">
        <v>506</v>
      </c>
      <c r="HH3" s="242" t="s">
        <v>507</v>
      </c>
      <c r="HI3" s="242" t="s">
        <v>508</v>
      </c>
      <c r="HJ3" s="242" t="s">
        <v>509</v>
      </c>
      <c r="HK3" s="242" t="s">
        <v>510</v>
      </c>
      <c r="HL3" s="242" t="s">
        <v>511</v>
      </c>
      <c r="HM3" s="242" t="s">
        <v>512</v>
      </c>
      <c r="HN3" s="242" t="s">
        <v>513</v>
      </c>
      <c r="HO3" s="242" t="s">
        <v>514</v>
      </c>
      <c r="HP3" s="242" t="s">
        <v>515</v>
      </c>
      <c r="HQ3" s="242" t="s">
        <v>516</v>
      </c>
      <c r="HR3" s="242" t="s">
        <v>517</v>
      </c>
      <c r="HS3" s="242" t="s">
        <v>518</v>
      </c>
      <c r="HT3" s="242" t="s">
        <v>519</v>
      </c>
      <c r="HU3" s="242" t="s">
        <v>520</v>
      </c>
      <c r="HV3" s="242" t="s">
        <v>521</v>
      </c>
      <c r="HW3" s="242" t="s">
        <v>522</v>
      </c>
      <c r="HX3" s="242" t="s">
        <v>523</v>
      </c>
      <c r="HY3" s="242" t="s">
        <v>524</v>
      </c>
      <c r="HZ3" s="242" t="s">
        <v>525</v>
      </c>
      <c r="IA3" s="242" t="s">
        <v>526</v>
      </c>
      <c r="IB3" s="242" t="s">
        <v>527</v>
      </c>
      <c r="IC3" s="242" t="s">
        <v>528</v>
      </c>
      <c r="ID3" s="242" t="s">
        <v>529</v>
      </c>
      <c r="IE3" s="242" t="s">
        <v>530</v>
      </c>
      <c r="IF3" s="242" t="s">
        <v>531</v>
      </c>
      <c r="IG3" s="242" t="s">
        <v>532</v>
      </c>
      <c r="IH3" s="242" t="s">
        <v>533</v>
      </c>
      <c r="II3" s="242" t="s">
        <v>534</v>
      </c>
      <c r="IJ3" s="242" t="s">
        <v>535</v>
      </c>
      <c r="IK3" s="242" t="s">
        <v>536</v>
      </c>
      <c r="IL3" s="242" t="s">
        <v>537</v>
      </c>
      <c r="IM3" s="242" t="s">
        <v>538</v>
      </c>
      <c r="IN3" s="242" t="s">
        <v>539</v>
      </c>
      <c r="IO3" s="242" t="s">
        <v>540</v>
      </c>
      <c r="IP3" s="242" t="s">
        <v>541</v>
      </c>
      <c r="IQ3" s="242" t="s">
        <v>542</v>
      </c>
      <c r="IR3" s="242" t="s">
        <v>543</v>
      </c>
      <c r="IS3" s="242" t="s">
        <v>544</v>
      </c>
      <c r="IT3" s="242" t="s">
        <v>545</v>
      </c>
      <c r="IU3" s="242" t="s">
        <v>546</v>
      </c>
      <c r="IV3" s="242" t="s">
        <v>547</v>
      </c>
      <c r="IW3" s="242" t="s">
        <v>548</v>
      </c>
      <c r="IX3" s="242" t="s">
        <v>549</v>
      </c>
      <c r="IY3" s="242" t="s">
        <v>550</v>
      </c>
      <c r="IZ3" s="242" t="s">
        <v>551</v>
      </c>
      <c r="JA3" s="242" t="s">
        <v>552</v>
      </c>
      <c r="JB3" s="242" t="s">
        <v>553</v>
      </c>
      <c r="JC3" s="242" t="s">
        <v>554</v>
      </c>
      <c r="JD3" s="242" t="s">
        <v>555</v>
      </c>
      <c r="JE3" s="242" t="s">
        <v>556</v>
      </c>
      <c r="JF3" s="242" t="s">
        <v>557</v>
      </c>
      <c r="JG3" s="242" t="s">
        <v>558</v>
      </c>
      <c r="JH3" s="242" t="s">
        <v>559</v>
      </c>
      <c r="JI3" s="242" t="s">
        <v>560</v>
      </c>
      <c r="JJ3" s="242" t="s">
        <v>561</v>
      </c>
      <c r="JK3" s="242" t="s">
        <v>562</v>
      </c>
      <c r="JL3" s="242" t="s">
        <v>563</v>
      </c>
      <c r="JM3" s="242" t="s">
        <v>564</v>
      </c>
      <c r="JN3" s="242" t="s">
        <v>565</v>
      </c>
      <c r="JO3" s="242" t="s">
        <v>566</v>
      </c>
      <c r="JP3" s="242" t="s">
        <v>567</v>
      </c>
      <c r="JQ3" s="242" t="s">
        <v>568</v>
      </c>
      <c r="JR3" s="242" t="s">
        <v>569</v>
      </c>
      <c r="JS3" s="242" t="s">
        <v>570</v>
      </c>
      <c r="JT3" s="242" t="s">
        <v>571</v>
      </c>
      <c r="JU3" s="242" t="s">
        <v>572</v>
      </c>
      <c r="JV3" s="242" t="s">
        <v>573</v>
      </c>
      <c r="JW3" s="242" t="s">
        <v>574</v>
      </c>
      <c r="JX3" s="242" t="s">
        <v>575</v>
      </c>
      <c r="JY3" s="242" t="s">
        <v>576</v>
      </c>
      <c r="JZ3" s="242" t="s">
        <v>577</v>
      </c>
      <c r="KA3" s="242" t="s">
        <v>578</v>
      </c>
      <c r="KB3" s="242" t="s">
        <v>579</v>
      </c>
      <c r="KC3" s="242" t="s">
        <v>580</v>
      </c>
      <c r="KD3" s="242" t="s">
        <v>581</v>
      </c>
      <c r="KE3" s="242" t="s">
        <v>582</v>
      </c>
      <c r="KF3" s="242" t="s">
        <v>583</v>
      </c>
      <c r="KG3" s="242" t="s">
        <v>584</v>
      </c>
      <c r="KH3" s="242" t="s">
        <v>585</v>
      </c>
      <c r="KI3" s="242" t="s">
        <v>586</v>
      </c>
      <c r="KJ3" s="242" t="s">
        <v>587</v>
      </c>
      <c r="KK3" s="242" t="s">
        <v>588</v>
      </c>
      <c r="KL3" s="242" t="s">
        <v>589</v>
      </c>
      <c r="KM3" s="242" t="s">
        <v>590</v>
      </c>
      <c r="KN3" s="242" t="s">
        <v>591</v>
      </c>
      <c r="KO3" s="242" t="s">
        <v>592</v>
      </c>
      <c r="KP3" s="242" t="s">
        <v>593</v>
      </c>
      <c r="KQ3" s="242" t="s">
        <v>594</v>
      </c>
      <c r="KR3" s="242" t="s">
        <v>595</v>
      </c>
      <c r="KS3" s="242" t="s">
        <v>596</v>
      </c>
      <c r="KT3" s="242" t="s">
        <v>597</v>
      </c>
      <c r="KU3" s="242" t="s">
        <v>598</v>
      </c>
      <c r="KV3" s="242" t="s">
        <v>599</v>
      </c>
      <c r="KW3" s="242" t="s">
        <v>600</v>
      </c>
      <c r="KX3" s="242" t="s">
        <v>601</v>
      </c>
      <c r="KY3" s="242" t="s">
        <v>602</v>
      </c>
      <c r="KZ3" s="242" t="s">
        <v>603</v>
      </c>
      <c r="LA3" s="242" t="s">
        <v>604</v>
      </c>
      <c r="LB3" s="242" t="s">
        <v>605</v>
      </c>
      <c r="LC3" s="242" t="s">
        <v>606</v>
      </c>
      <c r="LD3" s="242" t="s">
        <v>607</v>
      </c>
      <c r="LE3" s="242" t="s">
        <v>608</v>
      </c>
      <c r="LF3" s="242" t="s">
        <v>609</v>
      </c>
      <c r="LG3" s="242" t="s">
        <v>610</v>
      </c>
      <c r="LH3" s="242" t="s">
        <v>611</v>
      </c>
      <c r="LI3" s="242" t="s">
        <v>612</v>
      </c>
      <c r="LJ3" s="242" t="s">
        <v>613</v>
      </c>
      <c r="LK3" s="242" t="s">
        <v>614</v>
      </c>
      <c r="LL3" s="242" t="s">
        <v>615</v>
      </c>
      <c r="LM3" s="242" t="s">
        <v>616</v>
      </c>
      <c r="LN3" s="242" t="s">
        <v>617</v>
      </c>
      <c r="LO3" s="242" t="s">
        <v>618</v>
      </c>
      <c r="LP3" s="242" t="s">
        <v>619</v>
      </c>
      <c r="LQ3" s="242" t="s">
        <v>620</v>
      </c>
      <c r="LR3" s="242" t="s">
        <v>621</v>
      </c>
      <c r="LS3" s="242" t="s">
        <v>622</v>
      </c>
      <c r="LT3" s="242" t="s">
        <v>623</v>
      </c>
      <c r="LU3" s="242" t="s">
        <v>624</v>
      </c>
      <c r="LV3" s="242" t="s">
        <v>625</v>
      </c>
      <c r="LW3" s="242" t="s">
        <v>626</v>
      </c>
      <c r="LX3" s="242" t="s">
        <v>627</v>
      </c>
      <c r="LY3" s="242" t="s">
        <v>628</v>
      </c>
      <c r="LZ3" s="242" t="s">
        <v>629</v>
      </c>
      <c r="MA3" s="242" t="s">
        <v>630</v>
      </c>
      <c r="MB3" s="242" t="s">
        <v>631</v>
      </c>
      <c r="MC3" s="242" t="s">
        <v>632</v>
      </c>
      <c r="MD3" s="242" t="s">
        <v>633</v>
      </c>
      <c r="ME3" s="242" t="s">
        <v>634</v>
      </c>
      <c r="MF3" s="242" t="s">
        <v>635</v>
      </c>
      <c r="MG3" s="242" t="s">
        <v>636</v>
      </c>
      <c r="MH3" s="242" t="s">
        <v>637</v>
      </c>
      <c r="MI3" s="242" t="s">
        <v>638</v>
      </c>
      <c r="MJ3" s="242" t="s">
        <v>639</v>
      </c>
      <c r="MK3" s="242" t="s">
        <v>640</v>
      </c>
      <c r="ML3" s="242" t="s">
        <v>641</v>
      </c>
      <c r="MM3" s="242" t="s">
        <v>642</v>
      </c>
    </row>
    <row r="4" spans="1:351" s="73" customFormat="1" ht="32.25" customHeight="1">
      <c r="A4" s="72"/>
      <c r="C4" s="74">
        <v>43154</v>
      </c>
      <c r="D4" s="74">
        <v>43155</v>
      </c>
      <c r="E4" s="74">
        <v>43156</v>
      </c>
      <c r="F4" s="74">
        <v>43157</v>
      </c>
      <c r="G4" s="74">
        <v>43158</v>
      </c>
      <c r="H4" s="74">
        <v>43159</v>
      </c>
      <c r="I4" s="74">
        <v>43160</v>
      </c>
      <c r="J4" s="74">
        <v>43161</v>
      </c>
      <c r="K4" s="74">
        <v>43162</v>
      </c>
      <c r="L4" s="74">
        <v>43163</v>
      </c>
      <c r="M4" s="74">
        <v>43164</v>
      </c>
      <c r="N4" s="74">
        <v>43165</v>
      </c>
      <c r="O4" s="74">
        <v>43166</v>
      </c>
      <c r="P4" s="74">
        <v>43167</v>
      </c>
      <c r="Q4" s="74">
        <v>43168</v>
      </c>
      <c r="R4" s="74">
        <v>43169</v>
      </c>
      <c r="S4" s="74">
        <v>43170</v>
      </c>
      <c r="T4" s="74">
        <v>43171</v>
      </c>
      <c r="U4" s="74">
        <v>43172</v>
      </c>
      <c r="V4" s="74">
        <v>43173</v>
      </c>
      <c r="W4" s="74">
        <v>43174</v>
      </c>
      <c r="X4" s="74">
        <v>43175</v>
      </c>
      <c r="Y4" s="74">
        <v>43176</v>
      </c>
      <c r="Z4" s="74">
        <v>43177</v>
      </c>
      <c r="AA4" s="74">
        <v>43178</v>
      </c>
      <c r="AB4" s="74">
        <v>43179</v>
      </c>
      <c r="AC4" s="74">
        <v>43180</v>
      </c>
      <c r="AD4" s="74">
        <v>43181</v>
      </c>
      <c r="AE4" s="74">
        <v>43182</v>
      </c>
      <c r="AF4" s="74">
        <v>43183</v>
      </c>
      <c r="AG4" s="74">
        <v>43184</v>
      </c>
      <c r="AH4" s="74">
        <v>43185</v>
      </c>
      <c r="AI4" s="74">
        <v>43186</v>
      </c>
      <c r="AJ4" s="74">
        <v>43187</v>
      </c>
      <c r="AK4" s="74">
        <v>43188</v>
      </c>
      <c r="AL4" s="74">
        <v>43189</v>
      </c>
      <c r="AM4" s="74">
        <v>43190</v>
      </c>
      <c r="AN4" s="74">
        <v>43191</v>
      </c>
      <c r="AO4" s="74">
        <v>43192</v>
      </c>
      <c r="AP4" s="74">
        <v>43193</v>
      </c>
      <c r="AQ4" s="74">
        <v>43194</v>
      </c>
      <c r="AR4" s="74">
        <v>43195</v>
      </c>
      <c r="AS4" s="74">
        <v>43196</v>
      </c>
      <c r="AT4" s="74">
        <v>43197</v>
      </c>
      <c r="AU4" s="74">
        <v>43198</v>
      </c>
      <c r="AV4" s="74">
        <v>43199</v>
      </c>
      <c r="AW4" s="74">
        <v>43200</v>
      </c>
      <c r="AX4" s="74">
        <v>43201</v>
      </c>
      <c r="AY4" s="74">
        <v>43202</v>
      </c>
      <c r="AZ4" s="74">
        <v>43203</v>
      </c>
      <c r="BA4" s="74">
        <v>43204</v>
      </c>
      <c r="BB4" s="74">
        <v>43205</v>
      </c>
      <c r="BC4" s="74">
        <v>43206</v>
      </c>
      <c r="BD4" s="74">
        <v>43207</v>
      </c>
      <c r="BE4" s="74">
        <v>43208</v>
      </c>
      <c r="BF4" s="74">
        <v>43209</v>
      </c>
      <c r="BG4" s="74">
        <v>43210</v>
      </c>
      <c r="BH4" s="74">
        <v>43211</v>
      </c>
      <c r="BI4" s="74">
        <v>43212</v>
      </c>
      <c r="BJ4" s="74">
        <v>43213</v>
      </c>
      <c r="BK4" s="74">
        <v>43214</v>
      </c>
      <c r="BL4" s="74">
        <v>43215</v>
      </c>
      <c r="BM4" s="74">
        <v>43216</v>
      </c>
      <c r="BN4" s="74">
        <v>43217</v>
      </c>
      <c r="BO4" s="74">
        <v>43218</v>
      </c>
      <c r="BP4" s="74">
        <v>43219</v>
      </c>
      <c r="BQ4" s="74">
        <v>43220</v>
      </c>
      <c r="BR4" s="74">
        <v>43221</v>
      </c>
      <c r="BS4" s="74">
        <v>43222</v>
      </c>
      <c r="BT4" s="74">
        <v>43223</v>
      </c>
      <c r="BU4" s="74">
        <v>43224</v>
      </c>
      <c r="BV4" s="74">
        <v>43225</v>
      </c>
      <c r="BW4" s="74">
        <v>43226</v>
      </c>
      <c r="BX4" s="74">
        <v>43227</v>
      </c>
      <c r="BY4" s="74">
        <v>43228</v>
      </c>
      <c r="BZ4" s="74">
        <v>43229</v>
      </c>
      <c r="CA4" s="74">
        <v>43230</v>
      </c>
      <c r="CB4" s="74">
        <v>43231</v>
      </c>
      <c r="CC4" s="74">
        <v>43232</v>
      </c>
      <c r="CD4" s="74">
        <v>43233</v>
      </c>
      <c r="CE4" s="74">
        <v>43234</v>
      </c>
      <c r="CF4" s="74">
        <v>43235</v>
      </c>
      <c r="CG4" s="74">
        <v>43236</v>
      </c>
      <c r="CH4" s="74">
        <v>43237</v>
      </c>
      <c r="CI4" s="74">
        <v>43238</v>
      </c>
      <c r="CJ4" s="74">
        <v>43239</v>
      </c>
      <c r="CK4" s="74">
        <v>43240</v>
      </c>
      <c r="CL4" s="74">
        <v>43241</v>
      </c>
      <c r="CM4" s="74">
        <v>43242</v>
      </c>
      <c r="CN4" s="74">
        <v>43243</v>
      </c>
      <c r="CO4" s="74">
        <v>43244</v>
      </c>
      <c r="CP4" s="74">
        <v>43245</v>
      </c>
      <c r="CQ4" s="74">
        <v>43246</v>
      </c>
      <c r="CR4" s="74">
        <v>43247</v>
      </c>
      <c r="CS4" s="74">
        <v>43248</v>
      </c>
      <c r="CT4" s="74">
        <v>43249</v>
      </c>
      <c r="CU4" s="74">
        <v>43250</v>
      </c>
      <c r="CV4" s="74">
        <v>43251</v>
      </c>
      <c r="CW4" s="74">
        <v>43252</v>
      </c>
      <c r="CX4" s="74">
        <v>43253</v>
      </c>
      <c r="CY4" s="74">
        <v>43254</v>
      </c>
      <c r="CZ4" s="74">
        <v>43255</v>
      </c>
      <c r="DA4" s="74">
        <v>43256</v>
      </c>
      <c r="DB4" s="74">
        <v>43257</v>
      </c>
      <c r="DC4" s="74">
        <v>43258</v>
      </c>
      <c r="DD4" s="74">
        <v>43259</v>
      </c>
      <c r="DE4" s="74">
        <v>43260</v>
      </c>
      <c r="DF4" s="74">
        <v>43261</v>
      </c>
      <c r="DG4" s="74">
        <v>43262</v>
      </c>
      <c r="DH4" s="74">
        <v>43263</v>
      </c>
      <c r="DI4" s="74">
        <v>43264</v>
      </c>
      <c r="DJ4" s="74">
        <v>43265</v>
      </c>
      <c r="DK4" s="74">
        <v>43266</v>
      </c>
      <c r="DL4" s="74">
        <v>43267</v>
      </c>
      <c r="DM4" s="74">
        <v>43268</v>
      </c>
      <c r="DN4" s="74">
        <v>43269</v>
      </c>
      <c r="DO4" s="74">
        <v>43270</v>
      </c>
      <c r="DP4" s="74">
        <v>43271</v>
      </c>
      <c r="DQ4" s="74">
        <v>43272</v>
      </c>
      <c r="DR4" s="74">
        <v>43273</v>
      </c>
      <c r="DS4" s="74">
        <v>43274</v>
      </c>
      <c r="DT4" s="74">
        <v>43275</v>
      </c>
      <c r="DU4" s="74">
        <v>43276</v>
      </c>
      <c r="DV4" s="74">
        <v>43277</v>
      </c>
      <c r="DW4" s="74">
        <v>43278</v>
      </c>
      <c r="DX4" s="74">
        <v>43279</v>
      </c>
      <c r="DY4" s="74">
        <v>43280</v>
      </c>
      <c r="DZ4" s="74">
        <v>43281</v>
      </c>
      <c r="EA4" s="74">
        <v>43282</v>
      </c>
      <c r="EB4" s="74">
        <v>43283</v>
      </c>
      <c r="EC4" s="74">
        <v>43284</v>
      </c>
      <c r="ED4" s="74">
        <v>43285</v>
      </c>
      <c r="EE4" s="74">
        <v>43286</v>
      </c>
      <c r="EF4" s="74">
        <v>43287</v>
      </c>
      <c r="EG4" s="74">
        <v>43288</v>
      </c>
      <c r="EH4" s="74">
        <v>43289</v>
      </c>
      <c r="EI4" s="74">
        <v>43290</v>
      </c>
      <c r="EJ4" s="74">
        <v>43291</v>
      </c>
      <c r="EK4" s="74">
        <v>43292</v>
      </c>
      <c r="EL4" s="74">
        <v>43293</v>
      </c>
      <c r="EM4" s="74">
        <v>43294</v>
      </c>
      <c r="EN4" s="74">
        <v>43295</v>
      </c>
      <c r="EO4" s="74">
        <v>43296</v>
      </c>
      <c r="EP4" s="74">
        <v>43297</v>
      </c>
      <c r="EQ4" s="74">
        <v>43298</v>
      </c>
      <c r="ER4" s="74">
        <v>43299</v>
      </c>
      <c r="ES4" s="74">
        <v>43300</v>
      </c>
      <c r="ET4" s="74">
        <v>43301</v>
      </c>
      <c r="EU4" s="74">
        <v>43302</v>
      </c>
      <c r="EV4" s="74">
        <v>43303</v>
      </c>
      <c r="EW4" s="74">
        <v>43304</v>
      </c>
      <c r="EX4" s="74">
        <v>43305</v>
      </c>
      <c r="EY4" s="74">
        <v>43306</v>
      </c>
      <c r="EZ4" s="74">
        <v>43307</v>
      </c>
      <c r="FA4" s="74">
        <v>43308</v>
      </c>
      <c r="FB4" s="74">
        <v>43309</v>
      </c>
      <c r="FC4" s="74">
        <v>43310</v>
      </c>
      <c r="FD4" s="74">
        <v>43311</v>
      </c>
      <c r="FE4" s="74">
        <v>43312</v>
      </c>
      <c r="FF4" s="74">
        <v>43313</v>
      </c>
      <c r="FG4" s="74">
        <v>43314</v>
      </c>
      <c r="FH4" s="74">
        <v>43315</v>
      </c>
      <c r="FI4" s="74">
        <v>43316</v>
      </c>
      <c r="FJ4" s="74">
        <v>43317</v>
      </c>
      <c r="FK4" s="74">
        <v>43318</v>
      </c>
      <c r="FL4" s="74">
        <v>43319</v>
      </c>
      <c r="FM4" s="74">
        <v>43320</v>
      </c>
      <c r="FN4" s="74">
        <v>43321</v>
      </c>
      <c r="FO4" s="74">
        <v>43322</v>
      </c>
      <c r="FP4" s="74">
        <v>43323</v>
      </c>
      <c r="FQ4" s="74">
        <v>43324</v>
      </c>
      <c r="FR4" s="74">
        <v>43325</v>
      </c>
      <c r="FS4" s="74">
        <v>43326</v>
      </c>
      <c r="FT4" s="74">
        <v>43327</v>
      </c>
      <c r="FU4" s="74">
        <v>43328</v>
      </c>
      <c r="FV4" s="74">
        <v>43329</v>
      </c>
      <c r="FW4" s="74">
        <v>43330</v>
      </c>
      <c r="FX4" s="74">
        <v>43331</v>
      </c>
      <c r="FY4" s="74">
        <v>43332</v>
      </c>
      <c r="FZ4" s="74">
        <v>43333</v>
      </c>
      <c r="GA4" s="74">
        <v>43334</v>
      </c>
      <c r="GB4" s="74">
        <v>43335</v>
      </c>
      <c r="GC4" s="74">
        <v>43336</v>
      </c>
      <c r="GD4" s="74">
        <v>43337</v>
      </c>
      <c r="GE4" s="74">
        <v>43338</v>
      </c>
      <c r="GF4" s="74">
        <v>43339</v>
      </c>
      <c r="GG4" s="74">
        <v>43340</v>
      </c>
      <c r="GH4" s="74">
        <v>43341</v>
      </c>
      <c r="GI4" s="74">
        <v>43342</v>
      </c>
      <c r="GJ4" s="74">
        <v>43343</v>
      </c>
      <c r="GK4" s="74">
        <v>43344</v>
      </c>
      <c r="GL4" s="74">
        <v>43345</v>
      </c>
      <c r="GM4" s="74">
        <v>43346</v>
      </c>
      <c r="GN4" s="74">
        <v>43347</v>
      </c>
      <c r="GO4" s="74">
        <v>43348</v>
      </c>
      <c r="GP4" s="74">
        <v>43349</v>
      </c>
      <c r="GQ4" s="74">
        <v>43350</v>
      </c>
      <c r="GR4" s="74">
        <v>43351</v>
      </c>
      <c r="GS4" s="74">
        <v>43352</v>
      </c>
      <c r="GT4" s="74">
        <v>43353</v>
      </c>
      <c r="GU4" s="74">
        <v>43354</v>
      </c>
      <c r="GV4" s="74">
        <v>43355</v>
      </c>
      <c r="GW4" s="74">
        <v>43356</v>
      </c>
      <c r="GX4" s="74">
        <v>43357</v>
      </c>
      <c r="GY4" s="74">
        <v>43358</v>
      </c>
      <c r="GZ4" s="74">
        <v>43359</v>
      </c>
      <c r="HA4" s="74">
        <v>43360</v>
      </c>
      <c r="HB4" s="74">
        <v>43361</v>
      </c>
      <c r="HC4" s="74">
        <v>43362</v>
      </c>
      <c r="HD4" s="74">
        <v>43363</v>
      </c>
      <c r="HE4" s="74">
        <v>43364</v>
      </c>
      <c r="HF4" s="74">
        <v>43365</v>
      </c>
      <c r="HG4" s="74">
        <v>43366</v>
      </c>
      <c r="HH4" s="74">
        <v>43367</v>
      </c>
      <c r="HI4" s="74">
        <v>43368</v>
      </c>
      <c r="HJ4" s="74">
        <v>43369</v>
      </c>
      <c r="HK4" s="74">
        <v>43370</v>
      </c>
      <c r="HL4" s="74">
        <v>43371</v>
      </c>
      <c r="HM4" s="74">
        <v>43372</v>
      </c>
      <c r="HN4" s="74">
        <v>43373</v>
      </c>
      <c r="HO4" s="74">
        <v>43374</v>
      </c>
      <c r="HP4" s="74">
        <v>43375</v>
      </c>
      <c r="HQ4" s="74">
        <v>43376</v>
      </c>
      <c r="HR4" s="74">
        <v>43377</v>
      </c>
      <c r="HS4" s="74">
        <v>43378</v>
      </c>
      <c r="HT4" s="74">
        <v>43379</v>
      </c>
      <c r="HU4" s="74">
        <v>43380</v>
      </c>
      <c r="HV4" s="74">
        <v>43381</v>
      </c>
      <c r="HW4" s="74">
        <v>43382</v>
      </c>
      <c r="HX4" s="74">
        <v>43383</v>
      </c>
      <c r="HY4" s="74">
        <v>43384</v>
      </c>
      <c r="HZ4" s="74">
        <v>43385</v>
      </c>
      <c r="IA4" s="74">
        <v>43386</v>
      </c>
      <c r="IB4" s="74">
        <v>43387</v>
      </c>
      <c r="IC4" s="74">
        <v>43388</v>
      </c>
      <c r="ID4" s="74">
        <v>43389</v>
      </c>
      <c r="IE4" s="74">
        <v>43390</v>
      </c>
      <c r="IF4" s="74">
        <v>43391</v>
      </c>
      <c r="IG4" s="74">
        <v>43392</v>
      </c>
      <c r="IH4" s="74">
        <v>43393</v>
      </c>
      <c r="II4" s="74">
        <v>43394</v>
      </c>
      <c r="IJ4" s="74">
        <v>43395</v>
      </c>
      <c r="IK4" s="74">
        <v>43396</v>
      </c>
      <c r="IL4" s="74">
        <v>43397</v>
      </c>
      <c r="IM4" s="74">
        <v>43398</v>
      </c>
      <c r="IN4" s="74">
        <v>43399</v>
      </c>
      <c r="IO4" s="74">
        <v>43400</v>
      </c>
      <c r="IP4" s="74">
        <v>43401</v>
      </c>
      <c r="IQ4" s="74">
        <v>43402</v>
      </c>
      <c r="IR4" s="74">
        <v>43403</v>
      </c>
      <c r="IS4" s="74">
        <v>43404</v>
      </c>
      <c r="IT4" s="74">
        <v>43405</v>
      </c>
      <c r="IU4" s="74">
        <v>43406</v>
      </c>
      <c r="IV4" s="74">
        <v>43407</v>
      </c>
      <c r="IW4" s="74">
        <v>43408</v>
      </c>
      <c r="IX4" s="74">
        <v>43409</v>
      </c>
      <c r="IY4" s="74">
        <v>43410</v>
      </c>
      <c r="IZ4" s="74">
        <v>43411</v>
      </c>
      <c r="JA4" s="74">
        <v>43412</v>
      </c>
      <c r="JB4" s="74">
        <v>43413</v>
      </c>
      <c r="JC4" s="74">
        <v>43414</v>
      </c>
      <c r="JD4" s="74">
        <v>43415</v>
      </c>
      <c r="JE4" s="74">
        <v>43416</v>
      </c>
      <c r="JF4" s="74">
        <v>43417</v>
      </c>
      <c r="JG4" s="74">
        <v>43418</v>
      </c>
      <c r="JH4" s="74">
        <v>43419</v>
      </c>
      <c r="JI4" s="74">
        <v>43420</v>
      </c>
      <c r="JJ4" s="74">
        <v>43421</v>
      </c>
      <c r="JK4" s="74">
        <v>43422</v>
      </c>
      <c r="JL4" s="74">
        <v>43423</v>
      </c>
      <c r="JM4" s="74">
        <v>43424</v>
      </c>
      <c r="JN4" s="74">
        <v>43425</v>
      </c>
      <c r="JO4" s="74">
        <v>43426</v>
      </c>
      <c r="JP4" s="74">
        <v>43427</v>
      </c>
      <c r="JQ4" s="74">
        <v>43428</v>
      </c>
      <c r="JR4" s="74">
        <v>43429</v>
      </c>
      <c r="JS4" s="74">
        <v>43430</v>
      </c>
      <c r="JT4" s="74">
        <v>43431</v>
      </c>
      <c r="JU4" s="74">
        <v>43432</v>
      </c>
      <c r="JV4" s="74">
        <v>43433</v>
      </c>
      <c r="JW4" s="74">
        <v>43434</v>
      </c>
      <c r="JX4" s="74">
        <v>43435</v>
      </c>
      <c r="JY4" s="74">
        <v>43436</v>
      </c>
      <c r="JZ4" s="74">
        <v>43437</v>
      </c>
      <c r="KA4" s="74">
        <v>43438</v>
      </c>
      <c r="KB4" s="74">
        <v>43439</v>
      </c>
      <c r="KC4" s="74">
        <v>43440</v>
      </c>
      <c r="KD4" s="74">
        <v>43441</v>
      </c>
      <c r="KE4" s="74">
        <v>43442</v>
      </c>
      <c r="KF4" s="74">
        <v>43443</v>
      </c>
      <c r="KG4" s="74">
        <v>43444</v>
      </c>
      <c r="KH4" s="74">
        <v>43445</v>
      </c>
      <c r="KI4" s="74">
        <v>43446</v>
      </c>
      <c r="KJ4" s="74">
        <v>43447</v>
      </c>
      <c r="KK4" s="74">
        <v>43448</v>
      </c>
      <c r="KL4" s="74">
        <v>43449</v>
      </c>
      <c r="KM4" s="74">
        <v>43450</v>
      </c>
      <c r="KN4" s="74">
        <v>43451</v>
      </c>
      <c r="KO4" s="74">
        <v>43452</v>
      </c>
      <c r="KP4" s="74">
        <v>43453</v>
      </c>
      <c r="KQ4" s="74">
        <v>43454</v>
      </c>
      <c r="KR4" s="74">
        <v>43455</v>
      </c>
      <c r="KS4" s="74">
        <v>43456</v>
      </c>
      <c r="KT4" s="74">
        <v>43457</v>
      </c>
      <c r="KU4" s="74">
        <v>43458</v>
      </c>
      <c r="KV4" s="74">
        <v>43459</v>
      </c>
      <c r="KW4" s="74">
        <v>43460</v>
      </c>
      <c r="KX4" s="74">
        <v>43461</v>
      </c>
      <c r="KY4" s="74">
        <v>43462</v>
      </c>
      <c r="KZ4" s="74">
        <v>43463</v>
      </c>
      <c r="LA4" s="74">
        <v>43464</v>
      </c>
      <c r="LB4" s="74">
        <v>43465</v>
      </c>
      <c r="LC4" s="74">
        <v>43466</v>
      </c>
      <c r="LD4" s="74">
        <v>43467</v>
      </c>
      <c r="LE4" s="74">
        <v>43468</v>
      </c>
      <c r="LF4" s="74">
        <v>43469</v>
      </c>
      <c r="LG4" s="74">
        <v>43470</v>
      </c>
      <c r="LH4" s="74">
        <v>43471</v>
      </c>
      <c r="LI4" s="74">
        <v>43472</v>
      </c>
      <c r="LJ4" s="74">
        <v>43473</v>
      </c>
      <c r="LK4" s="74">
        <v>43474</v>
      </c>
      <c r="LL4" s="74">
        <v>43475</v>
      </c>
      <c r="LM4" s="74">
        <v>43476</v>
      </c>
      <c r="LN4" s="74">
        <v>43477</v>
      </c>
      <c r="LO4" s="74">
        <v>43478</v>
      </c>
      <c r="LP4" s="74">
        <v>43479</v>
      </c>
      <c r="LQ4" s="74">
        <v>43480</v>
      </c>
      <c r="LR4" s="74">
        <v>43481</v>
      </c>
      <c r="LS4" s="74">
        <v>43482</v>
      </c>
      <c r="LT4" s="74">
        <v>43483</v>
      </c>
      <c r="LU4" s="74">
        <v>43484</v>
      </c>
      <c r="LV4" s="74">
        <v>43485</v>
      </c>
      <c r="LW4" s="74">
        <v>43486</v>
      </c>
      <c r="LX4" s="74">
        <v>43487</v>
      </c>
      <c r="LY4" s="74">
        <v>43488</v>
      </c>
      <c r="LZ4" s="74">
        <v>43489</v>
      </c>
      <c r="MA4" s="74">
        <v>43490</v>
      </c>
      <c r="MB4" s="74">
        <v>43491</v>
      </c>
      <c r="MC4" s="74">
        <v>43492</v>
      </c>
      <c r="MD4" s="74">
        <v>43493</v>
      </c>
      <c r="ME4" s="74">
        <v>43494</v>
      </c>
      <c r="MF4" s="74">
        <v>43495</v>
      </c>
      <c r="MG4" s="74">
        <v>43496</v>
      </c>
      <c r="MH4" s="74">
        <v>43497</v>
      </c>
      <c r="MI4" s="74">
        <v>43498</v>
      </c>
      <c r="MJ4" s="74">
        <v>43499</v>
      </c>
      <c r="MK4" s="74">
        <v>43500</v>
      </c>
      <c r="ML4" s="74">
        <v>43501</v>
      </c>
      <c r="MM4" s="74">
        <v>43502</v>
      </c>
    </row>
    <row r="5" spans="1:351" ht="36" customHeight="1">
      <c r="A5" s="79">
        <f>HOUR(B5)</f>
        <v>0</v>
      </c>
      <c r="B5" s="75">
        <v>0</v>
      </c>
      <c r="C5" s="196" t="s">
        <v>695</v>
      </c>
      <c r="D5" s="196" t="s">
        <v>695</v>
      </c>
      <c r="E5" s="196" t="s">
        <v>695</v>
      </c>
      <c r="F5" s="196" t="s">
        <v>690</v>
      </c>
      <c r="G5" s="196" t="s">
        <v>690</v>
      </c>
      <c r="H5" s="196" t="s">
        <v>690</v>
      </c>
      <c r="I5" s="196" t="s">
        <v>690</v>
      </c>
      <c r="J5" s="196" t="s">
        <v>690</v>
      </c>
      <c r="K5" s="196" t="s">
        <v>690</v>
      </c>
      <c r="L5" s="196" t="s">
        <v>690</v>
      </c>
      <c r="M5" s="212" t="s">
        <v>691</v>
      </c>
      <c r="N5" s="213" t="s">
        <v>691</v>
      </c>
      <c r="O5" s="196" t="s">
        <v>691</v>
      </c>
      <c r="P5" s="196" t="s">
        <v>691</v>
      </c>
      <c r="Q5" s="196" t="s">
        <v>691</v>
      </c>
      <c r="R5" s="196" t="s">
        <v>691</v>
      </c>
      <c r="S5" s="196" t="s">
        <v>691</v>
      </c>
      <c r="T5" s="197" t="s">
        <v>692</v>
      </c>
      <c r="U5" s="196" t="s">
        <v>692</v>
      </c>
      <c r="V5" s="196" t="s">
        <v>692</v>
      </c>
      <c r="W5" s="233" t="s">
        <v>692</v>
      </c>
      <c r="X5" s="196" t="s">
        <v>692</v>
      </c>
      <c r="Y5" s="196" t="s">
        <v>692</v>
      </c>
      <c r="Z5" s="196" t="s">
        <v>692</v>
      </c>
      <c r="AA5" s="197" t="s">
        <v>693</v>
      </c>
      <c r="AB5" s="196" t="s">
        <v>693</v>
      </c>
      <c r="AC5" s="196" t="s">
        <v>693</v>
      </c>
      <c r="AD5" s="196" t="s">
        <v>693</v>
      </c>
      <c r="AE5" s="196" t="s">
        <v>693</v>
      </c>
      <c r="AF5" s="196" t="s">
        <v>693</v>
      </c>
      <c r="AG5" s="196" t="s">
        <v>693</v>
      </c>
      <c r="AH5" s="196" t="s">
        <v>694</v>
      </c>
      <c r="AI5" s="196" t="s">
        <v>694</v>
      </c>
      <c r="AJ5" s="196" t="s">
        <v>694</v>
      </c>
      <c r="AK5" s="196" t="s">
        <v>694</v>
      </c>
      <c r="AL5" s="196" t="s">
        <v>694</v>
      </c>
      <c r="AM5" s="196" t="s">
        <v>694</v>
      </c>
      <c r="AN5" s="196" t="s">
        <v>694</v>
      </c>
      <c r="AR5" s="176" t="s">
        <v>659</v>
      </c>
      <c r="BH5" s="163" t="s">
        <v>662</v>
      </c>
      <c r="BW5" s="178" t="s">
        <v>660</v>
      </c>
    </row>
    <row r="6" spans="1:351" ht="24.95" customHeight="1">
      <c r="A6" s="79">
        <f>HOUR(B6)</f>
        <v>1</v>
      </c>
      <c r="B6" s="75">
        <v>4.1666666666666699E-2</v>
      </c>
      <c r="G6" s="117" t="s">
        <v>679</v>
      </c>
      <c r="H6" s="117" t="s">
        <v>711</v>
      </c>
      <c r="I6" s="117" t="s">
        <v>711</v>
      </c>
      <c r="J6" s="117" t="s">
        <v>711</v>
      </c>
      <c r="K6" s="117" t="s">
        <v>711</v>
      </c>
      <c r="L6" s="117" t="s">
        <v>711</v>
      </c>
      <c r="M6" s="117" t="s">
        <v>711</v>
      </c>
      <c r="N6" s="210" t="s">
        <v>712</v>
      </c>
      <c r="O6" s="117" t="s">
        <v>712</v>
      </c>
      <c r="P6" s="117" t="s">
        <v>712</v>
      </c>
      <c r="Q6" s="117" t="s">
        <v>712</v>
      </c>
      <c r="R6" s="117" t="s">
        <v>712</v>
      </c>
      <c r="S6" s="117" t="s">
        <v>712</v>
      </c>
      <c r="T6" s="117" t="s">
        <v>712</v>
      </c>
      <c r="U6" s="117" t="s">
        <v>711</v>
      </c>
      <c r="V6" s="117" t="s">
        <v>711</v>
      </c>
      <c r="W6" s="117" t="s">
        <v>711</v>
      </c>
      <c r="X6" s="117" t="s">
        <v>711</v>
      </c>
      <c r="Y6" s="117" t="s">
        <v>711</v>
      </c>
      <c r="Z6" s="117" t="s">
        <v>711</v>
      </c>
      <c r="AA6" s="198"/>
      <c r="AR6" s="175"/>
      <c r="BH6" s="162"/>
      <c r="BW6" s="179" t="s">
        <v>661</v>
      </c>
    </row>
    <row r="7" spans="1:351" ht="35.25" customHeight="1">
      <c r="A7" s="79">
        <f t="shared" ref="A7:A28" si="0">HOUR(B7)</f>
        <v>2</v>
      </c>
      <c r="B7" s="75">
        <v>8.3333333333333301E-2</v>
      </c>
      <c r="C7" s="165" t="s">
        <v>217</v>
      </c>
      <c r="D7" s="165" t="s">
        <v>217</v>
      </c>
      <c r="E7" s="165" t="s">
        <v>217</v>
      </c>
      <c r="F7" s="142" t="s">
        <v>192</v>
      </c>
      <c r="G7" s="142" t="s">
        <v>192</v>
      </c>
      <c r="H7" s="228" t="s">
        <v>241</v>
      </c>
      <c r="I7" s="144" t="s">
        <v>737</v>
      </c>
      <c r="J7" s="145" t="s">
        <v>242</v>
      </c>
      <c r="K7" s="142" t="s">
        <v>7</v>
      </c>
      <c r="L7" s="142" t="s">
        <v>7</v>
      </c>
      <c r="M7" s="165" t="s">
        <v>217</v>
      </c>
      <c r="N7" s="214" t="s">
        <v>217</v>
      </c>
      <c r="O7" s="165" t="s">
        <v>217</v>
      </c>
      <c r="P7" s="165" t="s">
        <v>217</v>
      </c>
      <c r="Q7" s="165" t="s">
        <v>217</v>
      </c>
      <c r="R7" s="165" t="s">
        <v>217</v>
      </c>
      <c r="S7" s="165" t="s">
        <v>217</v>
      </c>
      <c r="T7" s="198" t="s">
        <v>217</v>
      </c>
      <c r="U7" s="165" t="s">
        <v>217</v>
      </c>
      <c r="V7" s="165" t="s">
        <v>217</v>
      </c>
      <c r="W7" s="240" t="s">
        <v>745</v>
      </c>
      <c r="X7" s="165" t="s">
        <v>217</v>
      </c>
      <c r="Y7" s="199" t="s">
        <v>292</v>
      </c>
      <c r="AA7" s="238" t="s">
        <v>696</v>
      </c>
      <c r="AR7" s="175"/>
      <c r="BH7" s="162"/>
      <c r="BW7" s="177"/>
    </row>
    <row r="8" spans="1:351" s="71" customFormat="1" ht="33.75" customHeight="1">
      <c r="A8" s="79">
        <f t="shared" si="0"/>
        <v>3</v>
      </c>
      <c r="B8" s="75">
        <v>0.125</v>
      </c>
      <c r="C8" s="145" t="s">
        <v>241</v>
      </c>
      <c r="D8" s="145" t="s">
        <v>241</v>
      </c>
      <c r="E8" s="227" t="s">
        <v>192</v>
      </c>
      <c r="F8" s="145" t="s">
        <v>685</v>
      </c>
      <c r="G8" s="145" t="s">
        <v>685</v>
      </c>
      <c r="H8" s="144" t="s">
        <v>241</v>
      </c>
      <c r="I8" s="146" t="s">
        <v>733</v>
      </c>
      <c r="J8" s="145" t="s">
        <v>242</v>
      </c>
      <c r="K8" s="145" t="s">
        <v>242</v>
      </c>
      <c r="L8" s="145" t="s">
        <v>242</v>
      </c>
      <c r="M8" s="232" t="s">
        <v>739</v>
      </c>
      <c r="N8" s="237" t="s">
        <v>697</v>
      </c>
      <c r="T8" s="236" t="s">
        <v>59</v>
      </c>
      <c r="W8" s="235" t="s">
        <v>743</v>
      </c>
      <c r="Y8" s="165"/>
      <c r="AA8" s="238" t="s">
        <v>216</v>
      </c>
      <c r="AR8" s="175"/>
      <c r="BW8" s="177"/>
    </row>
    <row r="9" spans="1:351" ht="32.25" customHeight="1">
      <c r="A9" s="79">
        <f t="shared" si="0"/>
        <v>4</v>
      </c>
      <c r="B9" s="75">
        <v>0.16666666666666699</v>
      </c>
      <c r="C9" s="146" t="s">
        <v>282</v>
      </c>
      <c r="D9" s="145" t="s">
        <v>297</v>
      </c>
      <c r="E9" s="227" t="s">
        <v>192</v>
      </c>
      <c r="F9" s="145" t="s">
        <v>686</v>
      </c>
      <c r="G9" s="146" t="s">
        <v>688</v>
      </c>
      <c r="H9" s="146" t="s">
        <v>733</v>
      </c>
      <c r="I9" s="144" t="s">
        <v>737</v>
      </c>
      <c r="J9" s="145" t="s">
        <v>242</v>
      </c>
      <c r="K9" s="142" t="s">
        <v>7</v>
      </c>
      <c r="L9" s="142" t="s">
        <v>7</v>
      </c>
      <c r="M9" s="165"/>
      <c r="N9" s="172" t="s">
        <v>712</v>
      </c>
      <c r="O9" s="231" t="s">
        <v>733</v>
      </c>
      <c r="P9" s="231" t="s">
        <v>733</v>
      </c>
      <c r="Q9" s="231" t="s">
        <v>733</v>
      </c>
      <c r="R9" s="231" t="s">
        <v>733</v>
      </c>
      <c r="S9" s="231" t="s">
        <v>733</v>
      </c>
      <c r="T9" s="239" t="s">
        <v>712</v>
      </c>
      <c r="U9" s="231" t="s">
        <v>733</v>
      </c>
      <c r="V9" s="231" t="s">
        <v>744</v>
      </c>
      <c r="W9" s="234"/>
      <c r="Y9" s="165"/>
      <c r="AA9" s="238" t="s">
        <v>278</v>
      </c>
      <c r="AR9" s="175"/>
      <c r="BH9" s="162"/>
      <c r="BW9" s="177"/>
    </row>
    <row r="10" spans="1:351" ht="29.25" customHeight="1">
      <c r="A10" s="79">
        <f t="shared" si="0"/>
        <v>5</v>
      </c>
      <c r="B10" s="75">
        <v>0.20833333333333301</v>
      </c>
      <c r="C10" s="145" t="s">
        <v>241</v>
      </c>
      <c r="D10" s="145" t="s">
        <v>297</v>
      </c>
      <c r="E10" s="227" t="s">
        <v>192</v>
      </c>
      <c r="F10" s="194" t="s">
        <v>687</v>
      </c>
      <c r="G10" s="200" t="s">
        <v>688</v>
      </c>
      <c r="H10" s="144" t="s">
        <v>241</v>
      </c>
      <c r="I10" s="144" t="s">
        <v>737</v>
      </c>
      <c r="J10" s="145" t="s">
        <v>242</v>
      </c>
      <c r="K10" s="145" t="s">
        <v>242</v>
      </c>
      <c r="L10" s="145" t="s">
        <v>242</v>
      </c>
      <c r="M10" s="165"/>
      <c r="N10" s="214"/>
      <c r="T10" s="198"/>
      <c r="W10" s="234"/>
      <c r="Y10" s="165"/>
      <c r="AA10" s="198"/>
      <c r="AR10" s="175"/>
      <c r="BH10" s="162"/>
      <c r="BW10" s="177"/>
    </row>
    <row r="11" spans="1:351" ht="41.25" customHeight="1">
      <c r="A11" s="79">
        <f t="shared" si="0"/>
        <v>6</v>
      </c>
      <c r="B11" s="75">
        <v>0.25</v>
      </c>
      <c r="C11" s="143" t="s">
        <v>60</v>
      </c>
      <c r="D11" s="146" t="s">
        <v>300</v>
      </c>
      <c r="E11" s="227" t="s">
        <v>192</v>
      </c>
      <c r="F11" s="144" t="s">
        <v>243</v>
      </c>
      <c r="G11" s="142" t="s">
        <v>60</v>
      </c>
      <c r="J11" s="145" t="s">
        <v>242</v>
      </c>
      <c r="K11" s="145" t="s">
        <v>242</v>
      </c>
      <c r="L11" s="142" t="s">
        <v>7</v>
      </c>
      <c r="M11" s="165"/>
      <c r="N11" s="214"/>
      <c r="T11" s="198"/>
      <c r="W11" s="234"/>
      <c r="Y11" s="165"/>
      <c r="AA11" s="198"/>
      <c r="AR11" s="175"/>
      <c r="BH11" s="162"/>
      <c r="BW11" s="177"/>
    </row>
    <row r="12" spans="1:351" ht="39.75" customHeight="1">
      <c r="A12" s="79">
        <f t="shared" si="0"/>
        <v>7</v>
      </c>
      <c r="B12" s="75">
        <v>0.29166666666666702</v>
      </c>
      <c r="C12" s="143" t="s">
        <v>291</v>
      </c>
      <c r="D12" s="145" t="s">
        <v>298</v>
      </c>
      <c r="E12" s="225" t="s">
        <v>651</v>
      </c>
      <c r="F12" s="142" t="s">
        <v>192</v>
      </c>
      <c r="G12" s="218" t="s">
        <v>686</v>
      </c>
      <c r="H12" s="117" t="s">
        <v>60</v>
      </c>
      <c r="K12" s="245"/>
      <c r="L12" s="245"/>
      <c r="M12" s="165"/>
      <c r="N12" s="214"/>
      <c r="T12" s="198"/>
      <c r="W12" s="234"/>
      <c r="Y12" s="165"/>
      <c r="AA12" s="198"/>
      <c r="AR12" s="175"/>
      <c r="BH12" s="162"/>
      <c r="BW12" s="177"/>
    </row>
    <row r="13" spans="1:351" ht="24.95" customHeight="1">
      <c r="A13" s="79">
        <f t="shared" si="0"/>
        <v>8</v>
      </c>
      <c r="B13" s="75">
        <v>0.33333333333333298</v>
      </c>
      <c r="C13" s="144" t="s">
        <v>243</v>
      </c>
      <c r="D13" s="145" t="s">
        <v>299</v>
      </c>
      <c r="E13" s="225" t="s">
        <v>651</v>
      </c>
      <c r="F13" s="144" t="s">
        <v>243</v>
      </c>
      <c r="G13" s="142" t="s">
        <v>192</v>
      </c>
      <c r="H13" s="142" t="s">
        <v>192</v>
      </c>
      <c r="I13" s="244" t="s">
        <v>746</v>
      </c>
      <c r="K13" s="245"/>
      <c r="L13" s="245"/>
      <c r="M13" s="165"/>
      <c r="N13" s="214"/>
      <c r="T13" s="198"/>
      <c r="W13" s="234"/>
      <c r="Y13" s="165"/>
      <c r="AA13" s="198"/>
      <c r="AR13" s="175"/>
      <c r="BH13" s="162"/>
      <c r="BW13" s="177"/>
    </row>
    <row r="14" spans="1:351" ht="36" customHeight="1">
      <c r="A14" s="79">
        <f t="shared" si="0"/>
        <v>9</v>
      </c>
      <c r="B14" s="75">
        <v>0.375</v>
      </c>
      <c r="C14" s="144" t="s">
        <v>243</v>
      </c>
      <c r="D14" s="141" t="s">
        <v>295</v>
      </c>
      <c r="E14" s="226" t="s">
        <v>652</v>
      </c>
      <c r="F14" s="144" t="s">
        <v>243</v>
      </c>
      <c r="H14" s="142" t="s">
        <v>192</v>
      </c>
      <c r="K14" s="245"/>
      <c r="L14" s="245"/>
      <c r="M14" s="165"/>
      <c r="N14" s="214"/>
      <c r="T14" s="198"/>
      <c r="W14" s="234"/>
      <c r="Y14" s="165"/>
      <c r="AA14" s="198"/>
      <c r="AR14" s="175"/>
      <c r="BH14" s="162"/>
      <c r="BW14" s="177"/>
    </row>
    <row r="15" spans="1:351" ht="24.95" customHeight="1">
      <c r="A15" s="79">
        <f t="shared" si="0"/>
        <v>10</v>
      </c>
      <c r="B15" s="75">
        <v>0.41666666666666702</v>
      </c>
      <c r="C15" s="144" t="s">
        <v>243</v>
      </c>
      <c r="D15" s="141" t="s">
        <v>60</v>
      </c>
      <c r="E15" s="172" t="s">
        <v>271</v>
      </c>
      <c r="F15" s="144" t="s">
        <v>243</v>
      </c>
      <c r="K15" s="245"/>
      <c r="L15" s="245"/>
      <c r="M15" s="165"/>
      <c r="N15" s="214"/>
      <c r="T15" s="198"/>
      <c r="W15" s="234"/>
      <c r="Y15" s="165"/>
      <c r="AA15" s="198"/>
      <c r="AR15" s="175"/>
      <c r="BH15" s="162"/>
      <c r="BW15" s="177"/>
    </row>
    <row r="16" spans="1:351" ht="24.75" customHeight="1">
      <c r="A16" s="79">
        <f t="shared" si="0"/>
        <v>11</v>
      </c>
      <c r="B16" s="75">
        <v>0.45833333333333298</v>
      </c>
      <c r="C16" s="144" t="s">
        <v>243</v>
      </c>
      <c r="D16" s="141" t="s">
        <v>60</v>
      </c>
      <c r="E16" s="172" t="s">
        <v>271</v>
      </c>
      <c r="F16" s="144" t="s">
        <v>243</v>
      </c>
      <c r="J16" s="117"/>
      <c r="K16" s="245"/>
      <c r="L16" s="245"/>
      <c r="M16" s="165"/>
      <c r="N16" s="214"/>
      <c r="T16" s="198"/>
      <c r="W16" s="234"/>
      <c r="Y16" s="165"/>
      <c r="AA16" s="198"/>
      <c r="AR16" s="175"/>
      <c r="BH16" s="162"/>
      <c r="BW16" s="177"/>
    </row>
    <row r="17" spans="1:75" ht="26.1" customHeight="1">
      <c r="A17" s="79">
        <f t="shared" si="0"/>
        <v>12</v>
      </c>
      <c r="B17" s="75">
        <v>0.5</v>
      </c>
      <c r="C17" s="144" t="s">
        <v>243</v>
      </c>
      <c r="D17" s="141" t="s">
        <v>60</v>
      </c>
      <c r="E17" s="172" t="s">
        <v>655</v>
      </c>
      <c r="F17" s="144" t="s">
        <v>243</v>
      </c>
      <c r="K17" s="245"/>
      <c r="L17" s="245"/>
      <c r="M17" s="165"/>
      <c r="N17" s="214"/>
      <c r="T17" s="198"/>
      <c r="W17" s="234"/>
      <c r="Y17" s="165"/>
      <c r="AA17" s="198"/>
      <c r="AR17" s="175"/>
      <c r="BH17" s="162"/>
      <c r="BW17" s="177"/>
    </row>
    <row r="18" spans="1:75" ht="24.95" customHeight="1">
      <c r="A18" s="79">
        <f t="shared" si="0"/>
        <v>13</v>
      </c>
      <c r="B18" s="75">
        <v>0.54166666666666696</v>
      </c>
      <c r="C18" s="144" t="s">
        <v>243</v>
      </c>
      <c r="D18" s="142" t="s">
        <v>289</v>
      </c>
      <c r="E18" s="172" t="s">
        <v>655</v>
      </c>
      <c r="F18" s="180" t="s">
        <v>192</v>
      </c>
      <c r="G18" s="117"/>
      <c r="H18" s="141" t="s">
        <v>60</v>
      </c>
      <c r="I18" s="117" t="s">
        <v>756</v>
      </c>
      <c r="J18" s="117" t="s">
        <v>756</v>
      </c>
      <c r="K18" s="245"/>
      <c r="L18" s="245"/>
      <c r="M18" s="165"/>
      <c r="N18" s="214"/>
      <c r="T18" s="198"/>
      <c r="W18" s="234"/>
      <c r="Y18" s="165"/>
      <c r="AA18" s="198"/>
      <c r="AR18" s="175"/>
      <c r="BH18" s="162"/>
      <c r="BW18" s="177"/>
    </row>
    <row r="19" spans="1:75" ht="24.95" customHeight="1">
      <c r="A19" s="79">
        <f t="shared" si="0"/>
        <v>14</v>
      </c>
      <c r="B19" s="75">
        <v>0.58333333333333304</v>
      </c>
      <c r="C19" s="143" t="s">
        <v>244</v>
      </c>
      <c r="D19" s="141" t="s">
        <v>284</v>
      </c>
      <c r="E19" s="172" t="s">
        <v>655</v>
      </c>
      <c r="F19" s="144" t="s">
        <v>243</v>
      </c>
      <c r="H19" s="141" t="s">
        <v>278</v>
      </c>
      <c r="I19" s="117"/>
      <c r="K19" s="245"/>
      <c r="L19" s="245"/>
      <c r="M19" s="165"/>
      <c r="N19" s="214"/>
      <c r="T19" s="198"/>
      <c r="W19" s="234"/>
      <c r="Y19" s="165"/>
      <c r="AA19" s="198"/>
      <c r="AR19" s="175"/>
      <c r="BH19" s="162"/>
      <c r="BW19" s="177"/>
    </row>
    <row r="20" spans="1:75" ht="24.75" customHeight="1">
      <c r="A20" s="79">
        <f t="shared" si="0"/>
        <v>15</v>
      </c>
      <c r="B20" s="75">
        <v>0.625</v>
      </c>
      <c r="C20" s="143" t="s">
        <v>192</v>
      </c>
      <c r="D20" s="142" t="s">
        <v>289</v>
      </c>
      <c r="E20" s="141" t="s">
        <v>647</v>
      </c>
      <c r="F20" s="144" t="s">
        <v>243</v>
      </c>
      <c r="H20" s="145" t="s">
        <v>737</v>
      </c>
      <c r="I20" s="142" t="s">
        <v>192</v>
      </c>
      <c r="K20" s="245"/>
      <c r="L20" s="245"/>
      <c r="M20" s="165"/>
      <c r="N20" s="214"/>
      <c r="T20" s="198"/>
      <c r="W20" s="234"/>
      <c r="Y20" s="165"/>
      <c r="AA20" s="198"/>
      <c r="AR20" s="175"/>
      <c r="BH20" s="162"/>
      <c r="BW20" s="177"/>
    </row>
    <row r="21" spans="1:75" ht="41.25" customHeight="1">
      <c r="A21" s="79">
        <f t="shared" si="0"/>
        <v>16</v>
      </c>
      <c r="B21" s="75">
        <v>0.66666666666666696</v>
      </c>
      <c r="C21" s="141" t="s">
        <v>60</v>
      </c>
      <c r="D21" s="142" t="s">
        <v>289</v>
      </c>
      <c r="E21" s="141" t="s">
        <v>648</v>
      </c>
      <c r="F21" s="143" t="s">
        <v>677</v>
      </c>
      <c r="G21" s="141" t="s">
        <v>681</v>
      </c>
      <c r="H21" s="211" t="s">
        <v>713</v>
      </c>
      <c r="I21" s="142" t="s">
        <v>192</v>
      </c>
      <c r="J21" s="141" t="s">
        <v>732</v>
      </c>
      <c r="K21" s="245"/>
      <c r="L21" s="245"/>
      <c r="M21" s="165"/>
      <c r="N21" s="214"/>
      <c r="T21" s="198"/>
      <c r="W21" s="234"/>
      <c r="Y21" s="165"/>
      <c r="AA21" s="198"/>
      <c r="AR21" s="175"/>
      <c r="BH21" s="162"/>
      <c r="BW21" s="177"/>
    </row>
    <row r="22" spans="1:75" ht="31.5" customHeight="1">
      <c r="A22" s="79">
        <f t="shared" si="0"/>
        <v>17</v>
      </c>
      <c r="B22" s="75">
        <v>0.70833333333333304</v>
      </c>
      <c r="C22" s="141" t="s">
        <v>60</v>
      </c>
      <c r="D22" s="141" t="s">
        <v>294</v>
      </c>
      <c r="E22" s="141" t="s">
        <v>649</v>
      </c>
      <c r="F22" s="141" t="s">
        <v>663</v>
      </c>
      <c r="G22" s="141" t="s">
        <v>60</v>
      </c>
      <c r="H22" s="141" t="s">
        <v>742</v>
      </c>
      <c r="I22" s="231" t="s">
        <v>733</v>
      </c>
      <c r="J22" s="246" t="s">
        <v>7</v>
      </c>
      <c r="K22" s="146" t="s">
        <v>733</v>
      </c>
      <c r="L22" s="146" t="s">
        <v>733</v>
      </c>
      <c r="M22" s="146" t="s">
        <v>733</v>
      </c>
      <c r="N22" s="146" t="s">
        <v>733</v>
      </c>
      <c r="O22" s="146" t="s">
        <v>733</v>
      </c>
      <c r="P22" s="211" t="s">
        <v>284</v>
      </c>
      <c r="Q22" s="216" t="s">
        <v>284</v>
      </c>
      <c r="R22" s="211" t="s">
        <v>284</v>
      </c>
      <c r="S22" s="216" t="s">
        <v>284</v>
      </c>
      <c r="T22" s="198"/>
      <c r="U22" s="211" t="s">
        <v>717</v>
      </c>
      <c r="V22" s="211" t="s">
        <v>717</v>
      </c>
      <c r="W22" s="211" t="s">
        <v>717</v>
      </c>
      <c r="X22" s="211" t="s">
        <v>717</v>
      </c>
      <c r="Y22" s="211" t="s">
        <v>717</v>
      </c>
      <c r="Z22" s="211" t="s">
        <v>717</v>
      </c>
      <c r="AA22" s="198"/>
      <c r="AR22" s="175"/>
      <c r="BH22" s="162"/>
      <c r="BW22" s="177"/>
    </row>
    <row r="23" spans="1:75" ht="32.25" customHeight="1">
      <c r="A23" s="79">
        <f t="shared" si="0"/>
        <v>18</v>
      </c>
      <c r="B23" s="75">
        <v>0.75</v>
      </c>
      <c r="C23" s="192" t="s">
        <v>286</v>
      </c>
      <c r="D23" s="141" t="s">
        <v>284</v>
      </c>
      <c r="E23" s="142" t="s">
        <v>192</v>
      </c>
      <c r="F23" s="141" t="s">
        <v>278</v>
      </c>
      <c r="G23" s="141" t="s">
        <v>705</v>
      </c>
      <c r="H23" s="211" t="s">
        <v>741</v>
      </c>
      <c r="I23" s="211" t="s">
        <v>758</v>
      </c>
      <c r="J23" s="216" t="s">
        <v>714</v>
      </c>
      <c r="K23" s="211" t="s">
        <v>715</v>
      </c>
      <c r="L23" s="216" t="s">
        <v>716</v>
      </c>
      <c r="M23" s="211" t="s">
        <v>719</v>
      </c>
      <c r="N23" s="215" t="s">
        <v>284</v>
      </c>
      <c r="O23" s="216" t="s">
        <v>284</v>
      </c>
      <c r="P23" s="141" t="s">
        <v>732</v>
      </c>
      <c r="Q23" s="211" t="s">
        <v>721</v>
      </c>
      <c r="R23" s="141" t="s">
        <v>732</v>
      </c>
      <c r="S23" s="211" t="s">
        <v>723</v>
      </c>
      <c r="T23" s="198"/>
      <c r="U23" s="216" t="s">
        <v>718</v>
      </c>
      <c r="V23" s="216" t="s">
        <v>718</v>
      </c>
      <c r="W23" s="216" t="s">
        <v>718</v>
      </c>
      <c r="X23" s="216" t="s">
        <v>718</v>
      </c>
      <c r="Y23" s="216" t="s">
        <v>718</v>
      </c>
      <c r="Z23" s="216" t="s">
        <v>718</v>
      </c>
      <c r="AA23" s="198"/>
      <c r="AR23" s="175"/>
      <c r="BH23" s="162"/>
      <c r="BW23" s="177"/>
    </row>
    <row r="24" spans="1:75" ht="24.95" customHeight="1">
      <c r="A24" s="79">
        <f t="shared" si="0"/>
        <v>19</v>
      </c>
      <c r="B24" s="75">
        <v>0.79166666666666696</v>
      </c>
      <c r="C24" s="142" t="s">
        <v>293</v>
      </c>
      <c r="D24" s="142" t="s">
        <v>289</v>
      </c>
      <c r="E24" s="142" t="s">
        <v>192</v>
      </c>
      <c r="F24" s="142" t="s">
        <v>279</v>
      </c>
      <c r="G24" s="141" t="s">
        <v>704</v>
      </c>
      <c r="H24" s="141" t="s">
        <v>60</v>
      </c>
      <c r="I24" s="218" t="s">
        <v>760</v>
      </c>
      <c r="J24" s="211" t="s">
        <v>284</v>
      </c>
      <c r="K24" s="141" t="s">
        <v>732</v>
      </c>
      <c r="L24" s="211" t="s">
        <v>721</v>
      </c>
      <c r="M24" s="141" t="s">
        <v>732</v>
      </c>
      <c r="N24" s="141" t="s">
        <v>732</v>
      </c>
      <c r="O24" s="211" t="s">
        <v>722</v>
      </c>
      <c r="Q24" s="141" t="s">
        <v>732</v>
      </c>
      <c r="S24" s="141" t="s">
        <v>732</v>
      </c>
      <c r="T24" s="198"/>
      <c r="U24" s="211" t="s">
        <v>720</v>
      </c>
      <c r="V24" s="211" t="s">
        <v>720</v>
      </c>
      <c r="W24" s="211" t="s">
        <v>720</v>
      </c>
      <c r="X24" s="211" t="s">
        <v>720</v>
      </c>
      <c r="Y24" s="211" t="s">
        <v>720</v>
      </c>
      <c r="Z24" s="211" t="s">
        <v>720</v>
      </c>
      <c r="AA24" s="198"/>
      <c r="AR24" s="175"/>
      <c r="BH24" s="162"/>
      <c r="BW24" s="177"/>
    </row>
    <row r="25" spans="1:75" ht="32.25" customHeight="1">
      <c r="A25" s="79">
        <f t="shared" si="0"/>
        <v>20</v>
      </c>
      <c r="B25" s="75">
        <v>0.83333333333333304</v>
      </c>
      <c r="C25" s="145" t="s">
        <v>241</v>
      </c>
      <c r="D25" s="142" t="s">
        <v>289</v>
      </c>
      <c r="E25" s="142" t="s">
        <v>289</v>
      </c>
      <c r="F25" s="219" t="s">
        <v>682</v>
      </c>
      <c r="G25" s="145" t="s">
        <v>724</v>
      </c>
      <c r="H25" s="146" t="s">
        <v>733</v>
      </c>
      <c r="I25" s="141" t="s">
        <v>60</v>
      </c>
      <c r="J25" s="141" t="s">
        <v>278</v>
      </c>
      <c r="K25" s="141" t="s">
        <v>278</v>
      </c>
      <c r="L25" s="141" t="s">
        <v>732</v>
      </c>
      <c r="M25" s="229"/>
      <c r="N25" s="214"/>
      <c r="O25" s="141" t="s">
        <v>732</v>
      </c>
      <c r="T25" s="198"/>
      <c r="W25" s="234"/>
      <c r="Y25" s="165"/>
      <c r="AA25" s="198"/>
      <c r="AR25" s="175"/>
      <c r="BH25" s="162"/>
      <c r="BW25" s="177"/>
    </row>
    <row r="26" spans="1:75" s="71" customFormat="1" ht="24.95" customHeight="1">
      <c r="A26" s="79">
        <f t="shared" si="0"/>
        <v>21</v>
      </c>
      <c r="B26" s="75">
        <v>0.875</v>
      </c>
      <c r="C26" s="71" t="s">
        <v>61</v>
      </c>
      <c r="D26" s="71" t="s">
        <v>61</v>
      </c>
      <c r="E26" s="71" t="s">
        <v>61</v>
      </c>
      <c r="F26" s="145" t="s">
        <v>683</v>
      </c>
      <c r="G26" s="217" t="s">
        <v>241</v>
      </c>
      <c r="H26" s="74" t="s">
        <v>61</v>
      </c>
      <c r="I26" s="145" t="s">
        <v>770</v>
      </c>
      <c r="J26" s="229"/>
      <c r="K26" s="229"/>
      <c r="L26" s="229"/>
      <c r="M26" s="229"/>
      <c r="N26" s="214"/>
      <c r="T26" s="198"/>
      <c r="W26" s="234"/>
      <c r="AA26" s="198"/>
    </row>
    <row r="27" spans="1:75" ht="24.95" customHeight="1">
      <c r="A27" s="79">
        <f t="shared" si="0"/>
        <v>22</v>
      </c>
      <c r="B27" s="75">
        <v>0.91666666666666696</v>
      </c>
      <c r="C27" s="117" t="s">
        <v>290</v>
      </c>
      <c r="D27" s="117" t="s">
        <v>290</v>
      </c>
      <c r="E27" s="117" t="s">
        <v>290</v>
      </c>
      <c r="F27" s="117" t="s">
        <v>290</v>
      </c>
      <c r="G27" s="230"/>
      <c r="I27" s="74" t="s">
        <v>61</v>
      </c>
      <c r="J27" s="74" t="s">
        <v>61</v>
      </c>
      <c r="K27" s="74" t="s">
        <v>61</v>
      </c>
      <c r="L27" s="74" t="s">
        <v>61</v>
      </c>
      <c r="M27" s="74" t="s">
        <v>61</v>
      </c>
      <c r="N27" s="214"/>
      <c r="T27" s="198"/>
      <c r="W27" s="234"/>
      <c r="AA27" s="198"/>
    </row>
    <row r="28" spans="1:75" ht="24.95" customHeight="1">
      <c r="A28" s="79">
        <f t="shared" si="0"/>
        <v>23</v>
      </c>
      <c r="B28" s="75">
        <v>0.95833333333333304</v>
      </c>
      <c r="M28" s="165"/>
      <c r="N28" s="214"/>
      <c r="T28" s="198"/>
      <c r="W28" s="234"/>
      <c r="AA28" s="198"/>
    </row>
    <row r="29" spans="1:75" s="77" customFormat="1">
      <c r="A29" s="78"/>
    </row>
    <row r="30" spans="1:75" s="77" customFormat="1">
      <c r="A30" s="78"/>
    </row>
    <row r="32" spans="1:75" ht="39.950000000000003" customHeight="1">
      <c r="C32" s="193"/>
      <c r="D32" s="193"/>
      <c r="E32" s="193"/>
      <c r="F32" s="193"/>
    </row>
    <row r="36" ht="53.1" customHeight="1"/>
    <row r="37" ht="50.1" customHeight="1"/>
    <row r="38" ht="57" customHeight="1"/>
    <row r="39" ht="60.95" customHeight="1"/>
  </sheetData>
  <conditionalFormatting sqref="F12:DF17 C12:C20 D12:D17 E20:E23 E16:E17 D18:DF20 C21:DF28 C5:DF11">
    <cfRule type="expression" dxfId="30" priority="8">
      <formula xml:space="preserve"> INDIRECT(CHAR(COLUMN()+96) &amp; 4) = TODAY() * NOT(ISBLANK(INDIRECT(CHAR(COLUMN()+96) &amp; ROW())))</formula>
    </cfRule>
    <cfRule type="expression" dxfId="29" priority="20">
      <formula xml:space="preserve"> INDIRECT(CHAR(COLUMN()+96) &amp; 4) = TODAY() * ISBLANK(INDIRECT(CHAR(COLUMN()+96) &amp; ROW()))</formula>
    </cfRule>
  </conditionalFormatting>
  <conditionalFormatting sqref="A4:XFD4">
    <cfRule type="timePeriod" dxfId="28" priority="23" timePeriod="today">
      <formula>FLOOR(A4,1)=TODAY()</formula>
    </cfRule>
    <cfRule type="timePeriod" dxfId="27" priority="24" timePeriod="tomorrow">
      <formula>FLOOR(A4,1)=TODAY()+1</formula>
    </cfRule>
    <cfRule type="timePeriod" dxfId="26" priority="25" timePeriod="yesterday">
      <formula>FLOOR(A4,1)=TODAY()-1</formula>
    </cfRule>
  </conditionalFormatting>
  <conditionalFormatting sqref="F12:XFD17 A12:C20 D12:D17 E20:E23 E16:E17 D18:XFD20 A21:XFD2829 A5:XFD11">
    <cfRule type="expression" dxfId="25" priority="7">
      <formula>INDIRECT("A"&amp;3) = INDIRECT("A"&amp;ROW())</formula>
    </cfRule>
  </conditionalFormatting>
  <conditionalFormatting sqref="A29:XFD30">
    <cfRule type="expression" dxfId="24" priority="18">
      <formula xml:space="preserve"> INDIRECT(CHAR(COLUMN()+96) &amp; 4) = TODAY() * ISBLANK(INDIRECT(CHAR(COLUMN()+96) &amp; ROW()))</formula>
    </cfRule>
  </conditionalFormatting>
  <conditionalFormatting sqref="A1:XFD1 A2:A3 I2:XFD2 B2:G2">
    <cfRule type="expression" dxfId="23" priority="17">
      <formula xml:space="preserve"> INDIRECT(CHAR(COLUMN()+96) &amp; 4) = TODAY() * ISBLANK(INDIRECT(CHAR(COLUMN()+96) &amp; ROW()))</formula>
    </cfRule>
  </conditionalFormatting>
  <conditionalFormatting sqref="E12:E15">
    <cfRule type="expression" dxfId="22" priority="2">
      <formula xml:space="preserve"> INDIRECT(CHAR(COLUMN()+96) &amp; 4) = TODAY() * NOT(ISBLANK(INDIRECT(CHAR(COLUMN()+96) &amp; ROW())))</formula>
    </cfRule>
    <cfRule type="expression" dxfId="21" priority="3">
      <formula xml:space="preserve"> INDIRECT(CHAR(COLUMN()+96) &amp; 4) = TODAY() * ISBLANK(INDIRECT(CHAR(COLUMN()+96) &amp; ROW()))</formula>
    </cfRule>
  </conditionalFormatting>
  <conditionalFormatting sqref="E12:E15">
    <cfRule type="expression" dxfId="20" priority="1">
      <formula>INDIRECT("A"&amp;3) = INDIRECT("A"&amp;ROW())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246"/>
  <sheetViews>
    <sheetView topLeftCell="A4" workbookViewId="0">
      <selection activeCell="F7" sqref="F7"/>
    </sheetView>
  </sheetViews>
  <sheetFormatPr defaultRowHeight="15"/>
  <cols>
    <col min="1" max="1" width="9.140625" style="168"/>
    <col min="3" max="3" width="7.28515625" customWidth="1"/>
    <col min="4" max="4" width="15.28515625" customWidth="1"/>
    <col min="5" max="5" width="45.28515625" style="266" customWidth="1"/>
    <col min="6" max="6" width="114.140625" style="266" customWidth="1"/>
    <col min="7" max="7" width="23.28515625" customWidth="1"/>
    <col min="8" max="8" width="31.85546875" customWidth="1"/>
    <col min="9" max="9" width="15.28515625" customWidth="1"/>
  </cols>
  <sheetData>
    <row r="1" spans="1:9" s="41" customFormat="1">
      <c r="A1" s="168"/>
      <c r="B1" s="264"/>
      <c r="C1" s="264"/>
      <c r="D1" s="256"/>
      <c r="E1" s="257"/>
      <c r="F1" s="257"/>
      <c r="G1" s="257"/>
      <c r="H1" s="257"/>
      <c r="I1" s="258"/>
    </row>
    <row r="2" spans="1:9" s="7" customFormat="1">
      <c r="A2" s="259"/>
      <c r="B2" s="265"/>
      <c r="C2" s="265"/>
      <c r="D2" s="260"/>
      <c r="E2" s="261"/>
      <c r="F2" s="261"/>
      <c r="G2" s="261"/>
      <c r="H2" s="261"/>
      <c r="I2" s="262"/>
    </row>
    <row r="3" spans="1:9">
      <c r="A3" s="8"/>
    </row>
    <row r="4" spans="1:9">
      <c r="A4" s="10"/>
      <c r="D4" s="263" t="s">
        <v>643</v>
      </c>
      <c r="E4" s="59" t="s">
        <v>761</v>
      </c>
      <c r="F4" s="59" t="s">
        <v>11</v>
      </c>
      <c r="G4" s="263" t="s">
        <v>726</v>
      </c>
      <c r="H4" s="267" t="s">
        <v>24</v>
      </c>
    </row>
    <row r="5" spans="1:9" ht="109.5" customHeight="1">
      <c r="A5" s="10"/>
      <c r="D5" s="263" t="s">
        <v>60</v>
      </c>
      <c r="E5" s="59" t="s">
        <v>762</v>
      </c>
      <c r="F5" s="59" t="s">
        <v>772</v>
      </c>
      <c r="G5" s="263">
        <v>1</v>
      </c>
      <c r="H5" s="268">
        <v>0.5</v>
      </c>
    </row>
    <row r="6" spans="1:9" ht="75" customHeight="1">
      <c r="D6" s="263" t="s">
        <v>7</v>
      </c>
      <c r="E6" s="59" t="s">
        <v>764</v>
      </c>
      <c r="F6" s="59" t="s">
        <v>773</v>
      </c>
      <c r="G6" s="263">
        <v>1</v>
      </c>
      <c r="H6" s="268">
        <v>0.1</v>
      </c>
    </row>
    <row r="7" spans="1:9" ht="148.5" customHeight="1">
      <c r="D7" s="263" t="s">
        <v>242</v>
      </c>
      <c r="E7" s="59" t="s">
        <v>765</v>
      </c>
      <c r="F7" s="59" t="s">
        <v>771</v>
      </c>
      <c r="G7" s="263">
        <v>4</v>
      </c>
      <c r="H7" s="268">
        <v>0.7</v>
      </c>
    </row>
    <row r="8" spans="1:9" ht="96" customHeight="1">
      <c r="D8" s="263" t="s">
        <v>733</v>
      </c>
      <c r="E8" s="59" t="s">
        <v>763</v>
      </c>
      <c r="F8" s="59" t="s">
        <v>774</v>
      </c>
      <c r="G8" s="263">
        <v>1</v>
      </c>
      <c r="H8" s="268">
        <v>1</v>
      </c>
    </row>
    <row r="9" spans="1:9" ht="99.75" customHeight="1">
      <c r="D9" s="263" t="s">
        <v>665</v>
      </c>
      <c r="E9" s="59" t="s">
        <v>766</v>
      </c>
      <c r="F9" s="59" t="s">
        <v>775</v>
      </c>
      <c r="G9" s="263">
        <v>1</v>
      </c>
      <c r="H9" s="268">
        <v>0.3</v>
      </c>
    </row>
    <row r="10" spans="1:9">
      <c r="D10" s="263"/>
      <c r="E10" s="59"/>
      <c r="F10" s="59"/>
      <c r="G10" s="263"/>
      <c r="H10" s="268"/>
    </row>
    <row r="11" spans="1:9">
      <c r="D11" s="263"/>
      <c r="E11" s="59"/>
      <c r="F11" s="59"/>
      <c r="G11" s="263"/>
      <c r="H11" s="268"/>
    </row>
    <row r="12" spans="1:9">
      <c r="D12" s="263"/>
      <c r="E12" s="59"/>
      <c r="F12" s="59"/>
      <c r="G12" s="263"/>
      <c r="H12" s="268"/>
    </row>
    <row r="13" spans="1:9">
      <c r="D13" s="263"/>
      <c r="E13" s="59"/>
      <c r="F13" s="59"/>
      <c r="G13" s="263"/>
      <c r="H13" s="268"/>
    </row>
    <row r="14" spans="1:9">
      <c r="D14" s="263"/>
      <c r="E14" s="59"/>
      <c r="F14" s="59"/>
      <c r="G14" s="263"/>
      <c r="H14" s="268"/>
    </row>
    <row r="15" spans="1:9">
      <c r="D15" s="263"/>
      <c r="E15" s="59"/>
      <c r="F15" s="59"/>
      <c r="G15" s="263"/>
      <c r="H15" s="268"/>
    </row>
    <row r="16" spans="1:9">
      <c r="D16" s="263"/>
      <c r="E16" s="59"/>
      <c r="F16" s="59"/>
      <c r="G16" s="263"/>
      <c r="H16" s="268"/>
    </row>
    <row r="17" spans="4:8">
      <c r="D17" s="263"/>
      <c r="E17" s="59"/>
      <c r="F17" s="59"/>
      <c r="G17" s="263"/>
      <c r="H17" s="268"/>
    </row>
    <row r="18" spans="4:8">
      <c r="D18" s="263"/>
      <c r="E18" s="59"/>
      <c r="F18" s="59"/>
      <c r="G18" s="263"/>
      <c r="H18" s="268"/>
    </row>
    <row r="19" spans="4:8">
      <c r="D19" s="263"/>
      <c r="E19" s="59"/>
      <c r="F19" s="59"/>
      <c r="G19" s="263"/>
      <c r="H19" s="268"/>
    </row>
    <row r="20" spans="4:8">
      <c r="D20" s="263"/>
      <c r="E20" s="59"/>
      <c r="F20" s="59"/>
      <c r="G20" s="263"/>
      <c r="H20" s="268"/>
    </row>
    <row r="21" spans="4:8">
      <c r="D21" s="263"/>
      <c r="E21" s="59"/>
      <c r="F21" s="59"/>
      <c r="G21" s="263"/>
      <c r="H21" s="268"/>
    </row>
    <row r="22" spans="4:8">
      <c r="D22" s="263"/>
      <c r="E22" s="59"/>
      <c r="F22" s="59"/>
      <c r="G22" s="263"/>
      <c r="H22" s="268"/>
    </row>
    <row r="23" spans="4:8">
      <c r="D23" s="263"/>
      <c r="E23" s="59"/>
      <c r="F23" s="59"/>
      <c r="G23" s="263"/>
      <c r="H23" s="268"/>
    </row>
    <row r="24" spans="4:8">
      <c r="D24" s="263"/>
      <c r="E24" s="59"/>
      <c r="F24" s="59"/>
      <c r="G24" s="263"/>
      <c r="H24" s="268"/>
    </row>
    <row r="25" spans="4:8">
      <c r="D25" s="263"/>
      <c r="E25" s="59"/>
      <c r="F25" s="59"/>
      <c r="G25" s="263"/>
      <c r="H25" s="268"/>
    </row>
    <row r="26" spans="4:8">
      <c r="D26" s="263"/>
      <c r="E26" s="59"/>
      <c r="F26" s="59"/>
      <c r="G26" s="263"/>
      <c r="H26" s="268"/>
    </row>
    <row r="27" spans="4:8">
      <c r="D27" s="263"/>
      <c r="E27" s="59"/>
      <c r="F27" s="59"/>
      <c r="G27" s="263"/>
      <c r="H27" s="268"/>
    </row>
    <row r="28" spans="4:8">
      <c r="D28" s="263"/>
      <c r="E28" s="59"/>
      <c r="F28" s="59"/>
      <c r="G28" s="263"/>
      <c r="H28" s="268"/>
    </row>
    <row r="29" spans="4:8">
      <c r="D29" s="263"/>
      <c r="E29" s="59"/>
      <c r="F29" s="59"/>
      <c r="G29" s="263"/>
      <c r="H29" s="268"/>
    </row>
    <row r="30" spans="4:8">
      <c r="D30" s="263"/>
      <c r="E30" s="59"/>
      <c r="F30" s="59"/>
      <c r="G30" s="263"/>
      <c r="H30" s="268"/>
    </row>
    <row r="31" spans="4:8">
      <c r="D31" s="263"/>
      <c r="E31" s="59"/>
      <c r="F31" s="59"/>
      <c r="G31" s="263"/>
      <c r="H31" s="268"/>
    </row>
    <row r="32" spans="4:8">
      <c r="D32" s="263"/>
      <c r="E32" s="59"/>
      <c r="F32" s="59"/>
      <c r="G32" s="263"/>
      <c r="H32" s="268"/>
    </row>
    <row r="33" spans="4:8">
      <c r="D33" s="263"/>
      <c r="E33" s="59"/>
      <c r="F33" s="59"/>
      <c r="G33" s="263"/>
      <c r="H33" s="268"/>
    </row>
    <row r="34" spans="4:8">
      <c r="D34" s="263"/>
      <c r="E34" s="59"/>
      <c r="F34" s="59"/>
      <c r="G34" s="263"/>
      <c r="H34" s="268"/>
    </row>
    <row r="35" spans="4:8">
      <c r="D35" s="263"/>
      <c r="E35" s="59"/>
      <c r="F35" s="59"/>
      <c r="G35" s="263"/>
      <c r="H35" s="268"/>
    </row>
    <row r="36" spans="4:8">
      <c r="D36" s="263"/>
      <c r="E36" s="59"/>
      <c r="F36" s="59"/>
      <c r="G36" s="263"/>
      <c r="H36" s="268"/>
    </row>
    <row r="37" spans="4:8">
      <c r="D37" s="263"/>
      <c r="E37" s="59"/>
      <c r="F37" s="59"/>
      <c r="G37" s="263"/>
      <c r="H37" s="268"/>
    </row>
    <row r="38" spans="4:8">
      <c r="D38" s="263"/>
      <c r="E38" s="59"/>
      <c r="F38" s="59"/>
      <c r="G38" s="263"/>
      <c r="H38" s="268"/>
    </row>
    <row r="39" spans="4:8">
      <c r="D39" s="263"/>
      <c r="E39" s="59"/>
      <c r="F39" s="59"/>
      <c r="G39" s="263"/>
      <c r="H39" s="268"/>
    </row>
    <row r="40" spans="4:8">
      <c r="D40" s="263"/>
      <c r="E40" s="59"/>
      <c r="F40" s="59"/>
      <c r="G40" s="263"/>
      <c r="H40" s="268"/>
    </row>
    <row r="41" spans="4:8">
      <c r="D41" s="263"/>
      <c r="E41" s="59"/>
      <c r="F41" s="59"/>
      <c r="G41" s="263"/>
      <c r="H41" s="268"/>
    </row>
    <row r="42" spans="4:8">
      <c r="D42" s="263"/>
      <c r="E42" s="59"/>
      <c r="F42" s="59"/>
      <c r="G42" s="263"/>
      <c r="H42" s="268"/>
    </row>
    <row r="43" spans="4:8">
      <c r="D43" s="263"/>
      <c r="E43" s="59"/>
      <c r="F43" s="59"/>
      <c r="G43" s="263"/>
      <c r="H43" s="268"/>
    </row>
    <row r="44" spans="4:8">
      <c r="D44" s="263"/>
      <c r="E44" s="59"/>
      <c r="F44" s="59"/>
      <c r="G44" s="263"/>
      <c r="H44" s="268"/>
    </row>
    <row r="45" spans="4:8">
      <c r="D45" s="263"/>
      <c r="E45" s="59"/>
      <c r="F45" s="59"/>
      <c r="G45" s="263"/>
      <c r="H45" s="268"/>
    </row>
    <row r="46" spans="4:8">
      <c r="D46" s="263"/>
      <c r="E46" s="59"/>
      <c r="F46" s="59"/>
      <c r="G46" s="263"/>
      <c r="H46" s="268"/>
    </row>
    <row r="47" spans="4:8">
      <c r="D47" s="263"/>
      <c r="E47" s="59"/>
      <c r="F47" s="59"/>
      <c r="G47" s="263"/>
      <c r="H47" s="268"/>
    </row>
    <row r="48" spans="4:8">
      <c r="D48" s="263"/>
      <c r="E48" s="59"/>
      <c r="F48" s="59"/>
      <c r="G48" s="263"/>
      <c r="H48" s="268"/>
    </row>
    <row r="49" spans="4:8">
      <c r="D49" s="263"/>
      <c r="E49" s="59"/>
      <c r="F49" s="59"/>
      <c r="G49" s="263"/>
      <c r="H49" s="268"/>
    </row>
    <row r="50" spans="4:8">
      <c r="D50" s="263"/>
      <c r="E50" s="59"/>
      <c r="F50" s="59"/>
      <c r="G50" s="263"/>
      <c r="H50" s="268"/>
    </row>
    <row r="51" spans="4:8">
      <c r="D51" s="263"/>
      <c r="E51" s="59"/>
      <c r="F51" s="59"/>
      <c r="G51" s="263"/>
      <c r="H51" s="268"/>
    </row>
    <row r="52" spans="4:8">
      <c r="D52" s="263"/>
      <c r="E52" s="59"/>
      <c r="F52" s="59"/>
      <c r="G52" s="263"/>
      <c r="H52" s="268"/>
    </row>
    <row r="53" spans="4:8">
      <c r="D53" s="263"/>
      <c r="E53" s="59"/>
      <c r="F53" s="59"/>
      <c r="G53" s="263"/>
      <c r="H53" s="268"/>
    </row>
    <row r="54" spans="4:8">
      <c r="D54" s="263"/>
      <c r="E54" s="59"/>
      <c r="F54" s="59"/>
      <c r="G54" s="263"/>
      <c r="H54" s="268"/>
    </row>
    <row r="55" spans="4:8">
      <c r="D55" s="263"/>
      <c r="E55" s="59"/>
      <c r="F55" s="59"/>
      <c r="G55" s="263"/>
      <c r="H55" s="268"/>
    </row>
    <row r="56" spans="4:8">
      <c r="D56" s="263"/>
      <c r="E56" s="59"/>
      <c r="F56" s="59"/>
      <c r="G56" s="263"/>
      <c r="H56" s="268"/>
    </row>
    <row r="57" spans="4:8">
      <c r="D57" s="263"/>
      <c r="E57" s="59"/>
      <c r="F57" s="59"/>
      <c r="G57" s="263"/>
      <c r="H57" s="268"/>
    </row>
    <row r="58" spans="4:8">
      <c r="D58" s="263"/>
      <c r="E58" s="59"/>
      <c r="F58" s="59"/>
      <c r="G58" s="263"/>
      <c r="H58" s="268"/>
    </row>
    <row r="59" spans="4:8">
      <c r="D59" s="263"/>
      <c r="E59" s="59"/>
      <c r="F59" s="59"/>
      <c r="G59" s="263"/>
      <c r="H59" s="268"/>
    </row>
    <row r="60" spans="4:8">
      <c r="D60" s="263"/>
      <c r="E60" s="59"/>
      <c r="F60" s="59"/>
      <c r="G60" s="263"/>
      <c r="H60" s="268"/>
    </row>
    <row r="61" spans="4:8">
      <c r="D61" s="263"/>
      <c r="E61" s="59"/>
      <c r="F61" s="59"/>
      <c r="G61" s="263"/>
      <c r="H61" s="268"/>
    </row>
    <row r="62" spans="4:8">
      <c r="D62" s="263"/>
      <c r="E62" s="59"/>
      <c r="F62" s="59"/>
      <c r="G62" s="263"/>
      <c r="H62" s="268"/>
    </row>
    <row r="63" spans="4:8">
      <c r="D63" s="263"/>
      <c r="E63" s="59"/>
      <c r="F63" s="59"/>
      <c r="G63" s="263"/>
      <c r="H63" s="268"/>
    </row>
    <row r="64" spans="4:8">
      <c r="D64" s="263"/>
      <c r="E64" s="59"/>
      <c r="F64" s="59"/>
      <c r="G64" s="263"/>
      <c r="H64" s="268"/>
    </row>
    <row r="65" spans="4:8">
      <c r="D65" s="263"/>
      <c r="E65" s="59"/>
      <c r="F65" s="59"/>
      <c r="G65" s="263"/>
      <c r="H65" s="268"/>
    </row>
    <row r="66" spans="4:8">
      <c r="D66" s="263"/>
      <c r="E66" s="59"/>
      <c r="F66" s="59"/>
      <c r="G66" s="263"/>
      <c r="H66" s="268"/>
    </row>
    <row r="67" spans="4:8">
      <c r="D67" s="263"/>
      <c r="E67" s="59"/>
      <c r="F67" s="59"/>
      <c r="G67" s="263"/>
      <c r="H67" s="268"/>
    </row>
    <row r="68" spans="4:8">
      <c r="D68" s="263"/>
      <c r="E68" s="59"/>
      <c r="F68" s="59"/>
      <c r="G68" s="263"/>
      <c r="H68" s="268"/>
    </row>
    <row r="69" spans="4:8">
      <c r="D69" s="263"/>
      <c r="E69" s="59"/>
      <c r="F69" s="59"/>
      <c r="G69" s="263"/>
      <c r="H69" s="268"/>
    </row>
    <row r="70" spans="4:8">
      <c r="D70" s="263"/>
      <c r="E70" s="59"/>
      <c r="F70" s="59"/>
      <c r="G70" s="263"/>
      <c r="H70" s="268"/>
    </row>
    <row r="71" spans="4:8">
      <c r="D71" s="263"/>
      <c r="E71" s="59"/>
      <c r="F71" s="59"/>
      <c r="G71" s="263"/>
      <c r="H71" s="268"/>
    </row>
    <row r="72" spans="4:8">
      <c r="D72" s="263"/>
      <c r="E72" s="59"/>
      <c r="F72" s="59"/>
      <c r="G72" s="263"/>
      <c r="H72" s="268"/>
    </row>
    <row r="73" spans="4:8">
      <c r="D73" s="263"/>
      <c r="E73" s="59"/>
      <c r="F73" s="59"/>
      <c r="G73" s="263"/>
      <c r="H73" s="268"/>
    </row>
    <row r="74" spans="4:8">
      <c r="D74" s="263"/>
      <c r="E74" s="59"/>
      <c r="F74" s="59"/>
      <c r="G74" s="263"/>
      <c r="H74" s="268"/>
    </row>
    <row r="75" spans="4:8">
      <c r="D75" s="263"/>
      <c r="E75" s="59"/>
      <c r="F75" s="59"/>
      <c r="G75" s="263"/>
      <c r="H75" s="268"/>
    </row>
    <row r="76" spans="4:8">
      <c r="D76" s="263"/>
      <c r="E76" s="59"/>
      <c r="F76" s="59"/>
      <c r="G76" s="263"/>
      <c r="H76" s="268"/>
    </row>
    <row r="77" spans="4:8">
      <c r="D77" s="263"/>
      <c r="E77" s="59"/>
      <c r="F77" s="59"/>
      <c r="G77" s="263"/>
      <c r="H77" s="268"/>
    </row>
    <row r="78" spans="4:8">
      <c r="D78" s="263"/>
      <c r="E78" s="59"/>
      <c r="F78" s="59"/>
      <c r="G78" s="263"/>
      <c r="H78" s="268"/>
    </row>
    <row r="79" spans="4:8">
      <c r="D79" s="263"/>
      <c r="E79" s="59"/>
      <c r="F79" s="59"/>
      <c r="G79" s="263"/>
      <c r="H79" s="268"/>
    </row>
    <row r="80" spans="4:8">
      <c r="D80" s="263"/>
      <c r="E80" s="59"/>
      <c r="F80" s="59"/>
      <c r="G80" s="263"/>
      <c r="H80" s="268"/>
    </row>
    <row r="81" spans="4:8">
      <c r="D81" s="263"/>
      <c r="E81" s="59"/>
      <c r="F81" s="59"/>
      <c r="G81" s="263"/>
      <c r="H81" s="268"/>
    </row>
    <row r="82" spans="4:8">
      <c r="D82" s="263"/>
      <c r="E82" s="59"/>
      <c r="F82" s="59"/>
      <c r="G82" s="263"/>
      <c r="H82" s="268"/>
    </row>
    <row r="83" spans="4:8">
      <c r="D83" s="263"/>
      <c r="E83" s="59"/>
      <c r="F83" s="59"/>
      <c r="G83" s="263"/>
      <c r="H83" s="268"/>
    </row>
    <row r="84" spans="4:8">
      <c r="D84" s="263"/>
      <c r="E84" s="59"/>
      <c r="F84" s="59"/>
      <c r="G84" s="263"/>
      <c r="H84" s="268"/>
    </row>
    <row r="85" spans="4:8">
      <c r="D85" s="263"/>
      <c r="E85" s="59"/>
      <c r="F85" s="59"/>
      <c r="G85" s="263"/>
      <c r="H85" s="268"/>
    </row>
    <row r="86" spans="4:8">
      <c r="D86" s="263"/>
      <c r="E86" s="59"/>
      <c r="F86" s="59"/>
      <c r="G86" s="263"/>
      <c r="H86" s="268"/>
    </row>
    <row r="87" spans="4:8">
      <c r="D87" s="263"/>
      <c r="E87" s="59"/>
      <c r="F87" s="59"/>
      <c r="G87" s="263"/>
      <c r="H87" s="268"/>
    </row>
    <row r="88" spans="4:8">
      <c r="D88" s="263"/>
      <c r="E88" s="59"/>
      <c r="F88" s="59"/>
      <c r="G88" s="263"/>
      <c r="H88" s="268"/>
    </row>
    <row r="89" spans="4:8">
      <c r="D89" s="263"/>
      <c r="E89" s="59"/>
      <c r="F89" s="59"/>
      <c r="G89" s="263"/>
      <c r="H89" s="268"/>
    </row>
    <row r="90" spans="4:8">
      <c r="D90" s="263"/>
      <c r="E90" s="59"/>
      <c r="F90" s="59"/>
      <c r="G90" s="263"/>
      <c r="H90" s="268"/>
    </row>
    <row r="91" spans="4:8">
      <c r="D91" s="263"/>
      <c r="E91" s="59"/>
      <c r="F91" s="59"/>
      <c r="G91" s="263"/>
      <c r="H91" s="268"/>
    </row>
    <row r="92" spans="4:8">
      <c r="D92" s="263"/>
      <c r="E92" s="59"/>
      <c r="F92" s="59"/>
      <c r="G92" s="263"/>
      <c r="H92" s="268"/>
    </row>
    <row r="93" spans="4:8">
      <c r="D93" s="263"/>
      <c r="E93" s="59"/>
      <c r="F93" s="59"/>
      <c r="G93" s="263"/>
      <c r="H93" s="268"/>
    </row>
    <row r="94" spans="4:8">
      <c r="D94" s="263"/>
      <c r="E94" s="59"/>
      <c r="F94" s="59"/>
      <c r="G94" s="263"/>
      <c r="H94" s="268"/>
    </row>
    <row r="95" spans="4:8">
      <c r="D95" s="263"/>
      <c r="E95" s="59"/>
      <c r="F95" s="59"/>
      <c r="G95" s="263"/>
      <c r="H95" s="268"/>
    </row>
    <row r="96" spans="4:8">
      <c r="D96" s="263"/>
      <c r="E96" s="59"/>
      <c r="F96" s="59"/>
      <c r="G96" s="263"/>
      <c r="H96" s="268"/>
    </row>
    <row r="97" spans="4:8">
      <c r="D97" s="263"/>
      <c r="E97" s="59"/>
      <c r="F97" s="59"/>
      <c r="G97" s="263"/>
      <c r="H97" s="268"/>
    </row>
    <row r="98" spans="4:8">
      <c r="D98" s="263"/>
      <c r="E98" s="59"/>
      <c r="F98" s="59"/>
      <c r="G98" s="263"/>
      <c r="H98" s="268"/>
    </row>
    <row r="99" spans="4:8">
      <c r="D99" s="263"/>
      <c r="E99" s="59"/>
      <c r="F99" s="59"/>
      <c r="G99" s="263"/>
      <c r="H99" s="268"/>
    </row>
    <row r="100" spans="4:8">
      <c r="D100" s="263"/>
      <c r="E100" s="59"/>
      <c r="F100" s="59"/>
      <c r="G100" s="263"/>
      <c r="H100" s="268"/>
    </row>
    <row r="101" spans="4:8">
      <c r="D101" s="263"/>
      <c r="E101" s="59"/>
      <c r="F101" s="59"/>
      <c r="G101" s="263"/>
      <c r="H101" s="268"/>
    </row>
    <row r="102" spans="4:8">
      <c r="D102" s="263"/>
      <c r="E102" s="59"/>
      <c r="F102" s="59"/>
      <c r="G102" s="263"/>
      <c r="H102" s="268"/>
    </row>
    <row r="103" spans="4:8">
      <c r="D103" s="263"/>
      <c r="E103" s="59"/>
      <c r="F103" s="59"/>
      <c r="G103" s="263"/>
      <c r="H103" s="268"/>
    </row>
    <row r="104" spans="4:8">
      <c r="D104" s="263"/>
      <c r="E104" s="59"/>
      <c r="F104" s="59"/>
      <c r="G104" s="263"/>
      <c r="H104" s="268"/>
    </row>
    <row r="105" spans="4:8">
      <c r="D105" s="263"/>
      <c r="E105" s="59"/>
      <c r="F105" s="59"/>
      <c r="G105" s="263"/>
      <c r="H105" s="268"/>
    </row>
    <row r="106" spans="4:8">
      <c r="D106" s="263"/>
      <c r="E106" s="59"/>
      <c r="F106" s="59"/>
      <c r="G106" s="263"/>
      <c r="H106" s="268"/>
    </row>
    <row r="107" spans="4:8">
      <c r="D107" s="263"/>
      <c r="E107" s="59"/>
      <c r="F107" s="59"/>
      <c r="G107" s="263"/>
      <c r="H107" s="268"/>
    </row>
    <row r="108" spans="4:8">
      <c r="D108" s="263"/>
      <c r="E108" s="59"/>
      <c r="F108" s="59"/>
      <c r="G108" s="263"/>
      <c r="H108" s="268"/>
    </row>
    <row r="109" spans="4:8">
      <c r="D109" s="263"/>
      <c r="E109" s="59"/>
      <c r="F109" s="59"/>
      <c r="G109" s="263"/>
      <c r="H109" s="268"/>
    </row>
    <row r="110" spans="4:8">
      <c r="D110" s="263"/>
      <c r="E110" s="59"/>
      <c r="F110" s="59"/>
      <c r="G110" s="263"/>
      <c r="H110" s="268"/>
    </row>
    <row r="111" spans="4:8">
      <c r="D111" s="263"/>
      <c r="E111" s="59"/>
      <c r="F111" s="59"/>
      <c r="G111" s="263"/>
      <c r="H111" s="268"/>
    </row>
    <row r="112" spans="4:8">
      <c r="D112" s="263"/>
      <c r="E112" s="59"/>
      <c r="F112" s="59"/>
      <c r="G112" s="263"/>
      <c r="H112" s="268"/>
    </row>
    <row r="113" spans="4:8">
      <c r="D113" s="263"/>
      <c r="E113" s="59"/>
      <c r="F113" s="59"/>
      <c r="G113" s="263"/>
      <c r="H113" s="268"/>
    </row>
    <row r="114" spans="4:8">
      <c r="D114" s="263"/>
      <c r="E114" s="59"/>
      <c r="F114" s="59"/>
      <c r="G114" s="263"/>
      <c r="H114" s="268"/>
    </row>
    <row r="115" spans="4:8">
      <c r="D115" s="263"/>
      <c r="E115" s="59"/>
      <c r="F115" s="59"/>
      <c r="G115" s="263"/>
      <c r="H115" s="268"/>
    </row>
    <row r="116" spans="4:8">
      <c r="D116" s="263"/>
      <c r="E116" s="59"/>
      <c r="F116" s="59"/>
      <c r="G116" s="263"/>
      <c r="H116" s="268"/>
    </row>
    <row r="117" spans="4:8">
      <c r="D117" s="263"/>
      <c r="E117" s="59"/>
      <c r="F117" s="59"/>
      <c r="G117" s="263"/>
      <c r="H117" s="268"/>
    </row>
    <row r="118" spans="4:8">
      <c r="D118" s="263"/>
      <c r="E118" s="59"/>
      <c r="F118" s="59"/>
      <c r="G118" s="263"/>
      <c r="H118" s="268"/>
    </row>
    <row r="119" spans="4:8">
      <c r="D119" s="263"/>
      <c r="E119" s="59"/>
      <c r="F119" s="59"/>
      <c r="G119" s="263"/>
      <c r="H119" s="268"/>
    </row>
    <row r="120" spans="4:8">
      <c r="D120" s="263"/>
      <c r="E120" s="59"/>
      <c r="F120" s="59"/>
      <c r="G120" s="263"/>
      <c r="H120" s="268"/>
    </row>
    <row r="121" spans="4:8">
      <c r="D121" s="263"/>
      <c r="E121" s="59"/>
      <c r="F121" s="59"/>
      <c r="G121" s="263"/>
      <c r="H121" s="268"/>
    </row>
    <row r="122" spans="4:8">
      <c r="D122" s="263"/>
      <c r="E122" s="59"/>
      <c r="F122" s="59"/>
      <c r="G122" s="263"/>
      <c r="H122" s="268"/>
    </row>
    <row r="123" spans="4:8">
      <c r="D123" s="263"/>
      <c r="E123" s="59"/>
      <c r="F123" s="59"/>
      <c r="G123" s="263"/>
      <c r="H123" s="268"/>
    </row>
    <row r="124" spans="4:8">
      <c r="D124" s="263"/>
      <c r="E124" s="59"/>
      <c r="F124" s="59"/>
      <c r="G124" s="263"/>
      <c r="H124" s="268"/>
    </row>
    <row r="125" spans="4:8">
      <c r="D125" s="263"/>
      <c r="E125" s="59"/>
      <c r="F125" s="59"/>
      <c r="G125" s="263"/>
      <c r="H125" s="268"/>
    </row>
    <row r="126" spans="4:8">
      <c r="D126" s="263"/>
      <c r="E126" s="59"/>
      <c r="F126" s="59"/>
      <c r="G126" s="263"/>
      <c r="H126" s="268"/>
    </row>
    <row r="127" spans="4:8">
      <c r="D127" s="263"/>
      <c r="E127" s="59"/>
      <c r="F127" s="59"/>
      <c r="G127" s="263"/>
      <c r="H127" s="268"/>
    </row>
    <row r="128" spans="4:8">
      <c r="D128" s="263"/>
      <c r="E128" s="59"/>
      <c r="F128" s="59"/>
      <c r="G128" s="263"/>
      <c r="H128" s="268"/>
    </row>
    <row r="129" spans="4:8">
      <c r="D129" s="263"/>
      <c r="E129" s="59"/>
      <c r="F129" s="59"/>
      <c r="G129" s="263"/>
      <c r="H129" s="268"/>
    </row>
    <row r="130" spans="4:8">
      <c r="D130" s="263"/>
      <c r="E130" s="59"/>
      <c r="F130" s="59"/>
      <c r="G130" s="263"/>
      <c r="H130" s="268"/>
    </row>
    <row r="131" spans="4:8">
      <c r="D131" s="263"/>
      <c r="E131" s="59"/>
      <c r="F131" s="59"/>
      <c r="G131" s="263"/>
      <c r="H131" s="268"/>
    </row>
    <row r="132" spans="4:8">
      <c r="D132" s="263"/>
      <c r="E132" s="59"/>
      <c r="F132" s="59"/>
      <c r="G132" s="263"/>
      <c r="H132" s="268"/>
    </row>
    <row r="133" spans="4:8">
      <c r="D133" s="263"/>
      <c r="E133" s="59"/>
      <c r="F133" s="59"/>
      <c r="G133" s="263"/>
      <c r="H133" s="268"/>
    </row>
    <row r="134" spans="4:8">
      <c r="D134" s="263"/>
      <c r="E134" s="59"/>
      <c r="F134" s="59"/>
      <c r="G134" s="263"/>
      <c r="H134" s="268"/>
    </row>
    <row r="135" spans="4:8">
      <c r="D135" s="263"/>
      <c r="E135" s="59"/>
      <c r="F135" s="59"/>
      <c r="G135" s="263"/>
      <c r="H135" s="268"/>
    </row>
    <row r="136" spans="4:8">
      <c r="D136" s="263"/>
      <c r="E136" s="59"/>
      <c r="F136" s="59"/>
      <c r="G136" s="263"/>
      <c r="H136" s="268"/>
    </row>
    <row r="137" spans="4:8">
      <c r="D137" s="263"/>
      <c r="E137" s="59"/>
      <c r="F137" s="59"/>
      <c r="G137" s="263"/>
      <c r="H137" s="268"/>
    </row>
    <row r="138" spans="4:8">
      <c r="D138" s="263"/>
      <c r="E138" s="59"/>
      <c r="F138" s="59"/>
      <c r="G138" s="263"/>
      <c r="H138" s="268"/>
    </row>
    <row r="139" spans="4:8">
      <c r="D139" s="263"/>
      <c r="E139" s="59"/>
      <c r="F139" s="59"/>
      <c r="G139" s="263"/>
      <c r="H139" s="268"/>
    </row>
    <row r="140" spans="4:8">
      <c r="D140" s="263"/>
      <c r="E140" s="59"/>
      <c r="F140" s="59"/>
      <c r="G140" s="263"/>
      <c r="H140" s="268"/>
    </row>
    <row r="141" spans="4:8">
      <c r="D141" s="263"/>
      <c r="E141" s="59"/>
      <c r="F141" s="59"/>
      <c r="G141" s="263"/>
      <c r="H141" s="268"/>
    </row>
    <row r="142" spans="4:8">
      <c r="D142" s="263"/>
      <c r="E142" s="59"/>
      <c r="F142" s="59"/>
      <c r="G142" s="263"/>
      <c r="H142" s="268"/>
    </row>
    <row r="143" spans="4:8">
      <c r="D143" s="263"/>
      <c r="E143" s="59"/>
      <c r="F143" s="59"/>
      <c r="G143" s="263"/>
      <c r="H143" s="268"/>
    </row>
    <row r="144" spans="4:8">
      <c r="D144" s="263"/>
      <c r="E144" s="59"/>
      <c r="F144" s="59"/>
      <c r="G144" s="263"/>
      <c r="H144" s="268"/>
    </row>
    <row r="145" spans="4:8">
      <c r="D145" s="263"/>
      <c r="E145" s="59"/>
      <c r="F145" s="59"/>
      <c r="G145" s="263"/>
      <c r="H145" s="268"/>
    </row>
    <row r="146" spans="4:8">
      <c r="D146" s="263"/>
      <c r="E146" s="59"/>
      <c r="F146" s="59"/>
      <c r="G146" s="263"/>
      <c r="H146" s="268"/>
    </row>
    <row r="147" spans="4:8">
      <c r="D147" s="263"/>
      <c r="E147" s="59"/>
      <c r="F147" s="59"/>
      <c r="G147" s="263"/>
      <c r="H147" s="268"/>
    </row>
    <row r="148" spans="4:8">
      <c r="D148" s="263"/>
      <c r="E148" s="59"/>
      <c r="F148" s="59"/>
      <c r="G148" s="263"/>
      <c r="H148" s="268"/>
    </row>
    <row r="149" spans="4:8">
      <c r="D149" s="263"/>
      <c r="E149" s="59"/>
      <c r="F149" s="59"/>
      <c r="G149" s="263"/>
      <c r="H149" s="268"/>
    </row>
    <row r="150" spans="4:8">
      <c r="D150" s="263"/>
      <c r="E150" s="59"/>
      <c r="F150" s="59"/>
      <c r="G150" s="263"/>
      <c r="H150" s="268"/>
    </row>
    <row r="151" spans="4:8">
      <c r="D151" s="263"/>
      <c r="E151" s="59"/>
      <c r="F151" s="59"/>
      <c r="G151" s="263"/>
      <c r="H151" s="268"/>
    </row>
    <row r="152" spans="4:8">
      <c r="D152" s="263"/>
      <c r="E152" s="59"/>
      <c r="F152" s="59"/>
      <c r="G152" s="263"/>
      <c r="H152" s="268"/>
    </row>
    <row r="153" spans="4:8">
      <c r="D153" s="263"/>
      <c r="E153" s="59"/>
      <c r="F153" s="59"/>
      <c r="G153" s="263"/>
      <c r="H153" s="268"/>
    </row>
    <row r="154" spans="4:8">
      <c r="D154" s="263"/>
      <c r="E154" s="59"/>
      <c r="F154" s="59"/>
      <c r="G154" s="263"/>
      <c r="H154" s="268"/>
    </row>
    <row r="155" spans="4:8">
      <c r="D155" s="263"/>
      <c r="E155" s="59"/>
      <c r="F155" s="59"/>
      <c r="G155" s="263"/>
      <c r="H155" s="268"/>
    </row>
    <row r="156" spans="4:8">
      <c r="D156" s="263"/>
      <c r="E156" s="59"/>
      <c r="F156" s="59"/>
      <c r="G156" s="263"/>
      <c r="H156" s="268"/>
    </row>
    <row r="157" spans="4:8">
      <c r="D157" s="263"/>
      <c r="E157" s="59"/>
      <c r="F157" s="59"/>
      <c r="G157" s="263"/>
      <c r="H157" s="268"/>
    </row>
    <row r="158" spans="4:8">
      <c r="D158" s="263"/>
      <c r="E158" s="59"/>
      <c r="F158" s="59"/>
      <c r="G158" s="263"/>
      <c r="H158" s="268"/>
    </row>
    <row r="159" spans="4:8">
      <c r="D159" s="263"/>
      <c r="E159" s="59"/>
      <c r="F159" s="59"/>
      <c r="G159" s="263"/>
      <c r="H159" s="268"/>
    </row>
    <row r="160" spans="4:8">
      <c r="D160" s="263"/>
      <c r="E160" s="59"/>
      <c r="F160" s="59"/>
      <c r="G160" s="263"/>
      <c r="H160" s="268"/>
    </row>
    <row r="161" spans="4:8">
      <c r="D161" s="263"/>
      <c r="E161" s="59"/>
      <c r="F161" s="59"/>
      <c r="G161" s="263"/>
      <c r="H161" s="268"/>
    </row>
    <row r="162" spans="4:8">
      <c r="D162" s="263"/>
      <c r="E162" s="59"/>
      <c r="F162" s="59"/>
      <c r="G162" s="263"/>
      <c r="H162" s="268"/>
    </row>
    <row r="163" spans="4:8">
      <c r="D163" s="263"/>
      <c r="E163" s="59"/>
      <c r="F163" s="59"/>
      <c r="G163" s="263"/>
      <c r="H163" s="268"/>
    </row>
    <row r="164" spans="4:8">
      <c r="D164" s="263"/>
      <c r="E164" s="59"/>
      <c r="F164" s="59"/>
      <c r="G164" s="263"/>
      <c r="H164" s="268"/>
    </row>
    <row r="165" spans="4:8">
      <c r="D165" s="263"/>
      <c r="E165" s="59"/>
      <c r="F165" s="59"/>
      <c r="G165" s="263"/>
      <c r="H165" s="268"/>
    </row>
    <row r="166" spans="4:8">
      <c r="D166" s="263"/>
      <c r="E166" s="59"/>
      <c r="F166" s="59"/>
      <c r="G166" s="263"/>
      <c r="H166" s="268"/>
    </row>
    <row r="167" spans="4:8">
      <c r="D167" s="263"/>
      <c r="E167" s="59"/>
      <c r="F167" s="59"/>
      <c r="G167" s="263"/>
      <c r="H167" s="268"/>
    </row>
    <row r="168" spans="4:8">
      <c r="D168" s="263"/>
      <c r="E168" s="59"/>
      <c r="F168" s="59"/>
      <c r="G168" s="263"/>
      <c r="H168" s="268"/>
    </row>
    <row r="169" spans="4:8">
      <c r="D169" s="263"/>
      <c r="E169" s="59"/>
      <c r="F169" s="59"/>
      <c r="G169" s="263"/>
      <c r="H169" s="268"/>
    </row>
    <row r="170" spans="4:8">
      <c r="D170" s="263"/>
      <c r="E170" s="59"/>
      <c r="F170" s="59"/>
      <c r="G170" s="263"/>
      <c r="H170" s="268"/>
    </row>
    <row r="171" spans="4:8">
      <c r="D171" s="263"/>
      <c r="E171" s="59"/>
      <c r="F171" s="59"/>
      <c r="G171" s="263"/>
      <c r="H171" s="268"/>
    </row>
    <row r="172" spans="4:8">
      <c r="D172" s="263"/>
      <c r="E172" s="59"/>
      <c r="F172" s="59"/>
      <c r="G172" s="263"/>
      <c r="H172" s="268"/>
    </row>
    <row r="173" spans="4:8">
      <c r="D173" s="263"/>
      <c r="E173" s="59"/>
      <c r="F173" s="59"/>
      <c r="G173" s="263"/>
      <c r="H173" s="268"/>
    </row>
    <row r="174" spans="4:8">
      <c r="D174" s="263"/>
      <c r="E174" s="59"/>
      <c r="F174" s="59"/>
      <c r="G174" s="263"/>
      <c r="H174" s="268"/>
    </row>
    <row r="175" spans="4:8">
      <c r="D175" s="263"/>
      <c r="E175" s="59"/>
      <c r="F175" s="59"/>
      <c r="G175" s="263"/>
      <c r="H175" s="268"/>
    </row>
    <row r="176" spans="4:8">
      <c r="D176" s="263"/>
      <c r="E176" s="59"/>
      <c r="F176" s="59"/>
      <c r="G176" s="263"/>
      <c r="H176" s="268"/>
    </row>
    <row r="177" spans="4:8">
      <c r="D177" s="263"/>
      <c r="E177" s="59"/>
      <c r="F177" s="59"/>
      <c r="G177" s="263"/>
      <c r="H177" s="268"/>
    </row>
    <row r="178" spans="4:8">
      <c r="D178" s="263"/>
      <c r="E178" s="59"/>
      <c r="F178" s="59"/>
      <c r="G178" s="263"/>
      <c r="H178" s="268"/>
    </row>
    <row r="179" spans="4:8">
      <c r="D179" s="263"/>
      <c r="E179" s="59"/>
      <c r="F179" s="59"/>
      <c r="G179" s="263"/>
      <c r="H179" s="268"/>
    </row>
    <row r="180" spans="4:8">
      <c r="D180" s="263"/>
      <c r="E180" s="59"/>
      <c r="F180" s="59"/>
      <c r="G180" s="263"/>
      <c r="H180" s="268"/>
    </row>
    <row r="181" spans="4:8">
      <c r="D181" s="263"/>
      <c r="E181" s="59"/>
      <c r="F181" s="59"/>
      <c r="G181" s="263"/>
      <c r="H181" s="268"/>
    </row>
    <row r="182" spans="4:8">
      <c r="D182" s="263"/>
      <c r="E182" s="59"/>
      <c r="F182" s="59"/>
      <c r="G182" s="263"/>
      <c r="H182" s="268"/>
    </row>
    <row r="183" spans="4:8">
      <c r="D183" s="263"/>
      <c r="E183" s="59"/>
      <c r="F183" s="59"/>
      <c r="G183" s="263"/>
      <c r="H183" s="268"/>
    </row>
    <row r="184" spans="4:8">
      <c r="D184" s="263"/>
      <c r="E184" s="59"/>
      <c r="F184" s="59"/>
      <c r="G184" s="263"/>
      <c r="H184" s="268"/>
    </row>
    <row r="185" spans="4:8">
      <c r="D185" s="263"/>
      <c r="E185" s="59"/>
      <c r="F185" s="59"/>
      <c r="G185" s="263"/>
      <c r="H185" s="268"/>
    </row>
    <row r="186" spans="4:8">
      <c r="D186" s="263"/>
      <c r="E186" s="59"/>
      <c r="F186" s="59"/>
      <c r="G186" s="263"/>
      <c r="H186" s="268"/>
    </row>
    <row r="187" spans="4:8">
      <c r="D187" s="263"/>
      <c r="E187" s="59"/>
      <c r="F187" s="59"/>
      <c r="G187" s="263"/>
      <c r="H187" s="268"/>
    </row>
    <row r="188" spans="4:8">
      <c r="D188" s="263"/>
      <c r="E188" s="59"/>
      <c r="F188" s="59"/>
      <c r="G188" s="263"/>
      <c r="H188" s="268"/>
    </row>
    <row r="189" spans="4:8">
      <c r="D189" s="263"/>
      <c r="E189" s="59"/>
      <c r="F189" s="59"/>
      <c r="G189" s="263"/>
      <c r="H189" s="268"/>
    </row>
    <row r="190" spans="4:8">
      <c r="D190" s="263"/>
      <c r="E190" s="59"/>
      <c r="F190" s="59"/>
      <c r="G190" s="263"/>
      <c r="H190" s="268"/>
    </row>
    <row r="191" spans="4:8">
      <c r="D191" s="263"/>
      <c r="E191" s="59"/>
      <c r="F191" s="59"/>
      <c r="G191" s="263"/>
      <c r="H191" s="268"/>
    </row>
    <row r="192" spans="4:8">
      <c r="D192" s="263"/>
      <c r="E192" s="59"/>
      <c r="F192" s="59"/>
      <c r="G192" s="263"/>
      <c r="H192" s="268"/>
    </row>
    <row r="193" spans="4:8">
      <c r="D193" s="263"/>
      <c r="E193" s="59"/>
      <c r="F193" s="59"/>
      <c r="G193" s="263"/>
      <c r="H193" s="268"/>
    </row>
    <row r="194" spans="4:8">
      <c r="D194" s="263"/>
      <c r="E194" s="59"/>
      <c r="F194" s="59"/>
      <c r="G194" s="263"/>
      <c r="H194" s="268"/>
    </row>
    <row r="195" spans="4:8">
      <c r="D195" s="263"/>
      <c r="E195" s="59"/>
      <c r="F195" s="59"/>
      <c r="G195" s="263"/>
      <c r="H195" s="268"/>
    </row>
    <row r="196" spans="4:8">
      <c r="D196" s="263"/>
      <c r="E196" s="59"/>
      <c r="F196" s="59"/>
      <c r="G196" s="263"/>
      <c r="H196" s="268"/>
    </row>
    <row r="197" spans="4:8">
      <c r="D197" s="263"/>
      <c r="E197" s="59"/>
      <c r="F197" s="59"/>
      <c r="G197" s="263"/>
      <c r="H197" s="268"/>
    </row>
    <row r="198" spans="4:8">
      <c r="D198" s="263"/>
      <c r="E198" s="59"/>
      <c r="F198" s="59"/>
      <c r="G198" s="263"/>
      <c r="H198" s="268"/>
    </row>
    <row r="199" spans="4:8">
      <c r="D199" s="263"/>
      <c r="E199" s="59"/>
      <c r="F199" s="59"/>
      <c r="G199" s="263"/>
      <c r="H199" s="268"/>
    </row>
    <row r="200" spans="4:8">
      <c r="D200" s="263"/>
      <c r="E200" s="59"/>
      <c r="F200" s="59"/>
      <c r="G200" s="263"/>
      <c r="H200" s="268"/>
    </row>
    <row r="201" spans="4:8">
      <c r="D201" s="263"/>
      <c r="E201" s="59"/>
      <c r="F201" s="59"/>
      <c r="G201" s="263"/>
      <c r="H201" s="268"/>
    </row>
    <row r="202" spans="4:8">
      <c r="D202" s="263"/>
      <c r="E202" s="59"/>
      <c r="F202" s="59"/>
      <c r="G202" s="263"/>
      <c r="H202" s="268"/>
    </row>
    <row r="203" spans="4:8">
      <c r="D203" s="263"/>
      <c r="E203" s="59"/>
      <c r="F203" s="59"/>
      <c r="G203" s="263"/>
      <c r="H203" s="268"/>
    </row>
    <row r="204" spans="4:8">
      <c r="D204" s="263"/>
      <c r="E204" s="59"/>
      <c r="F204" s="59"/>
      <c r="G204" s="263"/>
      <c r="H204" s="268"/>
    </row>
    <row r="205" spans="4:8">
      <c r="D205" s="263"/>
      <c r="E205" s="59"/>
      <c r="F205" s="59"/>
      <c r="G205" s="263"/>
      <c r="H205" s="268"/>
    </row>
    <row r="206" spans="4:8">
      <c r="D206" s="263"/>
      <c r="E206" s="59"/>
      <c r="F206" s="59"/>
      <c r="G206" s="263"/>
      <c r="H206" s="268"/>
    </row>
    <row r="207" spans="4:8">
      <c r="D207" s="263"/>
      <c r="E207" s="59"/>
      <c r="F207" s="59"/>
      <c r="G207" s="263"/>
      <c r="H207" s="268"/>
    </row>
    <row r="208" spans="4:8">
      <c r="D208" s="263"/>
      <c r="E208" s="59"/>
      <c r="F208" s="59"/>
      <c r="G208" s="263"/>
      <c r="H208" s="268"/>
    </row>
    <row r="209" spans="4:8">
      <c r="D209" s="263"/>
      <c r="E209" s="59"/>
      <c r="F209" s="59"/>
      <c r="G209" s="263"/>
      <c r="H209" s="268"/>
    </row>
    <row r="210" spans="4:8">
      <c r="D210" s="263"/>
      <c r="E210" s="59"/>
      <c r="F210" s="59"/>
      <c r="G210" s="263"/>
      <c r="H210" s="268"/>
    </row>
    <row r="211" spans="4:8">
      <c r="D211" s="263"/>
      <c r="E211" s="59"/>
      <c r="F211" s="59"/>
      <c r="G211" s="263"/>
      <c r="H211" s="268"/>
    </row>
    <row r="212" spans="4:8">
      <c r="D212" s="263"/>
      <c r="E212" s="59"/>
      <c r="F212" s="59"/>
      <c r="G212" s="263"/>
      <c r="H212" s="268"/>
    </row>
    <row r="213" spans="4:8">
      <c r="D213" s="263"/>
      <c r="E213" s="59"/>
      <c r="F213" s="59"/>
      <c r="G213" s="263"/>
      <c r="H213" s="268"/>
    </row>
    <row r="214" spans="4:8">
      <c r="D214" s="263"/>
      <c r="E214" s="59"/>
      <c r="F214" s="59"/>
      <c r="G214" s="263"/>
      <c r="H214" s="268"/>
    </row>
    <row r="215" spans="4:8">
      <c r="D215" s="263"/>
      <c r="E215" s="59"/>
      <c r="F215" s="59"/>
      <c r="G215" s="263"/>
      <c r="H215" s="268"/>
    </row>
    <row r="216" spans="4:8">
      <c r="D216" s="263"/>
      <c r="E216" s="59"/>
      <c r="F216" s="59"/>
      <c r="G216" s="263"/>
      <c r="H216" s="268"/>
    </row>
    <row r="217" spans="4:8">
      <c r="D217" s="263"/>
      <c r="E217" s="59"/>
      <c r="F217" s="59"/>
      <c r="G217" s="263"/>
      <c r="H217" s="268"/>
    </row>
    <row r="218" spans="4:8">
      <c r="D218" s="263"/>
      <c r="E218" s="59"/>
      <c r="F218" s="59"/>
      <c r="G218" s="263"/>
      <c r="H218" s="268"/>
    </row>
    <row r="219" spans="4:8">
      <c r="D219" s="263"/>
      <c r="E219" s="59"/>
      <c r="F219" s="59"/>
      <c r="G219" s="263"/>
      <c r="H219" s="268"/>
    </row>
    <row r="220" spans="4:8">
      <c r="D220" s="263"/>
      <c r="E220" s="59"/>
      <c r="F220" s="59"/>
      <c r="G220" s="263"/>
      <c r="H220" s="268"/>
    </row>
    <row r="221" spans="4:8">
      <c r="D221" s="263"/>
      <c r="E221" s="59"/>
      <c r="F221" s="59"/>
      <c r="G221" s="263"/>
      <c r="H221" s="268"/>
    </row>
    <row r="222" spans="4:8">
      <c r="D222" s="263"/>
      <c r="E222" s="59"/>
      <c r="F222" s="59"/>
      <c r="G222" s="263"/>
      <c r="H222" s="268"/>
    </row>
    <row r="223" spans="4:8">
      <c r="D223" s="263"/>
      <c r="E223" s="59"/>
      <c r="F223" s="59"/>
      <c r="G223" s="263"/>
      <c r="H223" s="268"/>
    </row>
    <row r="224" spans="4:8">
      <c r="D224" s="263"/>
      <c r="E224" s="59"/>
      <c r="F224" s="59"/>
      <c r="G224" s="263"/>
      <c r="H224" s="268"/>
    </row>
    <row r="225" spans="4:8">
      <c r="D225" s="263"/>
      <c r="E225" s="59"/>
      <c r="F225" s="59"/>
      <c r="G225" s="263"/>
      <c r="H225" s="268"/>
    </row>
    <row r="226" spans="4:8">
      <c r="D226" s="263"/>
      <c r="E226" s="59"/>
      <c r="F226" s="59"/>
      <c r="G226" s="263"/>
      <c r="H226" s="268"/>
    </row>
    <row r="227" spans="4:8">
      <c r="D227" s="263"/>
      <c r="E227" s="59"/>
      <c r="F227" s="59"/>
      <c r="G227" s="263"/>
      <c r="H227" s="268"/>
    </row>
    <row r="228" spans="4:8">
      <c r="D228" s="263"/>
      <c r="E228" s="59"/>
      <c r="F228" s="59"/>
      <c r="G228" s="263"/>
      <c r="H228" s="268"/>
    </row>
    <row r="229" spans="4:8">
      <c r="D229" s="263"/>
      <c r="E229" s="59"/>
      <c r="F229" s="59"/>
      <c r="G229" s="263"/>
      <c r="H229" s="268"/>
    </row>
    <row r="230" spans="4:8">
      <c r="D230" s="263"/>
      <c r="E230" s="59"/>
      <c r="F230" s="59"/>
      <c r="G230" s="263"/>
      <c r="H230" s="268"/>
    </row>
    <row r="231" spans="4:8">
      <c r="D231" s="263"/>
      <c r="E231" s="59"/>
      <c r="F231" s="59"/>
      <c r="G231" s="263"/>
      <c r="H231" s="268"/>
    </row>
    <row r="232" spans="4:8">
      <c r="D232" s="263"/>
      <c r="E232" s="59"/>
      <c r="F232" s="59"/>
      <c r="G232" s="263"/>
      <c r="H232" s="268"/>
    </row>
    <row r="233" spans="4:8">
      <c r="D233" s="263"/>
      <c r="E233" s="59"/>
      <c r="F233" s="59"/>
      <c r="G233" s="263"/>
      <c r="H233" s="268"/>
    </row>
    <row r="234" spans="4:8">
      <c r="D234" s="263"/>
      <c r="E234" s="59"/>
      <c r="F234" s="59"/>
      <c r="G234" s="263"/>
      <c r="H234" s="268"/>
    </row>
    <row r="235" spans="4:8">
      <c r="D235" s="263"/>
      <c r="E235" s="59"/>
      <c r="F235" s="59"/>
      <c r="G235" s="263"/>
      <c r="H235" s="268"/>
    </row>
    <row r="236" spans="4:8">
      <c r="D236" s="263"/>
      <c r="E236" s="59"/>
      <c r="F236" s="59"/>
      <c r="G236" s="263"/>
      <c r="H236" s="268"/>
    </row>
    <row r="237" spans="4:8">
      <c r="D237" s="263"/>
      <c r="E237" s="59"/>
      <c r="F237" s="59"/>
      <c r="G237" s="263"/>
      <c r="H237" s="268"/>
    </row>
    <row r="238" spans="4:8">
      <c r="D238" s="263"/>
      <c r="E238" s="59"/>
      <c r="F238" s="59"/>
      <c r="G238" s="263"/>
      <c r="H238" s="268"/>
    </row>
    <row r="239" spans="4:8">
      <c r="D239" s="263"/>
      <c r="E239" s="59"/>
      <c r="F239" s="59"/>
      <c r="G239" s="263"/>
      <c r="H239" s="268"/>
    </row>
    <row r="240" spans="4:8">
      <c r="D240" s="263"/>
      <c r="E240" s="59"/>
      <c r="F240" s="59"/>
      <c r="G240" s="263"/>
      <c r="H240" s="268"/>
    </row>
    <row r="241" spans="4:8">
      <c r="D241" s="263"/>
      <c r="E241" s="59"/>
      <c r="F241" s="59"/>
      <c r="G241" s="263"/>
      <c r="H241" s="268"/>
    </row>
    <row r="242" spans="4:8">
      <c r="D242" s="263"/>
      <c r="E242" s="59"/>
      <c r="F242" s="59"/>
      <c r="G242" s="263"/>
      <c r="H242" s="268"/>
    </row>
    <row r="243" spans="4:8">
      <c r="D243" s="263"/>
      <c r="E243" s="59"/>
      <c r="F243" s="59"/>
      <c r="G243" s="263"/>
      <c r="H243" s="268"/>
    </row>
    <row r="244" spans="4:8">
      <c r="D244" s="263"/>
      <c r="E244" s="59"/>
      <c r="F244" s="59"/>
      <c r="G244" s="263"/>
      <c r="H244" s="268"/>
    </row>
    <row r="245" spans="4:8">
      <c r="D245" s="263"/>
      <c r="E245" s="59"/>
      <c r="F245" s="59"/>
      <c r="G245" s="263"/>
      <c r="H245" s="268"/>
    </row>
    <row r="246" spans="4:8">
      <c r="D246" s="263"/>
      <c r="E246" s="59"/>
      <c r="F246" s="59"/>
      <c r="G246" s="263"/>
      <c r="H246" s="268"/>
    </row>
  </sheetData>
  <conditionalFormatting sqref="H5:H24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35" zoomScaleNormal="100" zoomScalePageLayoutView="127" workbookViewId="0">
      <selection activeCell="E36" sqref="E36"/>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1" t="s">
        <v>9</v>
      </c>
      <c r="D8" s="131" t="s">
        <v>11</v>
      </c>
      <c r="E8" s="131" t="s">
        <v>8</v>
      </c>
      <c r="F8" s="132" t="s">
        <v>10</v>
      </c>
      <c r="G8" s="133"/>
      <c r="H8" s="133"/>
      <c r="I8" s="133"/>
      <c r="J8" s="45"/>
    </row>
    <row r="9" spans="1:10" ht="208.5" customHeight="1">
      <c r="B9" s="111">
        <v>43128</v>
      </c>
      <c r="C9" s="134" t="s">
        <v>16</v>
      </c>
      <c r="D9" s="130" t="s">
        <v>17</v>
      </c>
      <c r="E9" s="130" t="s">
        <v>18</v>
      </c>
      <c r="F9" s="135">
        <v>12.8</v>
      </c>
      <c r="G9" s="136"/>
      <c r="H9" s="136"/>
      <c r="I9" s="136"/>
      <c r="J9" s="137"/>
    </row>
    <row r="10" spans="1:10" ht="206.25" customHeight="1">
      <c r="B10" s="111">
        <v>43129</v>
      </c>
      <c r="C10" s="134" t="s">
        <v>19</v>
      </c>
      <c r="D10" s="130" t="s">
        <v>25</v>
      </c>
      <c r="E10" s="130" t="s">
        <v>20</v>
      </c>
      <c r="F10" s="135">
        <v>7.6</v>
      </c>
      <c r="G10" s="136"/>
      <c r="H10" s="136"/>
      <c r="I10" s="136"/>
      <c r="J10" s="137"/>
    </row>
    <row r="11" spans="1:10" ht="156" customHeight="1">
      <c r="B11" s="111">
        <v>43130</v>
      </c>
      <c r="C11" s="134" t="s">
        <v>26</v>
      </c>
      <c r="D11" s="130" t="s">
        <v>29</v>
      </c>
      <c r="E11" s="130"/>
      <c r="F11" s="135">
        <v>8</v>
      </c>
      <c r="G11" s="136"/>
      <c r="H11" s="136"/>
      <c r="I11" s="136"/>
      <c r="J11" s="137"/>
    </row>
    <row r="12" spans="1:10" ht="60">
      <c r="B12" s="111">
        <v>43131</v>
      </c>
      <c r="C12" s="134"/>
      <c r="D12" s="130" t="s">
        <v>27</v>
      </c>
      <c r="E12" s="130" t="s">
        <v>28</v>
      </c>
      <c r="F12" s="135">
        <v>14.5</v>
      </c>
      <c r="G12" s="136"/>
      <c r="H12" s="136"/>
      <c r="I12" s="136"/>
      <c r="J12" s="137"/>
    </row>
    <row r="13" spans="1:10" ht="323.25" customHeight="1">
      <c r="B13" s="111">
        <v>43132</v>
      </c>
      <c r="C13" s="134" t="s">
        <v>30</v>
      </c>
      <c r="D13" s="130" t="s">
        <v>32</v>
      </c>
      <c r="E13" s="130" t="s">
        <v>31</v>
      </c>
      <c r="F13" s="135">
        <v>15</v>
      </c>
      <c r="G13" s="136"/>
      <c r="H13" s="136"/>
      <c r="I13" s="136"/>
      <c r="J13" s="137"/>
    </row>
    <row r="14" spans="1:10" ht="36">
      <c r="B14" s="111">
        <v>43133</v>
      </c>
      <c r="C14" s="134" t="s">
        <v>33</v>
      </c>
      <c r="D14" s="130" t="s">
        <v>34</v>
      </c>
      <c r="E14" s="130"/>
      <c r="F14" s="135">
        <v>14.6</v>
      </c>
      <c r="G14" s="136"/>
      <c r="H14" s="136"/>
      <c r="I14" s="136"/>
      <c r="J14" s="137"/>
    </row>
    <row r="15" spans="1:10" ht="72">
      <c r="B15" s="111">
        <v>43134</v>
      </c>
      <c r="C15" s="138" t="s">
        <v>36</v>
      </c>
      <c r="D15" s="130" t="s">
        <v>35</v>
      </c>
      <c r="E15" s="130" t="s">
        <v>38</v>
      </c>
      <c r="F15" s="135">
        <v>11</v>
      </c>
      <c r="G15" s="136"/>
      <c r="H15" s="136"/>
      <c r="I15" s="136"/>
      <c r="J15" s="137"/>
    </row>
    <row r="16" spans="1:10" ht="72">
      <c r="B16" s="111">
        <v>43135</v>
      </c>
      <c r="C16" s="134" t="s">
        <v>37</v>
      </c>
      <c r="D16" s="130" t="s">
        <v>39</v>
      </c>
      <c r="E16" s="130" t="s">
        <v>40</v>
      </c>
      <c r="F16" s="135">
        <v>18.25</v>
      </c>
      <c r="G16" s="136"/>
      <c r="H16" s="136"/>
      <c r="I16" s="136"/>
      <c r="J16" s="137"/>
    </row>
    <row r="17" spans="1:10" ht="36">
      <c r="B17" s="111">
        <v>43136</v>
      </c>
      <c r="C17" s="134" t="s">
        <v>42</v>
      </c>
      <c r="D17" s="130" t="s">
        <v>41</v>
      </c>
      <c r="E17" s="130" t="s">
        <v>44</v>
      </c>
      <c r="F17" s="135">
        <v>18.25</v>
      </c>
      <c r="G17" s="136"/>
      <c r="H17" s="136"/>
      <c r="I17" s="136"/>
      <c r="J17" s="137"/>
    </row>
    <row r="18" spans="1:10" ht="84">
      <c r="B18" s="111">
        <v>43137</v>
      </c>
      <c r="C18" s="134" t="s">
        <v>45</v>
      </c>
      <c r="D18" s="130" t="s">
        <v>53</v>
      </c>
      <c r="E18" s="130" t="s">
        <v>54</v>
      </c>
      <c r="F18" s="135">
        <v>16</v>
      </c>
      <c r="G18" s="136"/>
      <c r="H18" s="136"/>
      <c r="I18" s="136"/>
      <c r="J18" s="137"/>
    </row>
    <row r="19" spans="1:10" ht="60">
      <c r="B19" s="111">
        <v>43138</v>
      </c>
      <c r="C19" s="134" t="s">
        <v>55</v>
      </c>
      <c r="D19" s="130" t="s">
        <v>56</v>
      </c>
      <c r="E19" s="130"/>
      <c r="F19" s="135">
        <v>15</v>
      </c>
      <c r="G19" s="136"/>
      <c r="H19" s="136"/>
      <c r="I19" s="136"/>
      <c r="J19" s="137"/>
    </row>
    <row r="20" spans="1:10" ht="93.75" customHeight="1">
      <c r="B20" s="111">
        <v>43139</v>
      </c>
      <c r="C20" s="134" t="s">
        <v>57</v>
      </c>
      <c r="D20" s="130" t="s">
        <v>58</v>
      </c>
      <c r="E20" s="130"/>
      <c r="F20" s="135">
        <v>16</v>
      </c>
      <c r="G20" s="136"/>
      <c r="H20" s="136"/>
      <c r="I20" s="136"/>
      <c r="J20" s="137"/>
    </row>
    <row r="21" spans="1:10">
      <c r="B21" s="111">
        <v>43140</v>
      </c>
      <c r="C21" s="134"/>
      <c r="D21" s="130" t="s">
        <v>188</v>
      </c>
      <c r="E21" s="130"/>
      <c r="F21" s="135">
        <v>16</v>
      </c>
      <c r="G21" s="136"/>
      <c r="H21" s="136"/>
      <c r="I21" s="136"/>
      <c r="J21" s="137"/>
    </row>
    <row r="22" spans="1:10" ht="69" customHeight="1">
      <c r="B22" s="111">
        <v>43141</v>
      </c>
      <c r="C22" s="134"/>
      <c r="D22" s="130" t="s">
        <v>187</v>
      </c>
      <c r="E22" s="130"/>
      <c r="F22" s="135">
        <v>19</v>
      </c>
      <c r="G22" s="136"/>
      <c r="H22" s="136"/>
      <c r="I22" s="136"/>
      <c r="J22" s="137"/>
    </row>
    <row r="23" spans="1:10" ht="101.25" customHeight="1">
      <c r="B23" s="111">
        <v>43142</v>
      </c>
      <c r="C23" s="134"/>
      <c r="D23" s="130" t="s">
        <v>190</v>
      </c>
      <c r="E23" s="130"/>
      <c r="F23" s="135">
        <v>11</v>
      </c>
      <c r="G23" s="136"/>
      <c r="H23" s="136"/>
      <c r="I23" s="136"/>
      <c r="J23" s="137"/>
    </row>
    <row r="24" spans="1:10" ht="152.1" customHeight="1">
      <c r="B24" s="111">
        <v>43148</v>
      </c>
      <c r="C24" s="134"/>
      <c r="D24" s="130" t="s">
        <v>235</v>
      </c>
      <c r="E24" s="130" t="s">
        <v>237</v>
      </c>
      <c r="F24" s="135">
        <v>16</v>
      </c>
      <c r="G24" s="136"/>
      <c r="H24" s="136"/>
      <c r="I24" s="136"/>
      <c r="J24" s="137"/>
    </row>
    <row r="25" spans="1:10" ht="138" customHeight="1">
      <c r="A25" s="140"/>
      <c r="B25" s="111">
        <v>43149</v>
      </c>
      <c r="C25" s="134" t="s">
        <v>236</v>
      </c>
      <c r="D25" s="130" t="s">
        <v>240</v>
      </c>
      <c r="E25" s="139" t="s">
        <v>239</v>
      </c>
      <c r="F25" s="135">
        <v>16</v>
      </c>
      <c r="G25" s="136"/>
      <c r="H25" s="136"/>
      <c r="I25" s="136"/>
      <c r="J25" s="137"/>
    </row>
    <row r="26" spans="1:10" ht="204">
      <c r="B26" s="111">
        <v>43150</v>
      </c>
      <c r="C26" s="134" t="s">
        <v>247</v>
      </c>
      <c r="D26" s="130" t="s">
        <v>245</v>
      </c>
      <c r="E26" s="130" t="s">
        <v>246</v>
      </c>
      <c r="F26" s="135">
        <v>16</v>
      </c>
      <c r="G26" s="136"/>
      <c r="H26" s="136"/>
      <c r="I26" s="136"/>
      <c r="J26" s="137"/>
    </row>
    <row r="27" spans="1:10" ht="108" customHeight="1">
      <c r="B27" s="111">
        <v>43151</v>
      </c>
      <c r="C27" s="134" t="s">
        <v>248</v>
      </c>
      <c r="D27" s="130" t="s">
        <v>277</v>
      </c>
      <c r="E27" s="130" t="s">
        <v>276</v>
      </c>
      <c r="F27" s="135">
        <v>16</v>
      </c>
      <c r="G27" s="136"/>
      <c r="H27" s="136"/>
      <c r="I27" s="136"/>
      <c r="J27" s="137"/>
    </row>
    <row r="28" spans="1:10" ht="248.1" customHeight="1">
      <c r="B28" s="111">
        <v>43152</v>
      </c>
      <c r="C28" s="134" t="s">
        <v>283</v>
      </c>
      <c r="D28" s="130" t="s">
        <v>285</v>
      </c>
      <c r="E28" s="130" t="s">
        <v>280</v>
      </c>
      <c r="F28" s="135">
        <v>16</v>
      </c>
      <c r="G28" s="136"/>
      <c r="H28" s="136"/>
      <c r="I28" s="136"/>
      <c r="J28" s="137"/>
    </row>
    <row r="29" spans="1:10" ht="74.099999999999994" customHeight="1">
      <c r="B29" s="111">
        <v>43153</v>
      </c>
      <c r="C29" s="134"/>
      <c r="D29" s="130" t="s">
        <v>287</v>
      </c>
      <c r="E29" s="130"/>
      <c r="F29" s="135">
        <v>16</v>
      </c>
      <c r="G29" s="136"/>
      <c r="H29" s="136"/>
      <c r="I29" s="136"/>
      <c r="J29" s="137"/>
    </row>
    <row r="30" spans="1:10" ht="131.25" customHeight="1">
      <c r="B30" s="111">
        <v>43154</v>
      </c>
      <c r="C30" s="134"/>
      <c r="D30" s="130" t="s">
        <v>296</v>
      </c>
      <c r="E30" s="130"/>
      <c r="F30" s="135">
        <v>16</v>
      </c>
      <c r="G30" s="136"/>
      <c r="H30" s="136"/>
      <c r="I30" s="136"/>
      <c r="J30" s="137"/>
    </row>
    <row r="31" spans="1:10" ht="245.25" customHeight="1">
      <c r="B31" s="111">
        <v>43155</v>
      </c>
      <c r="C31" s="134" t="s">
        <v>645</v>
      </c>
      <c r="D31" s="130" t="s">
        <v>650</v>
      </c>
      <c r="E31" s="130" t="s">
        <v>646</v>
      </c>
      <c r="F31" s="135">
        <v>16</v>
      </c>
      <c r="G31" s="136"/>
      <c r="H31" s="136"/>
      <c r="I31" s="136"/>
      <c r="J31" s="137"/>
    </row>
    <row r="32" spans="1:10" ht="162.75" customHeight="1">
      <c r="B32" s="111">
        <v>43156</v>
      </c>
      <c r="C32" s="134" t="s">
        <v>653</v>
      </c>
      <c r="D32" s="130" t="s">
        <v>656</v>
      </c>
      <c r="E32" s="130" t="s">
        <v>654</v>
      </c>
      <c r="F32" s="135"/>
      <c r="G32" s="136"/>
      <c r="H32" s="136"/>
      <c r="I32" s="136"/>
      <c r="J32" s="137"/>
    </row>
    <row r="33" spans="2:10" ht="108">
      <c r="B33" s="111">
        <v>43157</v>
      </c>
      <c r="C33" s="134"/>
      <c r="D33" s="130" t="s">
        <v>684</v>
      </c>
      <c r="E33" s="130"/>
      <c r="F33" s="135"/>
      <c r="G33" s="136"/>
      <c r="H33" s="136"/>
      <c r="I33" s="136"/>
      <c r="J33" s="137"/>
    </row>
    <row r="34" spans="2:10" ht="161.25" customHeight="1">
      <c r="B34" s="111">
        <v>43158</v>
      </c>
      <c r="C34" s="134"/>
      <c r="D34" s="130" t="s">
        <v>730</v>
      </c>
      <c r="E34" s="130" t="s">
        <v>731</v>
      </c>
      <c r="F34" s="135"/>
      <c r="G34" s="136"/>
      <c r="H34" s="136"/>
      <c r="I34" s="136"/>
      <c r="J34" s="137"/>
    </row>
    <row r="35" spans="2:10" ht="129" customHeight="1">
      <c r="B35" s="111">
        <v>43159</v>
      </c>
      <c r="C35" s="134"/>
      <c r="D35" s="130" t="s">
        <v>734</v>
      </c>
      <c r="E35" s="130" t="s">
        <v>738</v>
      </c>
      <c r="F35" s="135"/>
      <c r="G35" s="136"/>
      <c r="H35" s="136"/>
      <c r="I35" s="136"/>
      <c r="J35" s="137"/>
    </row>
    <row r="36" spans="2:10" ht="171" customHeight="1">
      <c r="B36" s="111">
        <v>43160</v>
      </c>
      <c r="C36" s="134"/>
      <c r="D36" s="130" t="s">
        <v>776</v>
      </c>
      <c r="E36" s="130" t="s">
        <v>757</v>
      </c>
      <c r="F36" s="135"/>
      <c r="G36" s="136"/>
      <c r="H36" s="136"/>
      <c r="I36" s="136"/>
      <c r="J36" s="137"/>
    </row>
    <row r="37" spans="2:10">
      <c r="B37" s="111">
        <v>43161</v>
      </c>
      <c r="C37" s="134"/>
      <c r="D37" s="130"/>
      <c r="E37" s="130"/>
      <c r="F37" s="135"/>
      <c r="G37" s="136"/>
      <c r="H37" s="136"/>
      <c r="I37" s="136"/>
      <c r="J37" s="137"/>
    </row>
    <row r="38" spans="2:10">
      <c r="B38" s="111">
        <v>43162</v>
      </c>
      <c r="C38" s="134"/>
      <c r="D38" s="130"/>
      <c r="E38" s="130"/>
      <c r="F38" s="135"/>
      <c r="G38" s="136"/>
      <c r="H38" s="136"/>
      <c r="I38" s="136"/>
      <c r="J38" s="137"/>
    </row>
    <row r="39" spans="2:10">
      <c r="B39" s="111">
        <v>43163</v>
      </c>
      <c r="C39" s="134"/>
      <c r="D39" s="130"/>
      <c r="E39" s="130"/>
      <c r="F39" s="135"/>
      <c r="G39" s="136"/>
      <c r="H39" s="136"/>
      <c r="I39" s="136"/>
      <c r="J39" s="137"/>
    </row>
    <row r="40" spans="2:10">
      <c r="B40" s="111">
        <v>43164</v>
      </c>
      <c r="C40" s="134"/>
      <c r="D40" s="130"/>
      <c r="E40" s="130"/>
      <c r="F40" s="135"/>
      <c r="G40" s="136"/>
      <c r="H40" s="136"/>
      <c r="I40" s="136"/>
      <c r="J40" s="137"/>
    </row>
    <row r="41" spans="2:10">
      <c r="B41" s="111">
        <v>43165</v>
      </c>
      <c r="C41" s="134"/>
      <c r="D41" s="130"/>
      <c r="E41" s="130"/>
      <c r="F41" s="135"/>
      <c r="G41" s="136"/>
      <c r="H41" s="136"/>
      <c r="I41" s="136"/>
      <c r="J41" s="137"/>
    </row>
    <row r="42" spans="2:10">
      <c r="B42" s="111">
        <v>43166</v>
      </c>
      <c r="C42" s="134"/>
      <c r="D42" s="130"/>
      <c r="E42" s="130"/>
      <c r="F42" s="135"/>
      <c r="G42" s="136"/>
      <c r="H42" s="136"/>
      <c r="I42" s="136"/>
      <c r="J42" s="137"/>
    </row>
    <row r="43" spans="2:10">
      <c r="B43" s="111">
        <v>43167</v>
      </c>
      <c r="C43" s="134"/>
      <c r="D43" s="130"/>
      <c r="E43" s="130"/>
      <c r="F43" s="135"/>
      <c r="G43" s="136"/>
      <c r="H43" s="136"/>
      <c r="I43" s="136"/>
      <c r="J43" s="137"/>
    </row>
    <row r="44" spans="2:10">
      <c r="B44" s="111">
        <v>43168</v>
      </c>
      <c r="C44" s="134"/>
      <c r="D44" s="130"/>
      <c r="E44" s="130"/>
      <c r="F44" s="135"/>
      <c r="G44" s="136"/>
      <c r="H44" s="136"/>
      <c r="I44" s="136"/>
      <c r="J44" s="137"/>
    </row>
    <row r="45" spans="2:10">
      <c r="B45" s="111">
        <v>43169</v>
      </c>
      <c r="C45" s="134"/>
      <c r="D45" s="130"/>
      <c r="E45" s="130"/>
      <c r="F45" s="135"/>
      <c r="G45" s="136"/>
      <c r="H45" s="136"/>
      <c r="I45" s="136"/>
      <c r="J45" s="137"/>
    </row>
    <row r="46" spans="2:10">
      <c r="B46" s="111">
        <v>43170</v>
      </c>
      <c r="C46" s="134"/>
      <c r="D46" s="130"/>
      <c r="E46" s="130"/>
      <c r="F46" s="135"/>
      <c r="G46" s="136"/>
      <c r="H46" s="136"/>
      <c r="I46" s="136"/>
      <c r="J46" s="137"/>
    </row>
    <row r="47" spans="2:10">
      <c r="B47" s="111">
        <v>43171</v>
      </c>
      <c r="C47" s="134"/>
      <c r="D47" s="130"/>
      <c r="E47" s="130"/>
      <c r="F47" s="135"/>
      <c r="G47" s="136"/>
      <c r="H47" s="136"/>
      <c r="I47" s="136"/>
      <c r="J47" s="137"/>
    </row>
    <row r="48" spans="2:10">
      <c r="B48" s="111">
        <v>43172</v>
      </c>
      <c r="C48" s="134"/>
      <c r="D48" s="130"/>
      <c r="E48" s="130"/>
      <c r="F48" s="135"/>
      <c r="G48" s="136"/>
      <c r="H48" s="136"/>
      <c r="I48" s="136"/>
      <c r="J48" s="137"/>
    </row>
    <row r="49" spans="2:10">
      <c r="B49" s="111">
        <v>43173</v>
      </c>
      <c r="C49" s="134"/>
      <c r="D49" s="130"/>
      <c r="E49" s="130"/>
      <c r="F49" s="135"/>
      <c r="G49" s="136"/>
      <c r="H49" s="136"/>
      <c r="I49" s="136"/>
      <c r="J49" s="137"/>
    </row>
    <row r="50" spans="2:10">
      <c r="B50" s="111">
        <v>43174</v>
      </c>
      <c r="C50" s="134"/>
      <c r="D50" s="130"/>
      <c r="E50" s="130"/>
      <c r="F50" s="135"/>
      <c r="G50" s="136"/>
      <c r="H50" s="136"/>
      <c r="I50" s="136"/>
      <c r="J50" s="137"/>
    </row>
    <row r="51" spans="2:10">
      <c r="B51" s="111">
        <v>43175</v>
      </c>
      <c r="C51" s="134"/>
      <c r="D51" s="130"/>
      <c r="E51" s="130"/>
      <c r="F51" s="135"/>
      <c r="G51" s="136"/>
      <c r="H51" s="136"/>
      <c r="I51" s="136"/>
      <c r="J51" s="137"/>
    </row>
    <row r="52" spans="2:10">
      <c r="B52" s="111">
        <v>43176</v>
      </c>
      <c r="C52" s="134"/>
      <c r="D52" s="130"/>
      <c r="E52" s="130"/>
      <c r="F52" s="135"/>
      <c r="G52" s="136"/>
      <c r="H52" s="136"/>
      <c r="I52" s="136"/>
      <c r="J52" s="137"/>
    </row>
    <row r="53" spans="2:10">
      <c r="B53" s="111">
        <v>43177</v>
      </c>
      <c r="C53" s="134"/>
      <c r="D53" s="130"/>
      <c r="E53" s="130"/>
      <c r="F53" s="135"/>
      <c r="G53" s="136"/>
      <c r="H53" s="136"/>
      <c r="I53" s="136"/>
      <c r="J53" s="137"/>
    </row>
    <row r="54" spans="2:10">
      <c r="B54" s="111">
        <v>43178</v>
      </c>
      <c r="C54" s="134"/>
      <c r="D54" s="130"/>
      <c r="E54" s="130"/>
      <c r="F54" s="135"/>
      <c r="G54" s="136"/>
      <c r="H54" s="136"/>
      <c r="I54" s="136"/>
      <c r="J54" s="137"/>
    </row>
    <row r="55" spans="2:10">
      <c r="B55" s="111">
        <v>43179</v>
      </c>
      <c r="C55" s="134"/>
      <c r="D55" s="130"/>
      <c r="E55" s="130"/>
      <c r="F55" s="135"/>
      <c r="G55" s="136"/>
      <c r="H55" s="136"/>
      <c r="I55" s="136"/>
      <c r="J55" s="137"/>
    </row>
    <row r="56" spans="2:10">
      <c r="B56" s="111">
        <v>43180</v>
      </c>
      <c r="C56" s="134"/>
      <c r="D56" s="130"/>
      <c r="E56" s="130"/>
      <c r="F56" s="135"/>
      <c r="G56" s="136"/>
      <c r="H56" s="136"/>
      <c r="I56" s="136"/>
      <c r="J56" s="137"/>
    </row>
    <row r="57" spans="2:10">
      <c r="B57" s="111">
        <v>43181</v>
      </c>
      <c r="C57" s="134"/>
      <c r="D57" s="130"/>
      <c r="E57" s="130"/>
      <c r="F57" s="135"/>
      <c r="G57" s="136"/>
      <c r="H57" s="136"/>
      <c r="I57" s="136"/>
      <c r="J57" s="137"/>
    </row>
    <row r="58" spans="2:10">
      <c r="B58" s="111">
        <v>43182</v>
      </c>
      <c r="C58" s="134"/>
      <c r="D58" s="130"/>
      <c r="E58" s="130"/>
      <c r="F58" s="135"/>
      <c r="G58" s="136"/>
      <c r="H58" s="136"/>
      <c r="I58" s="136"/>
      <c r="J58" s="137"/>
    </row>
    <row r="59" spans="2:10">
      <c r="B59" s="111">
        <v>43183</v>
      </c>
      <c r="C59" s="134"/>
      <c r="D59" s="130"/>
      <c r="E59" s="130"/>
      <c r="F59" s="135"/>
      <c r="G59" s="136"/>
      <c r="H59" s="136"/>
      <c r="I59" s="136"/>
      <c r="J59" s="137"/>
    </row>
    <row r="60" spans="2:10">
      <c r="B60" s="111">
        <v>43184</v>
      </c>
      <c r="C60" s="134"/>
      <c r="D60" s="130"/>
      <c r="E60" s="130"/>
      <c r="F60" s="135"/>
      <c r="G60" s="136"/>
      <c r="H60" s="136"/>
      <c r="I60" s="136"/>
      <c r="J60" s="137"/>
    </row>
    <row r="61" spans="2:10">
      <c r="B61" s="111">
        <v>43185</v>
      </c>
      <c r="C61" s="134"/>
      <c r="D61" s="130"/>
      <c r="E61" s="130"/>
      <c r="F61" s="135"/>
      <c r="G61" s="136"/>
      <c r="H61" s="136"/>
      <c r="I61" s="136"/>
      <c r="J61" s="137"/>
    </row>
    <row r="62" spans="2:10">
      <c r="B62" s="111">
        <v>43186</v>
      </c>
      <c r="C62" s="134"/>
      <c r="D62" s="130"/>
      <c r="E62" s="130"/>
      <c r="F62" s="135"/>
      <c r="G62" s="136"/>
      <c r="H62" s="136"/>
      <c r="I62" s="136"/>
      <c r="J62" s="137"/>
    </row>
    <row r="63" spans="2:10">
      <c r="B63" s="111">
        <v>43187</v>
      </c>
      <c r="C63" s="134"/>
      <c r="D63" s="130"/>
      <c r="E63" s="130"/>
      <c r="F63" s="135"/>
      <c r="G63" s="136"/>
      <c r="H63" s="136"/>
      <c r="I63" s="136"/>
      <c r="J63" s="137"/>
    </row>
    <row r="64" spans="2:10">
      <c r="B64" s="111">
        <v>43188</v>
      </c>
      <c r="C64" s="134"/>
      <c r="D64" s="130"/>
      <c r="E64" s="130"/>
      <c r="F64" s="135"/>
      <c r="G64" s="136"/>
      <c r="H64" s="136"/>
      <c r="I64" s="136"/>
      <c r="J64" s="137"/>
    </row>
    <row r="65" spans="2:10">
      <c r="B65" s="111">
        <v>43189</v>
      </c>
      <c r="C65" s="134"/>
      <c r="D65" s="130"/>
      <c r="E65" s="130"/>
      <c r="F65" s="135"/>
      <c r="G65" s="136"/>
      <c r="H65" s="136"/>
      <c r="I65" s="136"/>
      <c r="J65" s="137"/>
    </row>
    <row r="66" spans="2:10">
      <c r="B66" s="111">
        <v>43190</v>
      </c>
      <c r="C66" s="134"/>
      <c r="D66" s="130"/>
      <c r="E66" s="130"/>
      <c r="F66" s="135"/>
      <c r="G66" s="136"/>
      <c r="H66" s="136"/>
      <c r="I66" s="136"/>
      <c r="J66" s="137"/>
    </row>
    <row r="67" spans="2:10">
      <c r="B67" s="111">
        <v>43191</v>
      </c>
      <c r="C67" s="134"/>
      <c r="D67" s="130"/>
      <c r="E67" s="130"/>
      <c r="F67" s="135"/>
      <c r="G67" s="136"/>
      <c r="H67" s="136"/>
      <c r="I67" s="136"/>
      <c r="J67" s="137"/>
    </row>
    <row r="68" spans="2:10">
      <c r="B68" s="111">
        <v>43192</v>
      </c>
      <c r="C68" s="134"/>
      <c r="D68" s="130"/>
      <c r="E68" s="130"/>
      <c r="F68" s="135"/>
      <c r="G68" s="136"/>
      <c r="H68" s="136"/>
      <c r="I68" s="136"/>
      <c r="J68" s="137"/>
    </row>
    <row r="69" spans="2:10">
      <c r="B69" s="111">
        <v>43193</v>
      </c>
      <c r="C69" s="134"/>
      <c r="D69" s="130"/>
      <c r="E69" s="130"/>
      <c r="F69" s="135"/>
      <c r="G69" s="136"/>
      <c r="H69" s="136"/>
      <c r="I69" s="136"/>
      <c r="J69" s="137"/>
    </row>
    <row r="70" spans="2:10">
      <c r="B70" s="111">
        <v>43194</v>
      </c>
      <c r="C70" s="134"/>
      <c r="D70" s="130"/>
      <c r="E70" s="130"/>
      <c r="F70" s="135"/>
      <c r="G70" s="136"/>
      <c r="H70" s="136"/>
      <c r="I70" s="136"/>
      <c r="J70" s="137"/>
    </row>
    <row r="71" spans="2:10">
      <c r="B71" s="111">
        <v>43195</v>
      </c>
      <c r="C71" s="134"/>
      <c r="D71" s="130"/>
      <c r="E71" s="130"/>
      <c r="F71" s="135"/>
      <c r="G71" s="136"/>
      <c r="H71" s="136"/>
      <c r="I71" s="136"/>
      <c r="J71" s="137"/>
    </row>
    <row r="72" spans="2:10">
      <c r="B72" s="111">
        <v>43196</v>
      </c>
      <c r="C72" s="134"/>
      <c r="D72" s="130"/>
      <c r="E72" s="130"/>
      <c r="F72" s="135"/>
      <c r="G72" s="136"/>
      <c r="H72" s="136"/>
      <c r="I72" s="136"/>
      <c r="J72" s="137"/>
    </row>
    <row r="73" spans="2:10">
      <c r="B73" s="111">
        <v>43197</v>
      </c>
      <c r="C73" s="134"/>
      <c r="D73" s="130"/>
      <c r="E73" s="130"/>
      <c r="F73" s="135"/>
      <c r="G73" s="136"/>
      <c r="H73" s="136"/>
      <c r="I73" s="136"/>
      <c r="J73" s="137"/>
    </row>
    <row r="74" spans="2:10">
      <c r="B74" s="111">
        <v>43198</v>
      </c>
      <c r="C74" s="134"/>
      <c r="D74" s="130"/>
      <c r="E74" s="130"/>
      <c r="F74" s="135"/>
      <c r="G74" s="136"/>
      <c r="H74" s="136"/>
      <c r="I74" s="136"/>
      <c r="J74" s="137"/>
    </row>
    <row r="75" spans="2:10">
      <c r="B75" s="111">
        <v>43199</v>
      </c>
      <c r="C75" s="134"/>
      <c r="D75" s="130"/>
      <c r="E75" s="130"/>
      <c r="F75" s="135"/>
      <c r="G75" s="136"/>
      <c r="H75" s="136"/>
      <c r="I75" s="136"/>
      <c r="J75" s="137"/>
    </row>
    <row r="76" spans="2:10">
      <c r="B76" s="111">
        <v>43200</v>
      </c>
      <c r="C76" s="134"/>
      <c r="D76" s="130"/>
      <c r="E76" s="130"/>
      <c r="F76" s="135"/>
      <c r="G76" s="136"/>
      <c r="H76" s="136"/>
      <c r="I76" s="136"/>
      <c r="J76" s="137"/>
    </row>
    <row r="77" spans="2:10">
      <c r="B77" s="111">
        <v>43201</v>
      </c>
      <c r="C77" s="134"/>
      <c r="D77" s="130"/>
      <c r="E77" s="130"/>
      <c r="F77" s="135"/>
      <c r="G77" s="136"/>
      <c r="H77" s="136"/>
      <c r="I77" s="136"/>
      <c r="J77" s="137"/>
    </row>
    <row r="78" spans="2:10">
      <c r="B78" s="111">
        <v>43202</v>
      </c>
      <c r="C78" s="134"/>
      <c r="D78" s="130"/>
      <c r="E78" s="130"/>
      <c r="F78" s="135"/>
      <c r="G78" s="136"/>
      <c r="H78" s="136"/>
      <c r="I78" s="136"/>
      <c r="J78" s="137"/>
    </row>
    <row r="79" spans="2:10">
      <c r="B79" s="111">
        <v>43203</v>
      </c>
      <c r="C79" s="134"/>
      <c r="D79" s="130"/>
      <c r="E79" s="130"/>
      <c r="F79" s="135"/>
      <c r="G79" s="136"/>
      <c r="H79" s="136"/>
      <c r="I79" s="136"/>
      <c r="J79" s="137"/>
    </row>
    <row r="80" spans="2:10">
      <c r="B80" s="111">
        <v>43204</v>
      </c>
      <c r="C80" s="134"/>
      <c r="D80" s="130"/>
      <c r="E80" s="130"/>
      <c r="F80" s="135"/>
      <c r="G80" s="136"/>
      <c r="H80" s="136"/>
      <c r="I80" s="136"/>
      <c r="J80" s="137"/>
    </row>
    <row r="81" spans="2:10">
      <c r="B81" s="111">
        <v>43205</v>
      </c>
      <c r="C81" s="134"/>
      <c r="D81" s="130"/>
      <c r="E81" s="130"/>
      <c r="F81" s="135"/>
      <c r="G81" s="136"/>
      <c r="H81" s="136"/>
      <c r="I81" s="136"/>
      <c r="J81" s="137"/>
    </row>
    <row r="82" spans="2:10">
      <c r="B82" s="111">
        <v>43206</v>
      </c>
      <c r="C82" s="134"/>
      <c r="D82" s="130"/>
      <c r="E82" s="130"/>
      <c r="F82" s="135"/>
      <c r="G82" s="136"/>
      <c r="H82" s="136"/>
      <c r="I82" s="136"/>
      <c r="J82" s="137"/>
    </row>
    <row r="83" spans="2:10">
      <c r="B83" s="111">
        <v>43207</v>
      </c>
      <c r="C83" s="134"/>
      <c r="D83" s="130"/>
      <c r="E83" s="130"/>
      <c r="F83" s="135"/>
      <c r="G83" s="136"/>
      <c r="H83" s="136"/>
      <c r="I83" s="136"/>
      <c r="J83" s="137"/>
    </row>
    <row r="84" spans="2:10">
      <c r="B84" s="111">
        <v>43208</v>
      </c>
      <c r="C84" s="134"/>
      <c r="D84" s="130"/>
      <c r="E84" s="130"/>
      <c r="F84" s="135"/>
      <c r="G84" s="136"/>
      <c r="H84" s="136"/>
      <c r="I84" s="136"/>
      <c r="J84" s="137"/>
    </row>
    <row r="85" spans="2:10">
      <c r="B85" s="111">
        <v>43209</v>
      </c>
      <c r="C85" s="134"/>
      <c r="D85" s="130"/>
      <c r="E85" s="130"/>
      <c r="F85" s="135"/>
      <c r="G85" s="136"/>
      <c r="H85" s="136"/>
      <c r="I85" s="136"/>
      <c r="J85" s="137"/>
    </row>
    <row r="86" spans="2:10">
      <c r="B86" s="111">
        <v>43210</v>
      </c>
      <c r="C86" s="134"/>
      <c r="D86" s="130"/>
      <c r="E86" s="130"/>
      <c r="F86" s="135"/>
      <c r="G86" s="136"/>
      <c r="H86" s="136"/>
      <c r="I86" s="136"/>
      <c r="J86" s="137"/>
    </row>
    <row r="87" spans="2:10">
      <c r="B87" s="111">
        <v>43211</v>
      </c>
      <c r="C87" s="134"/>
      <c r="D87" s="130"/>
      <c r="E87" s="130"/>
      <c r="F87" s="135"/>
      <c r="G87" s="136"/>
      <c r="H87" s="136"/>
      <c r="I87" s="136"/>
      <c r="J87" s="137"/>
    </row>
    <row r="88" spans="2:10">
      <c r="B88" s="111">
        <v>43212</v>
      </c>
      <c r="C88" s="134"/>
      <c r="D88" s="130"/>
      <c r="E88" s="130"/>
      <c r="F88" s="135"/>
      <c r="G88" s="136"/>
      <c r="H88" s="136"/>
      <c r="I88" s="136"/>
      <c r="J88" s="137"/>
    </row>
    <row r="89" spans="2:10">
      <c r="B89" s="111">
        <v>43213</v>
      </c>
      <c r="C89" s="134"/>
      <c r="D89" s="130"/>
      <c r="E89" s="130"/>
      <c r="F89" s="135"/>
      <c r="G89" s="136"/>
      <c r="H89" s="136"/>
      <c r="I89" s="136"/>
      <c r="J89" s="137"/>
    </row>
    <row r="90" spans="2:10">
      <c r="B90" s="111">
        <v>43214</v>
      </c>
      <c r="C90" s="134"/>
      <c r="D90" s="130"/>
      <c r="E90" s="130"/>
      <c r="F90" s="135"/>
      <c r="G90" s="136"/>
      <c r="H90" s="136"/>
      <c r="I90" s="136"/>
      <c r="J90" s="137"/>
    </row>
    <row r="91" spans="2:10">
      <c r="B91" s="111">
        <v>43215</v>
      </c>
      <c r="C91" s="134"/>
      <c r="D91" s="130"/>
      <c r="E91" s="130"/>
      <c r="F91" s="135"/>
      <c r="G91" s="136"/>
      <c r="H91" s="136"/>
      <c r="I91" s="136"/>
      <c r="J91" s="137"/>
    </row>
    <row r="92" spans="2:10">
      <c r="B92" s="111">
        <v>43216</v>
      </c>
      <c r="C92" s="134"/>
      <c r="D92" s="130"/>
      <c r="E92" s="130"/>
      <c r="F92" s="135"/>
      <c r="G92" s="136"/>
      <c r="H92" s="136"/>
      <c r="I92" s="136"/>
      <c r="J92" s="137"/>
    </row>
    <row r="93" spans="2:10">
      <c r="B93" s="111">
        <v>43217</v>
      </c>
      <c r="C93" s="134"/>
      <c r="D93" s="130"/>
      <c r="E93" s="130"/>
      <c r="F93" s="135"/>
      <c r="G93" s="136"/>
      <c r="H93" s="136"/>
      <c r="I93" s="136"/>
      <c r="J93" s="137"/>
    </row>
    <row r="94" spans="2:10">
      <c r="B94" s="111">
        <v>43218</v>
      </c>
      <c r="C94" s="134"/>
      <c r="D94" s="130"/>
      <c r="E94" s="130"/>
      <c r="F94" s="135"/>
      <c r="G94" s="136"/>
      <c r="H94" s="136"/>
      <c r="I94" s="136"/>
      <c r="J94" s="137"/>
    </row>
    <row r="95" spans="2:10">
      <c r="B95" s="111">
        <v>43219</v>
      </c>
      <c r="C95" s="134"/>
      <c r="D95" s="130"/>
      <c r="E95" s="130"/>
      <c r="F95" s="135"/>
      <c r="G95" s="136"/>
      <c r="H95" s="136"/>
      <c r="I95" s="136"/>
      <c r="J95" s="137"/>
    </row>
    <row r="96" spans="2:10">
      <c r="B96" s="111">
        <v>43220</v>
      </c>
      <c r="C96" s="134"/>
      <c r="D96" s="130"/>
      <c r="E96" s="130"/>
      <c r="F96" s="135"/>
      <c r="G96" s="136"/>
      <c r="H96" s="136"/>
      <c r="I96" s="136"/>
      <c r="J96" s="137"/>
    </row>
    <row r="97" spans="2:10">
      <c r="B97" s="111">
        <v>43221</v>
      </c>
      <c r="C97" s="134"/>
      <c r="D97" s="130"/>
      <c r="E97" s="130"/>
      <c r="F97" s="135"/>
      <c r="G97" s="136"/>
      <c r="H97" s="136"/>
      <c r="I97" s="136"/>
      <c r="J97" s="137"/>
    </row>
    <row r="98" spans="2:10">
      <c r="B98" s="111">
        <v>43222</v>
      </c>
      <c r="C98" s="134"/>
      <c r="D98" s="130"/>
      <c r="E98" s="130"/>
      <c r="F98" s="135"/>
      <c r="G98" s="136"/>
      <c r="H98" s="136"/>
      <c r="I98" s="136"/>
      <c r="J98" s="137"/>
    </row>
    <row r="99" spans="2:10">
      <c r="B99" s="111">
        <v>43223</v>
      </c>
      <c r="C99" s="134"/>
      <c r="D99" s="130"/>
      <c r="E99" s="130"/>
      <c r="F99" s="135"/>
      <c r="G99" s="136"/>
      <c r="H99" s="136"/>
      <c r="I99" s="136"/>
      <c r="J99" s="137"/>
    </row>
    <row r="100" spans="2:10">
      <c r="B100" s="111">
        <v>43224</v>
      </c>
      <c r="C100" s="134"/>
      <c r="D100" s="130"/>
      <c r="E100" s="130"/>
      <c r="F100" s="135"/>
      <c r="G100" s="136"/>
      <c r="H100" s="136"/>
      <c r="I100" s="136"/>
      <c r="J100" s="137"/>
    </row>
    <row r="101" spans="2:10">
      <c r="B101" s="111">
        <v>43225</v>
      </c>
      <c r="C101" s="134"/>
      <c r="D101" s="130"/>
      <c r="E101" s="130"/>
      <c r="F101" s="135"/>
      <c r="G101" s="136"/>
      <c r="H101" s="136"/>
      <c r="I101" s="136"/>
      <c r="J101" s="137"/>
    </row>
    <row r="102" spans="2:10">
      <c r="B102" s="111">
        <v>43226</v>
      </c>
      <c r="C102" s="134"/>
      <c r="D102" s="130"/>
      <c r="E102" s="130"/>
      <c r="F102" s="135"/>
      <c r="G102" s="136"/>
      <c r="H102" s="136"/>
      <c r="I102" s="136"/>
      <c r="J102" s="137"/>
    </row>
    <row r="103" spans="2:10">
      <c r="B103" s="111">
        <v>43227</v>
      </c>
      <c r="C103" s="134"/>
      <c r="D103" s="130"/>
      <c r="E103" s="130"/>
      <c r="F103" s="135"/>
      <c r="G103" s="136"/>
      <c r="H103" s="136"/>
      <c r="I103" s="136"/>
      <c r="J103" s="137"/>
    </row>
    <row r="104" spans="2:10">
      <c r="B104" s="111">
        <v>43228</v>
      </c>
      <c r="C104" s="134"/>
      <c r="D104" s="130"/>
      <c r="E104" s="130"/>
      <c r="F104" s="135"/>
      <c r="G104" s="136"/>
      <c r="H104" s="136"/>
      <c r="I104" s="136"/>
      <c r="J104" s="137"/>
    </row>
    <row r="105" spans="2:10">
      <c r="B105" s="111">
        <v>43229</v>
      </c>
      <c r="C105" s="134"/>
      <c r="D105" s="130"/>
      <c r="E105" s="130"/>
      <c r="F105" s="135"/>
      <c r="G105" s="136"/>
      <c r="H105" s="136"/>
      <c r="I105" s="136"/>
      <c r="J105" s="137"/>
    </row>
    <row r="106" spans="2:10">
      <c r="B106" s="111">
        <v>43230</v>
      </c>
      <c r="C106" s="134"/>
      <c r="D106" s="130"/>
      <c r="E106" s="130"/>
      <c r="F106" s="135"/>
      <c r="G106" s="136"/>
      <c r="H106" s="136"/>
      <c r="I106" s="136"/>
      <c r="J106" s="137"/>
    </row>
    <row r="107" spans="2:10">
      <c r="B107" s="111">
        <v>43231</v>
      </c>
      <c r="C107" s="134"/>
      <c r="D107" s="130"/>
      <c r="E107" s="130"/>
      <c r="F107" s="135"/>
      <c r="G107" s="136"/>
      <c r="H107" s="136"/>
      <c r="I107" s="136"/>
      <c r="J107" s="137"/>
    </row>
    <row r="108" spans="2:10">
      <c r="B108" s="111">
        <v>43232</v>
      </c>
      <c r="C108" s="134"/>
      <c r="D108" s="130"/>
      <c r="E108" s="130"/>
      <c r="F108" s="135"/>
      <c r="G108" s="136"/>
      <c r="H108" s="136"/>
      <c r="I108" s="136"/>
      <c r="J108" s="137"/>
    </row>
    <row r="109" spans="2:10">
      <c r="B109" s="111">
        <v>43233</v>
      </c>
      <c r="C109" s="134"/>
      <c r="D109" s="130"/>
      <c r="E109" s="130"/>
      <c r="F109" s="135"/>
      <c r="G109" s="136"/>
      <c r="H109" s="136"/>
      <c r="I109" s="136"/>
      <c r="J109" s="137"/>
    </row>
    <row r="110" spans="2:10">
      <c r="B110" s="111">
        <v>43234</v>
      </c>
      <c r="C110" s="134"/>
      <c r="D110" s="130"/>
      <c r="E110" s="130"/>
      <c r="F110" s="135"/>
      <c r="G110" s="136"/>
      <c r="H110" s="136"/>
      <c r="I110" s="136"/>
      <c r="J110" s="137"/>
    </row>
    <row r="111" spans="2:10">
      <c r="B111" s="111">
        <v>43235</v>
      </c>
      <c r="C111" s="134"/>
      <c r="D111" s="130"/>
      <c r="E111" s="130"/>
      <c r="F111" s="135"/>
      <c r="G111" s="136"/>
      <c r="H111" s="136"/>
      <c r="I111" s="136"/>
      <c r="J111" s="137"/>
    </row>
    <row r="112" spans="2:10">
      <c r="B112" s="111">
        <v>43236</v>
      </c>
      <c r="C112" s="134"/>
      <c r="D112" s="130"/>
      <c r="E112" s="130"/>
      <c r="F112" s="135"/>
      <c r="G112" s="136"/>
      <c r="H112" s="136"/>
      <c r="I112" s="136"/>
      <c r="J112" s="137"/>
    </row>
    <row r="113" spans="2:10">
      <c r="B113" s="111">
        <v>43237</v>
      </c>
      <c r="C113" s="134"/>
      <c r="D113" s="130"/>
      <c r="E113" s="130"/>
      <c r="F113" s="135"/>
      <c r="G113" s="136"/>
      <c r="H113" s="136"/>
      <c r="I113" s="136"/>
      <c r="J113" s="137"/>
    </row>
    <row r="114" spans="2:10">
      <c r="B114" s="111">
        <v>43238</v>
      </c>
      <c r="C114" s="134"/>
      <c r="D114" s="130"/>
      <c r="E114" s="130"/>
      <c r="F114" s="135"/>
      <c r="G114" s="136"/>
      <c r="H114" s="136"/>
      <c r="I114" s="136"/>
      <c r="J114" s="137"/>
    </row>
    <row r="115" spans="2:10">
      <c r="B115" s="111">
        <v>43239</v>
      </c>
      <c r="C115" s="134"/>
      <c r="D115" s="130"/>
      <c r="E115" s="130"/>
      <c r="F115" s="135"/>
      <c r="G115" s="136"/>
      <c r="H115" s="136"/>
      <c r="I115" s="136"/>
      <c r="J115" s="137"/>
    </row>
    <row r="116" spans="2:10">
      <c r="B116" s="111">
        <v>43240</v>
      </c>
      <c r="C116" s="134"/>
      <c r="D116" s="130"/>
      <c r="E116" s="130"/>
      <c r="F116" s="135"/>
      <c r="G116" s="136"/>
      <c r="H116" s="136"/>
      <c r="I116" s="136"/>
      <c r="J116" s="137"/>
    </row>
    <row r="117" spans="2:10">
      <c r="B117" s="111">
        <v>43241</v>
      </c>
      <c r="C117" s="134"/>
      <c r="D117" s="130"/>
      <c r="E117" s="130"/>
      <c r="F117" s="135"/>
      <c r="G117" s="136"/>
      <c r="H117" s="136"/>
      <c r="I117" s="136"/>
      <c r="J117" s="137"/>
    </row>
    <row r="118" spans="2:10">
      <c r="B118" s="111">
        <v>43242</v>
      </c>
      <c r="C118" s="134"/>
      <c r="D118" s="130"/>
      <c r="E118" s="130"/>
      <c r="F118" s="135"/>
      <c r="G118" s="136"/>
      <c r="H118" s="136"/>
      <c r="I118" s="136"/>
      <c r="J118" s="137"/>
    </row>
    <row r="119" spans="2:10">
      <c r="B119" s="111">
        <v>43243</v>
      </c>
      <c r="C119" s="134"/>
      <c r="D119" s="130"/>
      <c r="E119" s="130"/>
      <c r="F119" s="135"/>
      <c r="G119" s="136"/>
      <c r="H119" s="136"/>
      <c r="I119" s="136"/>
      <c r="J119" s="137"/>
    </row>
    <row r="120" spans="2:10">
      <c r="B120" s="111">
        <v>43244</v>
      </c>
      <c r="C120" s="134"/>
      <c r="D120" s="130"/>
      <c r="E120" s="130"/>
      <c r="F120" s="135"/>
      <c r="G120" s="136"/>
      <c r="H120" s="136"/>
      <c r="I120" s="136"/>
      <c r="J120" s="137"/>
    </row>
    <row r="121" spans="2:10">
      <c r="B121" s="111">
        <v>43245</v>
      </c>
      <c r="C121" s="134"/>
      <c r="D121" s="130"/>
      <c r="E121" s="130"/>
      <c r="F121" s="135"/>
      <c r="G121" s="136"/>
      <c r="H121" s="136"/>
      <c r="I121" s="136"/>
      <c r="J121" s="137"/>
    </row>
    <row r="122" spans="2:10">
      <c r="B122" s="111">
        <v>43246</v>
      </c>
      <c r="C122" s="134"/>
      <c r="D122" s="130"/>
      <c r="E122" s="130"/>
      <c r="F122" s="135"/>
      <c r="G122" s="136"/>
      <c r="H122" s="136"/>
      <c r="I122" s="136"/>
      <c r="J122" s="137"/>
    </row>
    <row r="123" spans="2:10">
      <c r="B123" s="111">
        <v>43247</v>
      </c>
      <c r="C123" s="134"/>
      <c r="D123" s="130"/>
      <c r="E123" s="130"/>
      <c r="F123" s="135"/>
      <c r="G123" s="136"/>
      <c r="H123" s="136"/>
      <c r="I123" s="136"/>
      <c r="J123" s="137"/>
    </row>
    <row r="124" spans="2:10">
      <c r="B124" s="111">
        <v>43248</v>
      </c>
      <c r="C124" s="134"/>
      <c r="D124" s="130"/>
      <c r="E124" s="130"/>
      <c r="F124" s="135"/>
      <c r="G124" s="136"/>
      <c r="H124" s="136"/>
      <c r="I124" s="136"/>
      <c r="J124" s="137"/>
    </row>
    <row r="125" spans="2:10">
      <c r="B125" s="111">
        <v>43249</v>
      </c>
      <c r="C125" s="134"/>
      <c r="D125" s="130"/>
      <c r="E125" s="130"/>
      <c r="F125" s="135"/>
      <c r="G125" s="136"/>
      <c r="H125" s="136"/>
      <c r="I125" s="136"/>
      <c r="J125" s="137"/>
    </row>
    <row r="126" spans="2:10">
      <c r="B126" s="111">
        <v>43250</v>
      </c>
      <c r="C126" s="134"/>
      <c r="D126" s="130"/>
      <c r="E126" s="130"/>
      <c r="F126" s="135"/>
      <c r="G126" s="136"/>
      <c r="H126" s="136"/>
      <c r="I126" s="136"/>
      <c r="J126" s="137"/>
    </row>
    <row r="127" spans="2:10">
      <c r="B127" s="111">
        <v>43251</v>
      </c>
      <c r="C127" s="134"/>
      <c r="D127" s="130"/>
      <c r="E127" s="130"/>
      <c r="F127" s="135"/>
      <c r="G127" s="136"/>
      <c r="H127" s="136"/>
      <c r="I127" s="136"/>
      <c r="J127" s="137"/>
    </row>
    <row r="128" spans="2:10">
      <c r="B128" s="111">
        <v>43252</v>
      </c>
      <c r="C128" s="134"/>
      <c r="D128" s="130"/>
      <c r="E128" s="130"/>
      <c r="F128" s="135"/>
      <c r="G128" s="136"/>
      <c r="H128" s="136"/>
      <c r="I128" s="136"/>
      <c r="J128" s="137"/>
    </row>
    <row r="129" spans="2:10">
      <c r="B129" s="111">
        <v>43253</v>
      </c>
      <c r="C129" s="134"/>
      <c r="D129" s="130"/>
      <c r="E129" s="130"/>
      <c r="F129" s="135"/>
      <c r="G129" s="136"/>
      <c r="H129" s="136"/>
      <c r="I129" s="136"/>
      <c r="J129" s="137"/>
    </row>
    <row r="130" spans="2:10">
      <c r="B130" s="111">
        <v>43254</v>
      </c>
      <c r="C130" s="134"/>
      <c r="D130" s="130"/>
      <c r="E130" s="130"/>
      <c r="F130" s="135"/>
      <c r="G130" s="136"/>
      <c r="H130" s="136"/>
      <c r="I130" s="136"/>
      <c r="J130" s="137"/>
    </row>
    <row r="131" spans="2:10">
      <c r="B131" s="111">
        <v>43255</v>
      </c>
      <c r="C131" s="134"/>
      <c r="D131" s="130"/>
      <c r="E131" s="130"/>
      <c r="F131" s="135"/>
      <c r="G131" s="136"/>
      <c r="H131" s="136"/>
      <c r="I131" s="136"/>
      <c r="J131" s="137"/>
    </row>
    <row r="132" spans="2:10">
      <c r="B132" s="111">
        <v>43256</v>
      </c>
      <c r="C132" s="134"/>
      <c r="D132" s="130"/>
      <c r="E132" s="130"/>
      <c r="F132" s="135"/>
      <c r="G132" s="136"/>
      <c r="H132" s="136"/>
      <c r="I132" s="136"/>
      <c r="J132" s="137"/>
    </row>
    <row r="133" spans="2:10">
      <c r="B133" s="111">
        <v>43257</v>
      </c>
      <c r="C133" s="134"/>
      <c r="D133" s="130"/>
      <c r="E133" s="130"/>
      <c r="F133" s="135"/>
      <c r="G133" s="136"/>
      <c r="H133" s="136"/>
      <c r="I133" s="136"/>
      <c r="J133" s="137"/>
    </row>
    <row r="134" spans="2:10">
      <c r="B134" s="111">
        <v>43258</v>
      </c>
      <c r="C134" s="134"/>
      <c r="D134" s="130"/>
      <c r="E134" s="130"/>
      <c r="F134" s="135"/>
      <c r="G134" s="136"/>
      <c r="H134" s="136"/>
      <c r="I134" s="136"/>
      <c r="J134" s="137"/>
    </row>
    <row r="135" spans="2:10">
      <c r="B135" s="111">
        <v>43259</v>
      </c>
      <c r="C135" s="134"/>
      <c r="D135" s="130"/>
      <c r="E135" s="130"/>
      <c r="F135" s="135"/>
      <c r="G135" s="136"/>
      <c r="H135" s="136"/>
      <c r="I135" s="136"/>
      <c r="J135" s="137"/>
    </row>
    <row r="136" spans="2:10">
      <c r="B136" s="111">
        <v>43260</v>
      </c>
      <c r="C136" s="134"/>
      <c r="D136" s="130"/>
      <c r="E136" s="130"/>
      <c r="F136" s="135"/>
      <c r="G136" s="136"/>
      <c r="H136" s="136"/>
      <c r="I136" s="136"/>
      <c r="J136" s="137"/>
    </row>
    <row r="137" spans="2:10">
      <c r="B137" s="111">
        <v>43261</v>
      </c>
      <c r="C137" s="134"/>
      <c r="D137" s="130"/>
      <c r="E137" s="130"/>
      <c r="F137" s="135"/>
      <c r="G137" s="136"/>
      <c r="H137" s="136"/>
      <c r="I137" s="136"/>
      <c r="J137" s="137"/>
    </row>
    <row r="138" spans="2:10">
      <c r="B138" s="111">
        <v>43262</v>
      </c>
      <c r="C138" s="134"/>
      <c r="D138" s="130"/>
      <c r="E138" s="130"/>
      <c r="F138" s="135"/>
      <c r="G138" s="136"/>
      <c r="H138" s="136"/>
      <c r="I138" s="136"/>
      <c r="J138" s="137"/>
    </row>
    <row r="139" spans="2:10">
      <c r="B139" s="111">
        <v>43263</v>
      </c>
      <c r="C139" s="134"/>
      <c r="D139" s="130"/>
      <c r="E139" s="130"/>
      <c r="F139" s="135"/>
      <c r="G139" s="136"/>
      <c r="H139" s="136"/>
      <c r="I139" s="136"/>
      <c r="J139" s="137"/>
    </row>
    <row r="140" spans="2:10">
      <c r="B140" s="111">
        <v>43264</v>
      </c>
      <c r="C140" s="134"/>
      <c r="D140" s="130"/>
      <c r="E140" s="130"/>
      <c r="F140" s="135"/>
      <c r="G140" s="136"/>
      <c r="H140" s="136"/>
      <c r="I140" s="136"/>
      <c r="J140" s="137"/>
    </row>
    <row r="141" spans="2:10">
      <c r="B141" s="111">
        <v>43265</v>
      </c>
      <c r="C141" s="134"/>
      <c r="D141" s="130"/>
      <c r="E141" s="130"/>
      <c r="F141" s="135"/>
      <c r="G141" s="136"/>
      <c r="H141" s="136"/>
      <c r="I141" s="136"/>
      <c r="J141" s="137"/>
    </row>
    <row r="142" spans="2:10">
      <c r="B142" s="111">
        <v>43266</v>
      </c>
      <c r="C142" s="134"/>
      <c r="D142" s="130"/>
      <c r="E142" s="130"/>
      <c r="F142" s="135"/>
      <c r="G142" s="136"/>
      <c r="H142" s="136"/>
      <c r="I142" s="136"/>
      <c r="J142" s="137"/>
    </row>
    <row r="143" spans="2:10">
      <c r="B143" s="111">
        <v>43267</v>
      </c>
      <c r="C143" s="134"/>
      <c r="D143" s="130"/>
      <c r="E143" s="130"/>
      <c r="F143" s="135"/>
      <c r="G143" s="136"/>
      <c r="H143" s="136"/>
      <c r="I143" s="136"/>
      <c r="J143" s="137"/>
    </row>
    <row r="144" spans="2:10">
      <c r="B144" s="111">
        <v>43268</v>
      </c>
      <c r="C144" s="134"/>
      <c r="D144" s="130"/>
      <c r="E144" s="130"/>
      <c r="F144" s="135"/>
      <c r="G144" s="136"/>
      <c r="H144" s="136"/>
      <c r="I144" s="136"/>
      <c r="J144" s="137"/>
    </row>
    <row r="145" spans="2:10">
      <c r="B145" s="111">
        <v>43269</v>
      </c>
      <c r="C145" s="134"/>
      <c r="D145" s="130"/>
      <c r="E145" s="130"/>
      <c r="F145" s="135"/>
      <c r="G145" s="136"/>
      <c r="H145" s="136"/>
      <c r="I145" s="136"/>
      <c r="J145" s="137"/>
    </row>
    <row r="146" spans="2:10">
      <c r="B146" s="111">
        <v>43270</v>
      </c>
      <c r="C146" s="134"/>
      <c r="D146" s="130"/>
      <c r="E146" s="130"/>
      <c r="F146" s="135"/>
      <c r="G146" s="136"/>
      <c r="H146" s="136"/>
      <c r="I146" s="136"/>
      <c r="J146" s="137"/>
    </row>
    <row r="147" spans="2:10">
      <c r="B147" s="111">
        <v>43271</v>
      </c>
      <c r="C147" s="134"/>
      <c r="D147" s="130"/>
      <c r="E147" s="130"/>
      <c r="F147" s="135"/>
      <c r="G147" s="136"/>
      <c r="H147" s="136"/>
      <c r="I147" s="136"/>
      <c r="J147" s="137"/>
    </row>
    <row r="148" spans="2:10">
      <c r="B148" s="111">
        <v>43272</v>
      </c>
      <c r="C148" s="134"/>
      <c r="D148" s="130"/>
      <c r="E148" s="130"/>
      <c r="F148" s="135"/>
      <c r="G148" s="136"/>
      <c r="H148" s="136"/>
      <c r="I148" s="136"/>
      <c r="J148" s="137"/>
    </row>
    <row r="149" spans="2:10">
      <c r="B149" s="111">
        <v>43273</v>
      </c>
      <c r="C149" s="134"/>
      <c r="D149" s="130"/>
      <c r="E149" s="130"/>
      <c r="F149" s="135"/>
      <c r="G149" s="136"/>
      <c r="H149" s="136"/>
      <c r="I149" s="136"/>
      <c r="J149" s="137"/>
    </row>
    <row r="150" spans="2:10">
      <c r="B150" s="111">
        <v>43274</v>
      </c>
      <c r="C150" s="134"/>
      <c r="D150" s="130"/>
      <c r="E150" s="130"/>
      <c r="F150" s="135"/>
      <c r="G150" s="136"/>
      <c r="H150" s="136"/>
      <c r="I150" s="136"/>
      <c r="J150" s="137"/>
    </row>
    <row r="151" spans="2:10">
      <c r="B151" s="111">
        <v>43275</v>
      </c>
      <c r="C151" s="134"/>
      <c r="D151" s="130"/>
      <c r="E151" s="130"/>
      <c r="F151" s="135"/>
      <c r="G151" s="136"/>
      <c r="H151" s="136"/>
      <c r="I151" s="136"/>
      <c r="J151" s="137"/>
    </row>
    <row r="152" spans="2:10">
      <c r="B152" s="111">
        <v>43276</v>
      </c>
      <c r="C152" s="134"/>
      <c r="D152" s="130"/>
      <c r="E152" s="130"/>
      <c r="F152" s="135"/>
      <c r="G152" s="136"/>
      <c r="H152" s="136"/>
      <c r="I152" s="136"/>
      <c r="J152" s="137"/>
    </row>
    <row r="153" spans="2:10">
      <c r="B153" s="111">
        <v>43277</v>
      </c>
      <c r="C153" s="134"/>
      <c r="D153" s="130"/>
      <c r="E153" s="130"/>
      <c r="F153" s="135"/>
      <c r="G153" s="136"/>
      <c r="H153" s="136"/>
      <c r="I153" s="136"/>
      <c r="J153" s="137"/>
    </row>
    <row r="154" spans="2:10">
      <c r="B154" s="111">
        <v>43278</v>
      </c>
      <c r="C154" s="134"/>
      <c r="D154" s="130"/>
      <c r="E154" s="130"/>
      <c r="F154" s="135"/>
      <c r="G154" s="136"/>
      <c r="H154" s="136"/>
      <c r="I154" s="136"/>
      <c r="J154" s="137"/>
    </row>
    <row r="155" spans="2:10">
      <c r="B155" s="111">
        <v>43279</v>
      </c>
      <c r="C155" s="134"/>
      <c r="D155" s="130"/>
      <c r="E155" s="130"/>
      <c r="F155" s="135"/>
      <c r="G155" s="136"/>
      <c r="H155" s="136"/>
      <c r="I155" s="136"/>
      <c r="J155" s="137"/>
    </row>
    <row r="156" spans="2:10">
      <c r="B156" s="111">
        <v>43280</v>
      </c>
      <c r="C156" s="134"/>
      <c r="D156" s="130"/>
      <c r="E156" s="130"/>
      <c r="F156" s="135"/>
      <c r="G156" s="136"/>
      <c r="H156" s="136"/>
      <c r="I156" s="136"/>
      <c r="J156" s="137"/>
    </row>
    <row r="157" spans="2:10">
      <c r="B157" s="111">
        <v>43281</v>
      </c>
      <c r="C157" s="134"/>
      <c r="D157" s="130"/>
      <c r="E157" s="130"/>
      <c r="F157" s="135"/>
      <c r="G157" s="136"/>
      <c r="H157" s="136"/>
      <c r="I157" s="136"/>
      <c r="J157" s="137"/>
    </row>
    <row r="158" spans="2:10">
      <c r="B158" s="111">
        <v>43282</v>
      </c>
      <c r="C158" s="134"/>
      <c r="D158" s="130"/>
      <c r="E158" s="130"/>
      <c r="F158" s="135"/>
      <c r="G158" s="136"/>
      <c r="H158" s="136"/>
      <c r="I158" s="136"/>
      <c r="J158" s="137"/>
    </row>
    <row r="159" spans="2:10">
      <c r="B159" s="111">
        <v>43283</v>
      </c>
      <c r="C159" s="134"/>
      <c r="D159" s="130"/>
      <c r="E159" s="130"/>
      <c r="F159" s="135"/>
      <c r="G159" s="136"/>
      <c r="H159" s="136"/>
      <c r="I159" s="136"/>
      <c r="J159" s="137"/>
    </row>
    <row r="160" spans="2:10">
      <c r="B160" s="111">
        <v>43284</v>
      </c>
      <c r="C160" s="134"/>
      <c r="D160" s="130"/>
      <c r="E160" s="130"/>
      <c r="F160" s="135"/>
      <c r="G160" s="136"/>
      <c r="H160" s="136"/>
      <c r="I160" s="136"/>
      <c r="J160" s="137"/>
    </row>
    <row r="161" spans="2:10">
      <c r="B161" s="111">
        <v>43285</v>
      </c>
      <c r="C161" s="134"/>
      <c r="D161" s="130"/>
      <c r="E161" s="130"/>
      <c r="F161" s="135"/>
      <c r="G161" s="136"/>
      <c r="H161" s="136"/>
      <c r="I161" s="136"/>
      <c r="J161" s="137"/>
    </row>
    <row r="162" spans="2:10">
      <c r="B162" s="111">
        <v>43286</v>
      </c>
      <c r="C162" s="134"/>
      <c r="D162" s="130"/>
      <c r="E162" s="130"/>
      <c r="F162" s="135"/>
      <c r="G162" s="136"/>
      <c r="H162" s="136"/>
      <c r="I162" s="136"/>
      <c r="J162" s="137"/>
    </row>
    <row r="163" spans="2:10">
      <c r="B163" s="111">
        <v>43287</v>
      </c>
      <c r="C163" s="134"/>
      <c r="D163" s="130"/>
      <c r="E163" s="130"/>
      <c r="F163" s="135"/>
      <c r="G163" s="136"/>
      <c r="H163" s="136"/>
      <c r="I163" s="136"/>
      <c r="J163" s="137"/>
    </row>
    <row r="164" spans="2:10">
      <c r="B164" s="111">
        <v>43288</v>
      </c>
      <c r="C164" s="134"/>
      <c r="D164" s="130"/>
      <c r="E164" s="130"/>
      <c r="F164" s="135"/>
      <c r="G164" s="136"/>
      <c r="H164" s="136"/>
      <c r="I164" s="136"/>
      <c r="J164" s="137"/>
    </row>
    <row r="165" spans="2:10">
      <c r="B165" s="111">
        <v>43289</v>
      </c>
      <c r="C165" s="134"/>
      <c r="D165" s="130"/>
      <c r="E165" s="130"/>
      <c r="F165" s="135"/>
      <c r="G165" s="136"/>
      <c r="H165" s="136"/>
      <c r="I165" s="136"/>
      <c r="J165" s="137"/>
    </row>
    <row r="166" spans="2:10">
      <c r="B166" s="111">
        <v>43290</v>
      </c>
      <c r="C166" s="134"/>
      <c r="D166" s="130"/>
      <c r="E166" s="130"/>
      <c r="F166" s="135"/>
      <c r="G166" s="136"/>
      <c r="H166" s="136"/>
      <c r="I166" s="136"/>
      <c r="J166" s="137"/>
    </row>
    <row r="167" spans="2:10">
      <c r="B167" s="111">
        <v>43291</v>
      </c>
      <c r="C167" s="134"/>
      <c r="D167" s="130"/>
      <c r="E167" s="130"/>
      <c r="F167" s="135"/>
      <c r="G167" s="136"/>
      <c r="H167" s="136"/>
      <c r="I167" s="136"/>
      <c r="J167" s="137"/>
    </row>
    <row r="168" spans="2:10">
      <c r="B168" s="111">
        <v>43292</v>
      </c>
      <c r="C168" s="134"/>
      <c r="D168" s="130"/>
      <c r="E168" s="130"/>
      <c r="F168" s="135"/>
      <c r="G168" s="136"/>
      <c r="H168" s="136"/>
      <c r="I168" s="136"/>
      <c r="J168" s="137"/>
    </row>
    <row r="169" spans="2:10">
      <c r="B169" s="111">
        <v>43293</v>
      </c>
      <c r="C169" s="134"/>
      <c r="D169" s="130"/>
      <c r="E169" s="130"/>
      <c r="F169" s="135"/>
      <c r="G169" s="136"/>
      <c r="H169" s="136"/>
      <c r="I169" s="136"/>
      <c r="J169" s="137"/>
    </row>
    <row r="170" spans="2:10">
      <c r="B170" s="111">
        <v>43294</v>
      </c>
      <c r="C170" s="134"/>
      <c r="D170" s="130"/>
      <c r="E170" s="130"/>
      <c r="F170" s="135"/>
      <c r="G170" s="136"/>
      <c r="H170" s="136"/>
      <c r="I170" s="136"/>
      <c r="J170" s="137"/>
    </row>
    <row r="171" spans="2:10">
      <c r="B171" s="111">
        <v>43295</v>
      </c>
      <c r="C171" s="134"/>
      <c r="D171" s="130"/>
      <c r="E171" s="130"/>
      <c r="F171" s="135"/>
      <c r="G171" s="136"/>
      <c r="H171" s="136"/>
      <c r="I171" s="136"/>
      <c r="J171" s="137"/>
    </row>
    <row r="172" spans="2:10">
      <c r="B172" s="111">
        <v>43296</v>
      </c>
      <c r="C172" s="134"/>
      <c r="D172" s="130"/>
      <c r="E172" s="130"/>
      <c r="F172" s="135"/>
      <c r="G172" s="136"/>
      <c r="H172" s="136"/>
      <c r="I172" s="136"/>
      <c r="J172" s="137"/>
    </row>
    <row r="173" spans="2:10">
      <c r="B173" s="111">
        <v>43297</v>
      </c>
      <c r="C173" s="134"/>
      <c r="D173" s="130"/>
      <c r="E173" s="130"/>
      <c r="F173" s="135"/>
      <c r="G173" s="136"/>
      <c r="H173" s="136"/>
      <c r="I173" s="136"/>
      <c r="J173" s="137"/>
    </row>
    <row r="174" spans="2:10">
      <c r="B174" s="111">
        <v>43298</v>
      </c>
      <c r="C174" s="134"/>
      <c r="D174" s="130"/>
      <c r="E174" s="130"/>
      <c r="F174" s="135"/>
      <c r="G174" s="136"/>
      <c r="H174" s="136"/>
      <c r="I174" s="136"/>
      <c r="J174" s="137"/>
    </row>
    <row r="175" spans="2:10">
      <c r="B175" s="111">
        <v>43299</v>
      </c>
      <c r="C175" s="134"/>
      <c r="D175" s="130"/>
      <c r="E175" s="130"/>
      <c r="F175" s="135"/>
      <c r="G175" s="136"/>
      <c r="H175" s="136"/>
      <c r="I175" s="136"/>
      <c r="J175" s="137"/>
    </row>
    <row r="176" spans="2:10">
      <c r="B176" s="111">
        <v>43300</v>
      </c>
      <c r="C176" s="134"/>
      <c r="D176" s="130"/>
      <c r="E176" s="130"/>
      <c r="F176" s="135"/>
      <c r="G176" s="136"/>
      <c r="H176" s="136"/>
      <c r="I176" s="136"/>
      <c r="J176" s="137"/>
    </row>
    <row r="177" spans="2:10">
      <c r="B177" s="111">
        <v>43301</v>
      </c>
      <c r="C177" s="134"/>
      <c r="D177" s="130"/>
      <c r="E177" s="130"/>
      <c r="F177" s="135"/>
      <c r="G177" s="136"/>
      <c r="H177" s="136"/>
      <c r="I177" s="136"/>
      <c r="J177" s="137"/>
    </row>
    <row r="178" spans="2:10">
      <c r="B178" s="111">
        <v>43302</v>
      </c>
      <c r="C178" s="134"/>
      <c r="D178" s="130"/>
      <c r="E178" s="130"/>
      <c r="F178" s="135"/>
      <c r="G178" s="136"/>
      <c r="H178" s="136"/>
      <c r="I178" s="136"/>
      <c r="J178" s="137"/>
    </row>
    <row r="179" spans="2:10">
      <c r="B179" s="111">
        <v>43303</v>
      </c>
      <c r="C179" s="134"/>
      <c r="D179" s="130"/>
      <c r="E179" s="130"/>
      <c r="F179" s="135"/>
      <c r="G179" s="136"/>
      <c r="H179" s="136"/>
      <c r="I179" s="136"/>
      <c r="J179" s="137"/>
    </row>
    <row r="180" spans="2:10">
      <c r="B180" s="111">
        <v>43304</v>
      </c>
      <c r="C180" s="134"/>
      <c r="D180" s="130"/>
      <c r="E180" s="130"/>
      <c r="F180" s="135"/>
      <c r="G180" s="136"/>
      <c r="H180" s="136"/>
      <c r="I180" s="136"/>
      <c r="J180" s="137"/>
    </row>
    <row r="181" spans="2:10">
      <c r="B181" s="111">
        <v>43305</v>
      </c>
      <c r="C181" s="134"/>
      <c r="D181" s="130"/>
      <c r="E181" s="130"/>
      <c r="F181" s="135"/>
      <c r="G181" s="136"/>
      <c r="H181" s="136"/>
      <c r="I181" s="136"/>
      <c r="J181" s="137"/>
    </row>
    <row r="182" spans="2:10">
      <c r="B182" s="111">
        <v>43306</v>
      </c>
      <c r="C182" s="134"/>
      <c r="D182" s="130"/>
      <c r="E182" s="130"/>
      <c r="F182" s="135"/>
      <c r="G182" s="136"/>
      <c r="H182" s="136"/>
      <c r="I182" s="136"/>
      <c r="J182" s="137"/>
    </row>
    <row r="183" spans="2:10">
      <c r="B183" s="111">
        <v>43307</v>
      </c>
      <c r="C183" s="134"/>
      <c r="D183" s="130"/>
      <c r="E183" s="130"/>
      <c r="F183" s="135"/>
      <c r="G183" s="136"/>
      <c r="H183" s="136"/>
      <c r="I183" s="136"/>
      <c r="J183" s="137"/>
    </row>
    <row r="184" spans="2:10">
      <c r="B184" s="111">
        <v>43308</v>
      </c>
      <c r="C184" s="134"/>
      <c r="D184" s="130"/>
      <c r="E184" s="130"/>
      <c r="F184" s="135"/>
      <c r="G184" s="136"/>
      <c r="H184" s="136"/>
      <c r="I184" s="136"/>
      <c r="J184" s="137"/>
    </row>
    <row r="185" spans="2:10">
      <c r="B185" s="111">
        <v>43309</v>
      </c>
      <c r="C185" s="134"/>
      <c r="D185" s="130"/>
      <c r="E185" s="130"/>
      <c r="F185" s="135"/>
      <c r="G185" s="136"/>
      <c r="H185" s="136"/>
      <c r="I185" s="136"/>
      <c r="J185" s="137"/>
    </row>
    <row r="186" spans="2:10">
      <c r="B186" s="111">
        <v>43310</v>
      </c>
      <c r="C186" s="134"/>
      <c r="D186" s="130"/>
      <c r="E186" s="130"/>
      <c r="F186" s="135"/>
      <c r="G186" s="136"/>
      <c r="H186" s="136"/>
      <c r="I186" s="136"/>
      <c r="J186" s="137"/>
    </row>
    <row r="187" spans="2:10">
      <c r="B187" s="111">
        <v>43311</v>
      </c>
      <c r="C187" s="134"/>
      <c r="D187" s="130"/>
      <c r="E187" s="130"/>
      <c r="F187" s="135"/>
      <c r="G187" s="136"/>
      <c r="H187" s="136"/>
      <c r="I187" s="136"/>
      <c r="J187" s="137"/>
    </row>
    <row r="188" spans="2:10">
      <c r="B188" s="111">
        <v>43312</v>
      </c>
      <c r="C188" s="134"/>
      <c r="D188" s="130"/>
      <c r="E188" s="130"/>
      <c r="F188" s="135"/>
      <c r="G188" s="136"/>
      <c r="H188" s="136"/>
      <c r="I188" s="136"/>
      <c r="J188" s="137"/>
    </row>
    <row r="189" spans="2:10">
      <c r="B189" s="111">
        <v>43313</v>
      </c>
      <c r="C189" s="134"/>
      <c r="D189" s="130"/>
      <c r="E189" s="130"/>
      <c r="F189" s="135"/>
      <c r="G189" s="136"/>
      <c r="H189" s="136"/>
      <c r="I189" s="136"/>
      <c r="J189" s="137"/>
    </row>
    <row r="190" spans="2:10">
      <c r="B190" s="111">
        <v>43314</v>
      </c>
      <c r="C190" s="134"/>
      <c r="D190" s="130"/>
      <c r="E190" s="130"/>
      <c r="F190" s="135"/>
      <c r="G190" s="136"/>
      <c r="H190" s="136"/>
      <c r="I190" s="136"/>
      <c r="J190" s="137"/>
    </row>
    <row r="191" spans="2:10">
      <c r="B191" s="111">
        <v>43315</v>
      </c>
      <c r="C191" s="134"/>
      <c r="D191" s="130"/>
      <c r="E191" s="130"/>
      <c r="F191" s="135"/>
      <c r="G191" s="136"/>
      <c r="H191" s="136"/>
      <c r="I191" s="136"/>
      <c r="J191" s="137"/>
    </row>
    <row r="192" spans="2:10">
      <c r="B192" s="111">
        <v>43316</v>
      </c>
      <c r="C192" s="134"/>
      <c r="D192" s="130"/>
      <c r="E192" s="130"/>
      <c r="F192" s="135"/>
      <c r="G192" s="136"/>
      <c r="H192" s="136"/>
      <c r="I192" s="136"/>
      <c r="J192" s="137"/>
    </row>
    <row r="193" spans="2:10">
      <c r="B193" s="111">
        <v>43317</v>
      </c>
      <c r="C193" s="134"/>
      <c r="D193" s="130"/>
      <c r="E193" s="130"/>
      <c r="F193" s="135"/>
      <c r="G193" s="136"/>
      <c r="H193" s="136"/>
      <c r="I193" s="136"/>
      <c r="J193" s="137"/>
    </row>
    <row r="194" spans="2:10">
      <c r="B194" s="111">
        <v>43318</v>
      </c>
      <c r="C194" s="134"/>
      <c r="D194" s="130"/>
      <c r="E194" s="130"/>
      <c r="F194" s="135"/>
      <c r="G194" s="136"/>
      <c r="H194" s="136"/>
      <c r="I194" s="136"/>
      <c r="J194" s="137"/>
    </row>
    <row r="195" spans="2:10">
      <c r="B195" s="111">
        <v>43319</v>
      </c>
      <c r="C195" s="134"/>
      <c r="D195" s="130"/>
      <c r="E195" s="130"/>
      <c r="F195" s="135"/>
      <c r="G195" s="136"/>
      <c r="H195" s="136"/>
      <c r="I195" s="136"/>
      <c r="J195" s="137"/>
    </row>
    <row r="196" spans="2:10">
      <c r="B196" s="111">
        <v>43320</v>
      </c>
      <c r="C196" s="134"/>
      <c r="D196" s="130"/>
      <c r="E196" s="130"/>
      <c r="F196" s="135"/>
      <c r="G196" s="136"/>
      <c r="H196" s="136"/>
      <c r="I196" s="136"/>
      <c r="J196" s="137"/>
    </row>
    <row r="197" spans="2:10">
      <c r="B197" s="111">
        <v>43321</v>
      </c>
      <c r="C197" s="134"/>
      <c r="D197" s="130"/>
      <c r="E197" s="130"/>
      <c r="F197" s="135"/>
      <c r="G197" s="136"/>
      <c r="H197" s="136"/>
      <c r="I197" s="136"/>
      <c r="J197" s="137"/>
    </row>
    <row r="198" spans="2:10">
      <c r="B198" s="111">
        <v>43322</v>
      </c>
      <c r="C198" s="134"/>
      <c r="D198" s="130"/>
      <c r="E198" s="130"/>
      <c r="F198" s="135"/>
      <c r="G198" s="136"/>
      <c r="H198" s="136"/>
      <c r="I198" s="136"/>
      <c r="J198" s="137"/>
    </row>
    <row r="199" spans="2:10">
      <c r="B199" s="111">
        <v>43323</v>
      </c>
      <c r="C199" s="134"/>
      <c r="D199" s="130"/>
      <c r="E199" s="130"/>
      <c r="F199" s="135"/>
      <c r="G199" s="136"/>
      <c r="H199" s="136"/>
      <c r="I199" s="136"/>
      <c r="J199" s="137"/>
    </row>
    <row r="200" spans="2:10">
      <c r="B200" s="111">
        <v>43324</v>
      </c>
      <c r="C200" s="134"/>
      <c r="D200" s="130"/>
      <c r="E200" s="130"/>
      <c r="F200" s="135"/>
      <c r="G200" s="136"/>
      <c r="H200" s="136"/>
      <c r="I200" s="136"/>
      <c r="J200" s="137"/>
    </row>
    <row r="201" spans="2:10">
      <c r="B201" s="111">
        <v>43325</v>
      </c>
      <c r="C201" s="134"/>
      <c r="D201" s="130"/>
      <c r="E201" s="130"/>
      <c r="F201" s="135"/>
      <c r="G201" s="136"/>
      <c r="H201" s="136"/>
      <c r="I201" s="136"/>
      <c r="J201" s="137"/>
    </row>
    <row r="202" spans="2:10">
      <c r="B202" s="111">
        <v>43326</v>
      </c>
      <c r="C202" s="134"/>
      <c r="D202" s="130"/>
      <c r="E202" s="130"/>
      <c r="F202" s="135"/>
      <c r="G202" s="136"/>
      <c r="H202" s="136"/>
      <c r="I202" s="136"/>
      <c r="J202" s="137"/>
    </row>
    <row r="203" spans="2:10">
      <c r="B203" s="111">
        <v>43327</v>
      </c>
      <c r="C203" s="134"/>
      <c r="D203" s="130"/>
      <c r="E203" s="130"/>
      <c r="F203" s="135"/>
      <c r="G203" s="136"/>
      <c r="H203" s="136"/>
      <c r="I203" s="136"/>
      <c r="J203" s="137"/>
    </row>
    <row r="204" spans="2:10">
      <c r="B204" s="111">
        <v>43328</v>
      </c>
      <c r="C204" s="134"/>
      <c r="D204" s="130"/>
      <c r="E204" s="130"/>
      <c r="F204" s="135"/>
      <c r="G204" s="136"/>
      <c r="H204" s="136"/>
      <c r="I204" s="136"/>
      <c r="J204" s="137"/>
    </row>
    <row r="205" spans="2:10">
      <c r="B205" s="111">
        <v>43329</v>
      </c>
      <c r="C205" s="134"/>
      <c r="D205" s="130"/>
      <c r="E205" s="130"/>
      <c r="F205" s="135"/>
      <c r="G205" s="136"/>
      <c r="H205" s="136"/>
      <c r="I205" s="136"/>
      <c r="J205" s="137"/>
    </row>
    <row r="206" spans="2:10">
      <c r="B206" s="111">
        <v>43330</v>
      </c>
      <c r="C206" s="134"/>
      <c r="D206" s="130"/>
      <c r="E206" s="130"/>
      <c r="F206" s="135"/>
      <c r="G206" s="136"/>
      <c r="H206" s="136"/>
      <c r="I206" s="136"/>
      <c r="J206" s="137"/>
    </row>
    <row r="207" spans="2:10">
      <c r="B207" s="111">
        <v>43331</v>
      </c>
      <c r="C207" s="134"/>
      <c r="D207" s="130"/>
      <c r="E207" s="130"/>
      <c r="F207" s="135"/>
      <c r="G207" s="136"/>
      <c r="H207" s="136"/>
      <c r="I207" s="136"/>
      <c r="J207" s="137"/>
    </row>
    <row r="208" spans="2:10">
      <c r="B208" s="111">
        <v>43332</v>
      </c>
      <c r="C208" s="134"/>
      <c r="D208" s="130"/>
      <c r="E208" s="130"/>
      <c r="F208" s="135"/>
      <c r="G208" s="136"/>
      <c r="H208" s="136"/>
      <c r="I208" s="136"/>
      <c r="J208" s="137"/>
    </row>
    <row r="209" spans="2:10">
      <c r="B209" s="111">
        <v>43333</v>
      </c>
      <c r="C209" s="134"/>
      <c r="D209" s="130"/>
      <c r="E209" s="130"/>
      <c r="F209" s="135"/>
      <c r="G209" s="136"/>
      <c r="H209" s="136"/>
      <c r="I209" s="136"/>
      <c r="J209" s="137"/>
    </row>
    <row r="210" spans="2:10">
      <c r="B210" s="111">
        <v>43334</v>
      </c>
      <c r="C210" s="134"/>
      <c r="D210" s="130"/>
      <c r="E210" s="130"/>
      <c r="F210" s="135"/>
      <c r="G210" s="136"/>
      <c r="H210" s="136"/>
      <c r="I210" s="136"/>
      <c r="J210" s="137"/>
    </row>
    <row r="211" spans="2:10">
      <c r="B211" s="111">
        <v>43335</v>
      </c>
      <c r="C211" s="134"/>
      <c r="D211" s="130"/>
      <c r="E211" s="130"/>
      <c r="F211" s="135"/>
      <c r="G211" s="136"/>
      <c r="H211" s="136"/>
      <c r="I211" s="136"/>
      <c r="J211" s="137"/>
    </row>
    <row r="212" spans="2:10">
      <c r="B212" s="111">
        <v>43336</v>
      </c>
      <c r="C212" s="134"/>
      <c r="D212" s="130"/>
      <c r="E212" s="130"/>
      <c r="F212" s="135"/>
      <c r="G212" s="136"/>
      <c r="H212" s="136"/>
      <c r="I212" s="136"/>
      <c r="J212" s="137"/>
    </row>
    <row r="213" spans="2:10">
      <c r="B213" s="111">
        <v>43337</v>
      </c>
      <c r="C213" s="134"/>
      <c r="D213" s="130"/>
      <c r="E213" s="130"/>
      <c r="F213" s="135"/>
      <c r="G213" s="136"/>
      <c r="H213" s="136"/>
      <c r="I213" s="136"/>
      <c r="J213" s="137"/>
    </row>
    <row r="214" spans="2:10">
      <c r="B214" s="111">
        <v>43338</v>
      </c>
      <c r="C214" s="134"/>
      <c r="D214" s="130"/>
      <c r="E214" s="130"/>
      <c r="F214" s="135"/>
      <c r="G214" s="136"/>
      <c r="H214" s="136"/>
      <c r="I214" s="136"/>
      <c r="J214" s="137"/>
    </row>
    <row r="215" spans="2:10">
      <c r="B215" s="111">
        <v>43339</v>
      </c>
      <c r="C215" s="134"/>
      <c r="D215" s="130"/>
      <c r="E215" s="130"/>
      <c r="F215" s="135"/>
      <c r="G215" s="136"/>
      <c r="H215" s="136"/>
      <c r="I215" s="136"/>
      <c r="J215" s="137"/>
    </row>
    <row r="216" spans="2:10">
      <c r="B216" s="111">
        <v>43340</v>
      </c>
      <c r="C216" s="134"/>
      <c r="D216" s="130"/>
      <c r="E216" s="130"/>
      <c r="F216" s="135"/>
      <c r="G216" s="136"/>
      <c r="H216" s="136"/>
      <c r="I216" s="136"/>
      <c r="J216" s="137"/>
    </row>
    <row r="217" spans="2:10">
      <c r="B217" s="111">
        <v>43341</v>
      </c>
      <c r="C217" s="134"/>
      <c r="D217" s="130"/>
      <c r="E217" s="130"/>
      <c r="F217" s="135"/>
      <c r="G217" s="136"/>
      <c r="H217" s="136"/>
      <c r="I217" s="136"/>
      <c r="J217" s="137"/>
    </row>
    <row r="218" spans="2:10">
      <c r="B218" s="111">
        <v>43342</v>
      </c>
      <c r="C218" s="134"/>
      <c r="D218" s="130"/>
      <c r="E218" s="130"/>
      <c r="F218" s="135"/>
      <c r="G218" s="136"/>
      <c r="H218" s="136"/>
      <c r="I218" s="136"/>
      <c r="J218" s="137"/>
    </row>
    <row r="219" spans="2:10">
      <c r="B219" s="111">
        <v>43343</v>
      </c>
      <c r="C219" s="134"/>
      <c r="D219" s="130"/>
      <c r="E219" s="130"/>
      <c r="F219" s="135"/>
      <c r="G219" s="136"/>
      <c r="H219" s="136"/>
      <c r="I219" s="136"/>
      <c r="J219" s="137"/>
    </row>
    <row r="220" spans="2:10">
      <c r="B220" s="111">
        <v>43344</v>
      </c>
      <c r="C220" s="134"/>
      <c r="D220" s="130"/>
      <c r="E220" s="130"/>
      <c r="F220" s="135"/>
      <c r="G220" s="136"/>
      <c r="H220" s="136"/>
      <c r="I220" s="136"/>
      <c r="J220" s="137"/>
    </row>
    <row r="221" spans="2:10">
      <c r="B221" s="111">
        <v>43345</v>
      </c>
      <c r="C221" s="134"/>
      <c r="D221" s="130"/>
      <c r="E221" s="130"/>
      <c r="F221" s="135"/>
      <c r="G221" s="136"/>
      <c r="H221" s="136"/>
      <c r="I221" s="136"/>
      <c r="J221" s="137"/>
    </row>
    <row r="222" spans="2:10">
      <c r="B222" s="111">
        <v>43346</v>
      </c>
      <c r="C222" s="134"/>
      <c r="D222" s="130"/>
      <c r="E222" s="130"/>
      <c r="F222" s="135"/>
      <c r="G222" s="136"/>
      <c r="H222" s="136"/>
      <c r="I222" s="136"/>
      <c r="J222" s="137"/>
    </row>
    <row r="223" spans="2:10">
      <c r="B223" s="111">
        <v>43347</v>
      </c>
      <c r="C223" s="134"/>
      <c r="D223" s="130"/>
      <c r="E223" s="130"/>
      <c r="F223" s="135"/>
      <c r="G223" s="136"/>
      <c r="H223" s="136"/>
      <c r="I223" s="136"/>
      <c r="J223" s="137"/>
    </row>
    <row r="224" spans="2:10">
      <c r="B224" s="111">
        <v>43348</v>
      </c>
      <c r="C224" s="134"/>
      <c r="D224" s="130"/>
      <c r="E224" s="130"/>
      <c r="F224" s="135"/>
      <c r="G224" s="136"/>
      <c r="H224" s="136"/>
      <c r="I224" s="136"/>
      <c r="J224" s="137"/>
    </row>
    <row r="225" spans="2:10">
      <c r="B225" s="111">
        <v>43349</v>
      </c>
      <c r="C225" s="134"/>
      <c r="D225" s="130"/>
      <c r="E225" s="130"/>
      <c r="F225" s="135"/>
      <c r="G225" s="136"/>
      <c r="H225" s="136"/>
      <c r="I225" s="136"/>
      <c r="J225" s="137"/>
    </row>
    <row r="226" spans="2:10">
      <c r="B226" s="111">
        <v>43350</v>
      </c>
      <c r="C226" s="134"/>
      <c r="D226" s="130"/>
      <c r="E226" s="130"/>
      <c r="F226" s="135"/>
      <c r="G226" s="136"/>
      <c r="H226" s="136"/>
      <c r="I226" s="136"/>
      <c r="J226" s="137"/>
    </row>
    <row r="227" spans="2:10">
      <c r="B227" s="111">
        <v>43351</v>
      </c>
      <c r="C227" s="134"/>
      <c r="D227" s="130"/>
      <c r="E227" s="130"/>
      <c r="F227" s="135"/>
      <c r="G227" s="136"/>
      <c r="H227" s="136"/>
      <c r="I227" s="136"/>
      <c r="J227" s="137"/>
    </row>
    <row r="228" spans="2:10">
      <c r="B228" s="111">
        <v>43352</v>
      </c>
      <c r="C228" s="134"/>
      <c r="D228" s="130"/>
      <c r="E228" s="130"/>
      <c r="F228" s="135"/>
      <c r="G228" s="136"/>
      <c r="H228" s="136"/>
      <c r="I228" s="136"/>
      <c r="J228" s="137"/>
    </row>
    <row r="229" spans="2:10">
      <c r="B229" s="111">
        <v>43353</v>
      </c>
      <c r="C229" s="134"/>
      <c r="D229" s="130"/>
      <c r="E229" s="130"/>
      <c r="F229" s="135"/>
      <c r="G229" s="136"/>
      <c r="H229" s="136"/>
      <c r="I229" s="136"/>
      <c r="J229" s="137"/>
    </row>
    <row r="230" spans="2:10">
      <c r="B230" s="111">
        <v>43354</v>
      </c>
      <c r="C230" s="134"/>
      <c r="D230" s="130"/>
      <c r="E230" s="130"/>
      <c r="F230" s="135"/>
      <c r="G230" s="136"/>
      <c r="H230" s="136"/>
      <c r="I230" s="136"/>
      <c r="J230" s="137"/>
    </row>
    <row r="231" spans="2:10">
      <c r="B231" s="111">
        <v>43355</v>
      </c>
      <c r="C231" s="134"/>
      <c r="D231" s="130"/>
      <c r="E231" s="130"/>
      <c r="F231" s="135"/>
      <c r="G231" s="136"/>
      <c r="H231" s="136"/>
      <c r="I231" s="136"/>
      <c r="J231" s="137"/>
    </row>
    <row r="232" spans="2:10">
      <c r="B232" s="111">
        <v>43356</v>
      </c>
      <c r="C232" s="134"/>
      <c r="D232" s="130"/>
      <c r="E232" s="130"/>
      <c r="F232" s="135"/>
      <c r="G232" s="136"/>
      <c r="H232" s="136"/>
      <c r="I232" s="136"/>
      <c r="J232" s="137"/>
    </row>
    <row r="233" spans="2:10">
      <c r="B233" s="111">
        <v>43357</v>
      </c>
      <c r="C233" s="134"/>
      <c r="D233" s="130"/>
      <c r="E233" s="130"/>
      <c r="F233" s="135"/>
      <c r="G233" s="136"/>
      <c r="H233" s="136"/>
      <c r="I233" s="136"/>
      <c r="J233" s="137"/>
    </row>
    <row r="234" spans="2:10">
      <c r="B234" s="111">
        <v>43358</v>
      </c>
      <c r="C234" s="134"/>
      <c r="D234" s="130"/>
      <c r="E234" s="130"/>
      <c r="F234" s="135"/>
      <c r="G234" s="136"/>
      <c r="H234" s="136"/>
      <c r="I234" s="136"/>
      <c r="J234" s="137"/>
    </row>
    <row r="235" spans="2:10">
      <c r="B235" s="111">
        <v>43359</v>
      </c>
      <c r="C235" s="134"/>
      <c r="D235" s="130"/>
      <c r="E235" s="130"/>
      <c r="F235" s="135"/>
      <c r="G235" s="136"/>
      <c r="H235" s="136"/>
      <c r="I235" s="136"/>
      <c r="J235" s="137"/>
    </row>
    <row r="236" spans="2:10">
      <c r="B236" s="111">
        <v>43360</v>
      </c>
      <c r="C236" s="134"/>
      <c r="D236" s="130"/>
      <c r="E236" s="130"/>
      <c r="F236" s="135"/>
      <c r="G236" s="136"/>
      <c r="H236" s="136"/>
      <c r="I236" s="136"/>
      <c r="J236" s="137"/>
    </row>
    <row r="237" spans="2:10">
      <c r="B237" s="111">
        <v>43361</v>
      </c>
      <c r="C237" s="134"/>
      <c r="D237" s="130"/>
      <c r="E237" s="130"/>
      <c r="F237" s="135"/>
      <c r="G237" s="136"/>
      <c r="H237" s="136"/>
      <c r="I237" s="136"/>
      <c r="J237" s="137"/>
    </row>
    <row r="238" spans="2:10">
      <c r="B238" s="111">
        <v>43362</v>
      </c>
      <c r="C238" s="134"/>
      <c r="D238" s="130"/>
      <c r="E238" s="130"/>
      <c r="F238" s="135"/>
      <c r="G238" s="136"/>
      <c r="H238" s="136"/>
      <c r="I238" s="136"/>
      <c r="J238" s="137"/>
    </row>
    <row r="239" spans="2:10">
      <c r="B239" s="111">
        <v>43363</v>
      </c>
      <c r="C239" s="134"/>
      <c r="D239" s="130"/>
      <c r="E239" s="130"/>
      <c r="F239" s="135"/>
      <c r="G239" s="136"/>
      <c r="H239" s="136"/>
      <c r="I239" s="136"/>
      <c r="J239" s="137"/>
    </row>
    <row r="240" spans="2:10">
      <c r="B240" s="111">
        <v>43364</v>
      </c>
      <c r="C240" s="134"/>
      <c r="D240" s="130"/>
      <c r="E240" s="130"/>
      <c r="F240" s="135"/>
      <c r="G240" s="136"/>
      <c r="H240" s="136"/>
      <c r="I240" s="136"/>
      <c r="J240" s="137"/>
    </row>
    <row r="241" spans="2:10">
      <c r="B241" s="111">
        <v>43365</v>
      </c>
      <c r="C241" s="134"/>
      <c r="D241" s="130"/>
      <c r="E241" s="130"/>
      <c r="F241" s="135"/>
      <c r="G241" s="136"/>
      <c r="H241" s="136"/>
      <c r="I241" s="136"/>
      <c r="J241" s="137"/>
    </row>
    <row r="242" spans="2:10">
      <c r="B242" s="111">
        <v>43366</v>
      </c>
      <c r="C242" s="134"/>
      <c r="D242" s="130"/>
      <c r="E242" s="130"/>
      <c r="F242" s="135"/>
      <c r="G242" s="136"/>
      <c r="H242" s="136"/>
      <c r="I242" s="136"/>
      <c r="J242" s="137"/>
    </row>
    <row r="243" spans="2:10">
      <c r="B243" s="111">
        <v>43367</v>
      </c>
      <c r="C243" s="134"/>
      <c r="D243" s="130"/>
      <c r="E243" s="130"/>
      <c r="F243" s="135"/>
      <c r="G243" s="136"/>
      <c r="H243" s="136"/>
      <c r="I243" s="136"/>
      <c r="J243" s="137"/>
    </row>
    <row r="244" spans="2:10">
      <c r="B244" s="111">
        <v>43368</v>
      </c>
      <c r="C244" s="134"/>
      <c r="D244" s="130"/>
      <c r="E244" s="130"/>
      <c r="F244" s="135"/>
      <c r="G244" s="136"/>
      <c r="H244" s="136"/>
      <c r="I244" s="136"/>
      <c r="J244" s="137"/>
    </row>
    <row r="245" spans="2:10">
      <c r="B245" s="111">
        <v>43369</v>
      </c>
      <c r="C245" s="134"/>
      <c r="D245" s="130"/>
      <c r="E245" s="130"/>
      <c r="F245" s="135"/>
      <c r="G245" s="136"/>
      <c r="H245" s="136"/>
      <c r="I245" s="136"/>
      <c r="J245" s="137"/>
    </row>
    <row r="246" spans="2:10">
      <c r="B246" s="111">
        <v>43370</v>
      </c>
      <c r="C246" s="134"/>
      <c r="D246" s="130"/>
      <c r="E246" s="130"/>
      <c r="F246" s="135"/>
      <c r="G246" s="136"/>
      <c r="H246" s="136"/>
      <c r="I246" s="136"/>
      <c r="J246" s="137"/>
    </row>
    <row r="247" spans="2:10">
      <c r="B247" s="111">
        <v>43371</v>
      </c>
      <c r="C247" s="134"/>
      <c r="D247" s="130"/>
      <c r="E247" s="130"/>
      <c r="F247" s="135"/>
      <c r="G247" s="136"/>
      <c r="H247" s="136"/>
      <c r="I247" s="136"/>
      <c r="J247" s="137"/>
    </row>
    <row r="248" spans="2:10">
      <c r="B248" s="111">
        <v>43372</v>
      </c>
      <c r="C248" s="134"/>
      <c r="D248" s="130"/>
      <c r="E248" s="130"/>
      <c r="F248" s="135"/>
      <c r="G248" s="136"/>
      <c r="H248" s="136"/>
      <c r="I248" s="136"/>
      <c r="J248" s="137"/>
    </row>
    <row r="249" spans="2:10">
      <c r="B249" s="111">
        <v>43373</v>
      </c>
      <c r="C249" s="134"/>
      <c r="D249" s="130"/>
      <c r="E249" s="130"/>
      <c r="F249" s="135"/>
      <c r="G249" s="136"/>
      <c r="H249" s="136"/>
      <c r="I249" s="136"/>
      <c r="J249" s="137"/>
    </row>
    <row r="250" spans="2:10">
      <c r="B250" s="111">
        <v>43374</v>
      </c>
      <c r="C250" s="134"/>
      <c r="D250" s="130"/>
      <c r="E250" s="130"/>
      <c r="F250" s="135"/>
      <c r="G250" s="136"/>
      <c r="H250" s="136"/>
      <c r="I250" s="136"/>
      <c r="J250" s="137"/>
    </row>
    <row r="251" spans="2:10">
      <c r="B251" s="111">
        <v>43375</v>
      </c>
      <c r="C251" s="134"/>
      <c r="D251" s="130"/>
      <c r="E251" s="130"/>
      <c r="F251" s="135"/>
      <c r="G251" s="136"/>
      <c r="H251" s="136"/>
      <c r="I251" s="136"/>
      <c r="J251" s="137"/>
    </row>
    <row r="252" spans="2:10">
      <c r="B252" s="111">
        <v>43376</v>
      </c>
      <c r="C252" s="134"/>
      <c r="D252" s="130"/>
      <c r="E252" s="130"/>
      <c r="F252" s="135"/>
      <c r="G252" s="136"/>
      <c r="H252" s="136"/>
      <c r="I252" s="136"/>
      <c r="J252" s="137"/>
    </row>
    <row r="253" spans="2:10">
      <c r="B253" s="111">
        <v>43377</v>
      </c>
      <c r="C253" s="134"/>
      <c r="D253" s="130"/>
      <c r="E253" s="130"/>
      <c r="F253" s="135"/>
      <c r="G253" s="136"/>
      <c r="H253" s="136"/>
      <c r="I253" s="136"/>
      <c r="J253" s="137"/>
    </row>
    <row r="254" spans="2:10">
      <c r="B254" s="111">
        <v>43378</v>
      </c>
      <c r="C254" s="134"/>
      <c r="D254" s="130"/>
      <c r="E254" s="130"/>
      <c r="F254" s="135"/>
      <c r="G254" s="136"/>
      <c r="H254" s="136"/>
      <c r="I254" s="136"/>
      <c r="J254" s="137"/>
    </row>
    <row r="255" spans="2:10">
      <c r="B255" s="111">
        <v>43379</v>
      </c>
      <c r="C255" s="134"/>
      <c r="D255" s="130"/>
      <c r="E255" s="130"/>
      <c r="F255" s="135"/>
      <c r="G255" s="136"/>
      <c r="H255" s="136"/>
      <c r="I255" s="136"/>
      <c r="J255" s="137"/>
    </row>
    <row r="256" spans="2:10">
      <c r="B256" s="111">
        <v>43380</v>
      </c>
      <c r="C256" s="134"/>
      <c r="D256" s="130"/>
      <c r="E256" s="130"/>
      <c r="F256" s="135"/>
      <c r="G256" s="136"/>
      <c r="H256" s="136"/>
      <c r="I256" s="136"/>
      <c r="J256" s="137"/>
    </row>
    <row r="257" spans="2:10">
      <c r="B257" s="111">
        <v>43381</v>
      </c>
      <c r="C257" s="134"/>
      <c r="D257" s="130"/>
      <c r="E257" s="130"/>
      <c r="F257" s="135"/>
      <c r="G257" s="136"/>
      <c r="H257" s="136"/>
      <c r="I257" s="136"/>
      <c r="J257" s="137"/>
    </row>
    <row r="258" spans="2:10">
      <c r="B258" s="111">
        <v>43382</v>
      </c>
      <c r="C258" s="134"/>
      <c r="D258" s="130"/>
      <c r="E258" s="130"/>
      <c r="F258" s="135"/>
      <c r="G258" s="136"/>
      <c r="H258" s="136"/>
      <c r="I258" s="136"/>
      <c r="J258" s="137"/>
    </row>
    <row r="259" spans="2:10">
      <c r="B259" s="111">
        <v>43383</v>
      </c>
      <c r="C259" s="134"/>
      <c r="D259" s="130"/>
      <c r="E259" s="130"/>
      <c r="F259" s="135"/>
      <c r="G259" s="136"/>
      <c r="H259" s="136"/>
      <c r="I259" s="136"/>
      <c r="J259" s="137"/>
    </row>
    <row r="260" spans="2:10">
      <c r="B260" s="111">
        <v>43384</v>
      </c>
      <c r="C260" s="134"/>
      <c r="D260" s="130"/>
      <c r="E260" s="130"/>
      <c r="F260" s="135"/>
      <c r="G260" s="136"/>
      <c r="H260" s="136"/>
      <c r="I260" s="136"/>
      <c r="J260" s="137"/>
    </row>
    <row r="261" spans="2:10">
      <c r="B261" s="111">
        <v>43385</v>
      </c>
      <c r="C261" s="134"/>
      <c r="D261" s="130"/>
      <c r="E261" s="130"/>
      <c r="F261" s="135"/>
      <c r="G261" s="136"/>
      <c r="H261" s="136"/>
      <c r="I261" s="136"/>
      <c r="J261" s="137"/>
    </row>
    <row r="262" spans="2:10">
      <c r="B262" s="111">
        <v>43386</v>
      </c>
      <c r="C262" s="134"/>
      <c r="D262" s="130"/>
      <c r="E262" s="130"/>
      <c r="F262" s="135"/>
      <c r="G262" s="136"/>
      <c r="H262" s="136"/>
      <c r="I262" s="136"/>
      <c r="J262" s="137"/>
    </row>
    <row r="263" spans="2:10">
      <c r="B263" s="111">
        <v>43387</v>
      </c>
      <c r="C263" s="134"/>
      <c r="D263" s="130"/>
      <c r="E263" s="130"/>
      <c r="F263" s="135"/>
      <c r="G263" s="136"/>
      <c r="H263" s="136"/>
      <c r="I263" s="136"/>
      <c r="J263" s="137"/>
    </row>
    <row r="264" spans="2:10">
      <c r="B264" s="111">
        <v>43388</v>
      </c>
      <c r="C264" s="134"/>
      <c r="D264" s="130"/>
      <c r="E264" s="130"/>
      <c r="F264" s="135"/>
      <c r="G264" s="136"/>
      <c r="H264" s="136"/>
      <c r="I264" s="136"/>
      <c r="J264" s="137"/>
    </row>
    <row r="265" spans="2:10">
      <c r="B265" s="111">
        <v>43389</v>
      </c>
      <c r="C265" s="134"/>
      <c r="D265" s="130"/>
      <c r="E265" s="130"/>
      <c r="F265" s="135"/>
      <c r="G265" s="136"/>
      <c r="H265" s="136"/>
      <c r="I265" s="136"/>
      <c r="J265" s="137"/>
    </row>
    <row r="266" spans="2:10">
      <c r="B266" s="111">
        <v>43390</v>
      </c>
      <c r="C266" s="134"/>
      <c r="D266" s="130"/>
      <c r="E266" s="130"/>
      <c r="F266" s="135"/>
      <c r="G266" s="136"/>
      <c r="H266" s="136"/>
      <c r="I266" s="136"/>
      <c r="J266" s="137"/>
    </row>
    <row r="267" spans="2:10">
      <c r="B267" s="111">
        <v>43391</v>
      </c>
      <c r="C267" s="134"/>
      <c r="D267" s="130"/>
      <c r="E267" s="130"/>
      <c r="F267" s="135"/>
      <c r="G267" s="136"/>
      <c r="H267" s="136"/>
      <c r="I267" s="136"/>
      <c r="J267" s="137"/>
    </row>
    <row r="268" spans="2:10">
      <c r="B268" s="111">
        <v>43392</v>
      </c>
      <c r="C268" s="134"/>
      <c r="D268" s="130"/>
      <c r="E268" s="130"/>
      <c r="F268" s="135"/>
      <c r="G268" s="136"/>
      <c r="H268" s="136"/>
      <c r="I268" s="136"/>
      <c r="J268" s="137"/>
    </row>
    <row r="269" spans="2:10">
      <c r="B269" s="111">
        <v>43393</v>
      </c>
      <c r="C269" s="134"/>
      <c r="D269" s="130"/>
      <c r="E269" s="130"/>
      <c r="F269" s="135"/>
      <c r="G269" s="136"/>
      <c r="H269" s="136"/>
      <c r="I269" s="136"/>
      <c r="J269" s="137"/>
    </row>
    <row r="270" spans="2:10">
      <c r="B270" s="111">
        <v>43394</v>
      </c>
      <c r="C270" s="134"/>
      <c r="D270" s="130"/>
      <c r="E270" s="130"/>
      <c r="F270" s="135"/>
      <c r="G270" s="136"/>
      <c r="H270" s="136"/>
      <c r="I270" s="136"/>
      <c r="J270" s="137"/>
    </row>
    <row r="271" spans="2:10">
      <c r="B271" s="111">
        <v>43395</v>
      </c>
      <c r="C271" s="134"/>
      <c r="D271" s="130"/>
      <c r="E271" s="130"/>
      <c r="F271" s="135"/>
      <c r="G271" s="136"/>
      <c r="H271" s="136"/>
      <c r="I271" s="136"/>
      <c r="J271" s="137"/>
    </row>
    <row r="272" spans="2:10">
      <c r="B272" s="111">
        <v>43396</v>
      </c>
      <c r="C272" s="134"/>
      <c r="D272" s="130"/>
      <c r="E272" s="130"/>
      <c r="F272" s="135"/>
      <c r="G272" s="136"/>
      <c r="H272" s="136"/>
      <c r="I272" s="136"/>
      <c r="J272" s="137"/>
    </row>
    <row r="273" spans="2:10">
      <c r="B273" s="111">
        <v>43397</v>
      </c>
      <c r="C273" s="134"/>
      <c r="D273" s="130"/>
      <c r="E273" s="130"/>
      <c r="F273" s="135"/>
      <c r="G273" s="136"/>
      <c r="H273" s="136"/>
      <c r="I273" s="136"/>
      <c r="J273" s="137"/>
    </row>
    <row r="274" spans="2:10">
      <c r="B274" s="111">
        <v>43398</v>
      </c>
      <c r="C274" s="134"/>
      <c r="D274" s="130"/>
      <c r="E274" s="130"/>
      <c r="F274" s="135"/>
      <c r="G274" s="136"/>
      <c r="H274" s="136"/>
      <c r="I274" s="136"/>
      <c r="J274" s="137"/>
    </row>
    <row r="275" spans="2:10">
      <c r="B275" s="111">
        <v>43399</v>
      </c>
      <c r="C275" s="134"/>
      <c r="D275" s="130"/>
      <c r="E275" s="130"/>
      <c r="F275" s="135"/>
      <c r="G275" s="136"/>
      <c r="H275" s="136"/>
      <c r="I275" s="136"/>
      <c r="J275" s="137"/>
    </row>
    <row r="276" spans="2:10">
      <c r="B276" s="111">
        <v>43400</v>
      </c>
      <c r="C276" s="134"/>
      <c r="D276" s="130"/>
      <c r="E276" s="130"/>
      <c r="F276" s="135"/>
      <c r="G276" s="136"/>
      <c r="H276" s="136"/>
      <c r="I276" s="136"/>
      <c r="J276" s="137"/>
    </row>
    <row r="277" spans="2:10">
      <c r="B277" s="111">
        <v>43401</v>
      </c>
      <c r="C277" s="134"/>
      <c r="D277" s="130"/>
      <c r="E277" s="130"/>
      <c r="F277" s="135"/>
      <c r="G277" s="136"/>
      <c r="H277" s="136"/>
      <c r="I277" s="136"/>
      <c r="J277" s="137"/>
    </row>
    <row r="278" spans="2:10">
      <c r="B278" s="111">
        <v>43402</v>
      </c>
      <c r="C278" s="134"/>
      <c r="D278" s="130"/>
      <c r="E278" s="130"/>
      <c r="F278" s="135"/>
      <c r="G278" s="136"/>
      <c r="H278" s="136"/>
      <c r="I278" s="136"/>
      <c r="J278" s="137"/>
    </row>
    <row r="279" spans="2:10">
      <c r="B279" s="111">
        <v>43403</v>
      </c>
      <c r="C279" s="134"/>
      <c r="D279" s="130"/>
      <c r="E279" s="130"/>
      <c r="F279" s="135"/>
      <c r="G279" s="136"/>
      <c r="H279" s="136"/>
      <c r="I279" s="136"/>
      <c r="J279" s="137"/>
    </row>
    <row r="280" spans="2:10">
      <c r="B280" s="111">
        <v>43404</v>
      </c>
      <c r="C280" s="134"/>
      <c r="D280" s="130"/>
      <c r="E280" s="130"/>
      <c r="F280" s="135"/>
      <c r="G280" s="136"/>
      <c r="H280" s="136"/>
      <c r="I280" s="136"/>
      <c r="J280" s="137"/>
    </row>
    <row r="281" spans="2:10">
      <c r="B281" s="111">
        <v>43405</v>
      </c>
      <c r="C281" s="134"/>
      <c r="D281" s="130"/>
      <c r="E281" s="130"/>
      <c r="F281" s="135"/>
      <c r="G281" s="136"/>
      <c r="H281" s="136"/>
      <c r="I281" s="136"/>
      <c r="J281" s="137"/>
    </row>
    <row r="282" spans="2:10">
      <c r="B282" s="111">
        <v>43406</v>
      </c>
      <c r="C282" s="134"/>
      <c r="D282" s="130"/>
      <c r="E282" s="130"/>
      <c r="F282" s="135"/>
      <c r="G282" s="136"/>
      <c r="H282" s="136"/>
      <c r="I282" s="136"/>
      <c r="J282" s="137"/>
    </row>
    <row r="283" spans="2:10">
      <c r="B283" s="111">
        <v>43407</v>
      </c>
      <c r="C283" s="134"/>
      <c r="D283" s="130"/>
      <c r="E283" s="130"/>
      <c r="F283" s="135"/>
      <c r="G283" s="136"/>
      <c r="H283" s="136"/>
      <c r="I283" s="136"/>
      <c r="J283" s="137"/>
    </row>
    <row r="284" spans="2:10">
      <c r="B284" s="111">
        <v>43408</v>
      </c>
      <c r="C284" s="134"/>
      <c r="D284" s="130"/>
      <c r="E284" s="130"/>
      <c r="F284" s="135"/>
      <c r="G284" s="136"/>
      <c r="H284" s="136"/>
      <c r="I284" s="136"/>
      <c r="J284" s="137"/>
    </row>
    <row r="285" spans="2:10">
      <c r="B285" s="111">
        <v>43409</v>
      </c>
      <c r="C285" s="134"/>
      <c r="D285" s="130"/>
      <c r="E285" s="130"/>
      <c r="F285" s="135"/>
      <c r="G285" s="136"/>
      <c r="H285" s="136"/>
      <c r="I285" s="136"/>
      <c r="J285" s="137"/>
    </row>
    <row r="286" spans="2:10">
      <c r="B286" s="111">
        <v>43410</v>
      </c>
      <c r="C286" s="134"/>
      <c r="D286" s="130"/>
      <c r="E286" s="130"/>
      <c r="F286" s="135"/>
      <c r="G286" s="136"/>
      <c r="H286" s="136"/>
      <c r="I286" s="136"/>
      <c r="J286" s="137"/>
    </row>
    <row r="287" spans="2:10">
      <c r="B287" s="111">
        <v>43411</v>
      </c>
      <c r="C287" s="134"/>
      <c r="D287" s="130"/>
      <c r="E287" s="130"/>
      <c r="F287" s="135"/>
      <c r="G287" s="136"/>
      <c r="H287" s="136"/>
      <c r="I287" s="136"/>
      <c r="J287" s="137"/>
    </row>
    <row r="288" spans="2:10">
      <c r="B288" s="111">
        <v>43412</v>
      </c>
      <c r="C288" s="134"/>
      <c r="D288" s="130"/>
      <c r="E288" s="130"/>
      <c r="F288" s="135"/>
      <c r="G288" s="136"/>
      <c r="H288" s="136"/>
      <c r="I288" s="136"/>
      <c r="J288" s="137"/>
    </row>
    <row r="289" spans="2:10">
      <c r="B289" s="111">
        <v>43413</v>
      </c>
      <c r="C289" s="134"/>
      <c r="D289" s="130"/>
      <c r="E289" s="130"/>
      <c r="F289" s="135"/>
      <c r="G289" s="136"/>
      <c r="H289" s="136"/>
      <c r="I289" s="136"/>
      <c r="J289" s="137"/>
    </row>
    <row r="290" spans="2:10">
      <c r="B290" s="111">
        <v>43414</v>
      </c>
      <c r="C290" s="134"/>
      <c r="D290" s="130"/>
      <c r="E290" s="130"/>
      <c r="F290" s="135"/>
      <c r="G290" s="136"/>
      <c r="H290" s="136"/>
      <c r="I290" s="136"/>
      <c r="J290" s="137"/>
    </row>
    <row r="291" spans="2:10">
      <c r="B291" s="111">
        <v>43415</v>
      </c>
      <c r="C291" s="134"/>
      <c r="D291" s="130"/>
      <c r="E291" s="130"/>
      <c r="F291" s="135"/>
      <c r="G291" s="136"/>
      <c r="H291" s="136"/>
      <c r="I291" s="136"/>
      <c r="J291" s="137"/>
    </row>
    <row r="292" spans="2:10">
      <c r="B292" s="111">
        <v>43416</v>
      </c>
      <c r="C292" s="134"/>
      <c r="D292" s="130"/>
      <c r="E292" s="130"/>
      <c r="F292" s="135"/>
      <c r="G292" s="136"/>
      <c r="H292" s="136"/>
      <c r="I292" s="136"/>
      <c r="J292" s="137"/>
    </row>
    <row r="293" spans="2:10">
      <c r="B293" s="111">
        <v>43417</v>
      </c>
      <c r="C293" s="134"/>
      <c r="D293" s="130"/>
      <c r="E293" s="130"/>
      <c r="F293" s="135"/>
      <c r="G293" s="136"/>
      <c r="H293" s="136"/>
      <c r="I293" s="136"/>
      <c r="J293" s="137"/>
    </row>
    <row r="294" spans="2:10">
      <c r="B294" s="111">
        <v>43418</v>
      </c>
      <c r="C294" s="134"/>
      <c r="D294" s="130"/>
      <c r="E294" s="130"/>
      <c r="F294" s="135"/>
      <c r="G294" s="136"/>
      <c r="H294" s="136"/>
      <c r="I294" s="136"/>
      <c r="J294" s="137"/>
    </row>
    <row r="295" spans="2:10">
      <c r="B295" s="111">
        <v>43419</v>
      </c>
      <c r="C295" s="134"/>
      <c r="D295" s="130"/>
      <c r="E295" s="130"/>
      <c r="F295" s="135"/>
      <c r="G295" s="136"/>
      <c r="H295" s="136"/>
      <c r="I295" s="136"/>
      <c r="J295" s="137"/>
    </row>
    <row r="296" spans="2:10">
      <c r="B296" s="111">
        <v>43420</v>
      </c>
      <c r="C296" s="134"/>
      <c r="D296" s="130"/>
      <c r="E296" s="130"/>
      <c r="F296" s="135"/>
      <c r="G296" s="136"/>
      <c r="H296" s="136"/>
      <c r="I296" s="136"/>
      <c r="J296" s="137"/>
    </row>
    <row r="297" spans="2:10">
      <c r="B297" s="111">
        <v>43421</v>
      </c>
      <c r="C297" s="134"/>
      <c r="D297" s="130"/>
      <c r="E297" s="130"/>
      <c r="F297" s="135"/>
      <c r="G297" s="136"/>
      <c r="H297" s="136"/>
      <c r="I297" s="136"/>
      <c r="J297" s="137"/>
    </row>
    <row r="298" spans="2:10">
      <c r="B298" s="111">
        <v>43422</v>
      </c>
      <c r="C298" s="134"/>
      <c r="D298" s="130"/>
      <c r="E298" s="130"/>
      <c r="F298" s="135"/>
      <c r="G298" s="136"/>
      <c r="H298" s="136"/>
      <c r="I298" s="136"/>
      <c r="J298" s="137"/>
    </row>
    <row r="299" spans="2:10">
      <c r="B299" s="111">
        <v>43423</v>
      </c>
      <c r="C299" s="134"/>
      <c r="D299" s="130"/>
      <c r="E299" s="130"/>
      <c r="F299" s="135"/>
      <c r="G299" s="136"/>
      <c r="H299" s="136"/>
      <c r="I299" s="136"/>
      <c r="J299" s="137"/>
    </row>
    <row r="300" spans="2:10">
      <c r="B300" s="111">
        <v>43424</v>
      </c>
      <c r="C300" s="134"/>
      <c r="D300" s="130"/>
      <c r="E300" s="130"/>
      <c r="F300" s="135"/>
      <c r="G300" s="136"/>
      <c r="H300" s="136"/>
      <c r="I300" s="136"/>
      <c r="J300" s="137"/>
    </row>
    <row r="301" spans="2:10">
      <c r="B301" s="111">
        <v>43425</v>
      </c>
      <c r="C301" s="134"/>
      <c r="D301" s="130"/>
      <c r="E301" s="130"/>
      <c r="F301" s="135"/>
      <c r="G301" s="136"/>
      <c r="H301" s="136"/>
      <c r="I301" s="136"/>
      <c r="J301" s="137"/>
    </row>
    <row r="302" spans="2:10">
      <c r="B302" s="111">
        <v>43426</v>
      </c>
      <c r="C302" s="134"/>
      <c r="D302" s="130"/>
      <c r="E302" s="130"/>
      <c r="F302" s="135"/>
      <c r="G302" s="136"/>
      <c r="H302" s="136"/>
      <c r="I302" s="136"/>
      <c r="J302" s="137"/>
    </row>
    <row r="303" spans="2:10">
      <c r="B303" s="111">
        <v>43427</v>
      </c>
      <c r="C303" s="134"/>
      <c r="D303" s="130"/>
      <c r="E303" s="130"/>
      <c r="F303" s="135"/>
      <c r="G303" s="136"/>
      <c r="H303" s="136"/>
      <c r="I303" s="136"/>
      <c r="J303" s="137"/>
    </row>
    <row r="304" spans="2:10">
      <c r="B304" s="111">
        <v>43428</v>
      </c>
      <c r="C304" s="134"/>
      <c r="D304" s="130"/>
      <c r="E304" s="130"/>
      <c r="F304" s="135"/>
      <c r="G304" s="136"/>
      <c r="H304" s="136"/>
      <c r="I304" s="136"/>
      <c r="J304" s="137"/>
    </row>
    <row r="305" spans="2:10">
      <c r="B305" s="111">
        <v>43429</v>
      </c>
      <c r="C305" s="134"/>
      <c r="D305" s="130"/>
      <c r="E305" s="130"/>
      <c r="F305" s="135"/>
      <c r="G305" s="136"/>
      <c r="H305" s="136"/>
      <c r="I305" s="136"/>
      <c r="J305" s="137"/>
    </row>
    <row r="306" spans="2:10">
      <c r="B306" s="111">
        <v>43430</v>
      </c>
      <c r="C306" s="134"/>
      <c r="D306" s="130"/>
      <c r="E306" s="130"/>
      <c r="F306" s="135"/>
      <c r="G306" s="136"/>
      <c r="H306" s="136"/>
      <c r="I306" s="136"/>
      <c r="J306" s="137"/>
    </row>
    <row r="307" spans="2:10">
      <c r="B307" s="111">
        <v>43431</v>
      </c>
      <c r="C307" s="134"/>
      <c r="D307" s="130"/>
      <c r="E307" s="130"/>
      <c r="F307" s="135"/>
      <c r="G307" s="136"/>
      <c r="H307" s="136"/>
      <c r="I307" s="136"/>
      <c r="J307" s="137"/>
    </row>
    <row r="308" spans="2:10">
      <c r="B308" s="111">
        <v>43432</v>
      </c>
      <c r="C308" s="134"/>
      <c r="D308" s="130"/>
      <c r="E308" s="130"/>
      <c r="F308" s="135"/>
      <c r="G308" s="136"/>
      <c r="H308" s="136"/>
      <c r="I308" s="136"/>
      <c r="J308" s="137"/>
    </row>
    <row r="309" spans="2:10">
      <c r="B309" s="111">
        <v>43433</v>
      </c>
      <c r="C309" s="134"/>
      <c r="D309" s="130"/>
      <c r="E309" s="130"/>
      <c r="F309" s="135"/>
      <c r="G309" s="136"/>
      <c r="H309" s="136"/>
      <c r="I309" s="136"/>
      <c r="J309" s="137"/>
    </row>
    <row r="310" spans="2:10">
      <c r="B310" s="111">
        <v>43434</v>
      </c>
      <c r="C310" s="134"/>
      <c r="D310" s="130"/>
      <c r="E310" s="130"/>
      <c r="F310" s="135"/>
      <c r="G310" s="136"/>
      <c r="H310" s="136"/>
      <c r="I310" s="136"/>
      <c r="J310" s="137"/>
    </row>
    <row r="311" spans="2:10">
      <c r="B311" s="111">
        <v>43435</v>
      </c>
      <c r="C311" s="134"/>
      <c r="D311" s="130"/>
      <c r="E311" s="130"/>
      <c r="F311" s="135"/>
      <c r="G311" s="136"/>
      <c r="H311" s="136"/>
      <c r="I311" s="136"/>
      <c r="J311" s="137"/>
    </row>
    <row r="312" spans="2:10">
      <c r="B312" s="111">
        <v>43436</v>
      </c>
      <c r="C312" s="134"/>
      <c r="D312" s="130"/>
      <c r="E312" s="130"/>
      <c r="F312" s="135"/>
      <c r="G312" s="136"/>
      <c r="H312" s="136"/>
      <c r="I312" s="136"/>
      <c r="J312" s="137"/>
    </row>
    <row r="313" spans="2:10">
      <c r="B313" s="111">
        <v>43437</v>
      </c>
      <c r="C313" s="134"/>
      <c r="D313" s="130"/>
      <c r="E313" s="130"/>
      <c r="F313" s="135"/>
      <c r="G313" s="136"/>
      <c r="H313" s="136"/>
      <c r="I313" s="136"/>
      <c r="J313" s="137"/>
    </row>
    <row r="314" spans="2:10">
      <c r="B314" s="111">
        <v>43438</v>
      </c>
      <c r="C314" s="134"/>
      <c r="D314" s="130"/>
      <c r="E314" s="130"/>
      <c r="F314" s="135"/>
      <c r="G314" s="136"/>
      <c r="H314" s="136"/>
      <c r="I314" s="136"/>
      <c r="J314" s="137"/>
    </row>
    <row r="315" spans="2:10">
      <c r="B315" s="111">
        <v>43439</v>
      </c>
      <c r="C315" s="134"/>
      <c r="D315" s="130"/>
      <c r="E315" s="130"/>
      <c r="F315" s="135"/>
      <c r="G315" s="136"/>
      <c r="H315" s="136"/>
      <c r="I315" s="136"/>
      <c r="J315" s="137"/>
    </row>
    <row r="316" spans="2:10">
      <c r="B316" s="111">
        <v>43440</v>
      </c>
      <c r="C316" s="134"/>
      <c r="D316" s="130"/>
      <c r="E316" s="130"/>
      <c r="F316" s="135"/>
      <c r="G316" s="136"/>
      <c r="H316" s="136"/>
      <c r="I316" s="136"/>
      <c r="J316" s="137"/>
    </row>
    <row r="317" spans="2:10">
      <c r="B317" s="111">
        <v>43441</v>
      </c>
      <c r="C317" s="134"/>
      <c r="D317" s="130"/>
      <c r="E317" s="130"/>
      <c r="F317" s="135"/>
      <c r="G317" s="136"/>
      <c r="H317" s="136"/>
      <c r="I317" s="136"/>
      <c r="J317" s="137"/>
    </row>
    <row r="318" spans="2:10">
      <c r="B318" s="111">
        <v>43442</v>
      </c>
      <c r="C318" s="134"/>
      <c r="D318" s="130"/>
      <c r="E318" s="130"/>
      <c r="F318" s="135"/>
      <c r="G318" s="136"/>
      <c r="H318" s="136"/>
      <c r="I318" s="136"/>
      <c r="J318" s="137"/>
    </row>
    <row r="319" spans="2:10">
      <c r="B319" s="111">
        <v>43443</v>
      </c>
      <c r="C319" s="134"/>
      <c r="D319" s="130"/>
      <c r="E319" s="130"/>
      <c r="F319" s="135"/>
      <c r="G319" s="136"/>
      <c r="H319" s="136"/>
      <c r="I319" s="136"/>
      <c r="J319" s="137"/>
    </row>
    <row r="320" spans="2:10">
      <c r="B320" s="111">
        <v>43444</v>
      </c>
      <c r="C320" s="134"/>
      <c r="D320" s="130"/>
      <c r="E320" s="130"/>
      <c r="F320" s="135"/>
      <c r="G320" s="136"/>
      <c r="H320" s="136"/>
      <c r="I320" s="136"/>
      <c r="J320" s="137"/>
    </row>
    <row r="321" spans="2:10">
      <c r="B321" s="111">
        <v>43445</v>
      </c>
      <c r="C321" s="134"/>
      <c r="D321" s="130"/>
      <c r="E321" s="130"/>
      <c r="F321" s="135"/>
      <c r="G321" s="136"/>
      <c r="H321" s="136"/>
      <c r="I321" s="136"/>
      <c r="J321" s="137"/>
    </row>
    <row r="322" spans="2:10">
      <c r="B322" s="111">
        <v>43446</v>
      </c>
      <c r="C322" s="134"/>
      <c r="D322" s="130"/>
      <c r="E322" s="130"/>
      <c r="F322" s="135"/>
      <c r="G322" s="136"/>
      <c r="H322" s="136"/>
      <c r="I322" s="136"/>
      <c r="J322" s="137"/>
    </row>
    <row r="323" spans="2:10">
      <c r="B323" s="111">
        <v>43447</v>
      </c>
      <c r="C323" s="134"/>
      <c r="D323" s="130"/>
      <c r="E323" s="130"/>
      <c r="F323" s="135"/>
      <c r="G323" s="136"/>
      <c r="H323" s="136"/>
      <c r="I323" s="136"/>
      <c r="J323" s="137"/>
    </row>
    <row r="324" spans="2:10">
      <c r="B324" s="111">
        <v>43448</v>
      </c>
      <c r="C324" s="134"/>
      <c r="D324" s="130"/>
      <c r="E324" s="130"/>
      <c r="F324" s="135"/>
      <c r="G324" s="136"/>
      <c r="H324" s="136"/>
      <c r="I324" s="136"/>
      <c r="J324" s="137"/>
    </row>
    <row r="325" spans="2:10">
      <c r="B325" s="111">
        <v>43449</v>
      </c>
      <c r="C325" s="134"/>
      <c r="D325" s="130"/>
      <c r="E325" s="130"/>
      <c r="F325" s="135"/>
      <c r="G325" s="136"/>
      <c r="H325" s="136"/>
      <c r="I325" s="136"/>
      <c r="J325" s="137"/>
    </row>
    <row r="326" spans="2:10">
      <c r="B326" s="111">
        <v>43450</v>
      </c>
      <c r="C326" s="134"/>
      <c r="D326" s="130"/>
      <c r="E326" s="130"/>
      <c r="F326" s="135"/>
      <c r="G326" s="136"/>
      <c r="H326" s="136"/>
      <c r="I326" s="136"/>
      <c r="J326" s="137"/>
    </row>
    <row r="327" spans="2:10">
      <c r="B327" s="111">
        <v>43451</v>
      </c>
      <c r="C327" s="134"/>
      <c r="D327" s="130"/>
      <c r="E327" s="130"/>
      <c r="F327" s="135"/>
      <c r="G327" s="136"/>
      <c r="H327" s="136"/>
      <c r="I327" s="136"/>
      <c r="J327" s="137"/>
    </row>
    <row r="328" spans="2:10">
      <c r="B328" s="111">
        <v>43452</v>
      </c>
      <c r="C328" s="134"/>
      <c r="D328" s="130"/>
      <c r="E328" s="130"/>
      <c r="F328" s="135"/>
      <c r="G328" s="136"/>
      <c r="H328" s="136"/>
      <c r="I328" s="136"/>
      <c r="J328" s="137"/>
    </row>
    <row r="329" spans="2:10">
      <c r="B329" s="111">
        <v>43453</v>
      </c>
      <c r="C329" s="134"/>
      <c r="D329" s="130"/>
      <c r="E329" s="130"/>
      <c r="F329" s="135"/>
      <c r="G329" s="136"/>
      <c r="H329" s="136"/>
      <c r="I329" s="136"/>
      <c r="J329" s="137"/>
    </row>
    <row r="330" spans="2:10">
      <c r="B330" s="111">
        <v>43454</v>
      </c>
      <c r="C330" s="134"/>
      <c r="D330" s="130"/>
      <c r="E330" s="130"/>
      <c r="F330" s="135"/>
      <c r="G330" s="136"/>
      <c r="H330" s="136"/>
      <c r="I330" s="136"/>
      <c r="J330" s="137"/>
    </row>
    <row r="331" spans="2:10">
      <c r="B331" s="111">
        <v>43455</v>
      </c>
      <c r="C331" s="134"/>
      <c r="D331" s="130"/>
      <c r="E331" s="130"/>
      <c r="F331" s="135"/>
      <c r="G331" s="136"/>
      <c r="H331" s="136"/>
      <c r="I331" s="136"/>
      <c r="J331" s="137"/>
    </row>
    <row r="332" spans="2:10">
      <c r="B332" s="111">
        <v>43456</v>
      </c>
      <c r="C332" s="134"/>
      <c r="D332" s="130"/>
      <c r="E332" s="130"/>
      <c r="F332" s="135"/>
      <c r="G332" s="136"/>
      <c r="H332" s="136"/>
      <c r="I332" s="136"/>
      <c r="J332" s="137"/>
    </row>
    <row r="333" spans="2:10">
      <c r="B333" s="111">
        <v>43457</v>
      </c>
      <c r="C333" s="134"/>
      <c r="D333" s="130"/>
      <c r="E333" s="130"/>
      <c r="F333" s="135"/>
      <c r="G333" s="136"/>
      <c r="H333" s="136"/>
      <c r="I333" s="136"/>
      <c r="J333" s="137"/>
    </row>
    <row r="334" spans="2:10">
      <c r="B334" s="111">
        <v>43458</v>
      </c>
      <c r="C334" s="134"/>
      <c r="D334" s="130"/>
      <c r="E334" s="130"/>
      <c r="F334" s="135"/>
      <c r="G334" s="136"/>
      <c r="H334" s="136"/>
      <c r="I334" s="136"/>
      <c r="J334" s="137"/>
    </row>
    <row r="335" spans="2:10">
      <c r="B335" s="111">
        <v>43459</v>
      </c>
      <c r="C335" s="134"/>
      <c r="D335" s="130"/>
      <c r="E335" s="130"/>
      <c r="F335" s="135"/>
      <c r="G335" s="136"/>
      <c r="H335" s="136"/>
      <c r="I335" s="136"/>
      <c r="J335" s="137"/>
    </row>
    <row r="336" spans="2:10">
      <c r="B336" s="111">
        <v>43460</v>
      </c>
      <c r="C336" s="134"/>
      <c r="D336" s="130"/>
      <c r="E336" s="130"/>
      <c r="F336" s="135"/>
      <c r="G336" s="136"/>
      <c r="H336" s="136"/>
      <c r="I336" s="136"/>
      <c r="J336" s="137"/>
    </row>
    <row r="337" spans="2:10">
      <c r="B337" s="111">
        <v>43461</v>
      </c>
      <c r="C337" s="134"/>
      <c r="D337" s="130"/>
      <c r="E337" s="130"/>
      <c r="F337" s="135"/>
      <c r="G337" s="136"/>
      <c r="H337" s="136"/>
      <c r="I337" s="136"/>
      <c r="J337" s="137"/>
    </row>
    <row r="338" spans="2:10">
      <c r="B338" s="111">
        <v>43462</v>
      </c>
      <c r="C338" s="134"/>
      <c r="D338" s="130"/>
      <c r="E338" s="130"/>
      <c r="F338" s="135"/>
      <c r="G338" s="136"/>
      <c r="H338" s="136"/>
      <c r="I338" s="136"/>
      <c r="J338" s="137"/>
    </row>
    <row r="339" spans="2:10">
      <c r="B339" s="111">
        <v>43463</v>
      </c>
      <c r="C339" s="134"/>
      <c r="D339" s="130"/>
      <c r="E339" s="130"/>
      <c r="F339" s="135"/>
      <c r="G339" s="136"/>
      <c r="H339" s="136"/>
      <c r="I339" s="136"/>
      <c r="J339" s="137"/>
    </row>
    <row r="340" spans="2:10">
      <c r="B340" s="111">
        <v>43464</v>
      </c>
      <c r="C340" s="134"/>
      <c r="D340" s="130"/>
      <c r="E340" s="130"/>
      <c r="F340" s="135"/>
      <c r="G340" s="136"/>
      <c r="H340" s="136"/>
      <c r="I340" s="136"/>
      <c r="J340" s="137"/>
    </row>
    <row r="341" spans="2:10">
      <c r="B341" s="111">
        <v>43465</v>
      </c>
      <c r="C341" s="134"/>
      <c r="D341" s="130"/>
      <c r="E341" s="130"/>
      <c r="F341" s="135"/>
      <c r="G341" s="136"/>
      <c r="H341" s="136"/>
      <c r="I341" s="136"/>
      <c r="J341" s="137"/>
    </row>
    <row r="342" spans="2:10">
      <c r="B342" s="111">
        <v>43466</v>
      </c>
      <c r="C342" s="134"/>
      <c r="D342" s="130"/>
      <c r="E342" s="130"/>
      <c r="F342" s="135"/>
      <c r="G342" s="136"/>
      <c r="H342" s="136"/>
      <c r="I342" s="136"/>
      <c r="J342" s="137"/>
    </row>
    <row r="343" spans="2:10">
      <c r="B343" s="111">
        <v>43467</v>
      </c>
      <c r="C343" s="134"/>
      <c r="D343" s="130"/>
      <c r="E343" s="130"/>
      <c r="F343" s="135"/>
      <c r="G343" s="136"/>
      <c r="H343" s="136"/>
      <c r="I343" s="136"/>
      <c r="J343" s="137"/>
    </row>
    <row r="344" spans="2:10">
      <c r="B344" s="111">
        <v>43468</v>
      </c>
      <c r="C344" s="134"/>
      <c r="D344" s="130"/>
      <c r="E344" s="130"/>
      <c r="F344" s="135"/>
      <c r="G344" s="136"/>
      <c r="H344" s="136"/>
      <c r="I344" s="136"/>
      <c r="J344" s="137"/>
    </row>
    <row r="345" spans="2:10">
      <c r="B345" s="111">
        <v>43469</v>
      </c>
      <c r="C345" s="134"/>
      <c r="D345" s="130"/>
      <c r="E345" s="130"/>
      <c r="F345" s="135"/>
      <c r="G345" s="136"/>
      <c r="H345" s="136"/>
      <c r="I345" s="136"/>
      <c r="J345" s="137"/>
    </row>
    <row r="346" spans="2:10">
      <c r="B346" s="111">
        <v>43470</v>
      </c>
      <c r="C346" s="134"/>
      <c r="D346" s="130"/>
      <c r="E346" s="130"/>
      <c r="F346" s="135"/>
      <c r="G346" s="136"/>
      <c r="H346" s="136"/>
      <c r="I346" s="136"/>
      <c r="J346" s="137"/>
    </row>
    <row r="347" spans="2:10">
      <c r="B347" s="111">
        <v>43471</v>
      </c>
      <c r="C347" s="134"/>
      <c r="D347" s="130"/>
      <c r="E347" s="130"/>
      <c r="F347" s="135"/>
      <c r="G347" s="136"/>
      <c r="H347" s="136"/>
      <c r="I347" s="136"/>
      <c r="J347" s="137"/>
    </row>
    <row r="348" spans="2:10">
      <c r="B348" s="111">
        <v>43472</v>
      </c>
      <c r="C348" s="134"/>
      <c r="D348" s="130"/>
      <c r="E348" s="130"/>
      <c r="F348" s="135"/>
      <c r="G348" s="136"/>
      <c r="H348" s="136"/>
      <c r="I348" s="136"/>
      <c r="J348" s="137"/>
    </row>
    <row r="349" spans="2:10">
      <c r="B349" s="111">
        <v>43473</v>
      </c>
      <c r="C349" s="134"/>
      <c r="D349" s="130"/>
      <c r="E349" s="130"/>
      <c r="F349" s="135"/>
      <c r="G349" s="136"/>
      <c r="H349" s="136"/>
      <c r="I349" s="136"/>
      <c r="J349" s="137"/>
    </row>
    <row r="350" spans="2:10">
      <c r="B350" s="111">
        <v>43474</v>
      </c>
      <c r="C350" s="134"/>
      <c r="D350" s="130"/>
      <c r="E350" s="130"/>
      <c r="F350" s="135"/>
      <c r="G350" s="136"/>
      <c r="H350" s="136"/>
      <c r="I350" s="136"/>
      <c r="J350" s="137"/>
    </row>
    <row r="351" spans="2:10">
      <c r="B351" s="111">
        <v>43475</v>
      </c>
      <c r="C351" s="134"/>
      <c r="D351" s="130"/>
      <c r="E351" s="130"/>
      <c r="F351" s="135"/>
      <c r="G351" s="136"/>
      <c r="H351" s="136"/>
      <c r="I351" s="136"/>
      <c r="J351" s="137"/>
    </row>
    <row r="352" spans="2:10">
      <c r="B352" s="111">
        <v>43476</v>
      </c>
      <c r="C352" s="134"/>
      <c r="D352" s="130"/>
      <c r="E352" s="130"/>
      <c r="F352" s="135"/>
      <c r="G352" s="136"/>
      <c r="H352" s="136"/>
      <c r="I352" s="136"/>
      <c r="J352" s="137"/>
    </row>
    <row r="353" spans="2:10">
      <c r="B353" s="111">
        <v>43477</v>
      </c>
      <c r="C353" s="134"/>
      <c r="D353" s="130"/>
      <c r="E353" s="130"/>
      <c r="F353" s="135"/>
      <c r="G353" s="136"/>
      <c r="H353" s="136"/>
      <c r="I353" s="136"/>
      <c r="J353" s="137"/>
    </row>
    <row r="354" spans="2:10">
      <c r="B354" s="111">
        <v>43478</v>
      </c>
      <c r="C354" s="134"/>
      <c r="D354" s="130"/>
      <c r="E354" s="130"/>
      <c r="F354" s="135"/>
      <c r="G354" s="136"/>
      <c r="H354" s="136"/>
      <c r="I354" s="136"/>
      <c r="J354" s="137"/>
    </row>
    <row r="355" spans="2:10">
      <c r="B355" s="111">
        <v>43479</v>
      </c>
      <c r="C355" s="134"/>
      <c r="D355" s="130"/>
      <c r="E355" s="130"/>
      <c r="F355" s="135"/>
      <c r="G355" s="136"/>
      <c r="H355" s="136"/>
      <c r="I355" s="136"/>
      <c r="J355" s="137"/>
    </row>
    <row r="356" spans="2:10">
      <c r="B356" s="111">
        <v>43480</v>
      </c>
      <c r="C356" s="134"/>
      <c r="D356" s="130"/>
      <c r="E356" s="130"/>
      <c r="F356" s="135"/>
      <c r="G356" s="136"/>
      <c r="H356" s="136"/>
      <c r="I356" s="136"/>
      <c r="J356" s="137"/>
    </row>
    <row r="357" spans="2:10">
      <c r="B357" s="111">
        <v>43481</v>
      </c>
      <c r="C357" s="134"/>
      <c r="D357" s="130"/>
      <c r="E357" s="130"/>
      <c r="F357" s="135"/>
      <c r="G357" s="136"/>
      <c r="H357" s="136"/>
      <c r="I357" s="136"/>
      <c r="J357" s="137"/>
    </row>
    <row r="358" spans="2:10">
      <c r="B358" s="111">
        <v>43482</v>
      </c>
      <c r="C358" s="134"/>
      <c r="D358" s="130"/>
      <c r="E358" s="130"/>
      <c r="F358" s="135"/>
      <c r="G358" s="136"/>
      <c r="H358" s="136"/>
      <c r="I358" s="136"/>
      <c r="J358" s="137"/>
    </row>
    <row r="359" spans="2:10">
      <c r="B359" s="111">
        <v>43483</v>
      </c>
      <c r="C359" s="134"/>
      <c r="D359" s="130"/>
      <c r="E359" s="130"/>
      <c r="F359" s="135"/>
      <c r="G359" s="136"/>
      <c r="H359" s="136"/>
      <c r="I359" s="136"/>
      <c r="J359" s="137"/>
    </row>
    <row r="360" spans="2:10">
      <c r="B360" s="111">
        <v>43484</v>
      </c>
      <c r="C360" s="134"/>
      <c r="D360" s="130"/>
      <c r="E360" s="130"/>
      <c r="F360" s="135"/>
      <c r="G360" s="136"/>
      <c r="H360" s="136"/>
      <c r="I360" s="136"/>
      <c r="J360" s="137"/>
    </row>
    <row r="361" spans="2:10">
      <c r="B361" s="111">
        <v>43485</v>
      </c>
      <c r="C361" s="134"/>
      <c r="D361" s="130"/>
      <c r="E361" s="130"/>
      <c r="F361" s="135"/>
      <c r="G361" s="136"/>
      <c r="H361" s="136"/>
      <c r="I361" s="136"/>
      <c r="J361" s="137"/>
    </row>
    <row r="362" spans="2:10">
      <c r="B362" s="111">
        <v>43486</v>
      </c>
      <c r="C362" s="134"/>
      <c r="D362" s="130"/>
      <c r="E362" s="130"/>
      <c r="F362" s="135"/>
      <c r="G362" s="136"/>
      <c r="H362" s="136"/>
      <c r="I362" s="136"/>
      <c r="J362" s="137"/>
    </row>
    <row r="363" spans="2:10">
      <c r="B363" s="111">
        <v>43487</v>
      </c>
      <c r="C363" s="134"/>
      <c r="D363" s="130"/>
      <c r="E363" s="130"/>
      <c r="F363" s="135"/>
      <c r="G363" s="136"/>
      <c r="H363" s="136"/>
      <c r="I363" s="136"/>
      <c r="J363" s="137"/>
    </row>
    <row r="364" spans="2:10">
      <c r="B364" s="111">
        <v>43488</v>
      </c>
      <c r="C364" s="134"/>
      <c r="D364" s="130"/>
      <c r="E364" s="130"/>
      <c r="F364" s="135"/>
      <c r="G364" s="136"/>
      <c r="H364" s="136"/>
      <c r="I364" s="136"/>
      <c r="J364" s="137"/>
    </row>
    <row r="365" spans="2:10">
      <c r="B365" s="111">
        <v>43489</v>
      </c>
      <c r="C365" s="134"/>
      <c r="D365" s="130"/>
      <c r="E365" s="130"/>
      <c r="F365" s="135"/>
      <c r="G365" s="136"/>
      <c r="H365" s="136"/>
      <c r="I365" s="136"/>
      <c r="J365" s="137"/>
    </row>
    <row r="366" spans="2:10">
      <c r="B366" s="111">
        <v>43490</v>
      </c>
      <c r="C366" s="134"/>
      <c r="D366" s="130"/>
      <c r="E366" s="130"/>
      <c r="F366" s="135"/>
      <c r="G366" s="136"/>
      <c r="H366" s="136"/>
      <c r="I366" s="136"/>
      <c r="J366" s="137"/>
    </row>
    <row r="367" spans="2:10">
      <c r="B367" s="111">
        <v>43491</v>
      </c>
      <c r="C367" s="134"/>
      <c r="D367" s="130"/>
      <c r="E367" s="130"/>
      <c r="F367" s="135"/>
      <c r="G367" s="136"/>
      <c r="H367" s="136"/>
      <c r="I367" s="136"/>
      <c r="J367" s="137"/>
    </row>
    <row r="368" spans="2:10">
      <c r="B368" s="111">
        <v>43492</v>
      </c>
      <c r="C368" s="134"/>
      <c r="D368" s="130"/>
      <c r="E368" s="130"/>
      <c r="F368" s="135"/>
      <c r="G368" s="136"/>
      <c r="H368" s="136"/>
      <c r="I368" s="136"/>
      <c r="J368" s="137"/>
    </row>
    <row r="369" spans="2:10">
      <c r="B369" s="111">
        <v>43493</v>
      </c>
      <c r="C369" s="134"/>
      <c r="D369" s="130"/>
      <c r="E369" s="130"/>
      <c r="F369" s="135"/>
      <c r="G369" s="136"/>
      <c r="H369" s="136"/>
      <c r="I369" s="136"/>
      <c r="J369" s="137"/>
    </row>
    <row r="370" spans="2:10">
      <c r="B370" s="111">
        <v>43494</v>
      </c>
      <c r="C370" s="134"/>
      <c r="D370" s="130"/>
      <c r="E370" s="130"/>
      <c r="F370" s="135"/>
      <c r="G370" s="136"/>
      <c r="H370" s="136"/>
      <c r="I370" s="136"/>
      <c r="J370" s="137"/>
    </row>
    <row r="371" spans="2:10">
      <c r="B371" s="111">
        <v>43495</v>
      </c>
      <c r="C371" s="134"/>
      <c r="D371" s="130"/>
      <c r="E371" s="130"/>
      <c r="F371" s="135"/>
      <c r="G371" s="136"/>
      <c r="H371" s="136"/>
      <c r="I371" s="136"/>
      <c r="J371" s="137"/>
    </row>
    <row r="372" spans="2:10">
      <c r="B372" s="111">
        <v>43496</v>
      </c>
      <c r="C372" s="134"/>
      <c r="D372" s="130"/>
      <c r="E372" s="130"/>
      <c r="F372" s="135"/>
      <c r="G372" s="136"/>
      <c r="H372" s="136"/>
      <c r="I372" s="136"/>
      <c r="J372" s="137"/>
    </row>
    <row r="373" spans="2:10">
      <c r="B373" s="111">
        <v>43497</v>
      </c>
      <c r="C373" s="134"/>
      <c r="D373" s="130"/>
      <c r="E373" s="130"/>
      <c r="F373" s="135"/>
      <c r="G373" s="136"/>
      <c r="H373" s="136"/>
      <c r="I373" s="136"/>
      <c r="J373" s="137"/>
    </row>
    <row r="374" spans="2:10">
      <c r="B374" s="111">
        <v>43498</v>
      </c>
      <c r="C374" s="134"/>
      <c r="D374" s="130"/>
      <c r="E374" s="130"/>
      <c r="F374" s="135"/>
      <c r="G374" s="136"/>
      <c r="H374" s="136"/>
      <c r="I374" s="136"/>
      <c r="J374" s="137"/>
    </row>
    <row r="375" spans="2:10">
      <c r="B375" s="111">
        <v>43499</v>
      </c>
      <c r="C375" s="134"/>
      <c r="D375" s="130"/>
      <c r="E375" s="130"/>
      <c r="F375" s="135"/>
      <c r="G375" s="136"/>
      <c r="H375" s="136"/>
      <c r="I375" s="136"/>
      <c r="J375" s="137"/>
    </row>
    <row r="376" spans="2:10">
      <c r="B376" s="111">
        <v>43500</v>
      </c>
      <c r="C376" s="134"/>
      <c r="D376" s="130"/>
      <c r="E376" s="130"/>
      <c r="F376" s="135"/>
      <c r="G376" s="136"/>
      <c r="H376" s="136"/>
      <c r="I376" s="136"/>
      <c r="J376" s="137"/>
    </row>
    <row r="377" spans="2:10">
      <c r="B377" s="111">
        <v>43501</v>
      </c>
      <c r="C377" s="134"/>
      <c r="D377" s="130"/>
      <c r="E377" s="130"/>
      <c r="F377" s="135"/>
      <c r="G377" s="136"/>
      <c r="H377" s="136"/>
      <c r="I377" s="136"/>
      <c r="J377" s="137"/>
    </row>
    <row r="378" spans="2:10">
      <c r="B378" s="111">
        <v>43502</v>
      </c>
      <c r="C378" s="134"/>
      <c r="D378" s="130"/>
      <c r="E378" s="130"/>
      <c r="F378" s="135"/>
      <c r="G378" s="136"/>
      <c r="H378" s="136"/>
      <c r="I378" s="136"/>
      <c r="J378" s="137"/>
    </row>
    <row r="379" spans="2:10">
      <c r="B379" s="111">
        <v>43503</v>
      </c>
      <c r="C379" s="134"/>
      <c r="D379" s="130"/>
      <c r="E379" s="130"/>
      <c r="F379" s="135"/>
      <c r="G379" s="136"/>
      <c r="H379" s="136"/>
      <c r="I379" s="136"/>
      <c r="J379" s="137"/>
    </row>
    <row r="380" spans="2:10">
      <c r="B380" s="111">
        <v>43504</v>
      </c>
      <c r="C380" s="134"/>
      <c r="D380" s="130"/>
      <c r="E380" s="130"/>
      <c r="F380" s="135"/>
      <c r="G380" s="136"/>
      <c r="H380" s="136"/>
      <c r="I380" s="136"/>
      <c r="J380" s="137"/>
    </row>
    <row r="381" spans="2:10">
      <c r="B381" s="111">
        <v>43505</v>
      </c>
      <c r="C381" s="134"/>
      <c r="D381" s="130"/>
      <c r="E381" s="130"/>
      <c r="F381" s="135"/>
      <c r="G381" s="136"/>
      <c r="H381" s="136"/>
      <c r="I381" s="136"/>
      <c r="J381" s="137"/>
    </row>
    <row r="382" spans="2:10">
      <c r="B382" s="111">
        <v>43506</v>
      </c>
      <c r="C382" s="134"/>
      <c r="D382" s="130"/>
      <c r="E382" s="130"/>
      <c r="F382" s="135"/>
      <c r="G382" s="136"/>
      <c r="H382" s="136"/>
      <c r="I382" s="136"/>
      <c r="J382" s="137"/>
    </row>
    <row r="383" spans="2:10">
      <c r="B383" s="111">
        <v>43507</v>
      </c>
      <c r="C383" s="134"/>
      <c r="D383" s="130"/>
      <c r="E383" s="130"/>
      <c r="F383" s="135"/>
      <c r="G383" s="136"/>
      <c r="H383" s="136"/>
      <c r="I383" s="136"/>
      <c r="J383" s="137"/>
    </row>
    <row r="384" spans="2:10">
      <c r="B384" s="111">
        <v>43508</v>
      </c>
      <c r="C384" s="134"/>
      <c r="D384" s="130"/>
      <c r="E384" s="130"/>
      <c r="F384" s="135"/>
      <c r="G384" s="136"/>
      <c r="H384" s="136"/>
      <c r="I384" s="136"/>
      <c r="J384" s="137"/>
    </row>
    <row r="385" spans="2:10">
      <c r="B385" s="111">
        <v>43509</v>
      </c>
      <c r="C385" s="134"/>
      <c r="D385" s="130"/>
      <c r="E385" s="130"/>
      <c r="F385" s="135"/>
      <c r="G385" s="136"/>
      <c r="H385" s="136"/>
      <c r="I385" s="136"/>
      <c r="J385" s="137"/>
    </row>
    <row r="386" spans="2:10">
      <c r="B386" s="111">
        <v>43510</v>
      </c>
      <c r="C386" s="134"/>
      <c r="D386" s="130"/>
      <c r="E386" s="130"/>
      <c r="F386" s="135"/>
      <c r="G386" s="136"/>
      <c r="H386" s="136"/>
      <c r="I386" s="136"/>
      <c r="J386" s="137"/>
    </row>
    <row r="387" spans="2:10">
      <c r="B387" s="111">
        <v>43511</v>
      </c>
      <c r="C387" s="134"/>
      <c r="D387" s="130"/>
      <c r="E387" s="130"/>
      <c r="F387" s="135"/>
      <c r="G387" s="136"/>
      <c r="H387" s="136"/>
      <c r="I387" s="136"/>
      <c r="J387" s="137"/>
    </row>
    <row r="388" spans="2:10">
      <c r="B388" s="111">
        <v>43512</v>
      </c>
      <c r="C388" s="134"/>
      <c r="D388" s="130"/>
      <c r="E388" s="130"/>
      <c r="F388" s="135"/>
      <c r="G388" s="136"/>
      <c r="H388" s="136"/>
      <c r="I388" s="136"/>
      <c r="J388" s="137"/>
    </row>
    <row r="389" spans="2:10">
      <c r="B389" s="111">
        <v>43513</v>
      </c>
      <c r="C389" s="134"/>
      <c r="D389" s="130"/>
      <c r="E389" s="130"/>
      <c r="F389" s="135"/>
      <c r="G389" s="136"/>
      <c r="H389" s="136"/>
      <c r="I389" s="136"/>
      <c r="J389" s="137"/>
    </row>
    <row r="390" spans="2:10">
      <c r="B390" s="111">
        <v>43514</v>
      </c>
      <c r="C390" s="134"/>
      <c r="D390" s="130"/>
      <c r="E390" s="130"/>
      <c r="F390" s="135"/>
      <c r="G390" s="136"/>
      <c r="H390" s="136"/>
      <c r="I390" s="136"/>
      <c r="J390" s="137"/>
    </row>
    <row r="391" spans="2:10">
      <c r="B391" s="111">
        <v>43515</v>
      </c>
      <c r="C391" s="134"/>
      <c r="D391" s="130"/>
      <c r="E391" s="130"/>
      <c r="F391" s="135"/>
      <c r="G391" s="136"/>
      <c r="H391" s="136"/>
      <c r="I391" s="136"/>
      <c r="J391" s="137"/>
    </row>
    <row r="392" spans="2:10">
      <c r="B392" s="111">
        <v>43516</v>
      </c>
      <c r="C392" s="134"/>
      <c r="D392" s="130"/>
      <c r="E392" s="130"/>
      <c r="F392" s="135"/>
      <c r="G392" s="136"/>
      <c r="H392" s="136"/>
      <c r="I392" s="136"/>
      <c r="J392" s="137"/>
    </row>
    <row r="393" spans="2:10">
      <c r="B393" s="111">
        <v>43517</v>
      </c>
      <c r="C393" s="134"/>
      <c r="D393" s="130"/>
      <c r="E393" s="130"/>
      <c r="F393" s="135"/>
      <c r="G393" s="136"/>
      <c r="H393" s="136"/>
      <c r="I393" s="136"/>
      <c r="J393" s="137"/>
    </row>
    <row r="394" spans="2:10">
      <c r="B394" s="111">
        <v>43518</v>
      </c>
      <c r="C394" s="134"/>
      <c r="D394" s="130"/>
      <c r="E394" s="130"/>
      <c r="F394" s="135"/>
      <c r="G394" s="136"/>
      <c r="H394" s="136"/>
      <c r="I394" s="136"/>
      <c r="J394" s="137"/>
    </row>
    <row r="395" spans="2:10">
      <c r="B395" s="111">
        <v>43519</v>
      </c>
      <c r="C395" s="134"/>
      <c r="D395" s="130"/>
      <c r="E395" s="130"/>
      <c r="F395" s="135"/>
      <c r="G395" s="136"/>
      <c r="H395" s="136"/>
      <c r="I395" s="136"/>
      <c r="J395" s="137"/>
    </row>
    <row r="396" spans="2:10">
      <c r="B396" s="111">
        <v>43520</v>
      </c>
      <c r="C396" s="134"/>
      <c r="D396" s="130"/>
      <c r="E396" s="130"/>
      <c r="F396" s="135"/>
      <c r="G396" s="136"/>
      <c r="H396" s="136"/>
      <c r="I396" s="136"/>
      <c r="J396" s="137"/>
    </row>
    <row r="397" spans="2:10">
      <c r="B397" s="111">
        <v>43521</v>
      </c>
      <c r="C397" s="134"/>
      <c r="D397" s="130"/>
      <c r="E397" s="130"/>
      <c r="F397" s="135"/>
      <c r="G397" s="136"/>
      <c r="H397" s="136"/>
      <c r="I397" s="136"/>
      <c r="J397" s="137"/>
    </row>
    <row r="398" spans="2:10">
      <c r="B398" s="111">
        <v>43522</v>
      </c>
      <c r="C398" s="134"/>
      <c r="D398" s="130"/>
      <c r="E398" s="130"/>
      <c r="F398" s="135"/>
      <c r="G398" s="136"/>
      <c r="H398" s="136"/>
      <c r="I398" s="136"/>
      <c r="J398" s="137"/>
    </row>
    <row r="399" spans="2:10">
      <c r="B399" s="111">
        <v>43523</v>
      </c>
      <c r="C399" s="134"/>
      <c r="D399" s="130"/>
      <c r="E399" s="130"/>
      <c r="F399" s="135"/>
      <c r="G399" s="136"/>
      <c r="H399" s="136"/>
      <c r="I399" s="136"/>
      <c r="J399" s="137"/>
    </row>
    <row r="400" spans="2:10">
      <c r="B400" s="111">
        <v>43524</v>
      </c>
      <c r="C400" s="134"/>
      <c r="D400" s="130"/>
      <c r="E400" s="130"/>
      <c r="F400" s="135"/>
      <c r="G400" s="136"/>
      <c r="H400" s="136"/>
      <c r="I400" s="136"/>
      <c r="J400" s="137"/>
    </row>
    <row r="401" spans="2:10">
      <c r="B401" s="111">
        <v>43525</v>
      </c>
      <c r="C401" s="134"/>
      <c r="D401" s="130"/>
      <c r="E401" s="130"/>
      <c r="F401" s="135"/>
      <c r="G401" s="136"/>
      <c r="H401" s="136"/>
      <c r="I401" s="136"/>
      <c r="J401" s="137"/>
    </row>
    <row r="402" spans="2:10">
      <c r="B402" s="111">
        <v>43526</v>
      </c>
      <c r="C402" s="134"/>
      <c r="D402" s="130"/>
      <c r="E402" s="130"/>
      <c r="F402" s="135"/>
      <c r="G402" s="136"/>
      <c r="H402" s="136"/>
      <c r="I402" s="136"/>
      <c r="J402" s="137"/>
    </row>
    <row r="403" spans="2:10">
      <c r="B403" s="111">
        <v>43527</v>
      </c>
      <c r="C403" s="134"/>
      <c r="D403" s="130"/>
      <c r="E403" s="130"/>
      <c r="F403" s="135"/>
      <c r="G403" s="136"/>
      <c r="H403" s="136"/>
      <c r="I403" s="136"/>
      <c r="J403" s="137"/>
    </row>
    <row r="404" spans="2:10">
      <c r="B404" s="111">
        <v>43528</v>
      </c>
      <c r="C404" s="134"/>
      <c r="D404" s="130"/>
      <c r="E404" s="130"/>
      <c r="F404" s="135"/>
      <c r="G404" s="136"/>
      <c r="H404" s="136"/>
      <c r="I404" s="136"/>
      <c r="J404" s="137"/>
    </row>
    <row r="405" spans="2:10">
      <c r="B405" s="111">
        <v>43529</v>
      </c>
      <c r="C405" s="134"/>
      <c r="D405" s="130"/>
      <c r="E405" s="130"/>
      <c r="F405" s="135"/>
      <c r="G405" s="136"/>
      <c r="H405" s="136"/>
      <c r="I405" s="136"/>
      <c r="J405" s="137"/>
    </row>
    <row r="406" spans="2:10">
      <c r="B406" s="111">
        <v>43530</v>
      </c>
      <c r="C406" s="134"/>
      <c r="D406" s="130"/>
      <c r="E406" s="130"/>
      <c r="F406" s="135"/>
      <c r="G406" s="136"/>
      <c r="H406" s="136"/>
      <c r="I406" s="136"/>
      <c r="J406" s="137"/>
    </row>
    <row r="407" spans="2:10">
      <c r="B407" s="111">
        <v>43531</v>
      </c>
      <c r="C407" s="134"/>
      <c r="D407" s="130"/>
      <c r="E407" s="130"/>
      <c r="F407" s="135"/>
      <c r="G407" s="136"/>
      <c r="H407" s="136"/>
      <c r="I407" s="136"/>
      <c r="J407" s="137"/>
    </row>
    <row r="408" spans="2:10">
      <c r="B408" s="111">
        <v>43532</v>
      </c>
      <c r="C408" s="134"/>
      <c r="D408" s="130"/>
      <c r="E408" s="130"/>
      <c r="F408" s="135"/>
      <c r="G408" s="136"/>
      <c r="H408" s="136"/>
      <c r="I408" s="136"/>
      <c r="J408" s="137"/>
    </row>
    <row r="409" spans="2:10">
      <c r="B409" s="111">
        <v>43533</v>
      </c>
      <c r="C409" s="134"/>
      <c r="D409" s="130"/>
      <c r="E409" s="130"/>
      <c r="F409" s="135"/>
      <c r="G409" s="136"/>
      <c r="H409" s="136"/>
      <c r="I409" s="136"/>
      <c r="J409" s="137"/>
    </row>
    <row r="410" spans="2:10">
      <c r="B410" s="111">
        <v>43534</v>
      </c>
      <c r="C410" s="134"/>
      <c r="D410" s="130"/>
      <c r="E410" s="130"/>
      <c r="F410" s="135"/>
      <c r="G410" s="136"/>
      <c r="H410" s="136"/>
      <c r="I410" s="136"/>
      <c r="J410" s="137"/>
    </row>
    <row r="411" spans="2:10">
      <c r="B411" s="111">
        <v>43535</v>
      </c>
      <c r="C411" s="134"/>
      <c r="D411" s="130"/>
      <c r="E411" s="130"/>
      <c r="F411" s="135"/>
      <c r="G411" s="136"/>
      <c r="H411" s="136"/>
      <c r="I411" s="136"/>
      <c r="J411" s="137"/>
    </row>
    <row r="412" spans="2:10">
      <c r="B412" s="111">
        <v>43536</v>
      </c>
      <c r="C412" s="134"/>
      <c r="D412" s="130"/>
      <c r="E412" s="130"/>
      <c r="F412" s="135"/>
      <c r="G412" s="136"/>
      <c r="H412" s="136"/>
      <c r="I412" s="136"/>
      <c r="J412" s="137"/>
    </row>
    <row r="413" spans="2:10">
      <c r="B413" s="111">
        <v>43537</v>
      </c>
      <c r="C413" s="134"/>
      <c r="D413" s="130"/>
      <c r="E413" s="130"/>
      <c r="F413" s="135"/>
      <c r="G413" s="136"/>
      <c r="H413" s="136"/>
      <c r="I413" s="136"/>
      <c r="J413" s="137"/>
    </row>
    <row r="414" spans="2:10">
      <c r="B414" s="111">
        <v>43538</v>
      </c>
      <c r="C414" s="134"/>
      <c r="D414" s="130"/>
      <c r="E414" s="130"/>
      <c r="F414" s="135"/>
      <c r="G414" s="136"/>
      <c r="H414" s="136"/>
      <c r="I414" s="136"/>
      <c r="J414" s="137"/>
    </row>
    <row r="415" spans="2:10">
      <c r="B415" s="111">
        <v>43539</v>
      </c>
      <c r="C415" s="134"/>
      <c r="D415" s="130"/>
      <c r="E415" s="130"/>
      <c r="F415" s="135"/>
      <c r="G415" s="136"/>
      <c r="H415" s="136"/>
      <c r="I415" s="136"/>
      <c r="J415" s="137"/>
    </row>
    <row r="416" spans="2:10">
      <c r="B416" s="111">
        <v>43540</v>
      </c>
      <c r="C416" s="134"/>
      <c r="D416" s="130"/>
      <c r="E416" s="130"/>
      <c r="F416" s="135"/>
      <c r="G416" s="136"/>
      <c r="H416" s="136"/>
      <c r="I416" s="136"/>
      <c r="J416" s="137"/>
    </row>
    <row r="417" spans="2:10">
      <c r="B417" s="111">
        <v>43541</v>
      </c>
      <c r="C417" s="134"/>
      <c r="D417" s="130"/>
      <c r="E417" s="130"/>
      <c r="F417" s="135"/>
      <c r="G417" s="136"/>
      <c r="H417" s="136"/>
      <c r="I417" s="136"/>
      <c r="J417" s="137"/>
    </row>
    <row r="418" spans="2:10">
      <c r="B418" s="111">
        <v>43542</v>
      </c>
      <c r="C418" s="134"/>
      <c r="D418" s="130"/>
      <c r="E418" s="130"/>
      <c r="F418" s="135"/>
      <c r="G418" s="136"/>
      <c r="H418" s="136"/>
      <c r="I418" s="136"/>
      <c r="J418" s="137"/>
    </row>
    <row r="419" spans="2:10">
      <c r="B419" s="111">
        <v>43543</v>
      </c>
      <c r="C419" s="134"/>
      <c r="D419" s="130"/>
      <c r="E419" s="130"/>
      <c r="F419" s="135"/>
      <c r="G419" s="136"/>
      <c r="H419" s="136"/>
      <c r="I419" s="136"/>
      <c r="J419" s="137"/>
    </row>
    <row r="420" spans="2:10">
      <c r="B420" s="111">
        <v>43544</v>
      </c>
      <c r="C420" s="134"/>
      <c r="D420" s="130"/>
      <c r="E420" s="130"/>
      <c r="F420" s="135"/>
      <c r="G420" s="136"/>
      <c r="H420" s="136"/>
      <c r="I420" s="136"/>
      <c r="J420" s="137"/>
    </row>
    <row r="421" spans="2:10">
      <c r="B421" s="111">
        <v>43545</v>
      </c>
      <c r="C421" s="134"/>
      <c r="D421" s="130"/>
      <c r="E421" s="130"/>
      <c r="F421" s="135"/>
      <c r="G421" s="136"/>
      <c r="H421" s="136"/>
      <c r="I421" s="136"/>
      <c r="J421" s="137"/>
    </row>
    <row r="422" spans="2:10">
      <c r="B422" s="111">
        <v>43546</v>
      </c>
      <c r="C422" s="134"/>
      <c r="D422" s="130"/>
      <c r="E422" s="130"/>
      <c r="F422" s="135"/>
      <c r="G422" s="136"/>
      <c r="H422" s="136"/>
      <c r="I422" s="136"/>
      <c r="J422" s="137"/>
    </row>
    <row r="423" spans="2:10">
      <c r="B423" s="111">
        <v>43547</v>
      </c>
      <c r="C423" s="134"/>
      <c r="D423" s="130"/>
      <c r="E423" s="130"/>
      <c r="F423" s="135"/>
      <c r="G423" s="136"/>
      <c r="H423" s="136"/>
      <c r="I423" s="136"/>
      <c r="J423" s="137"/>
    </row>
    <row r="424" spans="2:10">
      <c r="B424" s="111">
        <v>43548</v>
      </c>
      <c r="C424" s="134"/>
      <c r="D424" s="130"/>
      <c r="E424" s="130"/>
      <c r="F424" s="135"/>
      <c r="G424" s="136"/>
      <c r="H424" s="136"/>
      <c r="I424" s="136"/>
      <c r="J424" s="137"/>
    </row>
    <row r="425" spans="2:10">
      <c r="B425" s="111">
        <v>43549</v>
      </c>
      <c r="C425" s="134"/>
      <c r="D425" s="130"/>
      <c r="E425" s="130"/>
      <c r="F425" s="135"/>
      <c r="G425" s="136"/>
      <c r="H425" s="136"/>
      <c r="I425" s="136"/>
      <c r="J425" s="137"/>
    </row>
    <row r="426" spans="2:10">
      <c r="B426" s="111">
        <v>43550</v>
      </c>
      <c r="C426" s="134"/>
      <c r="D426" s="130"/>
      <c r="E426" s="130"/>
      <c r="F426" s="135"/>
      <c r="G426" s="136"/>
      <c r="H426" s="136"/>
      <c r="I426" s="136"/>
      <c r="J426" s="137"/>
    </row>
    <row r="427" spans="2:10">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9" priority="6">
      <formula>INDIRECT("B"&amp;ROW())=TODAY()</formula>
    </cfRule>
  </conditionalFormatting>
  <conditionalFormatting sqref="B9:B427">
    <cfRule type="timePeriod" dxfId="18"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B1" zoomScale="128" workbookViewId="0">
      <selection activeCell="B91" sqref="B91"/>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43160</v>
      </c>
      <c r="G1" s="100" t="s">
        <v>70</v>
      </c>
      <c r="H1" s="79">
        <f ca="1">HOUR(I1)</f>
        <v>20</v>
      </c>
      <c r="I1" s="80">
        <f ca="1">NOW()</f>
        <v>43160.852736574074</v>
      </c>
      <c r="J1" s="68" t="s">
        <v>22</v>
      </c>
      <c r="L1" s="68" t="s">
        <v>21</v>
      </c>
    </row>
    <row r="2" spans="1:12" s="68" customFormat="1" ht="29.25" customHeight="1">
      <c r="A2" s="66"/>
      <c r="B2" s="86"/>
      <c r="C2" s="107"/>
      <c r="D2" s="96"/>
      <c r="F2" s="101"/>
      <c r="G2" s="83"/>
      <c r="H2" s="70"/>
    </row>
    <row r="4" spans="1:12">
      <c r="A4" s="82" t="s">
        <v>69</v>
      </c>
      <c r="B4" s="87" t="s">
        <v>63</v>
      </c>
      <c r="C4" s="108" t="s">
        <v>65</v>
      </c>
      <c r="D4" s="97" t="s">
        <v>112</v>
      </c>
      <c r="E4" s="93" t="s">
        <v>62</v>
      </c>
      <c r="F4" s="102" t="s">
        <v>64</v>
      </c>
      <c r="G4" s="94" t="s">
        <v>9</v>
      </c>
      <c r="H4" s="93" t="s">
        <v>66</v>
      </c>
      <c r="I4" s="93" t="s">
        <v>67</v>
      </c>
      <c r="J4" s="93" t="s">
        <v>68</v>
      </c>
    </row>
    <row r="5" spans="1:12">
      <c r="A5" s="82"/>
      <c r="B5" s="87"/>
      <c r="C5" s="108"/>
      <c r="D5" s="97"/>
      <c r="E5" s="93"/>
      <c r="F5" s="102"/>
      <c r="G5" s="94"/>
      <c r="H5" s="93"/>
      <c r="I5" s="93"/>
      <c r="J5" s="93"/>
    </row>
    <row r="6" spans="1:12" ht="15.75">
      <c r="A6" s="82"/>
      <c r="B6" s="87"/>
      <c r="C6" s="108"/>
      <c r="D6" s="97"/>
      <c r="E6" s="106" t="s">
        <v>147</v>
      </c>
      <c r="F6" s="102"/>
      <c r="G6" s="94"/>
      <c r="H6" s="93"/>
      <c r="I6" s="93"/>
      <c r="J6" s="93"/>
    </row>
    <row r="8" spans="1:12" s="76" customFormat="1" outlineLevel="1">
      <c r="A8" s="84"/>
      <c r="B8" s="92"/>
      <c r="C8" s="109">
        <f>AVERAGE(C9:C12)</f>
        <v>0.75</v>
      </c>
      <c r="D8" s="98">
        <f ca="1">TODAY()</f>
        <v>43160</v>
      </c>
      <c r="E8" s="93" t="s">
        <v>82</v>
      </c>
      <c r="F8" s="104">
        <v>43146</v>
      </c>
      <c r="G8" s="95"/>
    </row>
    <row r="9" spans="1:12" s="76" customFormat="1" ht="40.5" hidden="1" customHeight="1" outlineLevel="2">
      <c r="A9" s="84"/>
      <c r="B9" s="88" t="s">
        <v>76</v>
      </c>
      <c r="C9" s="109">
        <v>1</v>
      </c>
      <c r="D9" s="99">
        <v>43141</v>
      </c>
      <c r="E9" s="76" t="s">
        <v>75</v>
      </c>
      <c r="F9" s="103">
        <f ca="1">TODAY()+1</f>
        <v>43161</v>
      </c>
      <c r="G9" s="95"/>
    </row>
    <row r="10" spans="1:12" ht="47.25" hidden="1" customHeight="1" outlineLevel="2">
      <c r="A10" s="81"/>
      <c r="B10" s="91" t="s">
        <v>77</v>
      </c>
      <c r="C10" s="109">
        <v>1</v>
      </c>
      <c r="D10" s="98">
        <v>43141</v>
      </c>
      <c r="E10" s="76" t="s">
        <v>72</v>
      </c>
      <c r="F10" s="104">
        <v>43146</v>
      </c>
    </row>
    <row r="11" spans="1:12" ht="67.5" hidden="1" customHeight="1" outlineLevel="2">
      <c r="A11" s="79"/>
      <c r="B11" s="91" t="s">
        <v>78</v>
      </c>
      <c r="C11" s="109">
        <v>1</v>
      </c>
      <c r="D11" s="98">
        <f ca="1">TODAY()</f>
        <v>43160</v>
      </c>
      <c r="E11" s="76" t="s">
        <v>71</v>
      </c>
      <c r="F11" s="104">
        <v>43146</v>
      </c>
    </row>
    <row r="12" spans="1:12" ht="72" hidden="1" customHeight="1" outlineLevel="2">
      <c r="A12" s="79"/>
      <c r="B12" s="91" t="s">
        <v>79</v>
      </c>
      <c r="C12" s="109">
        <v>0</v>
      </c>
      <c r="D12" s="98">
        <f ca="1">TODAY()</f>
        <v>43160</v>
      </c>
      <c r="E12" s="76" t="s">
        <v>73</v>
      </c>
      <c r="F12" s="104">
        <v>43146</v>
      </c>
      <c r="G12" s="59" t="s">
        <v>74</v>
      </c>
    </row>
    <row r="13" spans="1:12" outlineLevel="1" collapsed="1"/>
    <row r="14" spans="1:12" ht="16.5" customHeight="1" outlineLevel="1">
      <c r="A14" s="79"/>
      <c r="B14" s="91"/>
      <c r="C14" s="109">
        <v>0</v>
      </c>
      <c r="D14" s="98">
        <v>43144</v>
      </c>
      <c r="E14" s="93" t="s">
        <v>83</v>
      </c>
      <c r="F14" s="104">
        <v>43151</v>
      </c>
    </row>
    <row r="15" spans="1:12" ht="75" hidden="1" customHeight="1" outlineLevel="2">
      <c r="A15" s="79"/>
      <c r="B15" s="89" t="s">
        <v>80</v>
      </c>
      <c r="C15" s="109">
        <v>1</v>
      </c>
      <c r="D15" s="98">
        <v>43142</v>
      </c>
      <c r="E15" s="76" t="s">
        <v>81</v>
      </c>
      <c r="F15" s="104">
        <f ca="1">TODAY()+2</f>
        <v>43162</v>
      </c>
    </row>
    <row r="16" spans="1:12" ht="87" hidden="1" customHeight="1" outlineLevel="2">
      <c r="A16" s="79"/>
      <c r="B16" s="89" t="s">
        <v>84</v>
      </c>
      <c r="C16" s="109">
        <v>0.1</v>
      </c>
      <c r="D16" s="98">
        <v>43144</v>
      </c>
      <c r="E16" s="76" t="s">
        <v>85</v>
      </c>
      <c r="F16" s="104">
        <f ca="1">TODAY()+5</f>
        <v>43165</v>
      </c>
      <c r="G16" s="59" t="s">
        <v>194</v>
      </c>
      <c r="I16" s="1" t="s">
        <v>193</v>
      </c>
    </row>
    <row r="17" spans="1:9" ht="101.25" hidden="1" customHeight="1" outlineLevel="2">
      <c r="A17" s="126"/>
      <c r="B17" s="89" t="s">
        <v>93</v>
      </c>
      <c r="C17" s="109">
        <v>1</v>
      </c>
      <c r="D17" s="98">
        <v>43144</v>
      </c>
      <c r="E17" s="76" t="s">
        <v>94</v>
      </c>
      <c r="F17" s="104">
        <v>43149</v>
      </c>
      <c r="I17" s="1" t="s">
        <v>95</v>
      </c>
    </row>
    <row r="18" spans="1:9" s="125" customFormat="1" ht="131.1" hidden="1" customHeight="1" outlineLevel="2">
      <c r="A18" s="118"/>
      <c r="B18" s="119" t="s">
        <v>86</v>
      </c>
      <c r="C18" s="120">
        <v>1</v>
      </c>
      <c r="D18" s="121">
        <v>43142</v>
      </c>
      <c r="E18" s="122" t="s">
        <v>87</v>
      </c>
      <c r="F18" s="123">
        <f ca="1">TODAY()+7</f>
        <v>43167</v>
      </c>
      <c r="G18" s="124"/>
      <c r="I18" s="125" t="s">
        <v>96</v>
      </c>
    </row>
    <row r="19" spans="1:9" s="125" customFormat="1" ht="51" hidden="1" customHeight="1" outlineLevel="2">
      <c r="A19" s="118"/>
      <c r="B19" s="119" t="s">
        <v>88</v>
      </c>
      <c r="C19" s="120">
        <v>1</v>
      </c>
      <c r="D19" s="121">
        <v>43144</v>
      </c>
      <c r="E19" s="122" t="s">
        <v>89</v>
      </c>
      <c r="F19" s="123">
        <v>43150</v>
      </c>
      <c r="G19" s="124"/>
    </row>
    <row r="20" spans="1:9" s="125" customFormat="1" ht="66" hidden="1" customHeight="1" outlineLevel="2">
      <c r="A20" s="118"/>
      <c r="B20" s="119" t="s">
        <v>90</v>
      </c>
      <c r="C20" s="120">
        <v>1</v>
      </c>
      <c r="D20" s="121">
        <v>43144</v>
      </c>
      <c r="E20" s="122" t="s">
        <v>92</v>
      </c>
      <c r="F20" s="123">
        <v>43151</v>
      </c>
      <c r="G20" s="124"/>
    </row>
    <row r="21" spans="1:9" outlineLevel="1" collapsed="1"/>
    <row r="22" spans="1:9" outlineLevel="1">
      <c r="A22" s="79"/>
      <c r="B22" s="89"/>
      <c r="C22" s="109">
        <f>AVERAGE(C23:C30)</f>
        <v>3.125E-2</v>
      </c>
      <c r="D22" s="98">
        <f ca="1">TODAY()</f>
        <v>43160</v>
      </c>
      <c r="E22" s="93" t="s">
        <v>97</v>
      </c>
      <c r="F22" s="104">
        <v>43166</v>
      </c>
    </row>
    <row r="23" spans="1:9" ht="30" hidden="1" customHeight="1" outlineLevel="2">
      <c r="A23" s="79"/>
      <c r="B23" s="89" t="s">
        <v>180</v>
      </c>
      <c r="C23" s="109">
        <v>0.25</v>
      </c>
      <c r="D23" s="98">
        <f ca="1">TODAY()</f>
        <v>43160</v>
      </c>
      <c r="E23" s="76" t="s">
        <v>98</v>
      </c>
      <c r="F23" s="104">
        <v>43148</v>
      </c>
    </row>
    <row r="24" spans="1:9" ht="31.5" hidden="1" customHeight="1" outlineLevel="2">
      <c r="A24" s="79"/>
      <c r="B24" s="89" t="s">
        <v>181</v>
      </c>
      <c r="C24" s="109">
        <v>0</v>
      </c>
      <c r="D24" s="104">
        <v>43142</v>
      </c>
      <c r="E24" s="76" t="s">
        <v>99</v>
      </c>
      <c r="F24" s="99">
        <v>43160</v>
      </c>
      <c r="G24" s="59" t="s">
        <v>107</v>
      </c>
    </row>
    <row r="25" spans="1:9" ht="26.25" hidden="1" customHeight="1" outlineLevel="2">
      <c r="A25" s="79"/>
      <c r="B25" s="89" t="s">
        <v>186</v>
      </c>
      <c r="C25" s="109">
        <v>0</v>
      </c>
      <c r="D25" s="104">
        <v>43143</v>
      </c>
      <c r="E25" s="76" t="s">
        <v>105</v>
      </c>
      <c r="F25" s="104">
        <v>43161</v>
      </c>
    </row>
    <row r="26" spans="1:9" ht="26.25" hidden="1" customHeight="1" outlineLevel="2">
      <c r="A26" s="79"/>
      <c r="B26" s="89" t="s">
        <v>182</v>
      </c>
      <c r="C26" s="109">
        <v>0</v>
      </c>
      <c r="D26" s="104">
        <v>43144</v>
      </c>
      <c r="E26" s="76" t="s">
        <v>100</v>
      </c>
      <c r="F26" s="104">
        <v>43162</v>
      </c>
    </row>
    <row r="27" spans="1:9" ht="24" hidden="1" customHeight="1" outlineLevel="2">
      <c r="A27" s="79"/>
      <c r="B27" s="89" t="s">
        <v>182</v>
      </c>
      <c r="C27" s="109">
        <v>0</v>
      </c>
      <c r="D27" s="104">
        <v>43145</v>
      </c>
      <c r="E27" s="76" t="s">
        <v>101</v>
      </c>
      <c r="F27" s="104">
        <v>43163</v>
      </c>
    </row>
    <row r="28" spans="1:9" ht="22.5" hidden="1" customHeight="1" outlineLevel="2">
      <c r="A28" s="79"/>
      <c r="B28" s="89" t="s">
        <v>185</v>
      </c>
      <c r="C28" s="109">
        <v>0</v>
      </c>
      <c r="D28" s="104">
        <v>43146</v>
      </c>
      <c r="E28" s="76" t="s">
        <v>102</v>
      </c>
      <c r="F28" s="104">
        <v>43164</v>
      </c>
    </row>
    <row r="29" spans="1:9" ht="30" hidden="1" outlineLevel="2">
      <c r="A29" s="79"/>
      <c r="B29" s="89" t="s">
        <v>183</v>
      </c>
      <c r="C29" s="109">
        <v>0</v>
      </c>
      <c r="D29" s="104">
        <v>43147</v>
      </c>
      <c r="E29" s="76" t="s">
        <v>103</v>
      </c>
      <c r="F29" s="104">
        <v>43165</v>
      </c>
      <c r="G29" s="59" t="s">
        <v>106</v>
      </c>
    </row>
    <row r="30" spans="1:9" ht="35.25" hidden="1" customHeight="1" outlineLevel="2">
      <c r="A30" s="79"/>
      <c r="B30" s="89" t="s">
        <v>184</v>
      </c>
      <c r="C30" s="109">
        <v>0</v>
      </c>
      <c r="D30" s="104">
        <v>43148</v>
      </c>
      <c r="E30" s="76" t="s">
        <v>104</v>
      </c>
      <c r="F30" s="104">
        <v>43166</v>
      </c>
    </row>
    <row r="31" spans="1:9" outlineLevel="1" collapsed="1">
      <c r="A31" s="78"/>
    </row>
    <row r="32" spans="1:9" outlineLevel="1">
      <c r="A32" s="78"/>
      <c r="C32" s="109">
        <v>0.2</v>
      </c>
      <c r="D32" s="98">
        <v>43163</v>
      </c>
      <c r="E32" s="93" t="s">
        <v>114</v>
      </c>
      <c r="F32" s="104">
        <v>43195</v>
      </c>
    </row>
    <row r="33" spans="3:9" ht="180" outlineLevel="2">
      <c r="C33" s="109">
        <v>0.01</v>
      </c>
      <c r="D33" s="98">
        <v>43163</v>
      </c>
      <c r="E33" s="76" t="s">
        <v>195</v>
      </c>
      <c r="F33" s="104">
        <v>43177</v>
      </c>
      <c r="G33" s="59" t="s">
        <v>126</v>
      </c>
      <c r="I33" s="1" t="s">
        <v>110</v>
      </c>
    </row>
    <row r="34" spans="3:9" ht="45" outlineLevel="2">
      <c r="C34" s="109">
        <v>0</v>
      </c>
      <c r="D34" s="98">
        <v>43173</v>
      </c>
      <c r="E34" s="76" t="s">
        <v>109</v>
      </c>
      <c r="F34" s="104">
        <f>F33+7</f>
        <v>43184</v>
      </c>
      <c r="I34" s="1" t="s">
        <v>111</v>
      </c>
    </row>
    <row r="35" spans="3:9" ht="48" customHeight="1" outlineLevel="2">
      <c r="C35" s="109">
        <v>0</v>
      </c>
      <c r="D35" s="98">
        <v>43180</v>
      </c>
      <c r="E35" s="76" t="s">
        <v>115</v>
      </c>
      <c r="F35" s="104" t="s">
        <v>116</v>
      </c>
      <c r="G35" s="59" t="s">
        <v>117</v>
      </c>
    </row>
    <row r="36" spans="3:9" outlineLevel="1"/>
    <row r="37" spans="3:9" outlineLevel="1">
      <c r="C37" s="109">
        <v>0.2</v>
      </c>
      <c r="D37" s="98">
        <v>43195</v>
      </c>
      <c r="E37" s="93" t="s">
        <v>119</v>
      </c>
      <c r="F37" s="104">
        <v>43252</v>
      </c>
    </row>
    <row r="38" spans="3:9" ht="135" outlineLevel="2">
      <c r="C38" s="109">
        <v>0</v>
      </c>
      <c r="D38" s="98">
        <v>43195</v>
      </c>
      <c r="E38" s="76" t="s">
        <v>118</v>
      </c>
      <c r="F38" s="104">
        <v>43217</v>
      </c>
      <c r="G38" s="59" t="s">
        <v>123</v>
      </c>
      <c r="H38" s="1" t="s">
        <v>208</v>
      </c>
      <c r="I38" s="1" t="s">
        <v>214</v>
      </c>
    </row>
    <row r="39" spans="3:9" ht="107.25" customHeight="1" outlineLevel="2">
      <c r="C39" s="109">
        <v>0</v>
      </c>
      <c r="D39" s="98">
        <v>43217</v>
      </c>
      <c r="E39" s="76" t="s">
        <v>121</v>
      </c>
      <c r="F39" s="104">
        <v>43230</v>
      </c>
      <c r="G39" s="59" t="s">
        <v>122</v>
      </c>
      <c r="H39" s="1" t="s">
        <v>210</v>
      </c>
      <c r="I39" s="1" t="s">
        <v>127</v>
      </c>
    </row>
    <row r="40" spans="3:9" ht="105" outlineLevel="2">
      <c r="C40" s="109">
        <v>0</v>
      </c>
      <c r="D40" s="98">
        <v>43230</v>
      </c>
      <c r="E40" s="76" t="s">
        <v>120</v>
      </c>
      <c r="F40" s="104">
        <v>43240</v>
      </c>
      <c r="G40" s="59" t="s">
        <v>124</v>
      </c>
      <c r="H40" s="1" t="s">
        <v>210</v>
      </c>
      <c r="I40" s="1" t="s">
        <v>125</v>
      </c>
    </row>
    <row r="41" spans="3:9" ht="63" customHeight="1" outlineLevel="2">
      <c r="C41" s="109">
        <v>0</v>
      </c>
      <c r="D41" s="98">
        <v>43240</v>
      </c>
      <c r="E41" s="76" t="s">
        <v>163</v>
      </c>
      <c r="F41" s="104">
        <v>43243</v>
      </c>
      <c r="G41" s="59" t="s">
        <v>164</v>
      </c>
      <c r="H41" s="1" t="s">
        <v>210</v>
      </c>
    </row>
    <row r="42" spans="3:9" ht="102" customHeight="1" outlineLevel="2">
      <c r="C42" s="109">
        <v>0</v>
      </c>
      <c r="D42" s="98">
        <v>43240</v>
      </c>
      <c r="E42" s="76" t="s">
        <v>129</v>
      </c>
      <c r="F42" s="104">
        <v>43250</v>
      </c>
      <c r="G42" s="59" t="s">
        <v>130</v>
      </c>
      <c r="H42" s="1" t="s">
        <v>210</v>
      </c>
      <c r="I42" s="1" t="s">
        <v>210</v>
      </c>
    </row>
    <row r="43" spans="3:9" ht="102" customHeight="1" outlineLevel="2">
      <c r="D43" s="98">
        <v>43261</v>
      </c>
      <c r="E43" s="76" t="s">
        <v>206</v>
      </c>
      <c r="F43" s="104">
        <v>43271</v>
      </c>
      <c r="G43" s="59" t="s">
        <v>207</v>
      </c>
      <c r="H43" s="1" t="s">
        <v>209</v>
      </c>
      <c r="I43" s="1" t="s">
        <v>210</v>
      </c>
    </row>
    <row r="44" spans="3:9" ht="125.25" customHeight="1" outlineLevel="2">
      <c r="C44" s="109">
        <v>0</v>
      </c>
      <c r="D44" s="98">
        <v>43250</v>
      </c>
      <c r="E44" s="76" t="s">
        <v>131</v>
      </c>
      <c r="F44" s="104">
        <v>43261</v>
      </c>
      <c r="G44" s="59" t="s">
        <v>200</v>
      </c>
      <c r="H44" s="1" t="s">
        <v>210</v>
      </c>
    </row>
    <row r="45" spans="3:9" ht="17.100000000000001" customHeight="1" outlineLevel="1"/>
    <row r="46" spans="3:9" outlineLevel="1">
      <c r="C46" s="109">
        <v>1E-3</v>
      </c>
      <c r="E46" s="93" t="s">
        <v>132</v>
      </c>
    </row>
    <row r="47" spans="3:9" ht="45.75" customHeight="1" outlineLevel="2">
      <c r="C47" s="109">
        <v>0</v>
      </c>
      <c r="E47" s="76" t="s">
        <v>133</v>
      </c>
      <c r="G47" s="59" t="s">
        <v>134</v>
      </c>
    </row>
    <row r="48" spans="3:9" ht="45" outlineLevel="2">
      <c r="C48" s="109">
        <v>0</v>
      </c>
      <c r="E48" s="76" t="s">
        <v>135</v>
      </c>
      <c r="G48" s="103" t="s">
        <v>136</v>
      </c>
    </row>
    <row r="49" spans="3:7" ht="58.5" customHeight="1" outlineLevel="2">
      <c r="C49" s="109">
        <v>0</v>
      </c>
      <c r="E49" s="76" t="s">
        <v>137</v>
      </c>
      <c r="G49" s="59" t="s">
        <v>138</v>
      </c>
    </row>
    <row r="50" spans="3:7" ht="99.75" customHeight="1" outlineLevel="2">
      <c r="C50" s="109">
        <v>0</v>
      </c>
      <c r="E50" s="76" t="s">
        <v>158</v>
      </c>
      <c r="G50" s="59" t="s">
        <v>159</v>
      </c>
    </row>
    <row r="51" spans="3:7" ht="195.75" customHeight="1" outlineLevel="2">
      <c r="C51" s="109">
        <v>0</v>
      </c>
      <c r="E51" s="76" t="s">
        <v>139</v>
      </c>
      <c r="G51" s="59" t="s">
        <v>140</v>
      </c>
    </row>
    <row r="52" spans="3:7" outlineLevel="1"/>
    <row r="53" spans="3:7" outlineLevel="1">
      <c r="C53" s="109">
        <v>1E-3</v>
      </c>
      <c r="E53" s="93" t="s">
        <v>141</v>
      </c>
    </row>
    <row r="54" spans="3:7" ht="30" outlineLevel="2">
      <c r="C54" s="109">
        <v>0</v>
      </c>
      <c r="E54" s="76" t="s">
        <v>142</v>
      </c>
      <c r="G54" s="59" t="s">
        <v>143</v>
      </c>
    </row>
    <row r="55" spans="3:7" ht="96.75" customHeight="1" outlineLevel="2">
      <c r="C55" s="109">
        <v>0</v>
      </c>
      <c r="E55" s="76" t="s">
        <v>144</v>
      </c>
      <c r="G55" s="59" t="s">
        <v>128</v>
      </c>
    </row>
    <row r="56" spans="3:7" ht="57" customHeight="1" outlineLevel="2">
      <c r="C56" s="109">
        <v>0</v>
      </c>
      <c r="E56" s="76" t="s">
        <v>145</v>
      </c>
      <c r="G56" s="59" t="s">
        <v>146</v>
      </c>
    </row>
    <row r="57" spans="3:7" outlineLevel="1"/>
    <row r="58" spans="3:7" ht="20.25" customHeight="1" outlineLevel="1">
      <c r="C58" s="109">
        <v>1E-3</v>
      </c>
      <c r="E58" s="93" t="s">
        <v>148</v>
      </c>
    </row>
    <row r="59" spans="3:7" ht="36.75" customHeight="1" outlineLevel="2">
      <c r="C59" s="109">
        <v>0</v>
      </c>
      <c r="E59" s="76" t="s">
        <v>160</v>
      </c>
      <c r="G59" s="59" t="s">
        <v>162</v>
      </c>
    </row>
    <row r="60" spans="3:7" ht="34.5" customHeight="1" outlineLevel="2">
      <c r="C60" s="109">
        <v>0</v>
      </c>
      <c r="E60" s="76" t="s">
        <v>149</v>
      </c>
      <c r="G60" s="59" t="s">
        <v>161</v>
      </c>
    </row>
    <row r="61" spans="3:7" ht="75" outlineLevel="2">
      <c r="C61" s="109">
        <v>0</v>
      </c>
      <c r="E61" s="76" t="s">
        <v>150</v>
      </c>
      <c r="G61" s="59" t="s">
        <v>151</v>
      </c>
    </row>
    <row r="62" spans="3:7" ht="30" outlineLevel="2">
      <c r="C62" s="109">
        <v>0</v>
      </c>
      <c r="E62" s="76" t="s">
        <v>152</v>
      </c>
      <c r="G62" s="59" t="s">
        <v>155</v>
      </c>
    </row>
    <row r="63" spans="3:7" ht="45.75" customHeight="1" outlineLevel="2">
      <c r="C63" s="109">
        <v>0</v>
      </c>
      <c r="E63" s="76" t="s">
        <v>153</v>
      </c>
      <c r="G63" s="59" t="s">
        <v>156</v>
      </c>
    </row>
    <row r="64" spans="3:7" ht="32.25" customHeight="1" outlineLevel="2">
      <c r="C64" s="109">
        <v>0</v>
      </c>
      <c r="E64" s="76" t="s">
        <v>154</v>
      </c>
      <c r="G64" s="59" t="s">
        <v>157</v>
      </c>
    </row>
    <row r="65" spans="1:8" ht="18" customHeight="1" outlineLevel="1"/>
    <row r="66" spans="1:8" outlineLevel="1">
      <c r="C66" s="109">
        <v>1E-3</v>
      </c>
      <c r="E66" s="93" t="s">
        <v>165</v>
      </c>
    </row>
    <row r="67" spans="1:8" ht="45" outlineLevel="2">
      <c r="E67" s="76" t="s">
        <v>166</v>
      </c>
      <c r="G67" s="59" t="s">
        <v>167</v>
      </c>
    </row>
    <row r="68" spans="1:8" ht="47.25" customHeight="1" outlineLevel="2">
      <c r="E68" s="76" t="s">
        <v>168</v>
      </c>
      <c r="G68" s="59" t="s">
        <v>169</v>
      </c>
    </row>
    <row r="69" spans="1:8" ht="39" customHeight="1" outlineLevel="2">
      <c r="E69" s="76" t="s">
        <v>170</v>
      </c>
      <c r="G69" s="59" t="s">
        <v>171</v>
      </c>
    </row>
    <row r="70" spans="1:8" ht="27" customHeight="1" outlineLevel="2">
      <c r="E70" s="76" t="s">
        <v>172</v>
      </c>
      <c r="G70" s="59" t="s">
        <v>173</v>
      </c>
    </row>
    <row r="71" spans="1:8" ht="51" customHeight="1" outlineLevel="2">
      <c r="E71" s="76" t="s">
        <v>174</v>
      </c>
    </row>
    <row r="72" spans="1:8" outlineLevel="1"/>
    <row r="73" spans="1:8" outlineLevel="1">
      <c r="A73" s="79"/>
      <c r="B73" s="89"/>
      <c r="C73" s="109">
        <v>0.5</v>
      </c>
      <c r="D73" s="98" t="s">
        <v>113</v>
      </c>
      <c r="E73" s="93" t="s">
        <v>91</v>
      </c>
    </row>
    <row r="74" spans="1:8" ht="24" customHeight="1" outlineLevel="1">
      <c r="E74" s="106" t="s">
        <v>175</v>
      </c>
    </row>
    <row r="75" spans="1:8" hidden="1" outlineLevel="2">
      <c r="H75" s="105"/>
    </row>
    <row r="76" spans="1:8" ht="15.75" hidden="1" outlineLevel="2">
      <c r="E76" s="106" t="s">
        <v>176</v>
      </c>
    </row>
    <row r="77" spans="1:8" hidden="1" outlineLevel="2"/>
    <row r="78" spans="1:8" ht="15.75" hidden="1" outlineLevel="2">
      <c r="E78" s="106" t="s">
        <v>177</v>
      </c>
    </row>
    <row r="79" spans="1:8" hidden="1" outlineLevel="2"/>
    <row r="80" spans="1:8" ht="15.75" hidden="1" outlineLevel="2">
      <c r="E80" s="106" t="s">
        <v>178</v>
      </c>
    </row>
    <row r="81" spans="5:7" ht="210" outlineLevel="1" collapsed="1">
      <c r="E81" s="95" t="s">
        <v>179</v>
      </c>
      <c r="G81" s="104" t="s">
        <v>201</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7" priority="5">
      <formula>NOT(ISODD(ROW())) * (INDIRECT("D" &amp; ROW()) &lt;= TODAY()) * (INDIRECT("F" &amp; ROW()) &gt;= TODAY()) * NOT(ISBLANK("D"&amp;ROW()))</formula>
    </cfRule>
    <cfRule type="expression" dxfId="16"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5"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4" priority="16">
      <formula xml:space="preserve"> (INDIRECT("D" &amp; ROW()) &lt;= TODAY()) * (INDIRECT("F" &amp; ROW()) &gt;= TODAY()) * NOT(ISBLANK("D"&amp;ROW()))</formula>
    </cfRule>
  </conditionalFormatting>
  <conditionalFormatting sqref="F26">
    <cfRule type="expression" dxfId="13" priority="13">
      <formula xml:space="preserve"> (INDIRECT("D" &amp; ROW()) &lt;= TODAY()) * (INDIRECT("F" &amp; ROW()) &gt;= TODAY()) * NOT(ISBLANK("D"&amp;ROW()))</formula>
    </cfRule>
  </conditionalFormatting>
  <conditionalFormatting sqref="B1:E1 G1:XFD1 B82:XFD1048576 B81:E81 G81:XFD81 B2:XFD80">
    <cfRule type="expression" dxfId="12" priority="3">
      <formula>NOT(ISODD(ROW())) * INDIRECT("C"&amp;ROW()) &gt;= 0.9</formula>
    </cfRule>
    <cfRule type="expression" dxfId="11" priority="4">
      <formula xml:space="preserve"> ISODD(ROW()) * INDIRECT("C"&amp;ROW()) &gt;= 0.9</formula>
    </cfRule>
    <cfRule type="expression" dxfId="10" priority="7">
      <formula xml:space="preserve"> ISODD(ROW()) * (INDIRECT("C"&amp;ROW()) &lt; 0.9) * INDIRECT("C"&amp;ROW()) &gt; 0</formula>
    </cfRule>
    <cfRule type="expression" dxfId="9"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8" priority="1">
      <formula>NOT(ISODD(ROW())) * (INDIRECT("D" &amp; ROW()) &lt;= TODAY()) * (INDIRECT("F" &amp; ROW()) &gt;= TODAY()) * NOT(ISBLANK("D"&amp;ROW()))</formula>
    </cfRule>
    <cfRule type="expression" dxfId="7"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A4" zoomScale="70" zoomScaleNormal="70" workbookViewId="0">
      <selection activeCell="F7" sqref="F7"/>
    </sheetView>
  </sheetViews>
  <sheetFormatPr defaultRowHeight="15"/>
  <cols>
    <col min="1" max="1" width="20.7109375" style="65" customWidth="1"/>
    <col min="2" max="3" width="20.7109375" style="182" customWidth="1"/>
    <col min="4" max="4" width="18.140625" style="1" customWidth="1"/>
    <col min="5" max="5" width="23.28515625" style="1" customWidth="1"/>
    <col min="6" max="6" width="84.42578125" style="1" customWidth="1"/>
    <col min="7" max="7" width="35.5703125" style="1" customWidth="1"/>
    <col min="8" max="8" width="17" style="181" customWidth="1"/>
    <col min="9" max="9" width="32.28515625" style="181" customWidth="1"/>
    <col min="10" max="11" width="35.5703125" style="1" customWidth="1"/>
    <col min="12" max="12" width="30.7109375" style="1" customWidth="1"/>
    <col min="13" max="13" width="22" style="1" customWidth="1"/>
    <col min="14" max="16384" width="9.140625" style="1"/>
  </cols>
  <sheetData>
    <row r="1" spans="1:46" s="68" customFormat="1" ht="26.25" customHeight="1">
      <c r="A1" s="69">
        <f ca="1">TODAY()</f>
        <v>43160</v>
      </c>
      <c r="B1" s="69"/>
      <c r="C1" s="69"/>
    </row>
    <row r="2" spans="1:46" s="148" customFormat="1" ht="26.25" customHeight="1">
      <c r="A2" s="147">
        <f ca="1">NOW()</f>
        <v>43160.852736574074</v>
      </c>
      <c r="B2" s="147"/>
      <c r="C2" s="147"/>
      <c r="F2" s="149" t="s">
        <v>664</v>
      </c>
      <c r="G2" s="149"/>
      <c r="J2" s="149"/>
      <c r="K2" s="149"/>
      <c r="L2" s="149"/>
      <c r="M2" s="149"/>
      <c r="N2" s="149"/>
    </row>
    <row r="3" spans="1:46" s="186" customFormat="1">
      <c r="A3" s="195"/>
      <c r="B3" s="253" t="s">
        <v>669</v>
      </c>
      <c r="H3" s="191"/>
      <c r="I3" s="191"/>
    </row>
    <row r="4" spans="1:46" s="185" customFormat="1">
      <c r="A4" s="183"/>
      <c r="B4" s="184" t="s">
        <v>43</v>
      </c>
      <c r="C4" s="184" t="s">
        <v>748</v>
      </c>
      <c r="D4" s="185" t="s">
        <v>23</v>
      </c>
      <c r="E4" s="185" t="s">
        <v>689</v>
      </c>
      <c r="F4" s="185" t="s">
        <v>699</v>
      </c>
      <c r="G4" s="185" t="s">
        <v>667</v>
      </c>
      <c r="H4" s="185" t="s">
        <v>666</v>
      </c>
      <c r="I4" s="185" t="s">
        <v>671</v>
      </c>
      <c r="J4" s="185" t="s">
        <v>668</v>
      </c>
      <c r="K4" s="185" t="s">
        <v>698</v>
      </c>
    </row>
    <row r="5" spans="1:46" ht="193.5" customHeight="1">
      <c r="B5" s="182">
        <v>16</v>
      </c>
      <c r="C5" s="182">
        <v>11</v>
      </c>
      <c r="D5" s="2" t="s">
        <v>59</v>
      </c>
      <c r="E5" s="1" t="s">
        <v>736</v>
      </c>
      <c r="F5" s="254" t="s">
        <v>767</v>
      </c>
      <c r="G5" s="209" t="s">
        <v>673</v>
      </c>
      <c r="H5" s="187">
        <v>0.5</v>
      </c>
      <c r="I5" s="51">
        <v>43161</v>
      </c>
      <c r="J5" s="1" t="s">
        <v>680</v>
      </c>
      <c r="K5" s="190">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0.75" customHeight="1">
      <c r="B6" s="182">
        <v>16</v>
      </c>
      <c r="C6" s="182">
        <v>0</v>
      </c>
      <c r="D6" s="2" t="s">
        <v>60</v>
      </c>
      <c r="E6" s="1" t="s">
        <v>706</v>
      </c>
      <c r="F6" s="254" t="s">
        <v>735</v>
      </c>
      <c r="G6" s="2"/>
      <c r="H6" s="187">
        <v>1</v>
      </c>
      <c r="I6" s="51">
        <v>43160</v>
      </c>
      <c r="K6" s="189">
        <v>43171</v>
      </c>
    </row>
    <row r="7" spans="1:46" ht="257.25" customHeight="1">
      <c r="B7" s="182">
        <v>14</v>
      </c>
      <c r="C7" s="182">
        <v>18</v>
      </c>
      <c r="D7" s="2" t="s">
        <v>665</v>
      </c>
      <c r="E7" s="1" t="s">
        <v>740</v>
      </c>
      <c r="F7" s="255" t="s">
        <v>759</v>
      </c>
      <c r="G7" s="209" t="s">
        <v>672</v>
      </c>
      <c r="H7" s="187">
        <v>0.3</v>
      </c>
      <c r="I7" s="51">
        <v>43164</v>
      </c>
      <c r="J7" s="1" t="s">
        <v>674</v>
      </c>
      <c r="K7" s="189">
        <v>43164</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15.25" customHeight="1">
      <c r="B8" s="182">
        <v>13</v>
      </c>
      <c r="C8" s="182">
        <v>14</v>
      </c>
      <c r="D8" s="2" t="s">
        <v>278</v>
      </c>
      <c r="E8" s="1">
        <v>2</v>
      </c>
      <c r="F8" s="254" t="s">
        <v>751</v>
      </c>
      <c r="G8" s="209" t="s">
        <v>678</v>
      </c>
      <c r="H8" s="187">
        <v>1</v>
      </c>
      <c r="I8" s="51">
        <v>43160</v>
      </c>
      <c r="J8" s="1" t="s">
        <v>676</v>
      </c>
      <c r="K8" s="190">
        <v>43178</v>
      </c>
    </row>
    <row r="9" spans="1:46" ht="144" customHeight="1">
      <c r="B9" s="182">
        <v>13</v>
      </c>
      <c r="C9" s="182">
        <v>12</v>
      </c>
      <c r="D9" s="2" t="s">
        <v>279</v>
      </c>
      <c r="E9" s="1" t="s">
        <v>709</v>
      </c>
      <c r="F9" s="255" t="s">
        <v>768</v>
      </c>
      <c r="G9" s="2"/>
      <c r="H9" s="187">
        <v>0.5</v>
      </c>
      <c r="I9" s="51">
        <v>43165</v>
      </c>
      <c r="J9" s="1" t="s">
        <v>769</v>
      </c>
      <c r="K9" s="190">
        <v>43178</v>
      </c>
    </row>
    <row r="10" spans="1:46" ht="106.5" customHeight="1">
      <c r="B10" s="182">
        <v>9</v>
      </c>
      <c r="C10" s="182">
        <v>11</v>
      </c>
      <c r="D10" s="201" t="s">
        <v>216</v>
      </c>
      <c r="E10" s="1" t="s">
        <v>710</v>
      </c>
      <c r="F10" s="254" t="s">
        <v>752</v>
      </c>
      <c r="G10" s="203"/>
      <c r="H10" s="187">
        <v>0.2</v>
      </c>
      <c r="I10" s="51">
        <v>43189</v>
      </c>
      <c r="J10" s="1" t="s">
        <v>675</v>
      </c>
      <c r="K10" s="190">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82">
        <v>0</v>
      </c>
      <c r="C11" s="182">
        <v>0</v>
      </c>
      <c r="D11" s="201" t="s">
        <v>670</v>
      </c>
      <c r="F11" s="188"/>
      <c r="G11" s="203"/>
      <c r="H11" s="187">
        <v>0</v>
      </c>
      <c r="I11" s="51">
        <f ca="1">TODAY()+300</f>
        <v>43460</v>
      </c>
      <c r="K11" s="190" t="s">
        <v>677</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201" t="s">
        <v>703</v>
      </c>
      <c r="E12" s="2"/>
      <c r="F12" s="204"/>
      <c r="G12" s="203"/>
      <c r="H12" s="205">
        <v>0</v>
      </c>
      <c r="I12" s="206"/>
      <c r="J12" s="39"/>
      <c r="K12" s="207" t="s">
        <v>677</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7" r:id="rId1" location="collapse2"/>
    <hyperlink ref="G5" r:id="rId2"/>
    <hyperlink ref="G8"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6"/>
  <sheetViews>
    <sheetView workbookViewId="0">
      <selection activeCell="D6" sqref="D6"/>
    </sheetView>
  </sheetViews>
  <sheetFormatPr defaultRowHeight="15"/>
  <cols>
    <col min="1" max="1" width="21.140625" style="65" customWidth="1"/>
    <col min="2" max="2" width="20.7109375" style="182"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81" customWidth="1"/>
    <col min="9" max="9" width="34.28515625" style="181" customWidth="1"/>
    <col min="10" max="10" width="30.7109375" style="1" customWidth="1"/>
    <col min="11" max="11" width="22" style="1" customWidth="1"/>
    <col min="12" max="16384" width="9.140625" style="1"/>
  </cols>
  <sheetData>
    <row r="1" spans="1:45" s="68" customFormat="1" ht="33.75" customHeight="1">
      <c r="A1" s="69">
        <f ca="1">TODAY()</f>
        <v>43160</v>
      </c>
      <c r="B1" s="69"/>
    </row>
    <row r="2" spans="1:45" s="148" customFormat="1" ht="33.75" customHeight="1">
      <c r="A2" s="147">
        <f ca="1">NOW()</f>
        <v>43160.852736574074</v>
      </c>
      <c r="B2" s="147"/>
      <c r="E2" s="149" t="s">
        <v>664</v>
      </c>
      <c r="F2" s="149"/>
      <c r="G2" s="149"/>
      <c r="J2" s="149"/>
      <c r="K2" s="149"/>
      <c r="L2" s="149"/>
    </row>
    <row r="3" spans="1:45" s="186" customFormat="1">
      <c r="A3" s="195"/>
      <c r="B3" s="186" t="s">
        <v>669</v>
      </c>
      <c r="H3" s="191"/>
      <c r="I3" s="191"/>
    </row>
    <row r="4" spans="1:45" s="185" customFormat="1">
      <c r="A4" s="183"/>
      <c r="B4" s="184" t="s">
        <v>43</v>
      </c>
      <c r="C4" s="185" t="s">
        <v>725</v>
      </c>
      <c r="D4" s="185" t="s">
        <v>9</v>
      </c>
      <c r="E4" s="185" t="s">
        <v>727</v>
      </c>
      <c r="F4" s="185" t="s">
        <v>749</v>
      </c>
      <c r="G4" s="185" t="s">
        <v>24</v>
      </c>
      <c r="H4" s="185" t="s">
        <v>726</v>
      </c>
      <c r="I4" s="185" t="s">
        <v>671</v>
      </c>
      <c r="J4" s="220"/>
      <c r="K4" s="220"/>
      <c r="L4" s="220"/>
      <c r="M4" s="220"/>
      <c r="N4" s="220"/>
      <c r="O4" s="220"/>
      <c r="P4" s="220"/>
      <c r="Q4" s="220"/>
      <c r="R4" s="220"/>
      <c r="S4" s="220"/>
      <c r="T4" s="220"/>
      <c r="U4" s="220"/>
      <c r="V4" s="220"/>
      <c r="W4" s="220"/>
      <c r="X4" s="220"/>
      <c r="Y4" s="220"/>
      <c r="Z4" s="220"/>
      <c r="AA4" s="220"/>
      <c r="AB4" s="220"/>
      <c r="AC4" s="220"/>
      <c r="AD4" s="220"/>
      <c r="AE4" s="220"/>
      <c r="AF4" s="220"/>
      <c r="AG4" s="220"/>
      <c r="AH4" s="220"/>
      <c r="AI4" s="220"/>
      <c r="AJ4" s="220"/>
      <c r="AK4" s="220"/>
      <c r="AL4" s="220"/>
      <c r="AM4" s="220"/>
      <c r="AN4" s="220"/>
      <c r="AO4" s="220"/>
      <c r="AP4" s="220"/>
      <c r="AQ4" s="220"/>
      <c r="AR4" s="220"/>
      <c r="AS4" s="220"/>
    </row>
    <row r="5" spans="1:45" ht="128.25" customHeight="1">
      <c r="B5" s="182">
        <v>9</v>
      </c>
      <c r="C5" s="2" t="s">
        <v>242</v>
      </c>
      <c r="D5" s="1" t="s">
        <v>728</v>
      </c>
      <c r="E5" s="202" t="s">
        <v>747</v>
      </c>
      <c r="F5" s="209" t="s">
        <v>729</v>
      </c>
      <c r="G5" s="187">
        <v>0.5</v>
      </c>
      <c r="H5" s="64">
        <v>15</v>
      </c>
      <c r="I5" s="51">
        <v>43161</v>
      </c>
      <c r="J5" s="22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82">
        <v>4.5</v>
      </c>
      <c r="C6" s="201" t="s">
        <v>753</v>
      </c>
      <c r="D6" s="1" t="s">
        <v>755</v>
      </c>
      <c r="E6" s="202" t="s">
        <v>754</v>
      </c>
      <c r="F6" s="243"/>
      <c r="G6" s="187">
        <v>0.05</v>
      </c>
      <c r="H6" s="64"/>
      <c r="I6" s="51"/>
      <c r="J6" s="22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c r="B7" s="182">
        <v>6</v>
      </c>
      <c r="C7" s="2" t="s">
        <v>7</v>
      </c>
      <c r="D7" s="1" t="s">
        <v>708</v>
      </c>
      <c r="E7" s="202" t="s">
        <v>700</v>
      </c>
      <c r="F7" s="2"/>
      <c r="G7" s="187">
        <v>0.6</v>
      </c>
      <c r="H7" s="64">
        <v>12</v>
      </c>
      <c r="I7" s="224">
        <v>43161</v>
      </c>
      <c r="J7" s="222"/>
      <c r="K7" s="182"/>
      <c r="L7" s="182"/>
      <c r="M7" s="182"/>
      <c r="N7" s="182"/>
      <c r="O7" s="182"/>
      <c r="P7" s="182"/>
      <c r="Q7" s="182"/>
      <c r="R7" s="182"/>
      <c r="S7" s="182"/>
      <c r="T7" s="182"/>
      <c r="U7" s="182"/>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row>
    <row r="8" spans="1:45" ht="106.5" customHeight="1">
      <c r="B8" s="182">
        <v>5</v>
      </c>
      <c r="C8" s="201" t="s">
        <v>701</v>
      </c>
      <c r="D8" s="1" t="s">
        <v>707</v>
      </c>
      <c r="E8" s="202" t="s">
        <v>702</v>
      </c>
      <c r="F8" s="203" t="s">
        <v>750</v>
      </c>
      <c r="G8" s="187">
        <v>0.6</v>
      </c>
      <c r="H8" s="64">
        <v>5</v>
      </c>
      <c r="I8" s="224">
        <v>43167</v>
      </c>
      <c r="J8" s="221"/>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20.100000000000001" customHeight="1">
      <c r="C9" s="2"/>
      <c r="E9" s="188"/>
      <c r="F9" s="209"/>
      <c r="G9" s="209"/>
      <c r="H9" s="64"/>
      <c r="I9" s="51"/>
    </row>
    <row r="10" spans="1:45" ht="20.100000000000001" customHeight="1">
      <c r="C10" s="2"/>
      <c r="E10" s="202"/>
      <c r="F10" s="2"/>
      <c r="G10" s="2"/>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100000000000001" customHeight="1">
      <c r="C11" s="2"/>
      <c r="E11" s="208"/>
      <c r="F11" s="209"/>
      <c r="G11" s="209"/>
      <c r="H11" s="64"/>
      <c r="I11" s="51"/>
    </row>
    <row r="12" spans="1:45" ht="20.100000000000001" customHeight="1">
      <c r="C12" s="2"/>
      <c r="E12" s="202"/>
      <c r="F12" s="2"/>
      <c r="G12" s="2"/>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c r="C13" s="201"/>
      <c r="E13" s="202"/>
      <c r="F13" s="203"/>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201"/>
      <c r="E14" s="188"/>
      <c r="F14" s="203"/>
      <c r="G14" s="2"/>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201"/>
      <c r="E15" s="188"/>
      <c r="F15" s="203"/>
      <c r="G15" s="2"/>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B16" s="39"/>
      <c r="C16" s="201"/>
      <c r="D16" s="2"/>
      <c r="E16" s="204"/>
      <c r="F16" s="203"/>
      <c r="G16" s="2"/>
      <c r="H16" s="223"/>
      <c r="I16" s="206"/>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8">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Life Planner</vt:lpstr>
      <vt:lpstr>Day Planner</vt:lpstr>
      <vt:lpstr>Journal</vt:lpstr>
      <vt:lpstr>Project Scheduler</vt:lpstr>
      <vt:lpstr>Current Tasks</vt:lpstr>
      <vt:lpstr>Coding Tasks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2018-03-01T10:28:24Z</dcterms:modified>
</cp:coreProperties>
</file>