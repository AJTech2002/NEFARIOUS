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5145" windowWidth="38400" windowHeight="21045" tabRatio="540"/>
  </bookViews>
  <sheets>
    <sheet name="Life Planner" sheetId="6" r:id="rId1"/>
    <sheet name="Workout Planner" sheetId="12" r:id="rId2"/>
    <sheet name="Journal" sheetId="3" r:id="rId3"/>
    <sheet name="Coding Tasks" sheetId="10" r:id="rId4"/>
    <sheet name="Current Tasks" sheetId="9" r:id="rId5"/>
    <sheet name="Project Scheduler" sheetId="8" r:id="rId6"/>
    <sheet name="GAANT" sheetId="1" r:id="rId7"/>
    <sheet name="Life Map" sheetId="11" r:id="rId8"/>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7" i="12" l="1"/>
  <c r="B20" i="12"/>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1" i="12"/>
  <c r="A3"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<sst xmlns="http://schemas.openxmlformats.org/spreadsheetml/2006/main" count="929" uniqueCount="780">
  <si>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</si>
  <si>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</si>
  <si>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</si>
  <si>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</si>
  <si>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</si>
  <si>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</si>
  <si>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</si>
  <si>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</si>
  <si>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</si>
  <si>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</si>
  <si>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</si>
  <si>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</si>
  <si>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</si>
  <si>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</si>
  <si>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</si>
  <si>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</si>
  <si>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</si>
  <si>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</si>
  <si>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</si>
  <si>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</si>
  <si>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</si>
  <si>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</si>
  <si>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</si>
  <si>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</si>
  <si>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</si>
  <si>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</si>
  <si>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</si>
  <si>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</si>
  <si>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</si>
  <si>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</si>
  <si>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</si>
  <si>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</si>
  <si>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</si>
  <si>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</si>
  <si>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</si>
  <si>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</si>
  <si>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</si>
  <si>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</si>
  <si>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</si>
  <si>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</si>
  <si>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</si>
  <si>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</si>
  <si>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</si>
  <si>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</si>
  <si>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</si>
  <si>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</si>
  <si>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</si>
  <si>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</si>
  <si>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</si>
  <si>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</si>
  <si>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</si>
  <si>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</si>
  <si>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</si>
  <si>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</si>
  <si>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</si>
  <si>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</si>
  <si>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</si>
  <si>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</si>
  <si>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</si>
  <si>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</si>
  <si>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</si>
  <si>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</si>
  <si>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</si>
  <si>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</si>
  <si>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</si>
  <si>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</si>
  <si>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</si>
  <si>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</si>
  <si>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</si>
  <si>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</si>
  <si>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</si>
  <si>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</si>
  <si>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</si>
  <si>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</si>
  <si>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</si>
  <si>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</si>
  <si>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</si>
  <si>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</si>
  <si>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</si>
  <si>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</si>
  <si>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</si>
  <si>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</si>
  <si>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</si>
  <si>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</si>
  <si>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</si>
  <si>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</si>
  <si>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</si>
  <si>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</si>
  <si>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</si>
  <si>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</si>
  <si>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</si>
  <si>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</si>
  <si>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</si>
  <si>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</si>
  <si>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</si>
  <si>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</si>
  <si>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</si>
  <si>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</si>
  <si>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</si>
  <si>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</si>
  <si>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</si>
  <si>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</si>
  <si>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</si>
  <si>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</si>
  <si>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</si>
  <si>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</si>
  <si>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</si>
  <si>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</si>
  <si>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</si>
  <si>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</si>
  <si>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</si>
  <si>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</si>
  <si>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</si>
  <si>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</si>
  <si>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</si>
  <si>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</si>
  <si>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</si>
  <si>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</si>
  <si>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</si>
  <si>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</si>
  <si>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</si>
  <si>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</si>
  <si>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</si>
  <si>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</si>
  <si>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</si>
  <si>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</si>
  <si>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</si>
  <si>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</si>
  <si>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</si>
  <si>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</si>
  <si>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</si>
  <si>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</si>
  <si>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</si>
  <si>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</si>
  <si>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</si>
  <si>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</si>
  <si>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</si>
  <si>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</si>
  <si>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</si>
  <si>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</si>
  <si>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</si>
  <si>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</si>
  <si>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</si>
  <si>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</si>
  <si>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</si>
  <si>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</si>
  <si>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</si>
  <si>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</si>
  <si>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</si>
  <si>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</si>
  <si>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</si>
  <si>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</si>
  <si>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</si>
  <si>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</si>
  <si>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</si>
  <si>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</si>
  <si>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</si>
  <si>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</si>
  <si>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</si>
  <si>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</si>
  <si>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</si>
  <si>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</si>
  <si>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</si>
  <si>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</si>
  <si>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</si>
  <si>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</si>
  <si>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</si>
  <si>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</si>
  <si>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</si>
  <si>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</si>
  <si>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</si>
  <si>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</si>
  <si>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</si>
  <si>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</si>
  <si>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</si>
  <si>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</si>
  <si>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</si>
  <si>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</si>
  <si>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</si>
  <si>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</si>
  <si>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</si>
  <si>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</si>
  <si>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</si>
  <si>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</si>
  <si>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</si>
  <si>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</si>
  <si>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</si>
  <si>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</si>
  <si>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</si>
  <si>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</si>
  <si>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</si>
  <si>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</si>
  <si>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</si>
  <si>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</si>
  <si>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</si>
  <si>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</si>
  <si>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</si>
  <si>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</si>
  <si>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</si>
  <si>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</si>
  <si>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</si>
  <si>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</si>
  <si>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</si>
  <si>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</si>
  <si>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</si>
  <si>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</si>
  <si>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</si>
  <si>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</si>
  <si>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</si>
  <si>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</si>
  <si>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</si>
  <si>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</si>
  <si>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</si>
  <si>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</si>
  <si>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</si>
  <si>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</si>
  <si>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</si>
  <si>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</si>
  <si>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</si>
  <si>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</si>
  <si>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</si>
  <si>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</si>
  <si>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</si>
  <si>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</si>
  <si>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</si>
  <si>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</si>
  <si>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</si>
  <si>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</si>
  <si>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</si>
  <si>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</si>
  <si>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</si>
  <si>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</si>
  <si>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</si>
  <si>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</si>
  <si>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</si>
  <si>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</si>
  <si>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</si>
  <si>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</si>
  <si>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</si>
  <si>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</si>
  <si>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</si>
  <si>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</si>
  <si>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</si>
  <si>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</si>
  <si>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</si>
  <si>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</si>
  <si>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</si>
  <si>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</si>
  <si>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</si>
  <si>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</si>
  <si>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</si>
  <si>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</si>
  <si>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</si>
  <si>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</si>
  <si>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</si>
  <si>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</si>
  <si>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</si>
  <si>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</si>
  <si>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</si>
  <si>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</si>
  <si>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</si>
  <si>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</si>
  <si>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</si>
  <si>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</si>
  <si>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</si>
  <si>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</si>
  <si>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</si>
  <si>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</si>
  <si>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</si>
  <si>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</si>
  <si>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</si>
  <si>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</si>
  <si>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</si>
  <si>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</si>
  <si>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</si>
  <si>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</si>
  <si>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</si>
  <si>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</si>
  <si>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</si>
  <si>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</si>
  <si>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</si>
  <si>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</si>
  <si>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</si>
  <si>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</si>
  <si>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</si>
  <si>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</si>
  <si>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</si>
  <si>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</si>
  <si>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</si>
  <si>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</si>
  <si>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</si>
  <si>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</si>
  <si>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</si>
  <si>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</si>
  <si>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</si>
  <si>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</si>
  <si>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</si>
  <si>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</si>
  <si>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</si>
  <si>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</si>
  <si>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</si>
  <si>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</si>
  <si>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</si>
  <si>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</si>
  <si>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</si>
  <si>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</si>
  <si>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</si>
  <si>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</si>
  <si>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</si>
  <si>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</si>
  <si>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</si>
  <si>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</si>
  <si>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</si>
  <si>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</si>
  <si>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</si>
  <si>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</si>
  <si>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</si>
  <si>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</si>
  <si>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</si>
  <si>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</si>
  <si>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</si>
  <si>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</si>
  <si>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</si>
  <si>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</si>
  <si>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</si>
  <si>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</si>
  <si>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</si>
  <si>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</si>
  <si>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</si>
  <si>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</si>
  <si>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</si>
  <si>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</si>
  <si>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</si>
  <si>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</si>
  <si>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</si>
  <si>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</si>
  <si>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</si>
  <si>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</si>
  <si>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</si>
  <si>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</si>
  <si>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</si>
  <si>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</si>
  <si>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</si>
  <si>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</si>
  <si>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</si>
  <si>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</si>
  <si>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</si>
  <si>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</si>
  <si>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</si>
  <si>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</si>
  <si>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</si>
  <si>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</si>
  <si>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</si>
  <si>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</si>
  <si>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</si>
  <si>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</si>
  <si>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</si>
  <si>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</si>
  <si>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</si>
  <si>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</si>
  <si>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</si>
  <si>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</si>
  <si>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</si>
  <si>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</si>
  <si>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</si>
  <si>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</si>
  <si>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</si>
  <si>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</si>
  <si>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</si>
  <si>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</si>
  <si>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</si>
  <si>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</si>
  <si>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</si>
  <si>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</si>
  <si>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</si>
  <si>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</si>
  <si>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</si>
  <si>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</si>
  <si>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</si>
  <si>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</si>
  <si>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</si>
  <si>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</si>
  <si>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</si>
  <si>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</si>
  <si>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</si>
  <si>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</si>
  <si>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</si>
  <si>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</si>
  <si>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</si>
  <si>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</si>
  <si>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</si>
  <si>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</si>
  <si>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</si>
  <si>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</si>
  <si>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</si>
  <si>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</si>
  <si>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</si>
  <si>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</si>
  <si>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</si>
  <si>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</si>
  <si>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</si>
  <si>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</si>
  <si>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</si>
  <si>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</si>
  <si>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</si>
  <si>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</si>
  <si>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</si>
  <si>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</si>
  <si>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</si>
  <si>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</si>
  <si>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</si>
  <si>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</si>
  <si>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</si>
  <si>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</si>
  <si>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</si>
  <si>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</si>
  <si>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</si>
  <si>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</si>
  <si>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</si>
  <si>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</si>
  <si>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</si>
  <si>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</si>
  <si>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</si>
  <si>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</si>
  <si>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</si>
  <si>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</si>
  <si>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</si>
  <si>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</si>
  <si>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</si>
  <si>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</si>
  <si>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</si>
  <si>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</si>
  <si>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</si>
  <si>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</si>
  <si>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</si>
  <si>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</si>
  <si>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</si>
  <si>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</si>
  <si>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</si>
  <si>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</si>
  <si>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</si>
  <si>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</si>
  <si>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</si>
  <si>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</si>
  <si>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</si>
  <si>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</si>
  <si>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</si>
  <si>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</si>
  <si>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</si>
  <si>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</si>
  <si>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</si>
  <si>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</si>
  <si>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</si>
  <si>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</si>
  <si>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</si>
  <si>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</si>
  <si>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</si>
  <si>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</si>
  <si>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</si>
  <si>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</si>
  <si>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</si>
  <si>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</si>
  <si>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</si>
  <si>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</si>
  <si>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</si>
  <si>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</si>
  <si>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</si>
  <si>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</si>
  <si>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</si>
  <si>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</si>
  <si>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</si>
  <si>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</si>
  <si>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</si>
  <si>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</si>
  <si>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</si>
  <si>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</si>
  <si>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</si>
  <si>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</si>
  <si>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</si>
  <si>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</si>
  <si>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</si>
  <si>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</si>
  <si>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</si>
  <si>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</si>
  <si>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</si>
  <si>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</si>
  <si>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</si>
  <si>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</si>
  <si>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</si>
  <si>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</si>
  <si>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</si>
  <si>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</si>
  <si>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</si>
  <si>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</si>
  <si>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</si>
  <si>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</si>
  <si>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</si>
  <si>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</si>
  <si>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</si>
  <si>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</si>
  <si>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</si>
  <si>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</si>
  <si>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</si>
  <si>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</si>
  <si>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</si>
  <si>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</si>
  <si>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</si>
  <si>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</si>
  <si>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</si>
  <si>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</si>
  <si>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</si>
  <si>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</si>
  <si>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</si>
  <si>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</si>
  <si>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</si>
  <si>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</si>
  <si>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</si>
  <si>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</si>
  <si>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</si>
  <si>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</si>
  <si>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</si>
  <si>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</si>
  <si>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</si>
  <si>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</si>
  <si>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</si>
  <si>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</si>
  <si>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</si>
  <si>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</si>
  <si>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</si>
  <si>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</si>
  <si>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</si>
  <si>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</si>
  <si>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</si>
  <si>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</si>
  <si>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</si>
  <si>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</si>
  <si>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</si>
  <si>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</si>
  <si>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</si>
  <si>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</si>
  <si>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</si>
  <si>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</si>
  <si>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</si>
  <si>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</si>
  <si>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</si>
  <si>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</si>
  <si>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</si>
  <si>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</si>
  <si>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</si>
  <si>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</si>
  <si>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</si>
  <si>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</si>
  <si>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</si>
  <si>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</si>
  <si>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</si>
  <si>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</si>
  <si>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</si>
  <si>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</si>
  <si>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</si>
  <si>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</si>
  <si>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</si>
  <si>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</si>
  <si>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</si>
  <si>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</si>
  <si>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</si>
  <si>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</si>
  <si>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</si>
  <si>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</si>
  <si>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</si>
  <si>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</si>
  <si>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</si>
  <si>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</si>
  <si>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</si>
  <si>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</si>
  <si>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</si>
  <si>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</si>
  <si>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</si>
  <si>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</si>
  <si>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</si>
  <si>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</si>
  <si>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</si>
  <si>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</si>
  <si>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</si>
  <si>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</si>
  <si>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</si>
  <si>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</si>
  <si>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</si>
  <si>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</si>
  <si>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</si>
  <si>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</si>
  <si>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</si>
  <si>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</si>
  <si>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</si>
  <si>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</si>
  <si>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</si>
  <si>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</si>
  <si>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</si>
  <si>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</si>
  <si>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</si>
  <si>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</si>
  <si>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</si>
  <si>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</si>
  <si>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</si>
  <si>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</si>
  <si>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</si>
  <si>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</si>
  <si>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</si>
  <si>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</si>
  <si>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</si>
  <si>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</si>
  <si>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</si>
  <si>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</si>
  <si>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</si>
  <si>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</si>
  <si>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</si>
  <si>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</si>
  <si>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</si>
  <si>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</si>
  <si>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</si>
  <si>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</si>
  <si>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</si>
  <si>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</si>
  <si>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</si>
  <si>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</si>
  <si>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</si>
  <si>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</si>
  <si>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</si>
  <si>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</si>
  <si>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</si>
  <si>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</si>
  <si>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</si>
  <si>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</si>
  <si>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</si>
  <si>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</si>
  <si>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</si>
  <si>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</si>
  <si>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</si>
  <si>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</si>
  <si>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</si>
  <si>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</si>
  <si>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</si>
  <si>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</si>
  <si>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</si>
  <si>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</si>
  <si>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</si>
  <si>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</si>
  <si>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</si>
  <si>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</si>
  <si>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</si>
  <si>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</si>
  <si>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</si>
  <si>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</si>
  <si>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</si>
  <si>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</si>
  <si>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</si>
  <si>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</si>
  <si>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</si>
  <si>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</si>
  <si>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</si>
  <si>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</si>
  <si>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</si>
  <si>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</si>
  <si>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</si>
  <si>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</si>
  <si>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</si>
  <si>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</si>
  <si>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</si>
  <si>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</si>
  <si>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</si>
  <si>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</si>
  <si>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</si>
  <si>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</si>
  <si>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</si>
  <si>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</si>
  <si>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</si>
  <si>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</si>
  <si>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</si>
  <si>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</si>
  <si>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</si>
  <si>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</si>
  <si>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</si>
  <si>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</si>
  <si>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</si>
  <si>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</si>
  <si>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</si>
  <si>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</si>
  <si>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</si>
  <si>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</si>
  <si>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</si>
  <si>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</si>
  <si>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</si>
  <si>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</si>
  <si>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</si>
  <si>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</si>
  <si>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</si>
  <si>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</si>
  <si>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</si>
  <si>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</si>
  <si>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</si>
  <si>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</si>
  <si>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</si>
  <si>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</si>
  <si>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</si>
  <si>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</si>
  <si>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</si>
  <si>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BUSINESS MANAGEMENT + PHYSICS (CALCULATOR, RULER)</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</si>
  <si>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</si>
  <si>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</si>
  <si>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</si>
  <si>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</si>
  <si>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</si>
  <si>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</si>
  <si>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</si>
  <si>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</si>
  <si>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</si>
  <si>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</si>
  <si>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</si>
  <si>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</si>
  <si>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</si>
  <si>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</si>
  <si>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</si>
  <si>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</si>
  <si>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</si>
  <si>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</si>
  <si>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</si>
  <si>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</si>
  <si>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</si>
  <si>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</si>
  <si>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</si>
  <si>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</si>
  <si>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</si>
  <si>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</si>
  <si>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</si>
  <si>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</si>
  <si>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</si>
  <si>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</si>
  <si>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</si>
  <si>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</si>
  <si>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</si>
  <si>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</si>
  <si>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</si>
  <si>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</si>
  <si>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</si>
  <si>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</si>
  <si>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Beginning of DISCIPLINE</t>
  </si>
  <si>
    <t xml:space="preserve"> -&gt; Plan out priority and how you are going to create website 
-&gt; Plan of action for NEFARIOUS</t>
  </si>
  <si>
    <t>PLANNING DAY</t>
  </si>
  <si>
    <t>DON'T LOSE FOCUS ON IB</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</si>
  <si>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</si>
  <si>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</si>
  <si>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</si>
  <si>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RESEARCH</t>
  </si>
  <si>
    <t>SPANISH REASEARCH</t>
  </si>
  <si>
    <t>Look into what foods the Cubans use during Easter (That represents it as a celebration) 
How many people live there
And other interesting facts about the Country</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</si>
  <si>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</si>
  <si>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</si>
  <si>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</si>
  <si>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</si>
  <si>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</si>
  <si>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</si>
  <si>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</si>
  <si>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COMSCI REVISION</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</si>
  <si>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</si>
  <si>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</si>
  <si>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</si>
  <si>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SPAN RESEARCH + PLAN TIME AND PRIORITIES</t>
  </si>
  <si>
    <t>COMSCI REVISION+REFLECTION</t>
  </si>
  <si>
    <t>COMSCI REV</t>
  </si>
  <si>
    <t>YOUNG ICT</t>
  </si>
  <si>
    <t>REVISE COMSCI + SPAN + TIME MANAGE FOR NEXT 3 WEEKS ATLEAST</t>
  </si>
  <si>
    <t>PLAN OUT EACH PROJECT IN A PROJECT ONE NOTE WITH TODOS</t>
  </si>
  <si>
    <t>YICT</t>
  </si>
  <si>
    <t xml:space="preserve">Really catchup on what we are learning in class because I am super lost and I don’t think that’s a very good thing… :( </t>
  </si>
  <si>
    <t>WAKE UP</t>
  </si>
  <si>
    <t>LEARN POST LOOP + WEBSITE</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</si>
  <si>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</si>
  <si>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WEBSITE (LEARN/SETUP)</t>
  </si>
  <si>
    <t>WEBSITE (PLAN AND BEGIN)</t>
  </si>
  <si>
    <t xml:space="preserve">COMSCI </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</si>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</sst>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9">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4"/>
      <color theme="0"/>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b/>
      <sz val="18"/>
      <color rgb="FFFF0000"/>
      <name val="Calibri"/>
      <family val="2"/>
      <scheme val="minor"/>
    </font>
    <font>
      <sz val="11"/>
      <color theme="1"/>
      <name val="Calibri"/>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F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rgb="FFF2F2F2"/>
      </patternFill>
    </fill>
    <fill>
      <patternFill patternType="solid">
        <fgColor rgb="FFA6D86E"/>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4" fillId="20" borderId="0" applyNumberFormat="0" applyBorder="0" applyAlignment="0" applyProtection="0"/>
    <xf numFmtId="0" fontId="35" fillId="21" borderId="0" applyNumberFormat="0" applyBorder="0" applyAlignment="0" applyProtection="0"/>
    <xf numFmtId="0" fontId="41" fillId="25" borderId="19" applyNumberFormat="0" applyAlignment="0" applyProtection="0"/>
  </cellStyleXfs>
  <cellXfs count="292">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6" fillId="20" borderId="0" xfId="4" applyFont="1" applyAlignment="1">
      <alignment horizontal="center" vertical="center"/>
    </xf>
    <xf numFmtId="0" fontId="37" fillId="21"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39"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19"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3" fillId="22"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42" fillId="7" borderId="0" xfId="0" applyNumberFormat="1" applyFont="1" applyFill="1" applyAlignment="1">
      <alignment horizontal="center" vertical="center" wrapText="1"/>
    </xf>
    <xf numFmtId="166" fontId="42" fillId="7" borderId="0" xfId="0" applyNumberFormat="1" applyFont="1" applyFill="1" applyAlignment="1">
      <alignment horizontal="center" vertical="center" wrapText="1"/>
    </xf>
    <xf numFmtId="165" fontId="42" fillId="7" borderId="0" xfId="0" applyNumberFormat="1" applyFont="1" applyFill="1" applyAlignment="1">
      <alignment horizontal="center" vertical="center" wrapText="1"/>
    </xf>
    <xf numFmtId="0" fontId="42" fillId="7" borderId="0" xfId="0" applyFont="1" applyFill="1" applyAlignment="1">
      <alignment horizontal="center" vertical="center" wrapText="1"/>
    </xf>
    <xf numFmtId="0" fontId="43"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45"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42" fillId="7"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44" fillId="25" borderId="19" xfId="6" applyFont="1" applyAlignment="1">
      <alignment horizontal="center" vertical="center" wrapText="1"/>
    </xf>
    <xf numFmtId="165" fontId="44" fillId="25" borderId="19" xfId="6" applyNumberFormat="1" applyFont="1" applyAlignment="1">
      <alignment horizontal="center" vertical="center" wrapText="1"/>
    </xf>
    <xf numFmtId="49" fontId="44" fillId="25" borderId="19" xfId="6" applyNumberFormat="1" applyFont="1" applyAlignment="1">
      <alignment horizontal="center" vertical="center" wrapText="1"/>
    </xf>
    <xf numFmtId="165" fontId="8" fillId="15" borderId="0" xfId="0" applyNumberFormat="1" applyFont="1" applyFill="1" applyAlignment="1">
      <alignment horizontal="center" vertical="center" wrapText="1"/>
    </xf>
    <xf numFmtId="49" fontId="8" fillId="15" borderId="0" xfId="0" applyNumberFormat="1" applyFont="1" applyFill="1" applyAlignment="1">
      <alignment horizontal="center" vertical="center" wrapText="1"/>
    </xf>
    <xf numFmtId="0" fontId="8" fillId="15" borderId="0" xfId="0" applyFont="1" applyFill="1" applyAlignment="1">
      <alignment horizontal="center" vertical="center" wrapText="1"/>
    </xf>
    <xf numFmtId="0" fontId="45" fillId="2" borderId="0" xfId="1" applyFont="1" applyAlignment="1">
      <alignment horizontal="center" vertical="center" wrapText="1"/>
    </xf>
    <xf numFmtId="49" fontId="45" fillId="2" borderId="0" xfId="1" applyNumberFormat="1" applyFont="1" applyAlignment="1">
      <alignment horizontal="center" vertical="center" wrapText="1"/>
    </xf>
    <xf numFmtId="49" fontId="46" fillId="2" borderId="0" xfId="1"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49" fontId="8" fillId="22"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22" borderId="0" xfId="0" applyNumberFormat="1" applyFont="1" applyFill="1" applyAlignment="1">
      <alignment horizontal="center" vertical="center" wrapText="1"/>
    </xf>
    <xf numFmtId="165" fontId="41" fillId="25" borderId="19" xfId="6" applyNumberFormat="1" applyAlignment="1">
      <alignment horizontal="center" vertical="center" wrapText="1"/>
    </xf>
    <xf numFmtId="166" fontId="8" fillId="7" borderId="0" xfId="0" applyNumberFormat="1" applyFont="1" applyFill="1" applyAlignment="1">
      <alignment horizontal="center" vertical="center" wrapText="1"/>
    </xf>
    <xf numFmtId="2" fontId="3" fillId="3" borderId="0" xfId="0" applyNumberFormat="1" applyFont="1" applyFill="1" applyAlignment="1">
      <alignment horizontal="center" vertical="center" wrapText="1"/>
    </xf>
    <xf numFmtId="165" fontId="9" fillId="10" borderId="0" xfId="0" applyNumberFormat="1" applyFont="1" applyFill="1" applyAlignment="1">
      <alignment horizontal="center" vertical="center" wrapText="1"/>
    </xf>
    <xf numFmtId="165" fontId="9" fillId="13"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0" fillId="26"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14" fontId="47" fillId="15" borderId="18" xfId="0" applyNumberFormat="1" applyFont="1" applyFill="1" applyBorder="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48" fillId="8" borderId="0" xfId="0" applyNumberFormat="1" applyFont="1" applyFill="1" applyAlignment="1">
      <alignment horizontal="center" vertical="center" wrapText="1"/>
    </xf>
    <xf numFmtId="2" fontId="0" fillId="0"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06">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A6D86E"/>
      <color rgb="FFFF2929"/>
      <color rgb="FF00F66F"/>
      <color rgb="FFFBAFAF"/>
      <color rgb="FFEBDD89"/>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O31" totalsRowCount="1" headerRowDxfId="798" dataDxfId="797" totalsRowDxfId="796">
  <autoFilter ref="C3:LO30"/>
  <tableColumns count="325">
    <tableColumn id="29" name="Monday19" totalsRowFunction="custom" dataDxfId="795" totalsRowDxfId="324">
      <totalsRowFormula>SUM(C7:C30)</totalsRowFormula>
    </tableColumn>
    <tableColumn id="30" name="Tuesday20" totalsRowFunction="custom" dataDxfId="794" totalsRowDxfId="323">
      <totalsRowFormula>SUM(D7:D30)</totalsRowFormula>
    </tableColumn>
    <tableColumn id="31" name="Wednesday21" totalsRowFunction="custom" dataDxfId="793" totalsRowDxfId="322">
      <totalsRowFormula>SUM(E7:E30)</totalsRowFormula>
    </tableColumn>
    <tableColumn id="32" name="Thursday22" totalsRowFunction="custom" dataDxfId="792" totalsRowDxfId="321">
      <totalsRowFormula>SUM(F7:F30)</totalsRowFormula>
    </tableColumn>
    <tableColumn id="33" name="Friday23" totalsRowFunction="custom" dataDxfId="791" totalsRowDxfId="320">
      <totalsRowFormula>SUM(G7:G30)</totalsRowFormula>
    </tableColumn>
    <tableColumn id="34" name="Saturday24" totalsRowFunction="custom" dataDxfId="790" totalsRowDxfId="319">
      <totalsRowFormula>SUM(H7:H30)</totalsRowFormula>
    </tableColumn>
    <tableColumn id="35" name="Sunday25" totalsRowFunction="custom" dataDxfId="789" totalsRowDxfId="318">
      <totalsRowFormula>SUM(I7:I30)</totalsRowFormula>
    </tableColumn>
    <tableColumn id="36" name="Monday26" totalsRowFunction="custom" dataDxfId="788" totalsRowDxfId="317">
      <totalsRowFormula>SUM(J7:J30)</totalsRowFormula>
    </tableColumn>
    <tableColumn id="37" name="Tuesday27" totalsRowFunction="custom" dataDxfId="787" totalsRowDxfId="316">
      <totalsRowFormula>SUM(K7:K30)</totalsRowFormula>
    </tableColumn>
    <tableColumn id="38" name="Wednesday28" totalsRowFunction="custom" dataDxfId="786" totalsRowDxfId="315">
      <totalsRowFormula>SUM(L7:L30)</totalsRowFormula>
    </tableColumn>
    <tableColumn id="39" name="Thursday29" totalsRowFunction="custom" dataDxfId="785" totalsRowDxfId="314">
      <totalsRowFormula>SUM(M7:M30)</totalsRowFormula>
    </tableColumn>
    <tableColumn id="40" name="Friday30" totalsRowFunction="custom" dataDxfId="784" totalsRowDxfId="313">
      <totalsRowFormula>SUM(N7:N30)</totalsRowFormula>
    </tableColumn>
    <tableColumn id="41" name="Saturday31" totalsRowFunction="custom" dataDxfId="783" totalsRowDxfId="312">
      <totalsRowFormula>SUM(O7:O30)</totalsRowFormula>
    </tableColumn>
    <tableColumn id="42" name="Sunday32" totalsRowFunction="custom" dataDxfId="782" totalsRowDxfId="311">
      <totalsRowFormula>SUM(P7:P30)</totalsRowFormula>
    </tableColumn>
    <tableColumn id="43" name="Monday33" totalsRowFunction="custom" dataDxfId="781" totalsRowDxfId="310">
      <totalsRowFormula>SUM(Q7:Q30)</totalsRowFormula>
    </tableColumn>
    <tableColumn id="44" name="Tuesday34" totalsRowFunction="custom" dataDxfId="780" totalsRowDxfId="309">
      <totalsRowFormula>SUM(R7:R30)</totalsRowFormula>
    </tableColumn>
    <tableColumn id="45" name="Wednesday35" totalsRowFunction="custom" dataDxfId="779" totalsRowDxfId="308">
      <totalsRowFormula>SUM(S7:S30)</totalsRowFormula>
    </tableColumn>
    <tableColumn id="46" name="Thursday36" totalsRowFunction="custom" dataDxfId="778" totalsRowDxfId="307">
      <totalsRowFormula>SUM(T7:T30)</totalsRowFormula>
    </tableColumn>
    <tableColumn id="47" name="Friday37" totalsRowFunction="custom" dataDxfId="777" totalsRowDxfId="306">
      <totalsRowFormula>SUM(U7:U30)</totalsRowFormula>
    </tableColumn>
    <tableColumn id="48" name="Saturday38" totalsRowFunction="custom" dataDxfId="776" totalsRowDxfId="305">
      <totalsRowFormula>SUM(V7:V30)</totalsRowFormula>
    </tableColumn>
    <tableColumn id="49" name="Sunday39" totalsRowFunction="custom" dataDxfId="775" totalsRowDxfId="304">
      <totalsRowFormula>SUM(W7:W30)</totalsRowFormula>
    </tableColumn>
    <tableColumn id="50" name="Monday40" totalsRowFunction="custom" dataDxfId="774" totalsRowDxfId="303">
      <totalsRowFormula>SUM(X7:X30)</totalsRowFormula>
    </tableColumn>
    <tableColumn id="51" name="Tuesday41" totalsRowFunction="custom" dataDxfId="773" totalsRowDxfId="302">
      <totalsRowFormula>SUM(Y7:Y30)</totalsRowFormula>
    </tableColumn>
    <tableColumn id="52" name="Wednesday42" totalsRowFunction="custom" dataDxfId="772" totalsRowDxfId="301">
      <totalsRowFormula>SUM(Z7:Z30)</totalsRowFormula>
    </tableColumn>
    <tableColumn id="53" name="Thursday43" totalsRowFunction="custom" dataDxfId="771" totalsRowDxfId="300">
      <totalsRowFormula>SUM(AA7:AA30)</totalsRowFormula>
    </tableColumn>
    <tableColumn id="54" name="Friday44" totalsRowFunction="custom" dataDxfId="770" totalsRowDxfId="299">
      <totalsRowFormula>SUM(AB7:AB30)</totalsRowFormula>
    </tableColumn>
    <tableColumn id="55" name="Saturday45" totalsRowFunction="custom" dataDxfId="769" totalsRowDxfId="298">
      <totalsRowFormula>SUM(AC7:AC30)</totalsRowFormula>
    </tableColumn>
    <tableColumn id="56" name="Sunday46" totalsRowFunction="custom" dataDxfId="768" totalsRowDxfId="297">
      <totalsRowFormula>SUM(AD7:AD30)</totalsRowFormula>
    </tableColumn>
    <tableColumn id="57" name="Monday47" totalsRowFunction="custom" dataDxfId="767" totalsRowDxfId="296">
      <totalsRowFormula>SUM(AE7:AE30)</totalsRowFormula>
    </tableColumn>
    <tableColumn id="58" name="Tuesday48" totalsRowFunction="custom" dataDxfId="766" totalsRowDxfId="295">
      <totalsRowFormula>SUM(AF7:AF30)</totalsRowFormula>
    </tableColumn>
    <tableColumn id="59" name="Wednesday49" totalsRowFunction="custom" dataDxfId="765" totalsRowDxfId="294">
      <totalsRowFormula>SUM(AG7:AG30)</totalsRowFormula>
    </tableColumn>
    <tableColumn id="60" name="Thursday50" totalsRowFunction="custom" dataDxfId="764" totalsRowDxfId="293">
      <totalsRowFormula>SUM(AH7:AH30)</totalsRowFormula>
    </tableColumn>
    <tableColumn id="61" name="Friday51" totalsRowFunction="custom" dataDxfId="763" totalsRowDxfId="292">
      <totalsRowFormula>SUM(AI7:AI30)</totalsRowFormula>
    </tableColumn>
    <tableColumn id="62" name="Saturday52" totalsRowFunction="custom" totalsRowDxfId="291">
      <totalsRowFormula>SUM(AJ7:AJ30)</totalsRowFormula>
    </tableColumn>
    <tableColumn id="63" name="Sunday53" totalsRowFunction="custom" dataDxfId="762" totalsRowDxfId="290">
      <totalsRowFormula>SUM(AK7:AK30)</totalsRowFormula>
    </tableColumn>
    <tableColumn id="64" name="Monday54" totalsRowFunction="custom" dataDxfId="761" totalsRowDxfId="289">
      <totalsRowFormula>SUM(AL7:AL30)</totalsRowFormula>
    </tableColumn>
    <tableColumn id="65" name="Tuesday55" totalsRowFunction="custom" dataDxfId="760" totalsRowDxfId="288">
      <totalsRowFormula>SUM(AM7:AM30)</totalsRowFormula>
    </tableColumn>
    <tableColumn id="66" name="Wednesday56" totalsRowFunction="custom" dataDxfId="759" totalsRowDxfId="287">
      <totalsRowFormula>SUM(AN7:AN30)</totalsRowFormula>
    </tableColumn>
    <tableColumn id="67" name="Thursday57" totalsRowFunction="custom" dataDxfId="758" totalsRowDxfId="286">
      <totalsRowFormula>SUM(AO7:AO30)</totalsRowFormula>
    </tableColumn>
    <tableColumn id="68" name="Friday58" totalsRowFunction="custom" dataDxfId="757" totalsRowDxfId="285">
      <totalsRowFormula>SUM(AP7:AP30)</totalsRowFormula>
    </tableColumn>
    <tableColumn id="69" name="Saturday59" totalsRowFunction="custom" dataDxfId="756" totalsRowDxfId="284">
      <totalsRowFormula>SUM(AQ7:AQ30)</totalsRowFormula>
    </tableColumn>
    <tableColumn id="70" name="Sunday60" totalsRowFunction="custom" dataDxfId="755" totalsRowDxfId="283">
      <totalsRowFormula>SUM(AR7:AR30)</totalsRowFormula>
    </tableColumn>
    <tableColumn id="71" name="Monday61" totalsRowFunction="custom" dataDxfId="754" totalsRowDxfId="282">
      <totalsRowFormula>SUM(AS7:AS30)</totalsRowFormula>
    </tableColumn>
    <tableColumn id="72" name="Tuesday62" totalsRowFunction="custom" dataDxfId="753" totalsRowDxfId="281">
      <totalsRowFormula>SUM(AT7:AT30)</totalsRowFormula>
    </tableColumn>
    <tableColumn id="73" name="Wednesday63" totalsRowFunction="custom" dataDxfId="752" totalsRowDxfId="280">
      <totalsRowFormula>SUM(AU7:AU30)</totalsRowFormula>
    </tableColumn>
    <tableColumn id="74" name="Thursday64" totalsRowFunction="custom" dataDxfId="751" totalsRowDxfId="279">
      <totalsRowFormula>SUM(AV7:AV30)</totalsRowFormula>
    </tableColumn>
    <tableColumn id="75" name="Friday65" totalsRowFunction="custom" dataDxfId="750" totalsRowDxfId="278">
      <totalsRowFormula>SUM(AW7:AW30)</totalsRowFormula>
    </tableColumn>
    <tableColumn id="76" name="Saturday66" totalsRowFunction="custom" dataDxfId="749" totalsRowDxfId="277">
      <totalsRowFormula>SUM(AX7:AX30)</totalsRowFormula>
    </tableColumn>
    <tableColumn id="77" name="Sunday67" totalsRowFunction="custom" dataDxfId="748" totalsRowDxfId="276">
      <totalsRowFormula>SUM(AY7:AY30)</totalsRowFormula>
    </tableColumn>
    <tableColumn id="78" name="Monday68" totalsRowFunction="custom" dataDxfId="747" totalsRowDxfId="275">
      <totalsRowFormula>SUM(AZ7:AZ30)</totalsRowFormula>
    </tableColumn>
    <tableColumn id="79" name="Tuesday69" totalsRowFunction="custom" dataDxfId="746" totalsRowDxfId="274">
      <totalsRowFormula>SUM(BA7:BA30)</totalsRowFormula>
    </tableColumn>
    <tableColumn id="80" name="Wednesday70" totalsRowFunction="custom" dataDxfId="745" totalsRowDxfId="273">
      <totalsRowFormula>SUM(BB7:BB30)</totalsRowFormula>
    </tableColumn>
    <tableColumn id="81" name="Thursday71" totalsRowFunction="custom" dataDxfId="744" totalsRowDxfId="272">
      <totalsRowFormula>SUM(BC7:BC30)</totalsRowFormula>
    </tableColumn>
    <tableColumn id="82" name="Friday72" totalsRowFunction="custom" dataDxfId="743" totalsRowDxfId="271">
      <totalsRowFormula>SUM(BD7:BD30)</totalsRowFormula>
    </tableColumn>
    <tableColumn id="83" name="Saturday73" totalsRowFunction="custom" dataDxfId="742" totalsRowDxfId="270">
      <totalsRowFormula>SUM(BE7:BE30)</totalsRowFormula>
    </tableColumn>
    <tableColumn id="84" name="Sunday74" totalsRowFunction="custom" dataDxfId="741" totalsRowDxfId="269">
      <totalsRowFormula>SUM(BF7:BF30)</totalsRowFormula>
    </tableColumn>
    <tableColumn id="85" name="Monday75" totalsRowFunction="custom" dataDxfId="740" totalsRowDxfId="268">
      <totalsRowFormula>SUM(BG7:BG30)</totalsRowFormula>
    </tableColumn>
    <tableColumn id="86" name="Tuesday76" totalsRowFunction="custom" dataDxfId="739" totalsRowDxfId="267">
      <totalsRowFormula>SUM(BH7:BH30)</totalsRowFormula>
    </tableColumn>
    <tableColumn id="87" name="Wednesday77" totalsRowFunction="custom" dataDxfId="738" totalsRowDxfId="266">
      <totalsRowFormula>SUM(BI7:BI30)</totalsRowFormula>
    </tableColumn>
    <tableColumn id="88" name="Thursday78" totalsRowFunction="custom" dataDxfId="737" totalsRowDxfId="265">
      <totalsRowFormula>SUM(BJ7:BJ30)</totalsRowFormula>
    </tableColumn>
    <tableColumn id="89" name="Friday79" totalsRowFunction="custom" dataDxfId="736" totalsRowDxfId="264">
      <totalsRowFormula>SUM(BK7:BK30)</totalsRowFormula>
    </tableColumn>
    <tableColumn id="90" name="Saturday80" totalsRowFunction="custom" dataDxfId="735" totalsRowDxfId="263">
      <totalsRowFormula>SUM(BL7:BL30)</totalsRowFormula>
    </tableColumn>
    <tableColumn id="91" name="Sunday81" totalsRowFunction="custom" dataDxfId="734" totalsRowDxfId="262">
      <totalsRowFormula>SUM(BM7:BM30)</totalsRowFormula>
    </tableColumn>
    <tableColumn id="92" name="Monday82" totalsRowFunction="custom" dataDxfId="733" totalsRowDxfId="261">
      <totalsRowFormula>SUM(BN7:BN30)</totalsRowFormula>
    </tableColumn>
    <tableColumn id="93" name="Tuesday83" totalsRowFunction="custom" dataDxfId="732" totalsRowDxfId="260">
      <totalsRowFormula>SUM(BO7:BO30)</totalsRowFormula>
    </tableColumn>
    <tableColumn id="94" name="Wednesday84" totalsRowFunction="custom" dataDxfId="731" totalsRowDxfId="259">
      <totalsRowFormula>SUM(BP7:BP30)</totalsRowFormula>
    </tableColumn>
    <tableColumn id="95" name="Thursday85" totalsRowFunction="custom" dataDxfId="730" totalsRowDxfId="258">
      <totalsRowFormula>SUM(BQ7:BQ30)</totalsRowFormula>
    </tableColumn>
    <tableColumn id="96" name="Friday86" totalsRowFunction="custom" dataDxfId="729" totalsRowDxfId="257">
      <totalsRowFormula>SUM(BR7:BR30)</totalsRowFormula>
    </tableColumn>
    <tableColumn id="97" name="Saturday87" totalsRowFunction="custom" dataDxfId="728" totalsRowDxfId="256">
      <totalsRowFormula>SUM(BS7:BS30)</totalsRowFormula>
    </tableColumn>
    <tableColumn id="98" name="Sunday88" totalsRowFunction="custom" dataDxfId="727" totalsRowDxfId="255">
      <totalsRowFormula>SUM(BT7:BT30)</totalsRowFormula>
    </tableColumn>
    <tableColumn id="99" name="Monday89" totalsRowFunction="custom" dataDxfId="726" totalsRowDxfId="254">
      <totalsRowFormula>SUM(BU7:BU30)</totalsRowFormula>
    </tableColumn>
    <tableColumn id="100" name="Tuesday90" totalsRowFunction="custom" dataDxfId="725" totalsRowDxfId="253">
      <totalsRowFormula>SUM(BV7:BV30)</totalsRowFormula>
    </tableColumn>
    <tableColumn id="101" name="Wednesday91" totalsRowFunction="custom" dataDxfId="724" totalsRowDxfId="252">
      <totalsRowFormula>SUM(BW7:BW30)</totalsRowFormula>
    </tableColumn>
    <tableColumn id="102" name="Thursday92" totalsRowFunction="custom" dataDxfId="723" totalsRowDxfId="251">
      <totalsRowFormula>SUM(BX7:BX30)</totalsRowFormula>
    </tableColumn>
    <tableColumn id="103" name="Friday93" totalsRowFunction="custom" dataDxfId="722" totalsRowDxfId="250">
      <totalsRowFormula>SUM(BY7:BY30)</totalsRowFormula>
    </tableColumn>
    <tableColumn id="104" name="Saturday94" totalsRowFunction="custom" dataDxfId="721" totalsRowDxfId="249">
      <totalsRowFormula>SUM(BZ7:BZ30)</totalsRowFormula>
    </tableColumn>
    <tableColumn id="105" name="Sunday95" totalsRowFunction="custom" dataDxfId="720" totalsRowDxfId="248">
      <totalsRowFormula>SUM(CA7:CA30)</totalsRowFormula>
    </tableColumn>
    <tableColumn id="106" name="Monday96" totalsRowFunction="custom" dataDxfId="719" totalsRowDxfId="247">
      <totalsRowFormula>SUM(CB7:CB30)</totalsRowFormula>
    </tableColumn>
    <tableColumn id="107" name="Tuesday97" totalsRowFunction="custom" dataDxfId="718" totalsRowDxfId="246">
      <totalsRowFormula>SUM(CC7:CC30)</totalsRowFormula>
    </tableColumn>
    <tableColumn id="108" name="Wednesday98" totalsRowFunction="custom" dataDxfId="717" totalsRowDxfId="245">
      <totalsRowFormula>SUM(CD7:CD30)</totalsRowFormula>
    </tableColumn>
    <tableColumn id="109" name="Thursday99" totalsRowFunction="custom" dataDxfId="716" totalsRowDxfId="244">
      <totalsRowFormula>SUM(CE7:CE30)</totalsRowFormula>
    </tableColumn>
    <tableColumn id="110" name="Friday100" totalsRowFunction="custom" dataDxfId="715" totalsRowDxfId="243">
      <totalsRowFormula>SUM(CF7:CF30)</totalsRowFormula>
    </tableColumn>
    <tableColumn id="111" name="Saturday101" totalsRowFunction="custom" dataDxfId="714" totalsRowDxfId="242">
      <totalsRowFormula>SUM(CG7:CG30)</totalsRowFormula>
    </tableColumn>
    <tableColumn id="112" name="Sunday102" totalsRowFunction="custom" dataDxfId="713" totalsRowDxfId="241">
      <totalsRowFormula>SUM(CH7:CH30)</totalsRowFormula>
    </tableColumn>
    <tableColumn id="113" name="Monday103" totalsRowFunction="custom" dataDxfId="712" totalsRowDxfId="240">
      <totalsRowFormula>SUM(CI7:CI30)</totalsRowFormula>
    </tableColumn>
    <tableColumn id="114" name="Tuesday104" totalsRowFunction="custom" dataDxfId="711" totalsRowDxfId="239">
      <totalsRowFormula>SUM(CJ7:CJ30)</totalsRowFormula>
    </tableColumn>
    <tableColumn id="115" name="Wednesday105" totalsRowFunction="custom" dataDxfId="710" totalsRowDxfId="238">
      <totalsRowFormula>SUM(CK7:CK30)</totalsRowFormula>
    </tableColumn>
    <tableColumn id="116" name="Thursday106" totalsRowFunction="custom" dataDxfId="709" totalsRowDxfId="237">
      <totalsRowFormula>SUM(CL7:CL30)</totalsRowFormula>
    </tableColumn>
    <tableColumn id="117" name="Friday107" totalsRowFunction="custom" dataDxfId="708" totalsRowDxfId="236">
      <totalsRowFormula>SUM(CM7:CM30)</totalsRowFormula>
    </tableColumn>
    <tableColumn id="118" name="Saturday108" totalsRowFunction="custom" dataDxfId="707" totalsRowDxfId="235">
      <totalsRowFormula>SUM(CN7:CN30)</totalsRowFormula>
    </tableColumn>
    <tableColumn id="119" name="Sunday109" totalsRowFunction="custom" dataDxfId="706" totalsRowDxfId="234">
      <totalsRowFormula>SUM(CO7:CO30)</totalsRowFormula>
    </tableColumn>
    <tableColumn id="120" name="Monday110" totalsRowFunction="custom" dataDxfId="705" totalsRowDxfId="233">
      <totalsRowFormula>SUM(CP7:CP30)</totalsRowFormula>
    </tableColumn>
    <tableColumn id="121" name="Tuesday111" totalsRowFunction="custom" dataDxfId="704" totalsRowDxfId="232">
      <totalsRowFormula>SUM(CQ7:CQ30)</totalsRowFormula>
    </tableColumn>
    <tableColumn id="122" name="Wednesday112" totalsRowFunction="custom" dataDxfId="703" totalsRowDxfId="231">
      <totalsRowFormula>SUM(CR7:CR30)</totalsRowFormula>
    </tableColumn>
    <tableColumn id="123" name="Thursday113" totalsRowFunction="custom" dataDxfId="702" totalsRowDxfId="230">
      <totalsRowFormula>SUM(CS7:CS30)</totalsRowFormula>
    </tableColumn>
    <tableColumn id="124" name="Friday114" totalsRowFunction="custom" dataDxfId="701" totalsRowDxfId="229">
      <totalsRowFormula>SUM(CT7:CT30)</totalsRowFormula>
    </tableColumn>
    <tableColumn id="125" name="Saturday115" totalsRowFunction="custom" dataDxfId="700" totalsRowDxfId="228">
      <totalsRowFormula>SUM(CU7:CU30)</totalsRowFormula>
    </tableColumn>
    <tableColumn id="126" name="Sunday116" totalsRowFunction="custom" dataDxfId="699" totalsRowDxfId="227">
      <totalsRowFormula>SUM(CV7:CV30)</totalsRowFormula>
    </tableColumn>
    <tableColumn id="127" name="Monday117" totalsRowFunction="custom" dataDxfId="698" totalsRowDxfId="226">
      <totalsRowFormula>SUM(CW7:CW30)</totalsRowFormula>
    </tableColumn>
    <tableColumn id="128" name="Tuesday118" totalsRowFunction="custom" dataDxfId="697" totalsRowDxfId="225">
      <totalsRowFormula>SUM(CX7:CX30)</totalsRowFormula>
    </tableColumn>
    <tableColumn id="129" name="Wednesday119" totalsRowFunction="custom" dataDxfId="696" totalsRowDxfId="224">
      <totalsRowFormula>SUM(CY7:CY30)</totalsRowFormula>
    </tableColumn>
    <tableColumn id="130" name="Thursday120" totalsRowFunction="custom" dataDxfId="695" totalsRowDxfId="223">
      <totalsRowFormula>SUM(CZ7:CZ30)</totalsRowFormula>
    </tableColumn>
    <tableColumn id="131" name="Friday121" totalsRowFunction="custom" dataDxfId="694" totalsRowDxfId="222">
      <totalsRowFormula>SUM(DA7:DA30)</totalsRowFormula>
    </tableColumn>
    <tableColumn id="132" name="Saturday122" totalsRowFunction="custom" dataDxfId="693" totalsRowDxfId="221">
      <totalsRowFormula>SUM(DB7:DB30)</totalsRowFormula>
    </tableColumn>
    <tableColumn id="133" name="Sunday123" totalsRowFunction="custom" dataDxfId="692" totalsRowDxfId="220">
      <totalsRowFormula>SUM(DC7:DC30)</totalsRowFormula>
    </tableColumn>
    <tableColumn id="134" name="Monday124" totalsRowFunction="custom" dataDxfId="691" totalsRowDxfId="219">
      <totalsRowFormula>SUM(DD7:DD30)</totalsRowFormula>
    </tableColumn>
    <tableColumn id="135" name="Tuesday125" totalsRowFunction="custom" dataDxfId="690" totalsRowDxfId="218">
      <totalsRowFormula>SUM(DE7:DE30)</totalsRowFormula>
    </tableColumn>
    <tableColumn id="136" name="Wednesday126" totalsRowFunction="custom" dataDxfId="689" totalsRowDxfId="217">
      <totalsRowFormula>SUM(DF7:DF30)</totalsRowFormula>
    </tableColumn>
    <tableColumn id="137" name="Thursday127" totalsRowFunction="custom" dataDxfId="688" totalsRowDxfId="216">
      <totalsRowFormula>SUM(DG7:DG30)</totalsRowFormula>
    </tableColumn>
    <tableColumn id="138" name="Friday128" totalsRowFunction="custom" dataDxfId="687" totalsRowDxfId="215">
      <totalsRowFormula>SUM(DH7:DH30)</totalsRowFormula>
    </tableColumn>
    <tableColumn id="139" name="Saturday129" totalsRowFunction="custom" dataDxfId="686" totalsRowDxfId="214">
      <totalsRowFormula>SUM(DI7:DI30)</totalsRowFormula>
    </tableColumn>
    <tableColumn id="140" name="Sunday130" totalsRowFunction="custom" dataDxfId="685" totalsRowDxfId="213">
      <totalsRowFormula>SUM(DJ7:DJ30)</totalsRowFormula>
    </tableColumn>
    <tableColumn id="141" name="Monday131" totalsRowFunction="custom" dataDxfId="684" totalsRowDxfId="212">
      <totalsRowFormula>SUM(DK7:DK30)</totalsRowFormula>
    </tableColumn>
    <tableColumn id="142" name="Tuesday132" totalsRowFunction="custom" dataDxfId="683" totalsRowDxfId="211">
      <totalsRowFormula>SUM(DL7:DL30)</totalsRowFormula>
    </tableColumn>
    <tableColumn id="143" name="Wednesday133" totalsRowFunction="custom" dataDxfId="682" totalsRowDxfId="210">
      <totalsRowFormula>SUM(DM7:DM30)</totalsRowFormula>
    </tableColumn>
    <tableColumn id="144" name="Thursday134" totalsRowFunction="custom" dataDxfId="681" totalsRowDxfId="209">
      <totalsRowFormula>SUM(DN7:DN30)</totalsRowFormula>
    </tableColumn>
    <tableColumn id="145" name="Friday135" totalsRowFunction="custom" dataDxfId="680" totalsRowDxfId="208">
      <totalsRowFormula>SUM(DO7:DO30)</totalsRowFormula>
    </tableColumn>
    <tableColumn id="146" name="Saturday136" totalsRowFunction="custom" dataDxfId="679" totalsRowDxfId="207">
      <totalsRowFormula>SUM(DP7:DP30)</totalsRowFormula>
    </tableColumn>
    <tableColumn id="147" name="Sunday137" totalsRowFunction="custom" dataDxfId="678" totalsRowDxfId="206">
      <totalsRowFormula>SUM(DQ7:DQ30)</totalsRowFormula>
    </tableColumn>
    <tableColumn id="148" name="Monday138" totalsRowFunction="custom" dataDxfId="677" totalsRowDxfId="205">
      <totalsRowFormula>SUM(DR7:DR30)</totalsRowFormula>
    </tableColumn>
    <tableColumn id="149" name="Tuesday139" totalsRowFunction="custom" dataDxfId="676" totalsRowDxfId="204">
      <totalsRowFormula>SUM(DS7:DS30)</totalsRowFormula>
    </tableColumn>
    <tableColumn id="150" name="Wednesday140" totalsRowFunction="custom" dataDxfId="675" totalsRowDxfId="203">
      <totalsRowFormula>SUM(DT7:DT30)</totalsRowFormula>
    </tableColumn>
    <tableColumn id="151" name="Thursday141" totalsRowFunction="custom" dataDxfId="674" totalsRowDxfId="202">
      <totalsRowFormula>SUM(DU7:DU30)</totalsRowFormula>
    </tableColumn>
    <tableColumn id="152" name="Friday142" totalsRowFunction="custom" dataDxfId="673" totalsRowDxfId="201">
      <totalsRowFormula>SUM(DV7:DV30)</totalsRowFormula>
    </tableColumn>
    <tableColumn id="153" name="Saturday143" totalsRowFunction="custom" dataDxfId="672" totalsRowDxfId="200">
      <totalsRowFormula>SUM(DW7:DW30)</totalsRowFormula>
    </tableColumn>
    <tableColumn id="154" name="Sunday144" totalsRowFunction="custom" dataDxfId="671" totalsRowDxfId="199">
      <totalsRowFormula>SUM(DX7:DX30)</totalsRowFormula>
    </tableColumn>
    <tableColumn id="155" name="Monday145" totalsRowFunction="custom" dataDxfId="670" totalsRowDxfId="198">
      <totalsRowFormula>SUM(DY7:DY30)</totalsRowFormula>
    </tableColumn>
    <tableColumn id="156" name="Tuesday146" totalsRowFunction="custom" dataDxfId="669" totalsRowDxfId="197">
      <totalsRowFormula>SUM(DZ7:DZ30)</totalsRowFormula>
    </tableColumn>
    <tableColumn id="157" name="Wednesday147" totalsRowFunction="custom" dataDxfId="668" totalsRowDxfId="196">
      <totalsRowFormula>SUM(EA7:EA30)</totalsRowFormula>
    </tableColumn>
    <tableColumn id="158" name="Thursday148" totalsRowFunction="custom" dataDxfId="667" totalsRowDxfId="195">
      <totalsRowFormula>SUM(EB7:EB30)</totalsRowFormula>
    </tableColumn>
    <tableColumn id="159" name="Friday149" totalsRowFunction="custom" dataDxfId="666" totalsRowDxfId="194">
      <totalsRowFormula>SUM(EC7:EC30)</totalsRowFormula>
    </tableColumn>
    <tableColumn id="160" name="Saturday150" totalsRowFunction="custom" dataDxfId="665" totalsRowDxfId="193">
      <totalsRowFormula>SUM(ED7:ED30)</totalsRowFormula>
    </tableColumn>
    <tableColumn id="161" name="Sunday151" totalsRowFunction="custom" dataDxfId="664" totalsRowDxfId="192">
      <totalsRowFormula>SUM(EE7:EE30)</totalsRowFormula>
    </tableColumn>
    <tableColumn id="162" name="Monday152" totalsRowFunction="custom" dataDxfId="663" totalsRowDxfId="191">
      <totalsRowFormula>SUM(EF7:EF30)</totalsRowFormula>
    </tableColumn>
    <tableColumn id="163" name="Tuesday153" totalsRowFunction="custom" dataDxfId="662" totalsRowDxfId="190">
      <totalsRowFormula>SUM(EG7:EG30)</totalsRowFormula>
    </tableColumn>
    <tableColumn id="164" name="Wednesday154" totalsRowFunction="custom" dataDxfId="661" totalsRowDxfId="189">
      <totalsRowFormula>SUM(EH7:EH30)</totalsRowFormula>
    </tableColumn>
    <tableColumn id="165" name="Thursday155" totalsRowFunction="custom" dataDxfId="660" totalsRowDxfId="188">
      <totalsRowFormula>SUM(EI7:EI30)</totalsRowFormula>
    </tableColumn>
    <tableColumn id="166" name="Friday156" totalsRowFunction="custom" dataDxfId="659" totalsRowDxfId="187">
      <totalsRowFormula>SUM(EJ7:EJ30)</totalsRowFormula>
    </tableColumn>
    <tableColumn id="167" name="Saturday157" totalsRowFunction="custom" dataDxfId="658" totalsRowDxfId="186">
      <totalsRowFormula>SUM(EK7:EK30)</totalsRowFormula>
    </tableColumn>
    <tableColumn id="168" name="Sunday158" totalsRowFunction="custom" dataDxfId="657" totalsRowDxfId="185">
      <totalsRowFormula>SUM(EL7:EL30)</totalsRowFormula>
    </tableColumn>
    <tableColumn id="169" name="Monday159" totalsRowFunction="custom" dataDxfId="656" totalsRowDxfId="184">
      <totalsRowFormula>SUM(EM7:EM30)</totalsRowFormula>
    </tableColumn>
    <tableColumn id="170" name="Tuesday160" totalsRowFunction="custom" dataDxfId="655" totalsRowDxfId="183">
      <totalsRowFormula>SUM(EN7:EN30)</totalsRowFormula>
    </tableColumn>
    <tableColumn id="171" name="Wednesday161" totalsRowFunction="custom" dataDxfId="654" totalsRowDxfId="182">
      <totalsRowFormula>SUM(EO7:EO30)</totalsRowFormula>
    </tableColumn>
    <tableColumn id="172" name="Thursday162" totalsRowFunction="custom" dataDxfId="653" totalsRowDxfId="181">
      <totalsRowFormula>SUM(EP7:EP30)</totalsRowFormula>
    </tableColumn>
    <tableColumn id="173" name="Friday163" totalsRowFunction="custom" dataDxfId="652" totalsRowDxfId="180">
      <totalsRowFormula>SUM(EQ7:EQ30)</totalsRowFormula>
    </tableColumn>
    <tableColumn id="174" name="Saturday164" totalsRowFunction="custom" dataDxfId="651" totalsRowDxfId="179">
      <totalsRowFormula>SUM(ER7:ER30)</totalsRowFormula>
    </tableColumn>
    <tableColumn id="175" name="Sunday165" totalsRowFunction="custom" dataDxfId="650" totalsRowDxfId="178">
      <totalsRowFormula>SUM(ES7:ES30)</totalsRowFormula>
    </tableColumn>
    <tableColumn id="176" name="Monday166" totalsRowFunction="custom" dataDxfId="649" totalsRowDxfId="177">
      <totalsRowFormula>SUM(ET7:ET30)</totalsRowFormula>
    </tableColumn>
    <tableColumn id="177" name="Tuesday167" totalsRowFunction="custom" dataDxfId="648" totalsRowDxfId="176">
      <totalsRowFormula>SUM(EU7:EU30)</totalsRowFormula>
    </tableColumn>
    <tableColumn id="178" name="Wednesday168" totalsRowFunction="custom" dataDxfId="647" totalsRowDxfId="175">
      <totalsRowFormula>SUM(EV7:EV30)</totalsRowFormula>
    </tableColumn>
    <tableColumn id="179" name="Thursday169" totalsRowFunction="custom" dataDxfId="646" totalsRowDxfId="174">
      <totalsRowFormula>SUM(EW7:EW30)</totalsRowFormula>
    </tableColumn>
    <tableColumn id="180" name="Friday170" totalsRowFunction="custom" dataDxfId="645" totalsRowDxfId="173">
      <totalsRowFormula>SUM(EX7:EX30)</totalsRowFormula>
    </tableColumn>
    <tableColumn id="181" name="Saturday171" totalsRowFunction="custom" dataDxfId="644" totalsRowDxfId="172">
      <totalsRowFormula>SUM(EY7:EY30)</totalsRowFormula>
    </tableColumn>
    <tableColumn id="182" name="Sunday172" totalsRowFunction="custom" dataDxfId="643" totalsRowDxfId="171">
      <totalsRowFormula>SUM(EZ7:EZ30)</totalsRowFormula>
    </tableColumn>
    <tableColumn id="183" name="Monday173" totalsRowFunction="custom" dataDxfId="642" totalsRowDxfId="170">
      <totalsRowFormula>SUM(FA7:FA30)</totalsRowFormula>
    </tableColumn>
    <tableColumn id="184" name="Tuesday174" totalsRowFunction="custom" dataDxfId="641" totalsRowDxfId="169">
      <totalsRowFormula>SUM(FB7:FB30)</totalsRowFormula>
    </tableColumn>
    <tableColumn id="185" name="Wednesday175" totalsRowFunction="custom" dataDxfId="640" totalsRowDxfId="168">
      <totalsRowFormula>SUM(FC7:FC30)</totalsRowFormula>
    </tableColumn>
    <tableColumn id="186" name="Thursday176" totalsRowFunction="custom" dataDxfId="639" totalsRowDxfId="167">
      <totalsRowFormula>SUM(FD7:FD30)</totalsRowFormula>
    </tableColumn>
    <tableColumn id="187" name="Friday177" totalsRowFunction="custom" dataDxfId="638" totalsRowDxfId="166">
      <totalsRowFormula>SUM(FE7:FE30)</totalsRowFormula>
    </tableColumn>
    <tableColumn id="188" name="Saturday178" totalsRowFunction="custom" dataDxfId="637" totalsRowDxfId="165">
      <totalsRowFormula>SUM(FF7:FF30)</totalsRowFormula>
    </tableColumn>
    <tableColumn id="189" name="Sunday179" totalsRowFunction="custom" dataDxfId="636" totalsRowDxfId="164">
      <totalsRowFormula>SUM(FG7:FG30)</totalsRowFormula>
    </tableColumn>
    <tableColumn id="190" name="Monday180" totalsRowFunction="custom" dataDxfId="635" totalsRowDxfId="163">
      <totalsRowFormula>SUM(FH7:FH30)</totalsRowFormula>
    </tableColumn>
    <tableColumn id="191" name="Tuesday181" totalsRowFunction="custom" dataDxfId="634" totalsRowDxfId="162">
      <totalsRowFormula>SUM(FI7:FI30)</totalsRowFormula>
    </tableColumn>
    <tableColumn id="192" name="Wednesday182" totalsRowFunction="custom" dataDxfId="633" totalsRowDxfId="161">
      <totalsRowFormula>SUM(FJ7:FJ30)</totalsRowFormula>
    </tableColumn>
    <tableColumn id="193" name="Thursday183" totalsRowFunction="custom" dataDxfId="632" totalsRowDxfId="160">
      <totalsRowFormula>SUM(FK7:FK30)</totalsRowFormula>
    </tableColumn>
    <tableColumn id="194" name="Friday184" totalsRowFunction="custom" dataDxfId="631" totalsRowDxfId="159">
      <totalsRowFormula>SUM(FL7:FL30)</totalsRowFormula>
    </tableColumn>
    <tableColumn id="195" name="Saturday185" totalsRowFunction="custom" dataDxfId="630" totalsRowDxfId="158">
      <totalsRowFormula>SUM(FM7:FM30)</totalsRowFormula>
    </tableColumn>
    <tableColumn id="196" name="Sunday186" totalsRowFunction="custom" dataDxfId="629" totalsRowDxfId="157">
      <totalsRowFormula>SUM(FN7:FN30)</totalsRowFormula>
    </tableColumn>
    <tableColumn id="197" name="Monday187" totalsRowFunction="custom" dataDxfId="628" totalsRowDxfId="156">
      <totalsRowFormula>SUM(FO7:FO30)</totalsRowFormula>
    </tableColumn>
    <tableColumn id="198" name="Tuesday188" totalsRowFunction="custom" dataDxfId="627" totalsRowDxfId="155">
      <totalsRowFormula>SUM(FP7:FP30)</totalsRowFormula>
    </tableColumn>
    <tableColumn id="199" name="Wednesday189" totalsRowFunction="custom" dataDxfId="626" totalsRowDxfId="154">
      <totalsRowFormula>SUM(FQ7:FQ30)</totalsRowFormula>
    </tableColumn>
    <tableColumn id="200" name="Thursday190" totalsRowFunction="custom" dataDxfId="625" totalsRowDxfId="153">
      <totalsRowFormula>SUM(FR7:FR30)</totalsRowFormula>
    </tableColumn>
    <tableColumn id="201" name="Friday191" totalsRowFunction="custom" dataDxfId="624" totalsRowDxfId="152">
      <totalsRowFormula>SUM(FS7:FS30)</totalsRowFormula>
    </tableColumn>
    <tableColumn id="202" name="Saturday192" totalsRowFunction="custom" dataDxfId="623" totalsRowDxfId="151">
      <totalsRowFormula>SUM(FT7:FT30)</totalsRowFormula>
    </tableColumn>
    <tableColumn id="203" name="Sunday193" totalsRowFunction="custom" dataDxfId="622" totalsRowDxfId="150">
      <totalsRowFormula>SUM(FU7:FU30)</totalsRowFormula>
    </tableColumn>
    <tableColumn id="204" name="Monday194" totalsRowFunction="custom" dataDxfId="621" totalsRowDxfId="149">
      <totalsRowFormula>SUM(FV7:FV30)</totalsRowFormula>
    </tableColumn>
    <tableColumn id="205" name="Tuesday195" totalsRowFunction="custom" dataDxfId="620" totalsRowDxfId="148">
      <totalsRowFormula>SUM(FW7:FW30)</totalsRowFormula>
    </tableColumn>
    <tableColumn id="206" name="Wednesday196" totalsRowFunction="custom" dataDxfId="619" totalsRowDxfId="147">
      <totalsRowFormula>SUM(FX7:FX30)</totalsRowFormula>
    </tableColumn>
    <tableColumn id="207" name="Thursday197" totalsRowFunction="custom" dataDxfId="618" totalsRowDxfId="146">
      <totalsRowFormula>SUM(FY7:FY30)</totalsRowFormula>
    </tableColumn>
    <tableColumn id="208" name="Friday198" totalsRowFunction="custom" dataDxfId="617" totalsRowDxfId="145">
      <totalsRowFormula>SUM(FZ7:FZ30)</totalsRowFormula>
    </tableColumn>
    <tableColumn id="209" name="Saturday199" totalsRowFunction="custom" dataDxfId="616" totalsRowDxfId="144">
      <totalsRowFormula>SUM(GA7:GA30)</totalsRowFormula>
    </tableColumn>
    <tableColumn id="210" name="Sunday200" totalsRowFunction="custom" dataDxfId="615" totalsRowDxfId="143">
      <totalsRowFormula>SUM(GB7:GB30)</totalsRowFormula>
    </tableColumn>
    <tableColumn id="211" name="Monday201" totalsRowFunction="custom" dataDxfId="614" totalsRowDxfId="142">
      <totalsRowFormula>SUM(GC7:GC30)</totalsRowFormula>
    </tableColumn>
    <tableColumn id="212" name="Tuesday202" totalsRowFunction="custom" dataDxfId="613" totalsRowDxfId="141">
      <totalsRowFormula>SUM(GD7:GD30)</totalsRowFormula>
    </tableColumn>
    <tableColumn id="213" name="Wednesday203" totalsRowFunction="custom" dataDxfId="612" totalsRowDxfId="140">
      <totalsRowFormula>SUM(GE7:GE30)</totalsRowFormula>
    </tableColumn>
    <tableColumn id="214" name="Thursday204" totalsRowFunction="custom" dataDxfId="611" totalsRowDxfId="139">
      <totalsRowFormula>SUM(GF7:GF30)</totalsRowFormula>
    </tableColumn>
    <tableColumn id="215" name="Friday205" totalsRowFunction="custom" dataDxfId="610" totalsRowDxfId="138">
      <totalsRowFormula>SUM(GG7:GG30)</totalsRowFormula>
    </tableColumn>
    <tableColumn id="216" name="Saturday206" totalsRowFunction="custom" dataDxfId="609" totalsRowDxfId="137">
      <totalsRowFormula>SUM(GH7:GH30)</totalsRowFormula>
    </tableColumn>
    <tableColumn id="217" name="Sunday207" totalsRowFunction="custom" dataDxfId="608" totalsRowDxfId="136">
      <totalsRowFormula>SUM(GI7:GI30)</totalsRowFormula>
    </tableColumn>
    <tableColumn id="218" name="Monday208" totalsRowFunction="custom" dataDxfId="607" totalsRowDxfId="135">
      <totalsRowFormula>SUM(GJ7:GJ30)</totalsRowFormula>
    </tableColumn>
    <tableColumn id="219" name="Tuesday209" totalsRowFunction="custom" dataDxfId="606" totalsRowDxfId="134">
      <totalsRowFormula>SUM(GK7:GK30)</totalsRowFormula>
    </tableColumn>
    <tableColumn id="220" name="Wednesday210" totalsRowFunction="custom" dataDxfId="605" totalsRowDxfId="133">
      <totalsRowFormula>SUM(GL7:GL30)</totalsRowFormula>
    </tableColumn>
    <tableColumn id="221" name="Thursday211" totalsRowFunction="custom" dataDxfId="604" totalsRowDxfId="132">
      <totalsRowFormula>SUM(GM7:GM30)</totalsRowFormula>
    </tableColumn>
    <tableColumn id="222" name="Friday212" dataDxfId="603" totalsRowDxfId="131"/>
    <tableColumn id="223" name="Saturday213" dataDxfId="602" totalsRowDxfId="130"/>
    <tableColumn id="224" name="Sunday214" dataDxfId="601" totalsRowDxfId="129"/>
    <tableColumn id="225" name="Monday215" dataDxfId="600" totalsRowDxfId="128"/>
    <tableColumn id="226" name="Tuesday216" dataDxfId="599" totalsRowDxfId="127"/>
    <tableColumn id="227" name="Wednesday217" dataDxfId="598" totalsRowDxfId="126"/>
    <tableColumn id="228" name="Thursday218" dataDxfId="597" totalsRowDxfId="125"/>
    <tableColumn id="229" name="Friday219" dataDxfId="596" totalsRowDxfId="124"/>
    <tableColumn id="230" name="Saturday220" dataDxfId="595" totalsRowDxfId="123"/>
    <tableColumn id="231" name="Sunday221" dataDxfId="594" totalsRowDxfId="122"/>
    <tableColumn id="232" name="Monday222" dataDxfId="593" totalsRowDxfId="121"/>
    <tableColumn id="233" name="Tuesday223" dataDxfId="592" totalsRowDxfId="120"/>
    <tableColumn id="234" name="Wednesday224" dataDxfId="591" totalsRowDxfId="119"/>
    <tableColumn id="235" name="Thursday225" dataDxfId="590" totalsRowDxfId="118"/>
    <tableColumn id="236" name="Friday226" dataDxfId="589" totalsRowDxfId="117"/>
    <tableColumn id="237" name="Saturday227" dataDxfId="588" totalsRowDxfId="116"/>
    <tableColumn id="238" name="Sunday228" dataDxfId="587" totalsRowDxfId="115"/>
    <tableColumn id="239" name="Monday229" dataDxfId="586" totalsRowDxfId="114"/>
    <tableColumn id="240" name="Tuesday230" dataDxfId="585" totalsRowDxfId="113"/>
    <tableColumn id="241" name="Wednesday231" dataDxfId="584" totalsRowDxfId="112"/>
    <tableColumn id="242" name="Thursday232" dataDxfId="583" totalsRowDxfId="111"/>
    <tableColumn id="243" name="Friday233" dataDxfId="582" totalsRowDxfId="110"/>
    <tableColumn id="244" name="Saturday234" dataDxfId="581" totalsRowDxfId="109"/>
    <tableColumn id="245" name="Sunday235" dataDxfId="580" totalsRowDxfId="108"/>
    <tableColumn id="246" name="Monday236" dataDxfId="579" totalsRowDxfId="107"/>
    <tableColumn id="247" name="Tuesday237" dataDxfId="578" totalsRowDxfId="106"/>
    <tableColumn id="248" name="Wednesday238" dataDxfId="577" totalsRowDxfId="105"/>
    <tableColumn id="249" name="Thursday239" dataDxfId="576" totalsRowDxfId="104"/>
    <tableColumn id="250" name="Friday240" dataDxfId="575" totalsRowDxfId="103"/>
    <tableColumn id="251" name="Saturday241" dataDxfId="574" totalsRowDxfId="102"/>
    <tableColumn id="252" name="Sunday242" dataDxfId="573" totalsRowDxfId="101"/>
    <tableColumn id="253" name="Monday243" dataDxfId="572" totalsRowDxfId="100"/>
    <tableColumn id="254" name="Tuesday244" dataDxfId="571" totalsRowDxfId="99"/>
    <tableColumn id="255" name="Wednesday245" dataDxfId="570" totalsRowDxfId="98"/>
    <tableColumn id="256" name="Thursday246" dataDxfId="569" totalsRowDxfId="97"/>
    <tableColumn id="257" name="Friday247" dataDxfId="568" totalsRowDxfId="96"/>
    <tableColumn id="258" name="Saturday248" dataDxfId="567" totalsRowDxfId="95"/>
    <tableColumn id="259" name="Sunday249" dataDxfId="566" totalsRowDxfId="94"/>
    <tableColumn id="260" name="Monday250" dataDxfId="565" totalsRowDxfId="93"/>
    <tableColumn id="261" name="Tuesday251" dataDxfId="564" totalsRowDxfId="92"/>
    <tableColumn id="262" name="Wednesday252" dataDxfId="563" totalsRowDxfId="91"/>
    <tableColumn id="263" name="Thursday253" dataDxfId="562" totalsRowDxfId="90"/>
    <tableColumn id="264" name="Friday254" dataDxfId="561" totalsRowDxfId="89"/>
    <tableColumn id="265" name="Saturday255" dataDxfId="560" totalsRowDxfId="88"/>
    <tableColumn id="266" name="Sunday256" dataDxfId="559" totalsRowDxfId="87"/>
    <tableColumn id="267" name="Monday257" dataDxfId="558" totalsRowDxfId="86"/>
    <tableColumn id="268" name="Tuesday258" dataDxfId="557" totalsRowDxfId="85"/>
    <tableColumn id="269" name="Wednesday259" dataDxfId="556" totalsRowDxfId="84"/>
    <tableColumn id="270" name="Thursday260" dataDxfId="555" totalsRowDxfId="83"/>
    <tableColumn id="271" name="Friday261" dataDxfId="554" totalsRowDxfId="82"/>
    <tableColumn id="272" name="Saturday262" dataDxfId="553" totalsRowDxfId="81"/>
    <tableColumn id="273" name="Sunday263" dataDxfId="552" totalsRowDxfId="80"/>
    <tableColumn id="274" name="Monday264" dataDxfId="551" totalsRowDxfId="79"/>
    <tableColumn id="275" name="Tuesday265" dataDxfId="550" totalsRowDxfId="78"/>
    <tableColumn id="276" name="Wednesday266" dataDxfId="549" totalsRowDxfId="77"/>
    <tableColumn id="277" name="Thursday267" dataDxfId="548" totalsRowDxfId="76"/>
    <tableColumn id="278" name="Friday268" dataDxfId="547" totalsRowDxfId="75"/>
    <tableColumn id="279" name="Saturday269" dataDxfId="546" totalsRowDxfId="74"/>
    <tableColumn id="280" name="Sunday270" dataDxfId="545" totalsRowDxfId="73"/>
    <tableColumn id="281" name="Monday271" dataDxfId="544" totalsRowDxfId="72"/>
    <tableColumn id="282" name="Tuesday272" dataDxfId="543" totalsRowDxfId="71"/>
    <tableColumn id="283" name="Wednesday273" dataDxfId="542" totalsRowDxfId="70"/>
    <tableColumn id="284" name="Thursday274" dataDxfId="541" totalsRowDxfId="69"/>
    <tableColumn id="285" name="Friday275" dataDxfId="540" totalsRowDxfId="68"/>
    <tableColumn id="286" name="Saturday276" dataDxfId="539" totalsRowDxfId="67"/>
    <tableColumn id="287" name="Sunday277" dataDxfId="538" totalsRowDxfId="66"/>
    <tableColumn id="288" name="Monday278" dataDxfId="537" totalsRowDxfId="65"/>
    <tableColumn id="289" name="Tuesday279" dataDxfId="536" totalsRowDxfId="64"/>
    <tableColumn id="290" name="Wednesday280" dataDxfId="535" totalsRowDxfId="63"/>
    <tableColumn id="291" name="Thursday281" dataDxfId="534" totalsRowDxfId="62"/>
    <tableColumn id="292" name="Friday282" dataDxfId="533" totalsRowDxfId="61"/>
    <tableColumn id="293" name="Saturday283" dataDxfId="532" totalsRowDxfId="60"/>
    <tableColumn id="294" name="Sunday284" dataDxfId="531" totalsRowDxfId="59"/>
    <tableColumn id="295" name="Monday285" dataDxfId="530" totalsRowDxfId="58"/>
    <tableColumn id="296" name="Tuesday286" dataDxfId="529" totalsRowDxfId="57"/>
    <tableColumn id="297" name="Wednesday287" dataDxfId="528" totalsRowDxfId="56"/>
    <tableColumn id="298" name="Thursday288" dataDxfId="527" totalsRowDxfId="55"/>
    <tableColumn id="299" name="Friday289" dataDxfId="526" totalsRowDxfId="54"/>
    <tableColumn id="300" name="Saturday290" dataDxfId="525" totalsRowDxfId="53"/>
    <tableColumn id="301" name="Sunday291" dataDxfId="524" totalsRowDxfId="52"/>
    <tableColumn id="302" name="Monday292" dataDxfId="523" totalsRowDxfId="51"/>
    <tableColumn id="303" name="Tuesday293" dataDxfId="522" totalsRowDxfId="50"/>
    <tableColumn id="304" name="Wednesday294" dataDxfId="521" totalsRowDxfId="49"/>
    <tableColumn id="305" name="Thursday295" dataDxfId="520" totalsRowDxfId="48"/>
    <tableColumn id="306" name="Friday296" dataDxfId="519" totalsRowDxfId="47"/>
    <tableColumn id="307" name="Saturday297" dataDxfId="518" totalsRowDxfId="46"/>
    <tableColumn id="308" name="Sunday298" dataDxfId="517" totalsRowDxfId="45"/>
    <tableColumn id="309" name="Monday299" dataDxfId="516" totalsRowDxfId="44"/>
    <tableColumn id="310" name="Tuesday300" dataDxfId="515" totalsRowDxfId="43"/>
    <tableColumn id="311" name="Wednesday301" dataDxfId="514" totalsRowDxfId="42"/>
    <tableColumn id="312" name="Thursday302" dataDxfId="513" totalsRowDxfId="41"/>
    <tableColumn id="313" name="Friday303" dataDxfId="512" totalsRowDxfId="40"/>
    <tableColumn id="314" name="Saturday304" dataDxfId="511" totalsRowDxfId="39"/>
    <tableColumn id="315" name="Sunday305" dataDxfId="510" totalsRowDxfId="38"/>
    <tableColumn id="316" name="Monday306" dataDxfId="509" totalsRowDxfId="37"/>
    <tableColumn id="317" name="Tuesday307" dataDxfId="508" totalsRowDxfId="36"/>
    <tableColumn id="318" name="Wednesday308" dataDxfId="507" totalsRowDxfId="35"/>
    <tableColumn id="319" name="Thursday309" dataDxfId="506" totalsRowDxfId="34"/>
    <tableColumn id="320" name="Friday310" dataDxfId="505" totalsRowDxfId="33"/>
    <tableColumn id="321" name="Saturday311" dataDxfId="504" totalsRowDxfId="32"/>
    <tableColumn id="322" name="Sunday312" dataDxfId="503" totalsRowDxfId="31"/>
    <tableColumn id="323" name="Monday313" dataDxfId="502" totalsRowDxfId="30"/>
    <tableColumn id="324" name="Tuesday314" dataDxfId="501" totalsRowDxfId="29"/>
    <tableColumn id="325" name="Wednesday315" dataDxfId="500" totalsRowDxfId="28"/>
    <tableColumn id="326" name="Thursday316" dataDxfId="499" totalsRowDxfId="27"/>
    <tableColumn id="327" name="Friday317" dataDxfId="498" totalsRowDxfId="26"/>
    <tableColumn id="328" name="Saturday318" dataDxfId="497" totalsRowDxfId="25"/>
    <tableColumn id="329" name="Sunday319" dataDxfId="496" totalsRowDxfId="24"/>
    <tableColumn id="330" name="Monday320" dataDxfId="495" totalsRowDxfId="23"/>
    <tableColumn id="331" name="Tuesday321" dataDxfId="494" totalsRowDxfId="22"/>
    <tableColumn id="332" name="Wednesday322" dataDxfId="493" totalsRowDxfId="21"/>
    <tableColumn id="333" name="Thursday323" dataDxfId="492" totalsRowDxfId="20"/>
    <tableColumn id="334" name="Friday324" dataDxfId="491" totalsRowDxfId="19"/>
    <tableColumn id="335" name="Saturday325" dataDxfId="490" totalsRowDxfId="18"/>
    <tableColumn id="336" name="Sunday326" dataDxfId="489" totalsRowDxfId="17"/>
    <tableColumn id="337" name="Monday327" dataDxfId="488" totalsRowDxfId="16"/>
    <tableColumn id="338" name="Tuesday328" dataDxfId="487" totalsRowDxfId="15"/>
    <tableColumn id="339" name="Wednesday329" dataDxfId="486" totalsRowDxfId="14"/>
    <tableColumn id="340" name="Thursday330" dataDxfId="485" totalsRowDxfId="13"/>
    <tableColumn id="341" name="Friday331" dataDxfId="484" totalsRowDxfId="12"/>
    <tableColumn id="342" name="Saturday332" dataDxfId="483" totalsRowDxfId="11"/>
    <tableColumn id="343" name="Sunday333" dataDxfId="482" totalsRowDxfId="10"/>
    <tableColumn id="344" name="Monday334" dataDxfId="481" totalsRowDxfId="9"/>
    <tableColumn id="345" name="Tuesday335" dataDxfId="480" totalsRowDxfId="8"/>
    <tableColumn id="346" name="Wednesday336" dataDxfId="479" totalsRowDxfId="7"/>
    <tableColumn id="347" name="Thursday337" dataDxfId="478" totalsRowDxfId="6"/>
    <tableColumn id="348" name="Friday338" dataDxfId="477" totalsRowDxfId="5"/>
    <tableColumn id="349" name="Saturday339" dataDxfId="476" totalsRowDxfId="4"/>
    <tableColumn id="350" name="Sunday340" dataDxfId="475" totalsRowDxfId="3"/>
    <tableColumn id="351" name="Monday341" dataDxfId="474" totalsRowDxfId="2"/>
    <tableColumn id="352" name="Tuesday342" dataDxfId="473" totalsRowDxfId="1"/>
    <tableColumn id="353" name="Wednesday343" dataDxfId="472"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63" dataDxfId="462">
  <autoFilter ref="B4:I17"/>
  <sortState ref="B5:I16">
    <sortCondition descending="1" ref="B4:B16"/>
  </sortState>
  <tableColumns count="8">
    <tableColumn id="1" name="PRIORITY" dataDxfId="461"/>
    <tableColumn id="2" name="CATEGORY" dataDxfId="460"/>
    <tableColumn id="9" name="TODO" dataDxfId="459"/>
    <tableColumn id="3" name="TASK DESCRIPTION" dataDxfId="458" dataCellStyle="Note"/>
    <tableColumn id="4" name="Links/Notes" dataDxfId="457"/>
    <tableColumn id="8" name="PERCENT" dataDxfId="456"/>
    <tableColumn id="5" name="HOURS NEEDED" dataDxfId="455"/>
    <tableColumn id="6" name="Due Dates" dataDxfId="45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53" dataDxfId="452">
  <autoFilter ref="B4:K12"/>
  <sortState ref="B5:K12">
    <sortCondition descending="1" ref="B4:B12"/>
  </sortState>
  <tableColumns count="10">
    <tableColumn id="1" name="PRIORITY" dataDxfId="451"/>
    <tableColumn id="10" name="Revision Priority" dataDxfId="450"/>
    <tableColumn id="2" name="SUBJECT" dataDxfId="449"/>
    <tableColumn id="9" name="TASKS LEFT" dataDxfId="448"/>
    <tableColumn id="3" name="Tasks" dataDxfId="447" dataCellStyle="Note"/>
    <tableColumn id="4" name="Links" dataDxfId="446"/>
    <tableColumn id="5" name="Percent" dataDxfId="445"/>
    <tableColumn id="6" name="Due Dates" dataDxfId="444"/>
    <tableColumn id="7" name="Revision" dataDxfId="443" dataCellStyle="Normal"/>
    <tableColumn id="8" name="Next Assesment + Assignment" dataDxfId="44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339" tableBorderDxfId="338">
  <autoFilter ref="A7:F732"/>
  <tableColumns count="6">
    <tableColumn id="1" name="CAT" dataDxfId="337" dataCellStyle="Good"/>
    <tableColumn id="2" name="STAGE" dataDxfId="336"/>
    <tableColumn id="3" name="TASK" dataDxfId="335"/>
    <tableColumn id="4" name="Start Date" dataDxfId="334"/>
    <tableColumn id="5" name="End Date" dataDxfId="333"/>
    <tableColumn id="6" name="Progress" dataDxfId="332"/>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331" dataDxfId="330">
  <autoFilter ref="C15:G120"/>
  <tableColumns count="5">
    <tableColumn id="1" name="Task" dataDxfId="329"/>
    <tableColumn id="2" name="TODO" dataDxfId="328"/>
    <tableColumn id="3" name="Percentage" dataDxfId="327"/>
    <tableColumn id="4" name="Due" dataDxfId="326"/>
    <tableColumn id="5" name="Side Notes" dataDxfId="32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4.bin"/><Relationship Id="rId1" Type="http://schemas.openxmlformats.org/officeDocument/2006/relationships/hyperlink" Target="http://www.udemy.com/"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O41"/>
  <sheetViews>
    <sheetView tabSelected="1" topLeftCell="A5" zoomScale="121" workbookViewId="0">
      <selection activeCell="F13" sqref="F13"/>
    </sheetView>
  </sheetViews>
  <sheetFormatPr defaultColWidth="8.85546875" defaultRowHeight="15"/>
  <cols>
    <col min="1" max="1" width="19.28515625" style="67" customWidth="1"/>
    <col min="2" max="2" width="21.85546875" style="71" customWidth="1"/>
    <col min="3" max="332" width="20.7109375" style="76" customWidth="1"/>
    <col min="333" max="16384" width="8.85546875" style="76"/>
  </cols>
  <sheetData>
    <row r="1" spans="1:327" s="68" customFormat="1" ht="15.75">
      <c r="A1" s="69">
        <f ca="1">TODAY()</f>
        <v>43180</v>
      </c>
      <c r="G1" s="141" t="s">
        <v>746</v>
      </c>
    </row>
    <row r="2" spans="1:327" s="141" customFormat="1" ht="66.75" customHeight="1">
      <c r="A2" s="140">
        <f ca="1">NOW()</f>
        <v>43180.870027314813</v>
      </c>
      <c r="B2" s="142">
        <v>43157</v>
      </c>
      <c r="G2" s="279" t="s">
        <v>745</v>
      </c>
      <c r="H2" s="142" t="s">
        <v>747</v>
      </c>
      <c r="I2" s="142"/>
      <c r="J2" s="142"/>
      <c r="K2" s="142"/>
      <c r="L2" s="142"/>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row>
    <row r="3" spans="1:327" s="191" customFormat="1" ht="33" customHeight="1">
      <c r="A3" s="155">
        <f ca="1">HOUR(A2)</f>
        <v>20</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row>
    <row r="4" spans="1:327" s="73" customFormat="1" ht="32.25" customHeight="1">
      <c r="A4" s="72"/>
      <c r="C4" s="74">
        <v>43178</v>
      </c>
      <c r="D4" s="74">
        <v>43179</v>
      </c>
      <c r="E4" s="74">
        <v>43180</v>
      </c>
      <c r="F4" s="74">
        <v>43181</v>
      </c>
      <c r="G4" s="74">
        <v>43182</v>
      </c>
      <c r="H4" s="74">
        <v>43183</v>
      </c>
      <c r="I4" s="74">
        <v>43184</v>
      </c>
      <c r="J4" s="74">
        <v>43185</v>
      </c>
      <c r="K4" s="74">
        <v>43186</v>
      </c>
      <c r="L4" s="74">
        <v>43187</v>
      </c>
      <c r="M4" s="74">
        <v>43188</v>
      </c>
      <c r="N4" s="74">
        <v>43189</v>
      </c>
      <c r="O4" s="74">
        <v>43190</v>
      </c>
      <c r="P4" s="74">
        <v>43191</v>
      </c>
      <c r="Q4" s="74">
        <v>43192</v>
      </c>
      <c r="R4" s="74">
        <v>43193</v>
      </c>
      <c r="S4" s="74">
        <v>43194</v>
      </c>
      <c r="T4" s="74">
        <v>43195</v>
      </c>
      <c r="U4" s="74">
        <v>43196</v>
      </c>
      <c r="V4" s="74">
        <v>43197</v>
      </c>
      <c r="W4" s="74">
        <v>43198</v>
      </c>
      <c r="X4" s="74">
        <v>43199</v>
      </c>
      <c r="Y4" s="74">
        <v>43200</v>
      </c>
      <c r="Z4" s="74">
        <v>43201</v>
      </c>
      <c r="AA4" s="74">
        <v>43202</v>
      </c>
      <c r="AB4" s="74">
        <v>43203</v>
      </c>
      <c r="AC4" s="74">
        <v>43204</v>
      </c>
      <c r="AD4" s="74">
        <v>43205</v>
      </c>
      <c r="AE4" s="74">
        <v>43206</v>
      </c>
      <c r="AF4" s="74">
        <v>43207</v>
      </c>
      <c r="AG4" s="74">
        <v>43208</v>
      </c>
      <c r="AH4" s="74">
        <v>43209</v>
      </c>
      <c r="AI4" s="74">
        <v>43210</v>
      </c>
      <c r="AJ4" s="74">
        <v>43211</v>
      </c>
      <c r="AK4" s="74">
        <v>43212</v>
      </c>
      <c r="AL4" s="74">
        <v>43213</v>
      </c>
      <c r="AM4" s="74">
        <v>43214</v>
      </c>
      <c r="AN4" s="74">
        <v>43215</v>
      </c>
      <c r="AO4" s="74">
        <v>43216</v>
      </c>
      <c r="AP4" s="74">
        <v>43217</v>
      </c>
      <c r="AQ4" s="74">
        <v>43218</v>
      </c>
      <c r="AR4" s="74">
        <v>43219</v>
      </c>
      <c r="AS4" s="74">
        <v>43220</v>
      </c>
      <c r="AT4" s="74">
        <v>43221</v>
      </c>
      <c r="AU4" s="74">
        <v>43222</v>
      </c>
      <c r="AV4" s="74">
        <v>43223</v>
      </c>
      <c r="AW4" s="74">
        <v>43224</v>
      </c>
      <c r="AX4" s="74">
        <v>43225</v>
      </c>
      <c r="AY4" s="74">
        <v>43226</v>
      </c>
      <c r="AZ4" s="74">
        <v>43227</v>
      </c>
      <c r="BA4" s="74">
        <v>43228</v>
      </c>
      <c r="BB4" s="74">
        <v>43229</v>
      </c>
      <c r="BC4" s="74">
        <v>43230</v>
      </c>
      <c r="BD4" s="74">
        <v>43231</v>
      </c>
      <c r="BE4" s="74">
        <v>43232</v>
      </c>
      <c r="BF4" s="74">
        <v>43233</v>
      </c>
      <c r="BG4" s="74">
        <v>43234</v>
      </c>
      <c r="BH4" s="74">
        <v>43235</v>
      </c>
      <c r="BI4" s="74">
        <v>43236</v>
      </c>
      <c r="BJ4" s="74">
        <v>43237</v>
      </c>
      <c r="BK4" s="74">
        <v>43238</v>
      </c>
      <c r="BL4" s="74">
        <v>43239</v>
      </c>
      <c r="BM4" s="74">
        <v>43240</v>
      </c>
      <c r="BN4" s="74">
        <v>43241</v>
      </c>
      <c r="BO4" s="74">
        <v>43242</v>
      </c>
      <c r="BP4" s="74">
        <v>43243</v>
      </c>
      <c r="BQ4" s="74">
        <v>43244</v>
      </c>
      <c r="BR4" s="74">
        <v>43245</v>
      </c>
      <c r="BS4" s="74">
        <v>43246</v>
      </c>
      <c r="BT4" s="74">
        <v>43247</v>
      </c>
      <c r="BU4" s="74">
        <v>43248</v>
      </c>
      <c r="BV4" s="74">
        <v>43249</v>
      </c>
      <c r="BW4" s="74">
        <v>43250</v>
      </c>
      <c r="BX4" s="74">
        <v>43251</v>
      </c>
      <c r="BY4" s="74">
        <v>43252</v>
      </c>
      <c r="BZ4" s="74">
        <v>43253</v>
      </c>
      <c r="CA4" s="74">
        <v>43254</v>
      </c>
      <c r="CB4" s="74">
        <v>43255</v>
      </c>
      <c r="CC4" s="74">
        <v>43256</v>
      </c>
      <c r="CD4" s="74">
        <v>43257</v>
      </c>
      <c r="CE4" s="74">
        <v>43258</v>
      </c>
      <c r="CF4" s="74">
        <v>43259</v>
      </c>
      <c r="CG4" s="74">
        <v>43260</v>
      </c>
      <c r="CH4" s="74">
        <v>43261</v>
      </c>
      <c r="CI4" s="74">
        <v>43262</v>
      </c>
      <c r="CJ4" s="74">
        <v>43263</v>
      </c>
      <c r="CK4" s="74">
        <v>43264</v>
      </c>
      <c r="CL4" s="74">
        <v>43265</v>
      </c>
      <c r="CM4" s="74">
        <v>43266</v>
      </c>
      <c r="CN4" s="74">
        <v>43267</v>
      </c>
      <c r="CO4" s="74">
        <v>43268</v>
      </c>
      <c r="CP4" s="74">
        <v>43269</v>
      </c>
      <c r="CQ4" s="74">
        <v>43270</v>
      </c>
      <c r="CR4" s="74">
        <v>43271</v>
      </c>
      <c r="CS4" s="74">
        <v>43272</v>
      </c>
      <c r="CT4" s="74">
        <v>43273</v>
      </c>
      <c r="CU4" s="74">
        <v>43274</v>
      </c>
      <c r="CV4" s="74">
        <v>43275</v>
      </c>
      <c r="CW4" s="74">
        <v>43276</v>
      </c>
      <c r="CX4" s="74">
        <v>43277</v>
      </c>
      <c r="CY4" s="74">
        <v>43278</v>
      </c>
      <c r="CZ4" s="74">
        <v>43279</v>
      </c>
      <c r="DA4" s="74">
        <v>43280</v>
      </c>
      <c r="DB4" s="74">
        <v>43281</v>
      </c>
      <c r="DC4" s="74">
        <v>43282</v>
      </c>
      <c r="DD4" s="74">
        <v>43283</v>
      </c>
      <c r="DE4" s="74">
        <v>43284</v>
      </c>
      <c r="DF4" s="74">
        <v>43285</v>
      </c>
      <c r="DG4" s="74">
        <v>43286</v>
      </c>
      <c r="DH4" s="74">
        <v>43287</v>
      </c>
      <c r="DI4" s="74">
        <v>43288</v>
      </c>
      <c r="DJ4" s="74">
        <v>43289</v>
      </c>
      <c r="DK4" s="74">
        <v>43290</v>
      </c>
      <c r="DL4" s="74">
        <v>43291</v>
      </c>
      <c r="DM4" s="74">
        <v>43292</v>
      </c>
      <c r="DN4" s="74">
        <v>43293</v>
      </c>
      <c r="DO4" s="74">
        <v>43294</v>
      </c>
      <c r="DP4" s="74">
        <v>43295</v>
      </c>
      <c r="DQ4" s="74">
        <v>43296</v>
      </c>
      <c r="DR4" s="74">
        <v>43297</v>
      </c>
      <c r="DS4" s="74">
        <v>43298</v>
      </c>
      <c r="DT4" s="74">
        <v>43299</v>
      </c>
      <c r="DU4" s="74">
        <v>43300</v>
      </c>
      <c r="DV4" s="74">
        <v>43301</v>
      </c>
      <c r="DW4" s="74">
        <v>43302</v>
      </c>
      <c r="DX4" s="74">
        <v>43303</v>
      </c>
      <c r="DY4" s="74">
        <v>43304</v>
      </c>
      <c r="DZ4" s="74">
        <v>43305</v>
      </c>
      <c r="EA4" s="74">
        <v>43306</v>
      </c>
      <c r="EB4" s="74">
        <v>43307</v>
      </c>
      <c r="EC4" s="74">
        <v>43308</v>
      </c>
      <c r="ED4" s="74">
        <v>43309</v>
      </c>
      <c r="EE4" s="74">
        <v>43310</v>
      </c>
      <c r="EF4" s="74">
        <v>43311</v>
      </c>
      <c r="EG4" s="74">
        <v>43312</v>
      </c>
      <c r="EH4" s="74">
        <v>43313</v>
      </c>
      <c r="EI4" s="74">
        <v>43314</v>
      </c>
      <c r="EJ4" s="74">
        <v>43315</v>
      </c>
      <c r="EK4" s="74">
        <v>43316</v>
      </c>
      <c r="EL4" s="74">
        <v>43317</v>
      </c>
      <c r="EM4" s="74">
        <v>43318</v>
      </c>
      <c r="EN4" s="74">
        <v>43319</v>
      </c>
      <c r="EO4" s="74">
        <v>43320</v>
      </c>
      <c r="EP4" s="74">
        <v>43321</v>
      </c>
      <c r="EQ4" s="74">
        <v>43322</v>
      </c>
      <c r="ER4" s="74">
        <v>43323</v>
      </c>
      <c r="ES4" s="74">
        <v>43324</v>
      </c>
      <c r="ET4" s="74">
        <v>43325</v>
      </c>
      <c r="EU4" s="74">
        <v>43326</v>
      </c>
      <c r="EV4" s="74">
        <v>43327</v>
      </c>
      <c r="EW4" s="74">
        <v>43328</v>
      </c>
      <c r="EX4" s="74">
        <v>43329</v>
      </c>
      <c r="EY4" s="74">
        <v>43330</v>
      </c>
      <c r="EZ4" s="74">
        <v>43331</v>
      </c>
      <c r="FA4" s="74">
        <v>43332</v>
      </c>
      <c r="FB4" s="74">
        <v>43333</v>
      </c>
      <c r="FC4" s="74">
        <v>43334</v>
      </c>
      <c r="FD4" s="74">
        <v>43335</v>
      </c>
      <c r="FE4" s="74">
        <v>43336</v>
      </c>
      <c r="FF4" s="74">
        <v>43337</v>
      </c>
      <c r="FG4" s="74">
        <v>43338</v>
      </c>
      <c r="FH4" s="74">
        <v>43339</v>
      </c>
      <c r="FI4" s="74">
        <v>43340</v>
      </c>
      <c r="FJ4" s="74">
        <v>43341</v>
      </c>
      <c r="FK4" s="74">
        <v>43342</v>
      </c>
      <c r="FL4" s="74">
        <v>43343</v>
      </c>
      <c r="FM4" s="74">
        <v>43344</v>
      </c>
      <c r="FN4" s="74">
        <v>43345</v>
      </c>
      <c r="FO4" s="74">
        <v>43346</v>
      </c>
      <c r="FP4" s="74">
        <v>43347</v>
      </c>
      <c r="FQ4" s="74">
        <v>43348</v>
      </c>
      <c r="FR4" s="74">
        <v>43349</v>
      </c>
      <c r="FS4" s="74">
        <v>43350</v>
      </c>
      <c r="FT4" s="74">
        <v>43351</v>
      </c>
      <c r="FU4" s="74">
        <v>43352</v>
      </c>
      <c r="FV4" s="74">
        <v>43353</v>
      </c>
      <c r="FW4" s="74">
        <v>43354</v>
      </c>
      <c r="FX4" s="74">
        <v>43355</v>
      </c>
      <c r="FY4" s="74">
        <v>43356</v>
      </c>
      <c r="FZ4" s="74">
        <v>43357</v>
      </c>
      <c r="GA4" s="74">
        <v>43358</v>
      </c>
      <c r="GB4" s="74">
        <v>43359</v>
      </c>
      <c r="GC4" s="74">
        <v>43360</v>
      </c>
      <c r="GD4" s="74">
        <v>43361</v>
      </c>
      <c r="GE4" s="74">
        <v>43362</v>
      </c>
      <c r="GF4" s="74">
        <v>43363</v>
      </c>
      <c r="GG4" s="74">
        <v>43364</v>
      </c>
      <c r="GH4" s="74">
        <v>43365</v>
      </c>
      <c r="GI4" s="74">
        <v>43366</v>
      </c>
      <c r="GJ4" s="74">
        <v>43367</v>
      </c>
      <c r="GK4" s="74">
        <v>43368</v>
      </c>
      <c r="GL4" s="74">
        <v>43369</v>
      </c>
      <c r="GM4" s="74">
        <v>43370</v>
      </c>
      <c r="GN4" s="74">
        <v>43371</v>
      </c>
      <c r="GO4" s="74">
        <v>43372</v>
      </c>
      <c r="GP4" s="74">
        <v>43373</v>
      </c>
      <c r="GQ4" s="74">
        <v>43374</v>
      </c>
      <c r="GR4" s="74">
        <v>43375</v>
      </c>
      <c r="GS4" s="74">
        <v>43376</v>
      </c>
      <c r="GT4" s="74">
        <v>43377</v>
      </c>
      <c r="GU4" s="74">
        <v>43378</v>
      </c>
      <c r="GV4" s="74">
        <v>43379</v>
      </c>
      <c r="GW4" s="74">
        <v>43380</v>
      </c>
      <c r="GX4" s="74">
        <v>43381</v>
      </c>
      <c r="GY4" s="74">
        <v>43382</v>
      </c>
      <c r="GZ4" s="74">
        <v>43383</v>
      </c>
      <c r="HA4" s="74">
        <v>43384</v>
      </c>
      <c r="HB4" s="74">
        <v>43385</v>
      </c>
      <c r="HC4" s="74">
        <v>43386</v>
      </c>
      <c r="HD4" s="74">
        <v>43387</v>
      </c>
      <c r="HE4" s="74">
        <v>43388</v>
      </c>
      <c r="HF4" s="74">
        <v>43389</v>
      </c>
      <c r="HG4" s="74">
        <v>43390</v>
      </c>
      <c r="HH4" s="74">
        <v>43391</v>
      </c>
      <c r="HI4" s="74">
        <v>43392</v>
      </c>
      <c r="HJ4" s="74">
        <v>43393</v>
      </c>
      <c r="HK4" s="74">
        <v>43394</v>
      </c>
      <c r="HL4" s="74">
        <v>43395</v>
      </c>
      <c r="HM4" s="74">
        <v>43396</v>
      </c>
      <c r="HN4" s="74">
        <v>43397</v>
      </c>
      <c r="HO4" s="74">
        <v>43398</v>
      </c>
      <c r="HP4" s="74">
        <v>43399</v>
      </c>
      <c r="HQ4" s="74">
        <v>43400</v>
      </c>
      <c r="HR4" s="74">
        <v>43401</v>
      </c>
      <c r="HS4" s="74">
        <v>43402</v>
      </c>
      <c r="HT4" s="74">
        <v>43403</v>
      </c>
      <c r="HU4" s="74">
        <v>43404</v>
      </c>
      <c r="HV4" s="74">
        <v>43405</v>
      </c>
      <c r="HW4" s="74">
        <v>43406</v>
      </c>
      <c r="HX4" s="74">
        <v>43407</v>
      </c>
      <c r="HY4" s="74">
        <v>43408</v>
      </c>
      <c r="HZ4" s="74">
        <v>43409</v>
      </c>
      <c r="IA4" s="74">
        <v>43410</v>
      </c>
      <c r="IB4" s="74">
        <v>43411</v>
      </c>
      <c r="IC4" s="74">
        <v>43412</v>
      </c>
      <c r="ID4" s="74">
        <v>43413</v>
      </c>
      <c r="IE4" s="74">
        <v>43414</v>
      </c>
      <c r="IF4" s="74">
        <v>43415</v>
      </c>
      <c r="IG4" s="74">
        <v>43416</v>
      </c>
      <c r="IH4" s="74">
        <v>43417</v>
      </c>
      <c r="II4" s="74">
        <v>43418</v>
      </c>
      <c r="IJ4" s="74">
        <v>43419</v>
      </c>
      <c r="IK4" s="74">
        <v>43420</v>
      </c>
      <c r="IL4" s="74">
        <v>43421</v>
      </c>
      <c r="IM4" s="74">
        <v>43422</v>
      </c>
      <c r="IN4" s="74">
        <v>43423</v>
      </c>
      <c r="IO4" s="74">
        <v>43424</v>
      </c>
      <c r="IP4" s="74">
        <v>43425</v>
      </c>
      <c r="IQ4" s="74">
        <v>43426</v>
      </c>
      <c r="IR4" s="74">
        <v>43427</v>
      </c>
      <c r="IS4" s="74">
        <v>43428</v>
      </c>
      <c r="IT4" s="74">
        <v>43429</v>
      </c>
      <c r="IU4" s="74">
        <v>43430</v>
      </c>
      <c r="IV4" s="74">
        <v>43431</v>
      </c>
      <c r="IW4" s="74">
        <v>43432</v>
      </c>
      <c r="IX4" s="74">
        <v>43433</v>
      </c>
      <c r="IY4" s="74">
        <v>43434</v>
      </c>
      <c r="IZ4" s="74">
        <v>43435</v>
      </c>
      <c r="JA4" s="74">
        <v>43436</v>
      </c>
      <c r="JB4" s="74">
        <v>43437</v>
      </c>
      <c r="JC4" s="74">
        <v>43438</v>
      </c>
      <c r="JD4" s="74">
        <v>43439</v>
      </c>
      <c r="JE4" s="74">
        <v>43440</v>
      </c>
      <c r="JF4" s="74">
        <v>43441</v>
      </c>
      <c r="JG4" s="74">
        <v>43442</v>
      </c>
      <c r="JH4" s="74">
        <v>43443</v>
      </c>
      <c r="JI4" s="74">
        <v>43444</v>
      </c>
      <c r="JJ4" s="74">
        <v>43445</v>
      </c>
      <c r="JK4" s="74">
        <v>43446</v>
      </c>
      <c r="JL4" s="74">
        <v>43447</v>
      </c>
      <c r="JM4" s="74">
        <v>43448</v>
      </c>
      <c r="JN4" s="74">
        <v>43449</v>
      </c>
      <c r="JO4" s="74">
        <v>43450</v>
      </c>
      <c r="JP4" s="74">
        <v>43451</v>
      </c>
      <c r="JQ4" s="74">
        <v>43452</v>
      </c>
      <c r="JR4" s="74">
        <v>43453</v>
      </c>
      <c r="JS4" s="74">
        <v>43454</v>
      </c>
      <c r="JT4" s="74">
        <v>43455</v>
      </c>
      <c r="JU4" s="74">
        <v>43456</v>
      </c>
      <c r="JV4" s="74">
        <v>43457</v>
      </c>
      <c r="JW4" s="74">
        <v>43458</v>
      </c>
      <c r="JX4" s="74">
        <v>43459</v>
      </c>
      <c r="JY4" s="74">
        <v>43460</v>
      </c>
      <c r="JZ4" s="74">
        <v>43461</v>
      </c>
      <c r="KA4" s="74">
        <v>43462</v>
      </c>
      <c r="KB4" s="74">
        <v>43463</v>
      </c>
      <c r="KC4" s="74">
        <v>43464</v>
      </c>
      <c r="KD4" s="74">
        <v>43465</v>
      </c>
      <c r="KE4" s="74">
        <v>43466</v>
      </c>
      <c r="KF4" s="74">
        <v>43467</v>
      </c>
      <c r="KG4" s="74">
        <v>43468</v>
      </c>
      <c r="KH4" s="74">
        <v>43469</v>
      </c>
      <c r="KI4" s="74">
        <v>43470</v>
      </c>
      <c r="KJ4" s="74">
        <v>43471</v>
      </c>
      <c r="KK4" s="74">
        <v>43472</v>
      </c>
      <c r="KL4" s="74">
        <v>43473</v>
      </c>
      <c r="KM4" s="74">
        <v>43474</v>
      </c>
      <c r="KN4" s="74">
        <v>43475</v>
      </c>
      <c r="KO4" s="74">
        <v>43476</v>
      </c>
      <c r="KP4" s="74">
        <v>43477</v>
      </c>
      <c r="KQ4" s="74">
        <v>43478</v>
      </c>
      <c r="KR4" s="74">
        <v>43479</v>
      </c>
      <c r="KS4" s="74">
        <v>43480</v>
      </c>
      <c r="KT4" s="74">
        <v>43481</v>
      </c>
      <c r="KU4" s="74">
        <v>43482</v>
      </c>
      <c r="KV4" s="74">
        <v>43483</v>
      </c>
      <c r="KW4" s="74">
        <v>43484</v>
      </c>
      <c r="KX4" s="74">
        <v>43485</v>
      </c>
      <c r="KY4" s="74">
        <v>43486</v>
      </c>
      <c r="KZ4" s="74">
        <v>43487</v>
      </c>
      <c r="LA4" s="74">
        <v>43488</v>
      </c>
      <c r="LB4" s="74">
        <v>43489</v>
      </c>
      <c r="LC4" s="74">
        <v>43490</v>
      </c>
      <c r="LD4" s="74">
        <v>43491</v>
      </c>
      <c r="LE4" s="74">
        <v>43492</v>
      </c>
      <c r="LF4" s="74">
        <v>43493</v>
      </c>
      <c r="LG4" s="74">
        <v>43494</v>
      </c>
      <c r="LH4" s="74">
        <v>43495</v>
      </c>
      <c r="LI4" s="74">
        <v>43496</v>
      </c>
      <c r="LJ4" s="74">
        <v>43497</v>
      </c>
      <c r="LK4" s="74">
        <v>43498</v>
      </c>
      <c r="LL4" s="74">
        <v>43499</v>
      </c>
      <c r="LM4" s="74">
        <v>43500</v>
      </c>
      <c r="LN4" s="74">
        <v>43501</v>
      </c>
      <c r="LO4" s="74">
        <v>43502</v>
      </c>
    </row>
    <row r="5" spans="1:327" s="73" customFormat="1" ht="32.25" customHeight="1">
      <c r="A5" s="72"/>
      <c r="B5" s="211" t="s">
        <v>695</v>
      </c>
      <c r="C5" s="212" t="s">
        <v>624</v>
      </c>
      <c r="D5" s="212" t="s">
        <v>624</v>
      </c>
      <c r="E5" s="212" t="s">
        <v>624</v>
      </c>
      <c r="F5" s="212" t="s">
        <v>624</v>
      </c>
      <c r="G5" s="212" t="s">
        <v>624</v>
      </c>
      <c r="H5" s="212" t="s">
        <v>624</v>
      </c>
      <c r="I5" s="212" t="s">
        <v>624</v>
      </c>
      <c r="J5" s="212" t="s">
        <v>625</v>
      </c>
      <c r="K5" s="212" t="s">
        <v>625</v>
      </c>
      <c r="L5" s="212" t="s">
        <v>625</v>
      </c>
      <c r="M5" s="212" t="s">
        <v>625</v>
      </c>
      <c r="N5" s="212" t="s">
        <v>625</v>
      </c>
      <c r="O5" s="212" t="s">
        <v>625</v>
      </c>
      <c r="P5" s="212" t="s">
        <v>625</v>
      </c>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row>
    <row r="6" spans="1:327" s="218" customFormat="1" ht="51.75" customHeight="1" thickBot="1">
      <c r="A6" s="216"/>
      <c r="B6" s="211" t="s">
        <v>696</v>
      </c>
      <c r="C6" s="214" t="s">
        <v>716</v>
      </c>
      <c r="D6" s="215" t="s">
        <v>705</v>
      </c>
      <c r="E6" s="287" t="s">
        <v>706</v>
      </c>
      <c r="F6" s="214" t="s">
        <v>712</v>
      </c>
      <c r="G6" s="214" t="s">
        <v>704</v>
      </c>
      <c r="H6" s="214"/>
      <c r="I6" s="214"/>
      <c r="J6" s="214"/>
      <c r="K6" s="214"/>
      <c r="L6" s="214"/>
      <c r="M6" s="214"/>
      <c r="N6" s="214"/>
      <c r="O6" s="214"/>
      <c r="P6" s="214"/>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7"/>
      <c r="BH6" s="217"/>
      <c r="BI6" s="217"/>
      <c r="BJ6" s="217"/>
      <c r="BK6" s="217"/>
      <c r="BL6" s="217"/>
      <c r="BM6" s="217"/>
      <c r="BN6" s="217"/>
      <c r="BO6" s="217"/>
      <c r="BP6" s="217"/>
      <c r="BQ6" s="217"/>
      <c r="BR6" s="217"/>
      <c r="BS6" s="217"/>
      <c r="BT6" s="217"/>
      <c r="BU6" s="217"/>
      <c r="BV6" s="217"/>
      <c r="BW6" s="217"/>
      <c r="BX6" s="217"/>
      <c r="BY6" s="217"/>
      <c r="BZ6" s="217"/>
      <c r="CA6" s="217"/>
      <c r="CB6" s="217"/>
      <c r="CC6" s="217"/>
      <c r="CD6" s="217"/>
      <c r="CE6" s="217"/>
      <c r="CF6" s="217"/>
      <c r="CG6" s="217"/>
      <c r="CH6" s="217"/>
      <c r="CI6" s="217"/>
      <c r="CJ6" s="217"/>
      <c r="CK6" s="217"/>
      <c r="CL6" s="217"/>
      <c r="CM6" s="217"/>
      <c r="CN6" s="217"/>
      <c r="CO6" s="217"/>
      <c r="CP6" s="217"/>
      <c r="CQ6" s="217"/>
      <c r="CR6" s="217"/>
      <c r="CS6" s="217"/>
      <c r="CT6" s="217"/>
      <c r="CU6" s="217"/>
      <c r="CV6" s="217"/>
      <c r="CW6" s="217"/>
      <c r="CX6" s="217"/>
      <c r="CY6" s="217"/>
      <c r="CZ6" s="217"/>
      <c r="DA6" s="217"/>
      <c r="DB6" s="217"/>
      <c r="DC6" s="217"/>
      <c r="DD6" s="217"/>
      <c r="DE6" s="217"/>
      <c r="DF6" s="217"/>
      <c r="DG6" s="217"/>
      <c r="DH6" s="217"/>
      <c r="DI6" s="217"/>
      <c r="DJ6" s="217"/>
      <c r="DK6" s="217"/>
      <c r="DL6" s="217"/>
      <c r="DM6" s="217"/>
      <c r="DN6" s="217"/>
      <c r="DO6" s="217"/>
      <c r="DP6" s="217"/>
      <c r="DQ6" s="217"/>
      <c r="DR6" s="217"/>
      <c r="DS6" s="217"/>
      <c r="DT6" s="217"/>
      <c r="DU6" s="217"/>
      <c r="DV6" s="217"/>
      <c r="DW6" s="217"/>
      <c r="DX6" s="217"/>
      <c r="DY6" s="217"/>
      <c r="DZ6" s="217"/>
      <c r="EA6" s="217"/>
      <c r="EB6" s="217"/>
      <c r="EC6" s="217"/>
      <c r="ED6" s="217"/>
      <c r="EE6" s="217"/>
      <c r="EF6" s="217"/>
      <c r="EG6" s="217"/>
      <c r="EH6" s="217"/>
      <c r="EI6" s="217"/>
      <c r="EJ6" s="217"/>
      <c r="EK6" s="217"/>
      <c r="EL6" s="217"/>
      <c r="EM6" s="217"/>
      <c r="EN6" s="217"/>
      <c r="EO6" s="217"/>
      <c r="EP6" s="217"/>
      <c r="EQ6" s="217"/>
      <c r="ER6" s="217"/>
      <c r="ES6" s="217"/>
      <c r="ET6" s="217"/>
      <c r="EU6" s="217"/>
      <c r="EV6" s="217"/>
      <c r="EW6" s="217"/>
      <c r="EX6" s="217"/>
      <c r="EY6" s="217"/>
      <c r="EZ6" s="217"/>
      <c r="FA6" s="217"/>
      <c r="FB6" s="217"/>
      <c r="FC6" s="217"/>
      <c r="FD6" s="217"/>
      <c r="FE6" s="217"/>
      <c r="FF6" s="217"/>
      <c r="FG6" s="217"/>
      <c r="FH6" s="217"/>
      <c r="FI6" s="217"/>
      <c r="FJ6" s="217"/>
      <c r="FK6" s="217"/>
      <c r="FL6" s="217"/>
      <c r="FM6" s="217"/>
      <c r="FN6" s="217"/>
      <c r="FO6" s="217"/>
      <c r="FP6" s="217"/>
      <c r="FQ6" s="217"/>
      <c r="FR6" s="217"/>
      <c r="FS6" s="217"/>
      <c r="FT6" s="217"/>
      <c r="FU6" s="217"/>
      <c r="FV6" s="217"/>
      <c r="FW6" s="217"/>
      <c r="FX6" s="217"/>
      <c r="FY6" s="217"/>
      <c r="FZ6" s="217"/>
      <c r="GA6" s="217"/>
      <c r="GB6" s="217"/>
      <c r="GC6" s="217"/>
      <c r="GD6" s="217"/>
      <c r="GE6" s="217"/>
      <c r="GF6" s="217"/>
      <c r="GG6" s="217"/>
      <c r="GH6" s="217"/>
      <c r="GI6" s="217"/>
      <c r="GJ6" s="217"/>
      <c r="GK6" s="217"/>
      <c r="GL6" s="217"/>
      <c r="GM6" s="217"/>
      <c r="GN6" s="217"/>
      <c r="GO6" s="217"/>
      <c r="GP6" s="217"/>
      <c r="GQ6" s="217"/>
      <c r="GR6" s="217"/>
      <c r="GS6" s="217"/>
      <c r="GT6" s="217"/>
      <c r="GU6" s="217"/>
      <c r="GV6" s="217"/>
      <c r="GW6" s="217"/>
      <c r="GX6" s="217"/>
      <c r="GY6" s="217"/>
      <c r="GZ6" s="217"/>
      <c r="HA6" s="217"/>
      <c r="HB6" s="217"/>
      <c r="HC6" s="217"/>
      <c r="HD6" s="217"/>
      <c r="HE6" s="217"/>
      <c r="HF6" s="217"/>
      <c r="HG6" s="217"/>
      <c r="HH6" s="217"/>
      <c r="HI6" s="217"/>
      <c r="HJ6" s="217"/>
      <c r="HK6" s="217"/>
      <c r="HL6" s="217"/>
      <c r="HM6" s="217"/>
      <c r="HN6" s="217"/>
      <c r="HO6" s="217"/>
      <c r="HP6" s="217"/>
      <c r="HQ6" s="217"/>
      <c r="HR6" s="217"/>
      <c r="HS6" s="217"/>
      <c r="HT6" s="217"/>
      <c r="HU6" s="217"/>
      <c r="HV6" s="217"/>
      <c r="HW6" s="217"/>
      <c r="HX6" s="217"/>
      <c r="HY6" s="217"/>
      <c r="HZ6" s="217"/>
      <c r="IA6" s="217"/>
      <c r="IB6" s="217"/>
      <c r="IC6" s="217"/>
      <c r="ID6" s="217"/>
      <c r="IE6" s="217"/>
      <c r="IF6" s="217"/>
      <c r="IG6" s="217"/>
      <c r="IH6" s="217"/>
      <c r="II6" s="217"/>
      <c r="IJ6" s="217"/>
      <c r="IK6" s="217"/>
      <c r="IL6" s="217"/>
      <c r="IM6" s="217"/>
      <c r="IN6" s="217"/>
      <c r="IO6" s="217"/>
      <c r="IP6" s="217"/>
      <c r="IQ6" s="217"/>
      <c r="IR6" s="217"/>
      <c r="IS6" s="217"/>
      <c r="IT6" s="217"/>
      <c r="IU6" s="217"/>
      <c r="IV6" s="217"/>
      <c r="IW6" s="217"/>
      <c r="IX6" s="217"/>
      <c r="IY6" s="217"/>
      <c r="IZ6" s="217"/>
      <c r="JA6" s="217"/>
      <c r="JB6" s="217"/>
      <c r="JC6" s="217"/>
      <c r="JD6" s="217"/>
      <c r="JE6" s="217"/>
      <c r="JF6" s="217"/>
      <c r="JG6" s="217"/>
      <c r="JH6" s="217"/>
      <c r="JI6" s="217"/>
      <c r="JJ6" s="217"/>
      <c r="JK6" s="217"/>
      <c r="JL6" s="217"/>
      <c r="JM6" s="217"/>
      <c r="JN6" s="217"/>
      <c r="JO6" s="217"/>
      <c r="JP6" s="217"/>
      <c r="JQ6" s="217"/>
      <c r="JR6" s="217"/>
      <c r="JS6" s="217"/>
      <c r="JT6" s="217"/>
      <c r="JU6" s="217"/>
      <c r="JV6" s="217"/>
      <c r="JW6" s="217"/>
      <c r="JX6" s="217"/>
      <c r="JY6" s="217"/>
      <c r="JZ6" s="217"/>
      <c r="KA6" s="217"/>
      <c r="KB6" s="217"/>
      <c r="KC6" s="217"/>
      <c r="KD6" s="217"/>
      <c r="KE6" s="217"/>
      <c r="KF6" s="217"/>
      <c r="KG6" s="217"/>
      <c r="KH6" s="217"/>
      <c r="KI6" s="217"/>
      <c r="KJ6" s="217"/>
      <c r="KK6" s="217"/>
      <c r="KL6" s="217"/>
      <c r="KM6" s="217"/>
      <c r="KN6" s="217"/>
      <c r="KO6" s="217"/>
      <c r="KP6" s="217"/>
      <c r="KQ6" s="217"/>
      <c r="KR6" s="217"/>
      <c r="KS6" s="217"/>
      <c r="KT6" s="217"/>
      <c r="KU6" s="217"/>
      <c r="KV6" s="217"/>
      <c r="KW6" s="217"/>
      <c r="KX6" s="217"/>
      <c r="KY6" s="217"/>
      <c r="KZ6" s="217"/>
      <c r="LA6" s="217"/>
      <c r="LB6" s="217"/>
      <c r="LC6" s="217"/>
      <c r="LD6" s="217"/>
      <c r="LE6" s="217"/>
      <c r="LF6" s="217"/>
      <c r="LG6" s="217"/>
      <c r="LH6" s="217"/>
      <c r="LI6" s="217"/>
      <c r="LJ6" s="217"/>
      <c r="LK6" s="217"/>
      <c r="LL6" s="217"/>
      <c r="LM6" s="217"/>
      <c r="LN6" s="217"/>
      <c r="LO6" s="217"/>
    </row>
    <row r="7" spans="1:327" ht="36" customHeight="1" thickTop="1">
      <c r="A7" s="79">
        <f>HOUR(B7)</f>
        <v>0</v>
      </c>
      <c r="B7" s="75">
        <v>0</v>
      </c>
      <c r="C7" s="280" t="s">
        <v>751</v>
      </c>
      <c r="D7" s="224"/>
      <c r="E7" s="237"/>
      <c r="F7" s="225"/>
      <c r="G7" s="223" t="s">
        <v>744</v>
      </c>
      <c r="H7" s="221"/>
      <c r="I7" s="221"/>
      <c r="J7" s="221"/>
      <c r="K7" s="221"/>
      <c r="L7" s="221"/>
      <c r="M7" s="221"/>
      <c r="N7" s="221"/>
      <c r="O7" s="221"/>
      <c r="P7" s="221"/>
      <c r="Q7" s="219"/>
      <c r="R7" s="219"/>
      <c r="S7" s="219"/>
      <c r="T7" s="226" t="s">
        <v>606</v>
      </c>
      <c r="U7" s="219"/>
      <c r="V7" s="219"/>
      <c r="W7" s="219"/>
      <c r="X7" s="219"/>
      <c r="Y7" s="219"/>
      <c r="Z7" s="219"/>
      <c r="AA7" s="219"/>
      <c r="AB7" s="219"/>
      <c r="AC7" s="219"/>
      <c r="AD7" s="219"/>
      <c r="AE7" s="219"/>
      <c r="AF7" s="219"/>
      <c r="AG7" s="219"/>
      <c r="AH7" s="219"/>
      <c r="AI7" s="219"/>
      <c r="AJ7" s="227" t="s">
        <v>609</v>
      </c>
      <c r="AK7" s="219"/>
      <c r="AL7" s="219"/>
      <c r="AM7" s="219"/>
      <c r="AN7" s="219"/>
      <c r="AO7" s="219"/>
      <c r="AP7" s="219"/>
      <c r="AQ7" s="219"/>
      <c r="AR7" s="219"/>
      <c r="AS7" s="219"/>
      <c r="AT7" s="219"/>
      <c r="AU7" s="219"/>
      <c r="AV7" s="219"/>
      <c r="AW7" s="219"/>
      <c r="AX7" s="219"/>
      <c r="AY7" s="228" t="s">
        <v>607</v>
      </c>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19"/>
      <c r="HW7" s="219"/>
      <c r="HX7" s="219"/>
      <c r="HY7" s="219"/>
      <c r="HZ7" s="219"/>
      <c r="IA7" s="219"/>
      <c r="IB7" s="219"/>
      <c r="IC7" s="219"/>
      <c r="ID7" s="219"/>
      <c r="IE7" s="219"/>
      <c r="IF7" s="219"/>
      <c r="IG7" s="219"/>
      <c r="IH7" s="219"/>
      <c r="II7" s="219"/>
      <c r="IJ7" s="219"/>
      <c r="IK7" s="219"/>
      <c r="IL7" s="219"/>
      <c r="IM7" s="219"/>
      <c r="IN7" s="219"/>
      <c r="IO7" s="219"/>
      <c r="IP7" s="219"/>
      <c r="IQ7" s="219"/>
      <c r="IR7" s="219"/>
      <c r="IS7" s="219"/>
      <c r="IT7" s="219"/>
      <c r="IU7" s="219"/>
      <c r="IV7" s="219"/>
      <c r="IW7" s="219"/>
      <c r="IX7" s="219"/>
      <c r="IY7" s="219"/>
      <c r="IZ7" s="219"/>
      <c r="JA7" s="219"/>
      <c r="JB7" s="219"/>
      <c r="JC7" s="219"/>
      <c r="JD7" s="219"/>
      <c r="JE7" s="219"/>
      <c r="JF7" s="219"/>
      <c r="JG7" s="219"/>
      <c r="JH7" s="219"/>
      <c r="JI7" s="219"/>
      <c r="JJ7" s="219"/>
      <c r="JK7" s="219"/>
      <c r="JL7" s="219"/>
      <c r="JM7" s="219"/>
      <c r="JN7" s="219"/>
      <c r="JO7" s="219"/>
      <c r="JP7" s="219"/>
      <c r="JQ7" s="219"/>
      <c r="JR7" s="219"/>
      <c r="JS7" s="219"/>
      <c r="JT7" s="219"/>
      <c r="JU7" s="219"/>
      <c r="JV7" s="219"/>
      <c r="JW7" s="219"/>
      <c r="JX7" s="219"/>
      <c r="JY7" s="219"/>
      <c r="JZ7" s="219"/>
      <c r="KA7" s="219"/>
      <c r="KB7" s="219"/>
      <c r="KC7" s="219"/>
      <c r="KD7" s="219"/>
      <c r="KE7" s="219"/>
      <c r="KF7" s="219"/>
      <c r="KG7" s="219"/>
      <c r="KH7" s="219"/>
      <c r="KI7" s="219"/>
      <c r="KJ7" s="219"/>
      <c r="KK7" s="219"/>
      <c r="KL7" s="219"/>
      <c r="KM7" s="219"/>
      <c r="KN7" s="219"/>
      <c r="KO7" s="219"/>
      <c r="KP7" s="219"/>
      <c r="KQ7" s="219"/>
      <c r="KR7" s="219"/>
      <c r="KS7" s="219"/>
      <c r="KT7" s="219"/>
      <c r="KU7" s="219"/>
      <c r="KV7" s="219"/>
      <c r="KW7" s="219"/>
      <c r="KX7" s="219"/>
      <c r="KY7" s="219"/>
      <c r="KZ7" s="219"/>
      <c r="LA7" s="219"/>
      <c r="LB7" s="219"/>
      <c r="LC7" s="219"/>
      <c r="LD7" s="219"/>
      <c r="LE7" s="219"/>
      <c r="LF7" s="219"/>
      <c r="LG7" s="219"/>
      <c r="LH7" s="219"/>
      <c r="LI7" s="219"/>
      <c r="LJ7" s="219"/>
      <c r="LK7" s="219"/>
      <c r="LL7" s="219"/>
      <c r="LM7" s="219"/>
      <c r="LN7" s="219"/>
      <c r="LO7" s="219"/>
    </row>
    <row r="8" spans="1:327" ht="28.5" customHeight="1">
      <c r="A8" s="79">
        <f>HOUR(B8)</f>
        <v>1</v>
      </c>
      <c r="B8" s="75">
        <v>4.1666666666666699E-2</v>
      </c>
      <c r="C8" s="220" t="s">
        <v>750</v>
      </c>
      <c r="D8" s="67"/>
      <c r="E8" s="219"/>
      <c r="F8" s="66" t="s">
        <v>719</v>
      </c>
      <c r="G8" s="229"/>
      <c r="H8" s="219"/>
      <c r="I8" s="219"/>
      <c r="J8" s="219"/>
      <c r="K8" s="219"/>
      <c r="L8" s="219"/>
      <c r="M8" s="219"/>
      <c r="N8" s="219"/>
      <c r="O8" s="219"/>
      <c r="P8" s="219"/>
      <c r="Q8" s="219"/>
      <c r="R8" s="219"/>
      <c r="S8" s="219"/>
      <c r="T8" s="230" t="s">
        <v>654</v>
      </c>
      <c r="U8" s="219"/>
      <c r="V8" s="219"/>
      <c r="W8" s="219"/>
      <c r="X8" s="219"/>
      <c r="Y8" s="219"/>
      <c r="Z8" s="219"/>
      <c r="AA8" s="219"/>
      <c r="AB8" s="219"/>
      <c r="AC8" s="219"/>
      <c r="AD8" s="219"/>
      <c r="AE8" s="219"/>
      <c r="AF8" s="219"/>
      <c r="AG8" s="219"/>
      <c r="AH8" s="219"/>
      <c r="AI8" s="219"/>
      <c r="AJ8" s="231"/>
      <c r="AK8" s="219"/>
      <c r="AL8" s="219"/>
      <c r="AM8" s="219"/>
      <c r="AN8" s="219"/>
      <c r="AO8" s="219"/>
      <c r="AP8" s="219"/>
      <c r="AQ8" s="219"/>
      <c r="AR8" s="219"/>
      <c r="AS8" s="219"/>
      <c r="AT8" s="219"/>
      <c r="AU8" s="219"/>
      <c r="AV8" s="219"/>
      <c r="AW8" s="219"/>
      <c r="AX8" s="219"/>
      <c r="AY8" s="228" t="s">
        <v>608</v>
      </c>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19"/>
      <c r="HW8" s="219"/>
      <c r="HX8" s="219"/>
      <c r="HY8" s="219"/>
      <c r="HZ8" s="219"/>
      <c r="IA8" s="219"/>
      <c r="IB8" s="219"/>
      <c r="IC8" s="219"/>
      <c r="ID8" s="219"/>
      <c r="IE8" s="219"/>
      <c r="IF8" s="219"/>
      <c r="IG8" s="219"/>
      <c r="IH8" s="219"/>
      <c r="II8" s="219"/>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row>
    <row r="9" spans="1:327" ht="27.75" customHeight="1">
      <c r="A9" s="79">
        <f t="shared" ref="A9:A30" si="0">HOUR(B9)</f>
        <v>2</v>
      </c>
      <c r="B9" s="75">
        <v>8.3333333333333301E-2</v>
      </c>
      <c r="C9" s="220" t="s">
        <v>750</v>
      </c>
      <c r="D9" s="232"/>
      <c r="E9" s="220" t="s">
        <v>773</v>
      </c>
      <c r="F9" s="67"/>
      <c r="G9" s="229"/>
      <c r="H9" s="219"/>
      <c r="I9" s="219"/>
      <c r="J9" s="219"/>
      <c r="K9" s="219"/>
      <c r="L9" s="219"/>
      <c r="M9" s="219"/>
      <c r="N9" s="219"/>
      <c r="O9" s="219"/>
      <c r="P9" s="219"/>
      <c r="Q9" s="219"/>
      <c r="R9" s="219"/>
      <c r="S9" s="219"/>
      <c r="T9" s="230"/>
      <c r="U9" s="219"/>
      <c r="V9" s="219"/>
      <c r="W9" s="219"/>
      <c r="X9" s="219"/>
      <c r="Y9" s="219"/>
      <c r="Z9" s="219"/>
      <c r="AA9" s="219"/>
      <c r="AB9" s="219"/>
      <c r="AC9" s="219"/>
      <c r="AD9" s="219"/>
      <c r="AE9" s="219"/>
      <c r="AF9" s="219"/>
      <c r="AG9" s="219"/>
      <c r="AH9" s="219"/>
      <c r="AI9" s="219"/>
      <c r="AJ9" s="231"/>
      <c r="AK9" s="219"/>
      <c r="AL9" s="219"/>
      <c r="AM9" s="219"/>
      <c r="AN9" s="219"/>
      <c r="AO9" s="219"/>
      <c r="AP9" s="219"/>
      <c r="AQ9" s="219"/>
      <c r="AR9" s="219"/>
      <c r="AS9" s="219"/>
      <c r="AT9" s="219"/>
      <c r="AU9" s="219"/>
      <c r="AV9" s="219"/>
      <c r="AW9" s="219"/>
      <c r="AX9" s="219"/>
      <c r="AY9" s="233"/>
      <c r="AZ9" s="219"/>
      <c r="BA9" s="219"/>
      <c r="BB9" s="219"/>
      <c r="BC9" s="219"/>
      <c r="BD9" s="219"/>
      <c r="BE9" s="219"/>
      <c r="BF9" s="219"/>
      <c r="BG9" s="219"/>
      <c r="BH9" s="219"/>
      <c r="BI9" s="219"/>
      <c r="BJ9" s="219"/>
      <c r="BK9" s="219"/>
      <c r="BL9" s="219"/>
      <c r="BM9" s="219"/>
      <c r="BN9" s="219"/>
      <c r="BO9" s="219"/>
      <c r="BP9" s="219"/>
      <c r="BQ9" s="219"/>
      <c r="BR9" s="219"/>
      <c r="BS9" s="219"/>
      <c r="BT9" s="219"/>
      <c r="BU9" s="219"/>
      <c r="BV9" s="219"/>
      <c r="BW9" s="219"/>
      <c r="BX9" s="219"/>
      <c r="BY9" s="219"/>
      <c r="BZ9" s="219"/>
      <c r="CA9" s="219"/>
      <c r="CB9" s="219"/>
      <c r="CC9" s="219"/>
      <c r="CD9" s="219"/>
      <c r="CE9" s="219"/>
      <c r="CF9" s="219"/>
      <c r="CG9" s="219"/>
      <c r="CH9" s="219"/>
      <c r="CI9" s="219"/>
      <c r="CJ9" s="219"/>
      <c r="CK9" s="219"/>
      <c r="CL9" s="219"/>
      <c r="CM9" s="219"/>
      <c r="CN9" s="219"/>
      <c r="CO9" s="219"/>
      <c r="CP9" s="219"/>
      <c r="CQ9" s="219"/>
      <c r="CR9" s="219"/>
      <c r="CS9" s="219"/>
      <c r="CT9" s="219"/>
      <c r="CU9" s="219"/>
      <c r="CV9" s="219"/>
      <c r="CW9" s="219"/>
      <c r="CX9" s="219"/>
      <c r="CY9" s="219"/>
      <c r="CZ9" s="219"/>
      <c r="DA9" s="219"/>
      <c r="DB9" s="219"/>
      <c r="DC9" s="219"/>
      <c r="DD9" s="219"/>
      <c r="DE9" s="219"/>
      <c r="DF9" s="219"/>
      <c r="DG9" s="219"/>
      <c r="DH9" s="219"/>
      <c r="DI9" s="219"/>
      <c r="DJ9" s="219"/>
      <c r="DK9" s="219"/>
      <c r="DL9" s="219"/>
      <c r="DM9" s="219"/>
      <c r="DN9" s="219"/>
      <c r="DO9" s="219"/>
      <c r="DP9" s="219"/>
      <c r="DQ9" s="219"/>
      <c r="DR9" s="219"/>
      <c r="DS9" s="219"/>
      <c r="DT9" s="219"/>
      <c r="DU9" s="219"/>
      <c r="DV9" s="219"/>
      <c r="DW9" s="219"/>
      <c r="DX9" s="219"/>
      <c r="DY9" s="219"/>
      <c r="DZ9" s="219"/>
      <c r="EA9" s="219"/>
      <c r="EB9" s="219"/>
      <c r="EC9" s="219"/>
      <c r="ED9" s="219"/>
      <c r="EE9" s="219"/>
      <c r="EF9" s="219"/>
      <c r="EG9" s="219"/>
      <c r="EH9" s="219"/>
      <c r="EI9" s="219"/>
      <c r="EJ9" s="219"/>
      <c r="EK9" s="219"/>
      <c r="EL9" s="219"/>
      <c r="EM9" s="219"/>
      <c r="EN9" s="219"/>
      <c r="EO9" s="219"/>
      <c r="EP9" s="219"/>
      <c r="EQ9" s="219"/>
      <c r="ER9" s="219"/>
      <c r="ES9" s="219"/>
      <c r="ET9" s="219"/>
      <c r="EU9" s="219"/>
      <c r="EV9" s="219"/>
      <c r="EW9" s="219"/>
      <c r="EX9" s="219"/>
      <c r="EY9" s="219"/>
      <c r="EZ9" s="219"/>
      <c r="FA9" s="219"/>
      <c r="FB9" s="219"/>
      <c r="FC9" s="219"/>
      <c r="FD9" s="219"/>
      <c r="FE9" s="219"/>
      <c r="FF9" s="219"/>
      <c r="FG9" s="219"/>
      <c r="FH9" s="219"/>
      <c r="FI9" s="219"/>
      <c r="FJ9" s="219"/>
      <c r="FK9" s="219"/>
      <c r="FL9" s="219"/>
      <c r="FM9" s="219"/>
      <c r="FN9" s="219"/>
      <c r="FO9" s="219"/>
      <c r="FP9" s="219"/>
      <c r="FQ9" s="219"/>
      <c r="FR9" s="219"/>
      <c r="FS9" s="219"/>
      <c r="FT9" s="219"/>
      <c r="FU9" s="219"/>
      <c r="FV9" s="219"/>
      <c r="FW9" s="219"/>
      <c r="FX9" s="219"/>
      <c r="FY9" s="219"/>
      <c r="FZ9" s="219"/>
      <c r="GA9" s="219"/>
      <c r="GB9" s="219"/>
      <c r="GC9" s="219"/>
      <c r="GD9" s="219"/>
      <c r="GE9" s="219"/>
      <c r="GF9" s="219"/>
      <c r="GG9" s="219"/>
      <c r="GH9" s="219"/>
      <c r="GI9" s="219"/>
      <c r="GJ9" s="219"/>
      <c r="GK9" s="219"/>
      <c r="GL9" s="219"/>
      <c r="GM9" s="219"/>
      <c r="GN9" s="219"/>
      <c r="GO9" s="219"/>
      <c r="GP9" s="219"/>
      <c r="GQ9" s="219"/>
      <c r="GR9" s="219"/>
      <c r="GS9" s="219"/>
      <c r="GT9" s="219"/>
      <c r="GU9" s="219"/>
      <c r="GV9" s="219"/>
      <c r="GW9" s="219"/>
      <c r="GX9" s="219"/>
      <c r="GY9" s="219"/>
      <c r="GZ9" s="219"/>
      <c r="HA9" s="219"/>
      <c r="HB9" s="219"/>
      <c r="HC9" s="219"/>
      <c r="HD9" s="219"/>
      <c r="HE9" s="219"/>
      <c r="HF9" s="219"/>
      <c r="HG9" s="219"/>
      <c r="HH9" s="219"/>
      <c r="HI9" s="219"/>
      <c r="HJ9" s="219"/>
      <c r="HK9" s="219"/>
      <c r="HL9" s="219"/>
      <c r="HM9" s="219"/>
      <c r="HN9" s="219"/>
      <c r="HO9" s="219"/>
      <c r="HP9" s="219"/>
      <c r="HQ9" s="219"/>
      <c r="HR9" s="219"/>
      <c r="HS9" s="219"/>
      <c r="HT9" s="219"/>
      <c r="HU9" s="219"/>
      <c r="HV9" s="219"/>
      <c r="HW9" s="219"/>
      <c r="HX9" s="219"/>
      <c r="HY9" s="219"/>
      <c r="HZ9" s="219"/>
      <c r="IA9" s="219"/>
      <c r="IB9" s="219"/>
      <c r="IC9" s="219"/>
      <c r="ID9" s="219"/>
      <c r="IE9" s="219"/>
      <c r="IF9" s="219"/>
      <c r="IG9" s="219"/>
      <c r="IH9" s="219"/>
      <c r="II9" s="219"/>
      <c r="IJ9" s="219"/>
      <c r="IK9" s="219"/>
      <c r="IL9" s="219"/>
      <c r="IM9" s="219"/>
      <c r="IN9" s="219"/>
      <c r="IO9" s="219"/>
      <c r="IP9" s="219"/>
      <c r="IQ9" s="219"/>
      <c r="IR9" s="219"/>
      <c r="IS9" s="219"/>
      <c r="IT9" s="219"/>
      <c r="IU9" s="219"/>
      <c r="IV9" s="219"/>
      <c r="IW9" s="219"/>
      <c r="IX9" s="219"/>
      <c r="IY9" s="219"/>
      <c r="IZ9" s="219"/>
      <c r="JA9" s="219"/>
      <c r="JB9" s="219"/>
      <c r="JC9" s="219"/>
      <c r="JD9" s="219"/>
      <c r="JE9" s="219"/>
      <c r="JF9" s="219"/>
      <c r="JG9" s="219"/>
      <c r="JH9" s="219"/>
      <c r="JI9" s="219"/>
      <c r="JJ9" s="219"/>
      <c r="JK9" s="219"/>
      <c r="JL9" s="219"/>
      <c r="JM9" s="219"/>
      <c r="JN9" s="219"/>
      <c r="JO9" s="219"/>
      <c r="JP9" s="219"/>
      <c r="JQ9" s="219"/>
      <c r="JR9" s="219"/>
      <c r="JS9" s="219"/>
      <c r="JT9" s="219"/>
      <c r="JU9" s="219"/>
      <c r="JV9" s="219"/>
      <c r="JW9" s="219"/>
      <c r="JX9" s="219"/>
      <c r="JY9" s="219"/>
      <c r="JZ9" s="219"/>
      <c r="KA9" s="219"/>
      <c r="KB9" s="219"/>
      <c r="KC9" s="219"/>
      <c r="KD9" s="219"/>
      <c r="KE9" s="219"/>
      <c r="KF9" s="219"/>
      <c r="KG9" s="219"/>
      <c r="KH9" s="219"/>
      <c r="KI9" s="219"/>
      <c r="KJ9" s="219"/>
      <c r="KK9" s="219"/>
      <c r="KL9" s="219"/>
      <c r="KM9" s="219"/>
      <c r="KN9" s="219"/>
      <c r="KO9" s="219"/>
      <c r="KP9" s="219"/>
      <c r="KQ9" s="219"/>
      <c r="KR9" s="219"/>
      <c r="KS9" s="219"/>
      <c r="KT9" s="219"/>
      <c r="KU9" s="219"/>
      <c r="KV9" s="219"/>
      <c r="KW9" s="219"/>
      <c r="KX9" s="219"/>
      <c r="KY9" s="219"/>
      <c r="KZ9" s="219"/>
      <c r="LA9" s="219"/>
      <c r="LB9" s="219"/>
      <c r="LC9" s="219"/>
      <c r="LD9" s="219"/>
      <c r="LE9" s="219"/>
      <c r="LF9" s="219"/>
      <c r="LG9" s="219"/>
      <c r="LH9" s="219"/>
      <c r="LI9" s="219"/>
      <c r="LJ9" s="219"/>
      <c r="LK9" s="219"/>
      <c r="LL9" s="219"/>
      <c r="LM9" s="219"/>
      <c r="LN9" s="219"/>
      <c r="LO9" s="219"/>
    </row>
    <row r="10" spans="1:327" s="71" customFormat="1" ht="30" customHeight="1">
      <c r="A10" s="79">
        <f t="shared" si="0"/>
        <v>3</v>
      </c>
      <c r="B10" s="75">
        <v>0.125</v>
      </c>
      <c r="C10" s="235" t="s">
        <v>717</v>
      </c>
      <c r="D10" s="235" t="s">
        <v>717</v>
      </c>
      <c r="E10" s="289" t="s">
        <v>767</v>
      </c>
      <c r="F10" s="234" t="s">
        <v>750</v>
      </c>
      <c r="G10" s="229"/>
      <c r="H10" s="220"/>
      <c r="I10" s="220"/>
      <c r="J10" s="220"/>
      <c r="K10" s="220"/>
      <c r="L10" s="220"/>
      <c r="M10" s="220"/>
      <c r="N10" s="220"/>
      <c r="O10" s="220"/>
      <c r="P10" s="220"/>
      <c r="Q10" s="220"/>
      <c r="R10" s="220"/>
      <c r="S10" s="220"/>
      <c r="T10" s="23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33"/>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row>
    <row r="11" spans="1:327" ht="32.25" customHeight="1">
      <c r="A11" s="79">
        <f t="shared" si="0"/>
        <v>4</v>
      </c>
      <c r="B11" s="75">
        <v>0.16666666666666699</v>
      </c>
      <c r="C11" s="236" t="s">
        <v>263</v>
      </c>
      <c r="D11" s="236" t="s">
        <v>263</v>
      </c>
      <c r="E11" s="286" t="s">
        <v>768</v>
      </c>
      <c r="F11" s="286" t="s">
        <v>768</v>
      </c>
      <c r="G11" s="229"/>
      <c r="H11" s="219"/>
      <c r="I11" s="219"/>
      <c r="J11" s="219"/>
      <c r="K11" s="219"/>
      <c r="L11" s="219"/>
      <c r="M11" s="219"/>
      <c r="N11" s="219"/>
      <c r="O11" s="219"/>
      <c r="P11" s="219"/>
      <c r="Q11" s="219"/>
      <c r="R11" s="219"/>
      <c r="S11" s="219"/>
      <c r="T11" s="230"/>
      <c r="U11" s="219"/>
      <c r="V11" s="219"/>
      <c r="W11" s="219"/>
      <c r="X11" s="219"/>
      <c r="Y11" s="219"/>
      <c r="Z11" s="219"/>
      <c r="AA11" s="219"/>
      <c r="AB11" s="219"/>
      <c r="AC11" s="219"/>
      <c r="AD11" s="219"/>
      <c r="AE11" s="219"/>
      <c r="AF11" s="219"/>
      <c r="AG11" s="219"/>
      <c r="AH11" s="219"/>
      <c r="AI11" s="219"/>
      <c r="AJ11" s="231"/>
      <c r="AK11" s="219"/>
      <c r="AL11" s="219"/>
      <c r="AM11" s="219"/>
      <c r="AN11" s="219"/>
      <c r="AO11" s="219"/>
      <c r="AP11" s="219"/>
      <c r="AQ11" s="219"/>
      <c r="AR11" s="219"/>
      <c r="AS11" s="219"/>
      <c r="AT11" s="219"/>
      <c r="AU11" s="219"/>
      <c r="AV11" s="219"/>
      <c r="AW11" s="219"/>
      <c r="AX11" s="219"/>
      <c r="AY11" s="233"/>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row>
    <row r="12" spans="1:327" ht="31.5" customHeight="1">
      <c r="A12" s="79">
        <f t="shared" si="0"/>
        <v>5</v>
      </c>
      <c r="B12" s="75">
        <v>0.20833333333333301</v>
      </c>
      <c r="C12" s="236" t="s">
        <v>263</v>
      </c>
      <c r="D12" s="235" t="s">
        <v>717</v>
      </c>
      <c r="E12" s="219"/>
      <c r="F12" s="240" t="s">
        <v>719</v>
      </c>
      <c r="G12" s="229"/>
      <c r="H12" s="219"/>
      <c r="I12" s="219"/>
      <c r="J12" s="219"/>
      <c r="K12" s="219"/>
      <c r="L12" s="219"/>
      <c r="M12" s="219"/>
      <c r="N12" s="219"/>
      <c r="O12" s="219"/>
      <c r="P12" s="219"/>
      <c r="Q12" s="219"/>
      <c r="R12" s="219"/>
      <c r="S12" s="219"/>
      <c r="T12" s="230"/>
      <c r="U12" s="219"/>
      <c r="V12" s="219"/>
      <c r="W12" s="219"/>
      <c r="X12" s="219"/>
      <c r="Y12" s="219"/>
      <c r="Z12" s="219"/>
      <c r="AA12" s="219"/>
      <c r="AB12" s="219"/>
      <c r="AC12" s="219"/>
      <c r="AD12" s="219"/>
      <c r="AE12" s="219"/>
      <c r="AF12" s="219"/>
      <c r="AG12" s="219"/>
      <c r="AH12" s="219"/>
      <c r="AI12" s="219"/>
      <c r="AJ12" s="231"/>
      <c r="AK12" s="219"/>
      <c r="AL12" s="219"/>
      <c r="AM12" s="219"/>
      <c r="AN12" s="219"/>
      <c r="AO12" s="219"/>
      <c r="AP12" s="219"/>
      <c r="AQ12" s="219"/>
      <c r="AR12" s="219"/>
      <c r="AS12" s="219"/>
      <c r="AT12" s="219"/>
      <c r="AU12" s="219"/>
      <c r="AV12" s="219"/>
      <c r="AW12" s="219"/>
      <c r="AX12" s="219"/>
      <c r="AY12" s="233"/>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row>
    <row r="13" spans="1:327" ht="34.5" customHeight="1">
      <c r="A13" s="79">
        <f t="shared" si="0"/>
        <v>6</v>
      </c>
      <c r="B13" s="75">
        <v>0.25</v>
      </c>
      <c r="C13" s="235" t="s">
        <v>717</v>
      </c>
      <c r="D13" s="235" t="s">
        <v>717</v>
      </c>
      <c r="E13" s="219"/>
      <c r="F13" s="234" t="s">
        <v>750</v>
      </c>
      <c r="G13" s="229"/>
      <c r="H13" s="219"/>
      <c r="I13" s="219"/>
      <c r="J13" s="219"/>
      <c r="K13" s="219"/>
      <c r="L13" s="219"/>
      <c r="M13" s="219"/>
      <c r="N13" s="219"/>
      <c r="O13" s="219"/>
      <c r="P13" s="219"/>
      <c r="Q13" s="219"/>
      <c r="R13" s="219"/>
      <c r="S13" s="219"/>
      <c r="T13" s="230"/>
      <c r="U13" s="219"/>
      <c r="V13" s="219"/>
      <c r="W13" s="219"/>
      <c r="X13" s="219"/>
      <c r="Y13" s="219"/>
      <c r="Z13" s="219"/>
      <c r="AA13" s="219"/>
      <c r="AB13" s="219"/>
      <c r="AC13" s="219"/>
      <c r="AD13" s="219"/>
      <c r="AE13" s="219"/>
      <c r="AF13" s="219"/>
      <c r="AG13" s="219"/>
      <c r="AH13" s="219"/>
      <c r="AI13" s="219"/>
      <c r="AJ13" s="231"/>
      <c r="AK13" s="219"/>
      <c r="AL13" s="219"/>
      <c r="AM13" s="219"/>
      <c r="AN13" s="219"/>
      <c r="AO13" s="219"/>
      <c r="AP13" s="219"/>
      <c r="AQ13" s="219"/>
      <c r="AR13" s="219"/>
      <c r="AS13" s="219"/>
      <c r="AT13" s="219"/>
      <c r="AU13" s="219"/>
      <c r="AV13" s="219"/>
      <c r="AW13" s="219"/>
      <c r="AX13" s="219"/>
      <c r="AY13" s="233"/>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row>
    <row r="14" spans="1:327" ht="54" customHeight="1">
      <c r="A14" s="79">
        <f t="shared" si="0"/>
        <v>7</v>
      </c>
      <c r="B14" s="75">
        <v>0.29166666666666702</v>
      </c>
      <c r="C14" s="236" t="s">
        <v>263</v>
      </c>
      <c r="D14" s="236" t="s">
        <v>263</v>
      </c>
      <c r="E14" s="291"/>
      <c r="F14" s="66"/>
      <c r="G14" s="229"/>
      <c r="H14" s="219"/>
      <c r="I14" s="219"/>
      <c r="J14" s="219"/>
      <c r="K14" s="219"/>
      <c r="L14" s="219"/>
      <c r="M14" s="219"/>
      <c r="N14" s="219"/>
      <c r="O14" s="219"/>
      <c r="P14" s="219"/>
      <c r="Q14" s="219"/>
      <c r="R14" s="219"/>
      <c r="S14" s="219"/>
      <c r="T14" s="230"/>
      <c r="U14" s="219"/>
      <c r="V14" s="219"/>
      <c r="W14" s="219"/>
      <c r="X14" s="219"/>
      <c r="Y14" s="219"/>
      <c r="Z14" s="219"/>
      <c r="AA14" s="219"/>
      <c r="AB14" s="219"/>
      <c r="AC14" s="219"/>
      <c r="AD14" s="219"/>
      <c r="AE14" s="219"/>
      <c r="AF14" s="219"/>
      <c r="AG14" s="219"/>
      <c r="AH14" s="219"/>
      <c r="AI14" s="219"/>
      <c r="AJ14" s="231"/>
      <c r="AK14" s="219"/>
      <c r="AL14" s="219"/>
      <c r="AM14" s="219"/>
      <c r="AN14" s="219"/>
      <c r="AO14" s="219"/>
      <c r="AP14" s="219"/>
      <c r="AQ14" s="219"/>
      <c r="AR14" s="219"/>
      <c r="AS14" s="219"/>
      <c r="AT14" s="219"/>
      <c r="AU14" s="219"/>
      <c r="AV14" s="219"/>
      <c r="AW14" s="219"/>
      <c r="AX14" s="219"/>
      <c r="AY14" s="233"/>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c r="CP14" s="219"/>
      <c r="CQ14" s="219"/>
      <c r="CR14" s="219"/>
      <c r="CS14" s="219"/>
      <c r="CT14" s="219"/>
      <c r="CU14" s="219"/>
      <c r="CV14" s="219"/>
      <c r="CW14" s="219"/>
      <c r="CX14" s="219"/>
      <c r="CY14" s="219"/>
      <c r="CZ14" s="219"/>
      <c r="DA14" s="219"/>
      <c r="DB14" s="219"/>
      <c r="DC14" s="219"/>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row>
    <row r="15" spans="1:327" ht="30" customHeight="1">
      <c r="A15" s="79">
        <f t="shared" si="0"/>
        <v>8</v>
      </c>
      <c r="B15" s="75">
        <v>0.33333333333333298</v>
      </c>
      <c r="C15" s="229"/>
      <c r="D15" s="235" t="s">
        <v>717</v>
      </c>
      <c r="E15" s="286" t="s">
        <v>768</v>
      </c>
      <c r="F15" s="67"/>
      <c r="G15" s="229"/>
      <c r="H15" s="219"/>
      <c r="I15" s="219"/>
      <c r="J15" s="219"/>
      <c r="K15" s="219"/>
      <c r="L15" s="219"/>
      <c r="M15" s="219"/>
      <c r="N15" s="219"/>
      <c r="O15" s="219"/>
      <c r="P15" s="219"/>
      <c r="Q15" s="219"/>
      <c r="R15" s="219"/>
      <c r="S15" s="219"/>
      <c r="T15" s="230"/>
      <c r="U15" s="219"/>
      <c r="V15" s="219"/>
      <c r="W15" s="219"/>
      <c r="X15" s="219"/>
      <c r="Y15" s="219"/>
      <c r="Z15" s="219"/>
      <c r="AA15" s="219"/>
      <c r="AB15" s="219"/>
      <c r="AC15" s="219"/>
      <c r="AD15" s="219"/>
      <c r="AE15" s="219"/>
      <c r="AF15" s="219"/>
      <c r="AG15" s="219"/>
      <c r="AH15" s="219"/>
      <c r="AI15" s="219"/>
      <c r="AJ15" s="231"/>
      <c r="AK15" s="219"/>
      <c r="AL15" s="219"/>
      <c r="AM15" s="219"/>
      <c r="AN15" s="219"/>
      <c r="AO15" s="219"/>
      <c r="AP15" s="219"/>
      <c r="AQ15" s="219"/>
      <c r="AR15" s="219"/>
      <c r="AS15" s="219"/>
      <c r="AT15" s="219"/>
      <c r="AU15" s="219"/>
      <c r="AV15" s="219"/>
      <c r="AW15" s="219"/>
      <c r="AX15" s="219"/>
      <c r="AY15" s="233"/>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c r="CP15" s="219"/>
      <c r="CQ15" s="219"/>
      <c r="CR15" s="219"/>
      <c r="CS15" s="219"/>
      <c r="CT15" s="219"/>
      <c r="CU15" s="219"/>
      <c r="CV15" s="219"/>
      <c r="CW15" s="219"/>
      <c r="CX15" s="219"/>
      <c r="CY15" s="219"/>
      <c r="CZ15" s="219"/>
      <c r="DA15" s="219"/>
      <c r="DB15" s="219"/>
      <c r="DC15" s="219"/>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row>
    <row r="16" spans="1:327" ht="36" customHeight="1">
      <c r="A16" s="79">
        <f t="shared" si="0"/>
        <v>9</v>
      </c>
      <c r="B16" s="75">
        <v>0.375</v>
      </c>
      <c r="C16" s="229"/>
      <c r="D16" s="67"/>
      <c r="E16" s="219"/>
      <c r="F16" s="67"/>
      <c r="G16" s="238"/>
      <c r="H16" s="219"/>
      <c r="I16" s="219"/>
      <c r="J16" s="219"/>
      <c r="K16" s="219"/>
      <c r="L16" s="219"/>
      <c r="M16" s="219"/>
      <c r="N16" s="219"/>
      <c r="O16" s="219"/>
      <c r="P16" s="219"/>
      <c r="Q16" s="219"/>
      <c r="R16" s="219"/>
      <c r="S16" s="219"/>
      <c r="T16" s="230"/>
      <c r="U16" s="219"/>
      <c r="V16" s="219"/>
      <c r="W16" s="219"/>
      <c r="X16" s="219"/>
      <c r="Y16" s="219"/>
      <c r="Z16" s="219"/>
      <c r="AA16" s="219"/>
      <c r="AB16" s="219"/>
      <c r="AC16" s="219"/>
      <c r="AD16" s="219"/>
      <c r="AE16" s="219"/>
      <c r="AF16" s="219"/>
      <c r="AG16" s="219"/>
      <c r="AH16" s="219"/>
      <c r="AI16" s="219"/>
      <c r="AJ16" s="231"/>
      <c r="AK16" s="219"/>
      <c r="AL16" s="219"/>
      <c r="AM16" s="219"/>
      <c r="AN16" s="219"/>
      <c r="AO16" s="219"/>
      <c r="AP16" s="219"/>
      <c r="AQ16" s="219"/>
      <c r="AR16" s="219"/>
      <c r="AS16" s="219"/>
      <c r="AT16" s="219"/>
      <c r="AU16" s="219"/>
      <c r="AV16" s="219"/>
      <c r="AW16" s="219"/>
      <c r="AX16" s="219"/>
      <c r="AY16" s="233"/>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c r="CP16" s="219"/>
      <c r="CQ16" s="219"/>
      <c r="CR16" s="219"/>
      <c r="CS16" s="219"/>
      <c r="CT16" s="219"/>
      <c r="CU16" s="219"/>
      <c r="CV16" s="219"/>
      <c r="CW16" s="219"/>
      <c r="CX16" s="219"/>
      <c r="CY16" s="219"/>
      <c r="CZ16" s="219"/>
      <c r="DA16" s="219"/>
      <c r="DB16" s="219"/>
      <c r="DC16" s="219"/>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row>
    <row r="17" spans="1:327" ht="24.95" customHeight="1">
      <c r="A17" s="79">
        <f t="shared" si="0"/>
        <v>10</v>
      </c>
      <c r="B17" s="75">
        <v>0.41666666666666702</v>
      </c>
      <c r="C17" s="229"/>
      <c r="D17" s="67"/>
      <c r="E17" s="219"/>
      <c r="F17" s="67"/>
      <c r="G17" s="239" t="s">
        <v>713</v>
      </c>
      <c r="H17" s="219"/>
      <c r="I17" s="219"/>
      <c r="J17" s="219"/>
      <c r="K17" s="219"/>
      <c r="L17" s="219"/>
      <c r="M17" s="219"/>
      <c r="N17" s="219"/>
      <c r="O17" s="219"/>
      <c r="P17" s="219"/>
      <c r="Q17" s="219"/>
      <c r="R17" s="219"/>
      <c r="S17" s="219"/>
      <c r="T17" s="230"/>
      <c r="U17" s="219"/>
      <c r="V17" s="219"/>
      <c r="W17" s="219"/>
      <c r="X17" s="219"/>
      <c r="Y17" s="219"/>
      <c r="Z17" s="219"/>
      <c r="AA17" s="219"/>
      <c r="AB17" s="219"/>
      <c r="AC17" s="219"/>
      <c r="AD17" s="219"/>
      <c r="AE17" s="219"/>
      <c r="AF17" s="219"/>
      <c r="AG17" s="219"/>
      <c r="AH17" s="219"/>
      <c r="AI17" s="219"/>
      <c r="AJ17" s="231"/>
      <c r="AK17" s="219"/>
      <c r="AL17" s="219"/>
      <c r="AM17" s="219"/>
      <c r="AN17" s="219"/>
      <c r="AO17" s="219"/>
      <c r="AP17" s="219"/>
      <c r="AQ17" s="219"/>
      <c r="AR17" s="219"/>
      <c r="AS17" s="219"/>
      <c r="AT17" s="219"/>
      <c r="AU17" s="219"/>
      <c r="AV17" s="219"/>
      <c r="AW17" s="219"/>
      <c r="AX17" s="219"/>
      <c r="AY17" s="233"/>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c r="CP17" s="219"/>
      <c r="CQ17" s="219"/>
      <c r="CR17" s="219"/>
      <c r="CS17" s="219"/>
      <c r="CT17" s="219"/>
      <c r="CU17" s="219"/>
      <c r="CV17" s="219"/>
      <c r="CW17" s="219"/>
      <c r="CX17" s="219"/>
      <c r="CY17" s="219"/>
      <c r="CZ17" s="219"/>
      <c r="DA17" s="219"/>
      <c r="DB17" s="219"/>
      <c r="DC17" s="219"/>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row>
    <row r="18" spans="1:327" ht="32.25" customHeight="1">
      <c r="A18" s="79">
        <f t="shared" si="0"/>
        <v>11</v>
      </c>
      <c r="B18" s="75">
        <v>0.45833333333333298</v>
      </c>
      <c r="C18" s="235" t="s">
        <v>717</v>
      </c>
      <c r="D18" s="67"/>
      <c r="E18" s="219" t="s">
        <v>778</v>
      </c>
      <c r="F18" s="67"/>
      <c r="G18" s="238"/>
      <c r="H18" s="219"/>
      <c r="I18" s="219"/>
      <c r="J18" s="219"/>
      <c r="K18" s="219"/>
      <c r="L18" s="219"/>
      <c r="M18" s="219"/>
      <c r="N18" s="219"/>
      <c r="O18" s="219"/>
      <c r="P18" s="219"/>
      <c r="Q18" s="219"/>
      <c r="R18" s="219"/>
      <c r="S18" s="219"/>
      <c r="T18" s="230"/>
      <c r="U18" s="219"/>
      <c r="V18" s="219"/>
      <c r="W18" s="219"/>
      <c r="X18" s="219"/>
      <c r="Y18" s="219"/>
      <c r="Z18" s="219"/>
      <c r="AA18" s="219"/>
      <c r="AB18" s="219"/>
      <c r="AC18" s="219"/>
      <c r="AD18" s="219"/>
      <c r="AE18" s="219"/>
      <c r="AF18" s="219"/>
      <c r="AG18" s="219"/>
      <c r="AH18" s="219"/>
      <c r="AI18" s="219"/>
      <c r="AJ18" s="231"/>
      <c r="AK18" s="219"/>
      <c r="AL18" s="219"/>
      <c r="AM18" s="219"/>
      <c r="AN18" s="219"/>
      <c r="AO18" s="219"/>
      <c r="AP18" s="219"/>
      <c r="AQ18" s="219"/>
      <c r="AR18" s="219"/>
      <c r="AS18" s="219"/>
      <c r="AT18" s="219"/>
      <c r="AU18" s="219"/>
      <c r="AV18" s="219"/>
      <c r="AW18" s="219"/>
      <c r="AX18" s="219"/>
      <c r="AY18" s="233"/>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c r="CP18" s="219"/>
      <c r="CQ18" s="219"/>
      <c r="CR18" s="219"/>
      <c r="CS18" s="219"/>
      <c r="CT18" s="219"/>
      <c r="CU18" s="219"/>
      <c r="CV18" s="219"/>
      <c r="CW18" s="219"/>
      <c r="CX18" s="219"/>
      <c r="CY18" s="219"/>
      <c r="CZ18" s="219"/>
      <c r="DA18" s="219"/>
      <c r="DB18" s="219"/>
      <c r="DC18" s="219"/>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row>
    <row r="19" spans="1:327" ht="36" customHeight="1">
      <c r="A19" s="79">
        <f t="shared" si="0"/>
        <v>12</v>
      </c>
      <c r="B19" s="75">
        <v>0.5</v>
      </c>
      <c r="C19" s="235" t="s">
        <v>717</v>
      </c>
      <c r="D19" s="67"/>
      <c r="E19" s="219"/>
      <c r="F19" s="67"/>
      <c r="G19" s="229"/>
      <c r="H19" s="219"/>
      <c r="I19" s="219"/>
      <c r="J19" s="219"/>
      <c r="K19" s="219"/>
      <c r="L19" s="219"/>
      <c r="M19" s="219"/>
      <c r="N19" s="219"/>
      <c r="O19" s="219"/>
      <c r="P19" s="219"/>
      <c r="Q19" s="219"/>
      <c r="R19" s="219"/>
      <c r="S19" s="219"/>
      <c r="T19" s="230"/>
      <c r="U19" s="219"/>
      <c r="V19" s="219"/>
      <c r="W19" s="219"/>
      <c r="X19" s="219"/>
      <c r="Y19" s="219"/>
      <c r="Z19" s="219"/>
      <c r="AA19" s="219"/>
      <c r="AB19" s="219"/>
      <c r="AC19" s="219"/>
      <c r="AD19" s="219"/>
      <c r="AE19" s="219"/>
      <c r="AF19" s="219"/>
      <c r="AG19" s="219"/>
      <c r="AH19" s="219"/>
      <c r="AI19" s="219"/>
      <c r="AJ19" s="231"/>
      <c r="AK19" s="219"/>
      <c r="AL19" s="219"/>
      <c r="AM19" s="219"/>
      <c r="AN19" s="219"/>
      <c r="AO19" s="219"/>
      <c r="AP19" s="219"/>
      <c r="AQ19" s="219"/>
      <c r="AR19" s="219"/>
      <c r="AS19" s="219"/>
      <c r="AT19" s="219"/>
      <c r="AU19" s="219"/>
      <c r="AV19" s="219"/>
      <c r="AW19" s="219"/>
      <c r="AX19" s="219"/>
      <c r="AY19" s="233"/>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c r="CP19" s="219"/>
      <c r="CQ19" s="219"/>
      <c r="CR19" s="219"/>
      <c r="CS19" s="219"/>
      <c r="CT19" s="219"/>
      <c r="CU19" s="219"/>
      <c r="CV19" s="219"/>
      <c r="CW19" s="219"/>
      <c r="CX19" s="219"/>
      <c r="CY19" s="219"/>
      <c r="CZ19" s="219"/>
      <c r="DA19" s="219"/>
      <c r="DB19" s="219"/>
      <c r="DC19" s="219"/>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row>
    <row r="20" spans="1:327" ht="32.25" customHeight="1">
      <c r="A20" s="79">
        <f t="shared" si="0"/>
        <v>13</v>
      </c>
      <c r="B20" s="75">
        <v>0.54166666666666696</v>
      </c>
      <c r="C20" s="229"/>
      <c r="D20" s="67"/>
      <c r="E20" s="219"/>
      <c r="F20" s="67"/>
      <c r="G20" s="229"/>
      <c r="H20" s="219"/>
      <c r="I20" s="219"/>
      <c r="J20" s="219"/>
      <c r="K20" s="219"/>
      <c r="L20" s="219"/>
      <c r="M20" s="219"/>
      <c r="N20" s="219"/>
      <c r="O20" s="219"/>
      <c r="P20" s="219"/>
      <c r="Q20" s="219"/>
      <c r="R20" s="219"/>
      <c r="S20" s="219"/>
      <c r="T20" s="230"/>
      <c r="U20" s="219"/>
      <c r="V20" s="219"/>
      <c r="W20" s="219"/>
      <c r="X20" s="219"/>
      <c r="Y20" s="219"/>
      <c r="Z20" s="219"/>
      <c r="AA20" s="219"/>
      <c r="AB20" s="219"/>
      <c r="AC20" s="219"/>
      <c r="AD20" s="219"/>
      <c r="AE20" s="219"/>
      <c r="AF20" s="219"/>
      <c r="AG20" s="219"/>
      <c r="AH20" s="219"/>
      <c r="AI20" s="219"/>
      <c r="AJ20" s="231"/>
      <c r="AK20" s="219"/>
      <c r="AL20" s="219"/>
      <c r="AM20" s="219"/>
      <c r="AN20" s="219"/>
      <c r="AO20" s="219"/>
      <c r="AP20" s="219"/>
      <c r="AQ20" s="219"/>
      <c r="AR20" s="219"/>
      <c r="AS20" s="219"/>
      <c r="AT20" s="219"/>
      <c r="AU20" s="219"/>
      <c r="AV20" s="219"/>
      <c r="AW20" s="219"/>
      <c r="AX20" s="219"/>
      <c r="AY20" s="233"/>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c r="CP20" s="219"/>
      <c r="CQ20" s="219"/>
      <c r="CR20" s="219"/>
      <c r="CS20" s="219"/>
      <c r="CT20" s="219"/>
      <c r="CU20" s="219"/>
      <c r="CV20" s="219"/>
      <c r="CW20" s="219"/>
      <c r="CX20" s="219"/>
      <c r="CY20" s="219"/>
      <c r="CZ20" s="219"/>
      <c r="DA20" s="219"/>
      <c r="DB20" s="219"/>
      <c r="DC20" s="219"/>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row>
    <row r="21" spans="1:327" ht="24.95" customHeight="1">
      <c r="A21" s="79">
        <f t="shared" si="0"/>
        <v>14</v>
      </c>
      <c r="B21" s="75">
        <v>0.58333333333333304</v>
      </c>
      <c r="C21" s="229"/>
      <c r="D21" s="67"/>
      <c r="E21" s="219"/>
      <c r="F21" s="67"/>
      <c r="G21" s="229"/>
      <c r="H21" s="219"/>
      <c r="I21" s="219"/>
      <c r="J21" s="219"/>
      <c r="K21" s="219"/>
      <c r="L21" s="219"/>
      <c r="M21" s="219"/>
      <c r="N21" s="219"/>
      <c r="O21" s="219"/>
      <c r="P21" s="219"/>
      <c r="Q21" s="219"/>
      <c r="R21" s="219"/>
      <c r="S21" s="219"/>
      <c r="T21" s="230"/>
      <c r="U21" s="219"/>
      <c r="V21" s="219"/>
      <c r="W21" s="219"/>
      <c r="X21" s="219"/>
      <c r="Y21" s="219"/>
      <c r="Z21" s="219"/>
      <c r="AA21" s="219"/>
      <c r="AB21" s="219"/>
      <c r="AC21" s="219"/>
      <c r="AD21" s="219"/>
      <c r="AE21" s="219"/>
      <c r="AF21" s="219"/>
      <c r="AG21" s="219"/>
      <c r="AH21" s="219"/>
      <c r="AI21" s="219"/>
      <c r="AJ21" s="231"/>
      <c r="AK21" s="219"/>
      <c r="AL21" s="219"/>
      <c r="AM21" s="219"/>
      <c r="AN21" s="219"/>
      <c r="AO21" s="219"/>
      <c r="AP21" s="219"/>
      <c r="AQ21" s="219"/>
      <c r="AR21" s="219"/>
      <c r="AS21" s="219"/>
      <c r="AT21" s="219"/>
      <c r="AU21" s="219"/>
      <c r="AV21" s="219"/>
      <c r="AW21" s="219"/>
      <c r="AX21" s="219"/>
      <c r="AY21" s="233"/>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c r="CP21" s="219"/>
      <c r="CQ21" s="219"/>
      <c r="CR21" s="219"/>
      <c r="CS21" s="219"/>
      <c r="CT21" s="219"/>
      <c r="CU21" s="219"/>
      <c r="CV21" s="219"/>
      <c r="CW21" s="219"/>
      <c r="CX21" s="219"/>
      <c r="CY21" s="219"/>
      <c r="CZ21" s="219"/>
      <c r="DA21" s="219"/>
      <c r="DB21" s="219"/>
      <c r="DC21" s="219"/>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row>
    <row r="22" spans="1:327" ht="32.25" customHeight="1">
      <c r="A22" s="79">
        <f t="shared" si="0"/>
        <v>15</v>
      </c>
      <c r="B22" s="75">
        <v>0.625</v>
      </c>
      <c r="C22" s="229"/>
      <c r="D22" s="67"/>
      <c r="E22" s="234" t="s">
        <v>776</v>
      </c>
      <c r="F22" s="67"/>
      <c r="G22" s="229"/>
      <c r="H22" s="219"/>
      <c r="I22" s="219"/>
      <c r="J22" s="219"/>
      <c r="K22" s="219"/>
      <c r="L22" s="219"/>
      <c r="M22" s="219"/>
      <c r="N22" s="219"/>
      <c r="O22" s="219"/>
      <c r="P22" s="219"/>
      <c r="Q22" s="219"/>
      <c r="R22" s="219"/>
      <c r="S22" s="219"/>
      <c r="T22" s="230"/>
      <c r="U22" s="219"/>
      <c r="V22" s="219"/>
      <c r="W22" s="219"/>
      <c r="X22" s="219"/>
      <c r="Y22" s="219"/>
      <c r="Z22" s="219"/>
      <c r="AA22" s="219"/>
      <c r="AB22" s="219"/>
      <c r="AC22" s="219"/>
      <c r="AD22" s="219"/>
      <c r="AE22" s="219"/>
      <c r="AF22" s="219"/>
      <c r="AG22" s="219"/>
      <c r="AH22" s="219"/>
      <c r="AI22" s="219"/>
      <c r="AJ22" s="231"/>
      <c r="AK22" s="219"/>
      <c r="AL22" s="219"/>
      <c r="AM22" s="219"/>
      <c r="AN22" s="219"/>
      <c r="AO22" s="219"/>
      <c r="AP22" s="219"/>
      <c r="AQ22" s="219"/>
      <c r="AR22" s="219"/>
      <c r="AS22" s="219"/>
      <c r="AT22" s="219"/>
      <c r="AU22" s="219"/>
      <c r="AV22" s="219"/>
      <c r="AW22" s="219"/>
      <c r="AX22" s="219"/>
      <c r="AY22" s="233"/>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c r="CP22" s="219"/>
      <c r="CQ22" s="219"/>
      <c r="CR22" s="219"/>
      <c r="CS22" s="219"/>
      <c r="CT22" s="219"/>
      <c r="CU22" s="219"/>
      <c r="CV22" s="219"/>
      <c r="CW22" s="219"/>
      <c r="CX22" s="219"/>
      <c r="CY22" s="219"/>
      <c r="CZ22" s="219"/>
      <c r="DA22" s="219"/>
      <c r="DB22" s="219"/>
      <c r="DC22" s="219"/>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row>
    <row r="23" spans="1:327" ht="30" customHeight="1">
      <c r="A23" s="79">
        <f t="shared" si="0"/>
        <v>16</v>
      </c>
      <c r="B23" s="75">
        <v>0.66666666666666696</v>
      </c>
      <c r="C23" s="229"/>
      <c r="D23" s="67"/>
      <c r="E23" s="234" t="s">
        <v>777</v>
      </c>
      <c r="F23" s="67"/>
      <c r="G23" s="229"/>
      <c r="H23" s="219"/>
      <c r="I23" s="219"/>
      <c r="J23" s="219"/>
      <c r="K23" s="219"/>
      <c r="L23" s="219"/>
      <c r="M23" s="219"/>
      <c r="N23" s="219"/>
      <c r="O23" s="219"/>
      <c r="P23" s="219"/>
      <c r="Q23" s="219"/>
      <c r="R23" s="219"/>
      <c r="S23" s="219"/>
      <c r="T23" s="230"/>
      <c r="U23" s="219"/>
      <c r="V23" s="219"/>
      <c r="W23" s="219"/>
      <c r="X23" s="219"/>
      <c r="Y23" s="219"/>
      <c r="Z23" s="219"/>
      <c r="AA23" s="219"/>
      <c r="AB23" s="219"/>
      <c r="AC23" s="219"/>
      <c r="AD23" s="219"/>
      <c r="AE23" s="219"/>
      <c r="AF23" s="219"/>
      <c r="AG23" s="219"/>
      <c r="AH23" s="219"/>
      <c r="AI23" s="219"/>
      <c r="AJ23" s="231"/>
      <c r="AK23" s="219"/>
      <c r="AL23" s="219"/>
      <c r="AM23" s="219"/>
      <c r="AN23" s="219"/>
      <c r="AO23" s="219"/>
      <c r="AP23" s="219"/>
      <c r="AQ23" s="219"/>
      <c r="AR23" s="219"/>
      <c r="AS23" s="219"/>
      <c r="AT23" s="219"/>
      <c r="AU23" s="219"/>
      <c r="AV23" s="219"/>
      <c r="AW23" s="219"/>
      <c r="AX23" s="219"/>
      <c r="AY23" s="233"/>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c r="CP23" s="219"/>
      <c r="CQ23" s="219"/>
      <c r="CR23" s="219"/>
      <c r="CS23" s="219"/>
      <c r="CT23" s="219"/>
      <c r="CU23" s="219"/>
      <c r="CV23" s="219"/>
      <c r="CW23" s="219"/>
      <c r="CX23" s="219"/>
      <c r="CY23" s="219"/>
      <c r="CZ23" s="219"/>
      <c r="DA23" s="219"/>
      <c r="DB23" s="219"/>
      <c r="DC23" s="219"/>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row>
    <row r="24" spans="1:327" ht="66.75" customHeight="1">
      <c r="A24" s="79">
        <f t="shared" si="0"/>
        <v>17</v>
      </c>
      <c r="B24" s="75">
        <v>0.70833333333333304</v>
      </c>
      <c r="C24" s="235" t="s">
        <v>717</v>
      </c>
      <c r="D24" s="238" t="s">
        <v>752</v>
      </c>
      <c r="E24" s="67" t="s">
        <v>770</v>
      </c>
      <c r="F24" s="67"/>
      <c r="G24" s="229"/>
      <c r="H24" s="219"/>
      <c r="I24" s="219"/>
      <c r="J24" s="219"/>
      <c r="K24" s="219"/>
      <c r="L24" s="219"/>
      <c r="M24" s="219"/>
      <c r="N24" s="219"/>
      <c r="O24" s="219"/>
      <c r="P24" s="219"/>
      <c r="Q24" s="219"/>
      <c r="R24" s="219"/>
      <c r="S24" s="219"/>
      <c r="T24" s="230"/>
      <c r="U24" s="219"/>
      <c r="V24" s="219"/>
      <c r="W24" s="219"/>
      <c r="X24" s="219"/>
      <c r="Y24" s="219"/>
      <c r="Z24" s="219"/>
      <c r="AA24" s="219"/>
      <c r="AB24" s="219"/>
      <c r="AC24" s="219"/>
      <c r="AD24" s="219"/>
      <c r="AE24" s="219"/>
      <c r="AF24" s="219"/>
      <c r="AG24" s="219"/>
      <c r="AH24" s="219"/>
      <c r="AI24" s="219"/>
      <c r="AJ24" s="231"/>
      <c r="AK24" s="219"/>
      <c r="AL24" s="219"/>
      <c r="AM24" s="219"/>
      <c r="AN24" s="219"/>
      <c r="AO24" s="219"/>
      <c r="AP24" s="219"/>
      <c r="AQ24" s="219"/>
      <c r="AR24" s="219"/>
      <c r="AS24" s="219"/>
      <c r="AT24" s="219"/>
      <c r="AU24" s="219"/>
      <c r="AV24" s="219"/>
      <c r="AW24" s="219"/>
      <c r="AX24" s="219"/>
      <c r="AY24" s="233"/>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c r="CP24" s="219"/>
      <c r="CQ24" s="219"/>
      <c r="CR24" s="219"/>
      <c r="CS24" s="219"/>
      <c r="CT24" s="219"/>
      <c r="CU24" s="219"/>
      <c r="CV24" s="219"/>
      <c r="CW24" s="219"/>
      <c r="CX24" s="219"/>
      <c r="CY24" s="219"/>
      <c r="CZ24" s="219"/>
      <c r="DA24" s="219"/>
      <c r="DB24" s="219"/>
      <c r="DC24" s="219"/>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row>
    <row r="25" spans="1:327" ht="44.1" customHeight="1">
      <c r="A25" s="79">
        <f t="shared" si="0"/>
        <v>18</v>
      </c>
      <c r="B25" s="75">
        <v>0.75</v>
      </c>
      <c r="C25" s="235" t="s">
        <v>717</v>
      </c>
      <c r="D25" s="285" t="s">
        <v>761</v>
      </c>
      <c r="E25" s="234" t="s">
        <v>774</v>
      </c>
      <c r="F25" s="67"/>
      <c r="G25" s="229"/>
      <c r="H25" s="219"/>
      <c r="I25" s="219"/>
      <c r="J25" s="219"/>
      <c r="K25" s="219"/>
      <c r="L25" s="219"/>
      <c r="M25" s="219"/>
      <c r="N25" s="219"/>
      <c r="O25" s="219"/>
      <c r="P25" s="219"/>
      <c r="Q25" s="219"/>
      <c r="R25" s="219"/>
      <c r="S25" s="219"/>
      <c r="T25" s="230"/>
      <c r="U25" s="219"/>
      <c r="V25" s="219"/>
      <c r="W25" s="219"/>
      <c r="X25" s="219"/>
      <c r="Y25" s="219"/>
      <c r="Z25" s="219"/>
      <c r="AA25" s="219"/>
      <c r="AB25" s="219"/>
      <c r="AC25" s="219"/>
      <c r="AD25" s="219"/>
      <c r="AE25" s="219"/>
      <c r="AF25" s="219"/>
      <c r="AG25" s="219"/>
      <c r="AH25" s="219"/>
      <c r="AI25" s="219"/>
      <c r="AJ25" s="231"/>
      <c r="AK25" s="219"/>
      <c r="AL25" s="219"/>
      <c r="AM25" s="219"/>
      <c r="AN25" s="219"/>
      <c r="AO25" s="219"/>
      <c r="AP25" s="219"/>
      <c r="AQ25" s="219"/>
      <c r="AR25" s="219"/>
      <c r="AS25" s="219"/>
      <c r="AT25" s="219"/>
      <c r="AU25" s="219"/>
      <c r="AV25" s="219"/>
      <c r="AW25" s="219"/>
      <c r="AX25" s="219"/>
      <c r="AY25" s="233"/>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c r="CP25" s="219"/>
      <c r="CQ25" s="219"/>
      <c r="CR25" s="219"/>
      <c r="CS25" s="219"/>
      <c r="CT25" s="219"/>
      <c r="CU25" s="219"/>
      <c r="CV25" s="219"/>
      <c r="CW25" s="219"/>
      <c r="CX25" s="219"/>
      <c r="CY25" s="219"/>
      <c r="CZ25" s="219"/>
      <c r="DA25" s="219"/>
      <c r="DB25" s="219"/>
      <c r="DC25" s="219"/>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row>
    <row r="26" spans="1:327" ht="42" customHeight="1">
      <c r="A26" s="79">
        <f t="shared" si="0"/>
        <v>19</v>
      </c>
      <c r="B26" s="75">
        <v>0.79166666666666696</v>
      </c>
      <c r="C26" s="231" t="s">
        <v>263</v>
      </c>
      <c r="D26" s="285" t="s">
        <v>766</v>
      </c>
      <c r="E26" s="234" t="s">
        <v>774</v>
      </c>
      <c r="F26" s="67"/>
      <c r="G26" s="229"/>
      <c r="H26" s="219"/>
      <c r="I26" s="219"/>
      <c r="J26" s="219"/>
      <c r="K26" s="219"/>
      <c r="L26" s="219"/>
      <c r="M26" s="219"/>
      <c r="N26" s="219"/>
      <c r="O26" s="219"/>
      <c r="P26" s="219"/>
      <c r="Q26" s="219"/>
      <c r="R26" s="219"/>
      <c r="S26" s="219"/>
      <c r="T26" s="230"/>
      <c r="U26" s="219"/>
      <c r="V26" s="219"/>
      <c r="W26" s="219"/>
      <c r="X26" s="219"/>
      <c r="Y26" s="219"/>
      <c r="Z26" s="219"/>
      <c r="AA26" s="219"/>
      <c r="AB26" s="219"/>
      <c r="AC26" s="219"/>
      <c r="AD26" s="219"/>
      <c r="AE26" s="219"/>
      <c r="AF26" s="219"/>
      <c r="AG26" s="219"/>
      <c r="AH26" s="219"/>
      <c r="AI26" s="219"/>
      <c r="AJ26" s="231"/>
      <c r="AK26" s="219"/>
      <c r="AL26" s="219"/>
      <c r="AM26" s="219"/>
      <c r="AN26" s="219"/>
      <c r="AO26" s="219"/>
      <c r="AP26" s="219"/>
      <c r="AQ26" s="219"/>
      <c r="AR26" s="219"/>
      <c r="AS26" s="219"/>
      <c r="AT26" s="219"/>
      <c r="AU26" s="219"/>
      <c r="AV26" s="219"/>
      <c r="AW26" s="219"/>
      <c r="AX26" s="219"/>
      <c r="AY26" s="233"/>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c r="CP26" s="219"/>
      <c r="CQ26" s="219"/>
      <c r="CR26" s="219"/>
      <c r="CS26" s="219"/>
      <c r="CT26" s="219"/>
      <c r="CU26" s="219"/>
      <c r="CV26" s="219"/>
      <c r="CW26" s="219"/>
      <c r="CX26" s="219"/>
      <c r="CY26" s="219"/>
      <c r="CZ26" s="219"/>
      <c r="DA26" s="219"/>
      <c r="DB26" s="219"/>
      <c r="DC26" s="219"/>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row>
    <row r="27" spans="1:327" ht="41.1" customHeight="1">
      <c r="A27" s="79">
        <f t="shared" si="0"/>
        <v>20</v>
      </c>
      <c r="B27" s="75">
        <v>0.83333333333333304</v>
      </c>
      <c r="C27" s="231" t="s">
        <v>263</v>
      </c>
      <c r="D27" s="238" t="s">
        <v>765</v>
      </c>
      <c r="E27" s="234" t="s">
        <v>774</v>
      </c>
      <c r="F27" s="67"/>
      <c r="G27" s="229"/>
      <c r="H27" s="219"/>
      <c r="I27" s="219"/>
      <c r="J27" s="219"/>
      <c r="K27" s="219"/>
      <c r="L27" s="219"/>
      <c r="M27" s="219"/>
      <c r="N27" s="219"/>
      <c r="O27" s="219"/>
      <c r="P27" s="219"/>
      <c r="Q27" s="219"/>
      <c r="R27" s="219"/>
      <c r="S27" s="219"/>
      <c r="T27" s="230"/>
      <c r="U27" s="219"/>
      <c r="V27" s="219"/>
      <c r="W27" s="219"/>
      <c r="X27" s="219"/>
      <c r="Y27" s="219"/>
      <c r="Z27" s="219"/>
      <c r="AA27" s="219"/>
      <c r="AB27" s="219"/>
      <c r="AC27" s="219"/>
      <c r="AD27" s="219"/>
      <c r="AE27" s="219"/>
      <c r="AF27" s="219"/>
      <c r="AG27" s="219"/>
      <c r="AH27" s="219"/>
      <c r="AI27" s="219"/>
      <c r="AJ27" s="231"/>
      <c r="AK27" s="219"/>
      <c r="AL27" s="219"/>
      <c r="AM27" s="219"/>
      <c r="AN27" s="219"/>
      <c r="AO27" s="219"/>
      <c r="AP27" s="219"/>
      <c r="AQ27" s="219"/>
      <c r="AR27" s="219"/>
      <c r="AS27" s="219"/>
      <c r="AT27" s="219"/>
      <c r="AU27" s="219"/>
      <c r="AV27" s="219"/>
      <c r="AW27" s="219"/>
      <c r="AX27" s="219"/>
      <c r="AY27" s="233"/>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c r="CP27" s="219"/>
      <c r="CQ27" s="219"/>
      <c r="CR27" s="219"/>
      <c r="CS27" s="219"/>
      <c r="CT27" s="219"/>
      <c r="CU27" s="219"/>
      <c r="CV27" s="219"/>
      <c r="CW27" s="219"/>
      <c r="CX27" s="219"/>
      <c r="CY27" s="219"/>
      <c r="CZ27" s="219"/>
      <c r="DA27" s="219"/>
      <c r="DB27" s="219"/>
      <c r="DC27" s="219"/>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row>
    <row r="28" spans="1:327" s="71" customFormat="1" ht="54" customHeight="1">
      <c r="A28" s="79">
        <f t="shared" si="0"/>
        <v>21</v>
      </c>
      <c r="B28" s="75">
        <v>0.875</v>
      </c>
      <c r="C28" s="235" t="s">
        <v>717</v>
      </c>
      <c r="D28" s="67" t="s">
        <v>769</v>
      </c>
      <c r="E28" s="288" t="s">
        <v>771</v>
      </c>
      <c r="F28" s="67"/>
      <c r="G28" s="229"/>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31"/>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c r="FH28" s="220"/>
      <c r="FI28" s="220"/>
      <c r="FJ28" s="220"/>
      <c r="FK28" s="220"/>
      <c r="FL28" s="220"/>
      <c r="FM28" s="220"/>
      <c r="FN28" s="220"/>
      <c r="FO28" s="220"/>
      <c r="FP28" s="220"/>
      <c r="FQ28" s="220"/>
      <c r="FR28" s="220"/>
      <c r="FS28" s="220"/>
      <c r="FT28" s="220"/>
      <c r="FU28" s="220"/>
      <c r="FV28" s="220"/>
      <c r="FW28" s="220"/>
      <c r="FX28" s="220"/>
      <c r="FY28" s="220"/>
      <c r="FZ28" s="220"/>
      <c r="GA28" s="220"/>
      <c r="GB28" s="220"/>
      <c r="GC28" s="220"/>
      <c r="GD28" s="220"/>
      <c r="GE28" s="220"/>
      <c r="GF28" s="220"/>
      <c r="GG28" s="220"/>
      <c r="GH28" s="220"/>
      <c r="GI28" s="220"/>
      <c r="GJ28" s="220"/>
      <c r="GK28" s="220"/>
      <c r="GL28" s="220"/>
      <c r="GM28" s="220"/>
      <c r="GN28" s="220"/>
      <c r="GO28" s="220"/>
      <c r="GP28" s="220"/>
      <c r="GQ28" s="220"/>
      <c r="GR28" s="220"/>
      <c r="GS28" s="220"/>
      <c r="GT28" s="220"/>
      <c r="GU28" s="220"/>
      <c r="GV28" s="220"/>
      <c r="GW28" s="220"/>
      <c r="GX28" s="220"/>
      <c r="GY28" s="220"/>
      <c r="GZ28" s="220"/>
      <c r="HA28" s="220"/>
      <c r="HB28" s="220"/>
      <c r="HC28" s="220"/>
      <c r="HD28" s="220"/>
      <c r="HE28" s="220"/>
      <c r="HF28" s="220"/>
      <c r="HG28" s="220"/>
      <c r="HH28" s="220"/>
      <c r="HI28" s="220"/>
      <c r="HJ28" s="220"/>
      <c r="HK28" s="220"/>
      <c r="HL28" s="220"/>
      <c r="HM28" s="220"/>
      <c r="HN28" s="220"/>
      <c r="HO28" s="220"/>
      <c r="HP28" s="220"/>
      <c r="HQ28" s="220"/>
      <c r="HR28" s="220"/>
      <c r="HS28" s="220"/>
      <c r="HT28" s="220"/>
      <c r="HU28" s="220"/>
      <c r="HV28" s="220"/>
      <c r="HW28" s="220"/>
      <c r="HX28" s="220"/>
      <c r="HY28" s="220"/>
      <c r="HZ28" s="220"/>
      <c r="IA28" s="220"/>
      <c r="IB28" s="220"/>
      <c r="IC28" s="220"/>
      <c r="ID28" s="220"/>
      <c r="IE28" s="220"/>
      <c r="IF28" s="220"/>
      <c r="IG28" s="220"/>
      <c r="IH28" s="220"/>
      <c r="II28" s="220"/>
      <c r="IJ28" s="220"/>
      <c r="IK28" s="220"/>
      <c r="IL28" s="220"/>
      <c r="IM28" s="220"/>
      <c r="IN28" s="220"/>
      <c r="IO28" s="220"/>
      <c r="IP28" s="220"/>
      <c r="IQ28" s="220"/>
      <c r="IR28" s="220"/>
      <c r="IS28" s="220"/>
      <c r="IT28" s="220"/>
      <c r="IU28" s="220"/>
      <c r="IV28" s="220"/>
      <c r="IW28" s="220"/>
      <c r="IX28" s="220"/>
      <c r="IY28" s="220"/>
      <c r="IZ28" s="220"/>
      <c r="JA28" s="220"/>
      <c r="JB28" s="220"/>
      <c r="JC28" s="220"/>
      <c r="JD28" s="220"/>
      <c r="JE28" s="220"/>
      <c r="JF28" s="220"/>
      <c r="JG28" s="220"/>
      <c r="JH28" s="220"/>
      <c r="JI28" s="220"/>
      <c r="JJ28" s="220"/>
      <c r="JK28" s="220"/>
      <c r="JL28" s="220"/>
      <c r="JM28" s="220"/>
      <c r="JN28" s="220"/>
      <c r="JO28" s="220"/>
      <c r="JP28" s="220"/>
      <c r="JQ28" s="220"/>
      <c r="JR28" s="220"/>
      <c r="JS28" s="220"/>
      <c r="JT28" s="220"/>
      <c r="JU28" s="220"/>
      <c r="JV28" s="220"/>
      <c r="JW28" s="220"/>
      <c r="JX28" s="220"/>
      <c r="JY28" s="220"/>
      <c r="JZ28" s="220"/>
      <c r="KA28" s="220"/>
      <c r="KB28" s="220"/>
      <c r="KC28" s="220"/>
      <c r="KD28" s="220"/>
      <c r="KE28" s="220"/>
      <c r="KF28" s="220"/>
      <c r="KG28" s="220"/>
      <c r="KH28" s="220"/>
      <c r="KI28" s="220"/>
      <c r="KJ28" s="220"/>
      <c r="KK28" s="220"/>
      <c r="KL28" s="220"/>
      <c r="KM28" s="220"/>
      <c r="KN28" s="220"/>
      <c r="KO28" s="220"/>
      <c r="KP28" s="220"/>
      <c r="KQ28" s="220"/>
      <c r="KR28" s="220"/>
      <c r="KS28" s="220"/>
      <c r="KT28" s="220"/>
      <c r="KU28" s="220"/>
      <c r="KV28" s="220"/>
      <c r="KW28" s="220"/>
      <c r="KX28" s="220"/>
      <c r="KY28" s="220"/>
      <c r="KZ28" s="220"/>
      <c r="LA28" s="220"/>
      <c r="LB28" s="220"/>
      <c r="LC28" s="220"/>
      <c r="LD28" s="220"/>
      <c r="LE28" s="220"/>
      <c r="LF28" s="220"/>
      <c r="LG28" s="220"/>
      <c r="LH28" s="220"/>
      <c r="LI28" s="220"/>
      <c r="LJ28" s="220"/>
      <c r="LK28" s="220"/>
      <c r="LL28" s="220"/>
      <c r="LM28" s="220"/>
      <c r="LN28" s="220"/>
      <c r="LO28" s="220"/>
    </row>
    <row r="29" spans="1:327" ht="47.25" customHeight="1">
      <c r="A29" s="79">
        <f t="shared" si="0"/>
        <v>22</v>
      </c>
      <c r="B29" s="75">
        <v>0.91666666666666696</v>
      </c>
      <c r="C29" s="229"/>
      <c r="D29" s="67"/>
      <c r="E29" s="219"/>
      <c r="F29" s="67"/>
      <c r="G29" s="22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31"/>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c r="CP29" s="219"/>
      <c r="CQ29" s="219"/>
      <c r="CR29" s="219"/>
      <c r="CS29" s="219"/>
      <c r="CT29" s="219"/>
      <c r="CU29" s="219"/>
      <c r="CV29" s="219"/>
      <c r="CW29" s="219"/>
      <c r="CX29" s="219"/>
      <c r="CY29" s="219"/>
      <c r="CZ29" s="219"/>
      <c r="DA29" s="219"/>
      <c r="DB29" s="219"/>
      <c r="DC29" s="219"/>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row>
    <row r="30" spans="1:327" ht="24.75" customHeight="1">
      <c r="A30" s="79">
        <f t="shared" si="0"/>
        <v>23</v>
      </c>
      <c r="B30" s="75">
        <v>0.95833333333333304</v>
      </c>
      <c r="C30" s="229"/>
      <c r="D30" s="67"/>
      <c r="E30" s="229"/>
      <c r="F30" s="67"/>
      <c r="G30" s="22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31"/>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c r="CP30" s="219"/>
      <c r="CQ30" s="219"/>
      <c r="CR30" s="219"/>
      <c r="CS30" s="219"/>
      <c r="CT30" s="219"/>
      <c r="CU30" s="219"/>
      <c r="CV30" s="219"/>
      <c r="CW30" s="219"/>
      <c r="CX30" s="219"/>
      <c r="CY30" s="219"/>
      <c r="CZ30" s="219"/>
      <c r="DA30" s="219"/>
      <c r="DB30" s="219"/>
      <c r="DC30" s="219"/>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row>
    <row r="31" spans="1:327" s="78" customFormat="1" ht="37.5" customHeight="1">
      <c r="B31" s="222" t="s">
        <v>709</v>
      </c>
      <c r="C31" s="290">
        <f t="shared" ref="C31:BI31" si="1">SUM(C7:C30)</f>
        <v>0</v>
      </c>
      <c r="D31" s="290">
        <f t="shared" si="1"/>
        <v>0</v>
      </c>
      <c r="E31" s="290">
        <f t="shared" si="1"/>
        <v>0</v>
      </c>
      <c r="F31" s="290">
        <f t="shared" si="1"/>
        <v>0</v>
      </c>
      <c r="G31" s="290">
        <f t="shared" si="1"/>
        <v>0</v>
      </c>
      <c r="H31" s="290">
        <f t="shared" si="1"/>
        <v>0</v>
      </c>
      <c r="I31" s="290">
        <f t="shared" si="1"/>
        <v>0</v>
      </c>
      <c r="J31" s="290">
        <f t="shared" si="1"/>
        <v>0</v>
      </c>
      <c r="K31" s="290">
        <f t="shared" si="1"/>
        <v>0</v>
      </c>
      <c r="L31" s="290">
        <f t="shared" si="1"/>
        <v>0</v>
      </c>
      <c r="M31" s="290">
        <f t="shared" si="1"/>
        <v>0</v>
      </c>
      <c r="N31" s="290">
        <f t="shared" si="1"/>
        <v>0</v>
      </c>
      <c r="O31" s="290">
        <f t="shared" si="1"/>
        <v>0</v>
      </c>
      <c r="P31" s="290">
        <f t="shared" si="1"/>
        <v>0</v>
      </c>
      <c r="Q31" s="290">
        <f t="shared" si="1"/>
        <v>0</v>
      </c>
      <c r="R31" s="290">
        <f t="shared" si="1"/>
        <v>0</v>
      </c>
      <c r="S31" s="290">
        <f t="shared" si="1"/>
        <v>0</v>
      </c>
      <c r="T31" s="290">
        <f t="shared" si="1"/>
        <v>0</v>
      </c>
      <c r="U31" s="290">
        <f t="shared" si="1"/>
        <v>0</v>
      </c>
      <c r="V31" s="290">
        <f t="shared" si="1"/>
        <v>0</v>
      </c>
      <c r="W31" s="290">
        <f t="shared" si="1"/>
        <v>0</v>
      </c>
      <c r="X31" s="290">
        <f t="shared" si="1"/>
        <v>0</v>
      </c>
      <c r="Y31" s="290">
        <f t="shared" si="1"/>
        <v>0</v>
      </c>
      <c r="Z31" s="290">
        <f t="shared" si="1"/>
        <v>0</v>
      </c>
      <c r="AA31" s="290">
        <f t="shared" si="1"/>
        <v>0</v>
      </c>
      <c r="AB31" s="290">
        <f t="shared" si="1"/>
        <v>0</v>
      </c>
      <c r="AC31" s="290">
        <f t="shared" si="1"/>
        <v>0</v>
      </c>
      <c r="AD31" s="290">
        <f t="shared" si="1"/>
        <v>0</v>
      </c>
      <c r="AE31" s="290">
        <f t="shared" si="1"/>
        <v>0</v>
      </c>
      <c r="AF31" s="290">
        <f t="shared" si="1"/>
        <v>0</v>
      </c>
      <c r="AG31" s="290">
        <f t="shared" si="1"/>
        <v>0</v>
      </c>
      <c r="AH31" s="290">
        <f t="shared" si="1"/>
        <v>0</v>
      </c>
      <c r="AI31" s="290">
        <f t="shared" si="1"/>
        <v>0</v>
      </c>
      <c r="AJ31" s="290">
        <f t="shared" si="1"/>
        <v>0</v>
      </c>
      <c r="AK31" s="290">
        <f t="shared" si="1"/>
        <v>0</v>
      </c>
      <c r="AL31" s="290">
        <f t="shared" si="1"/>
        <v>0</v>
      </c>
      <c r="AM31" s="290">
        <f t="shared" si="1"/>
        <v>0</v>
      </c>
      <c r="AN31" s="290">
        <f t="shared" si="1"/>
        <v>0</v>
      </c>
      <c r="AO31" s="290">
        <f t="shared" si="1"/>
        <v>0</v>
      </c>
      <c r="AP31" s="290">
        <f t="shared" si="1"/>
        <v>0</v>
      </c>
      <c r="AQ31" s="290">
        <f t="shared" si="1"/>
        <v>0</v>
      </c>
      <c r="AR31" s="290">
        <f t="shared" si="1"/>
        <v>0</v>
      </c>
      <c r="AS31" s="290">
        <f t="shared" si="1"/>
        <v>0</v>
      </c>
      <c r="AT31" s="290">
        <f t="shared" si="1"/>
        <v>0</v>
      </c>
      <c r="AU31" s="290">
        <f t="shared" si="1"/>
        <v>0</v>
      </c>
      <c r="AV31" s="290">
        <f t="shared" si="1"/>
        <v>0</v>
      </c>
      <c r="AW31" s="290">
        <f t="shared" si="1"/>
        <v>0</v>
      </c>
      <c r="AX31" s="290">
        <f t="shared" si="1"/>
        <v>0</v>
      </c>
      <c r="AY31" s="290">
        <f t="shared" si="1"/>
        <v>0</v>
      </c>
      <c r="AZ31" s="290">
        <f t="shared" si="1"/>
        <v>0</v>
      </c>
      <c r="BA31" s="290">
        <f t="shared" si="1"/>
        <v>0</v>
      </c>
      <c r="BB31" s="290">
        <f t="shared" si="1"/>
        <v>0</v>
      </c>
      <c r="BC31" s="290">
        <f t="shared" si="1"/>
        <v>0</v>
      </c>
      <c r="BD31" s="290">
        <f t="shared" si="1"/>
        <v>0</v>
      </c>
      <c r="BE31" s="290">
        <f t="shared" si="1"/>
        <v>0</v>
      </c>
      <c r="BF31" s="290">
        <f t="shared" si="1"/>
        <v>0</v>
      </c>
      <c r="BG31" s="290">
        <f t="shared" si="1"/>
        <v>0</v>
      </c>
      <c r="BH31" s="290">
        <f t="shared" si="1"/>
        <v>0</v>
      </c>
      <c r="BI31" s="290">
        <f t="shared" si="1"/>
        <v>0</v>
      </c>
      <c r="BJ31" s="290">
        <f t="shared" ref="BJ31:DU31" si="2">SUM(BJ7:BJ30)</f>
        <v>0</v>
      </c>
      <c r="BK31" s="290">
        <f t="shared" si="2"/>
        <v>0</v>
      </c>
      <c r="BL31" s="290">
        <f t="shared" si="2"/>
        <v>0</v>
      </c>
      <c r="BM31" s="290">
        <f t="shared" si="2"/>
        <v>0</v>
      </c>
      <c r="BN31" s="290">
        <f t="shared" si="2"/>
        <v>0</v>
      </c>
      <c r="BO31" s="290">
        <f t="shared" si="2"/>
        <v>0</v>
      </c>
      <c r="BP31" s="290">
        <f t="shared" si="2"/>
        <v>0</v>
      </c>
      <c r="BQ31" s="290">
        <f t="shared" si="2"/>
        <v>0</v>
      </c>
      <c r="BR31" s="290">
        <f t="shared" si="2"/>
        <v>0</v>
      </c>
      <c r="BS31" s="290">
        <f t="shared" si="2"/>
        <v>0</v>
      </c>
      <c r="BT31" s="290">
        <f t="shared" si="2"/>
        <v>0</v>
      </c>
      <c r="BU31" s="290">
        <f t="shared" si="2"/>
        <v>0</v>
      </c>
      <c r="BV31" s="290">
        <f t="shared" si="2"/>
        <v>0</v>
      </c>
      <c r="BW31" s="290">
        <f t="shared" si="2"/>
        <v>0</v>
      </c>
      <c r="BX31" s="290">
        <f t="shared" si="2"/>
        <v>0</v>
      </c>
      <c r="BY31" s="290">
        <f t="shared" si="2"/>
        <v>0</v>
      </c>
      <c r="BZ31" s="290">
        <f t="shared" si="2"/>
        <v>0</v>
      </c>
      <c r="CA31" s="290">
        <f t="shared" si="2"/>
        <v>0</v>
      </c>
      <c r="CB31" s="290">
        <f t="shared" si="2"/>
        <v>0</v>
      </c>
      <c r="CC31" s="290">
        <f t="shared" si="2"/>
        <v>0</v>
      </c>
      <c r="CD31" s="290">
        <f t="shared" si="2"/>
        <v>0</v>
      </c>
      <c r="CE31" s="290">
        <f t="shared" si="2"/>
        <v>0</v>
      </c>
      <c r="CF31" s="290">
        <f t="shared" si="2"/>
        <v>0</v>
      </c>
      <c r="CG31" s="290">
        <f t="shared" si="2"/>
        <v>0</v>
      </c>
      <c r="CH31" s="290">
        <f t="shared" si="2"/>
        <v>0</v>
      </c>
      <c r="CI31" s="290">
        <f t="shared" si="2"/>
        <v>0</v>
      </c>
      <c r="CJ31" s="290">
        <f t="shared" si="2"/>
        <v>0</v>
      </c>
      <c r="CK31" s="290">
        <f t="shared" si="2"/>
        <v>0</v>
      </c>
      <c r="CL31" s="290">
        <f t="shared" si="2"/>
        <v>0</v>
      </c>
      <c r="CM31" s="290">
        <f t="shared" si="2"/>
        <v>0</v>
      </c>
      <c r="CN31" s="290">
        <f t="shared" si="2"/>
        <v>0</v>
      </c>
      <c r="CO31" s="290">
        <f t="shared" si="2"/>
        <v>0</v>
      </c>
      <c r="CP31" s="290">
        <f t="shared" si="2"/>
        <v>0</v>
      </c>
      <c r="CQ31" s="290">
        <f t="shared" si="2"/>
        <v>0</v>
      </c>
      <c r="CR31" s="290">
        <f t="shared" si="2"/>
        <v>0</v>
      </c>
      <c r="CS31" s="290">
        <f t="shared" si="2"/>
        <v>0</v>
      </c>
      <c r="CT31" s="290">
        <f t="shared" si="2"/>
        <v>0</v>
      </c>
      <c r="CU31" s="290">
        <f t="shared" si="2"/>
        <v>0</v>
      </c>
      <c r="CV31" s="290">
        <f t="shared" si="2"/>
        <v>0</v>
      </c>
      <c r="CW31" s="290">
        <f t="shared" si="2"/>
        <v>0</v>
      </c>
      <c r="CX31" s="290">
        <f t="shared" si="2"/>
        <v>0</v>
      </c>
      <c r="CY31" s="290">
        <f t="shared" si="2"/>
        <v>0</v>
      </c>
      <c r="CZ31" s="290">
        <f t="shared" si="2"/>
        <v>0</v>
      </c>
      <c r="DA31" s="290">
        <f t="shared" si="2"/>
        <v>0</v>
      </c>
      <c r="DB31" s="290">
        <f t="shared" si="2"/>
        <v>0</v>
      </c>
      <c r="DC31" s="290">
        <f t="shared" si="2"/>
        <v>0</v>
      </c>
      <c r="DD31" s="290">
        <f t="shared" si="2"/>
        <v>0</v>
      </c>
      <c r="DE31" s="290">
        <f t="shared" si="2"/>
        <v>0</v>
      </c>
      <c r="DF31" s="290">
        <f t="shared" si="2"/>
        <v>0</v>
      </c>
      <c r="DG31" s="290">
        <f t="shared" si="2"/>
        <v>0</v>
      </c>
      <c r="DH31" s="290">
        <f t="shared" si="2"/>
        <v>0</v>
      </c>
      <c r="DI31" s="290">
        <f t="shared" si="2"/>
        <v>0</v>
      </c>
      <c r="DJ31" s="290">
        <f t="shared" si="2"/>
        <v>0</v>
      </c>
      <c r="DK31" s="290">
        <f t="shared" si="2"/>
        <v>0</v>
      </c>
      <c r="DL31" s="290">
        <f t="shared" si="2"/>
        <v>0</v>
      </c>
      <c r="DM31" s="290">
        <f t="shared" si="2"/>
        <v>0</v>
      </c>
      <c r="DN31" s="290">
        <f t="shared" si="2"/>
        <v>0</v>
      </c>
      <c r="DO31" s="290">
        <f t="shared" si="2"/>
        <v>0</v>
      </c>
      <c r="DP31" s="290">
        <f t="shared" si="2"/>
        <v>0</v>
      </c>
      <c r="DQ31" s="290">
        <f t="shared" si="2"/>
        <v>0</v>
      </c>
      <c r="DR31" s="290">
        <f t="shared" si="2"/>
        <v>0</v>
      </c>
      <c r="DS31" s="290">
        <f t="shared" si="2"/>
        <v>0</v>
      </c>
      <c r="DT31" s="290">
        <f t="shared" si="2"/>
        <v>0</v>
      </c>
      <c r="DU31" s="290">
        <f t="shared" si="2"/>
        <v>0</v>
      </c>
      <c r="DV31" s="290">
        <f t="shared" ref="DV31:GG31" si="3">SUM(DV7:DV30)</f>
        <v>0</v>
      </c>
      <c r="DW31" s="290">
        <f t="shared" si="3"/>
        <v>0</v>
      </c>
      <c r="DX31" s="290">
        <f t="shared" si="3"/>
        <v>0</v>
      </c>
      <c r="DY31" s="290">
        <f t="shared" si="3"/>
        <v>0</v>
      </c>
      <c r="DZ31" s="290">
        <f t="shared" si="3"/>
        <v>0</v>
      </c>
      <c r="EA31" s="290">
        <f t="shared" si="3"/>
        <v>0</v>
      </c>
      <c r="EB31" s="290">
        <f t="shared" si="3"/>
        <v>0</v>
      </c>
      <c r="EC31" s="290">
        <f t="shared" si="3"/>
        <v>0</v>
      </c>
      <c r="ED31" s="290">
        <f t="shared" si="3"/>
        <v>0</v>
      </c>
      <c r="EE31" s="290">
        <f t="shared" si="3"/>
        <v>0</v>
      </c>
      <c r="EF31" s="290">
        <f t="shared" si="3"/>
        <v>0</v>
      </c>
      <c r="EG31" s="290">
        <f t="shared" si="3"/>
        <v>0</v>
      </c>
      <c r="EH31" s="290">
        <f t="shared" si="3"/>
        <v>0</v>
      </c>
      <c r="EI31" s="290">
        <f t="shared" si="3"/>
        <v>0</v>
      </c>
      <c r="EJ31" s="290">
        <f t="shared" si="3"/>
        <v>0</v>
      </c>
      <c r="EK31" s="290">
        <f t="shared" si="3"/>
        <v>0</v>
      </c>
      <c r="EL31" s="290">
        <f t="shared" si="3"/>
        <v>0</v>
      </c>
      <c r="EM31" s="290">
        <f t="shared" si="3"/>
        <v>0</v>
      </c>
      <c r="EN31" s="290">
        <f t="shared" si="3"/>
        <v>0</v>
      </c>
      <c r="EO31" s="290">
        <f t="shared" si="3"/>
        <v>0</v>
      </c>
      <c r="EP31" s="290">
        <f t="shared" si="3"/>
        <v>0</v>
      </c>
      <c r="EQ31" s="290">
        <f t="shared" si="3"/>
        <v>0</v>
      </c>
      <c r="ER31" s="290">
        <f t="shared" si="3"/>
        <v>0</v>
      </c>
      <c r="ES31" s="290">
        <f t="shared" si="3"/>
        <v>0</v>
      </c>
      <c r="ET31" s="290">
        <f t="shared" si="3"/>
        <v>0</v>
      </c>
      <c r="EU31" s="290">
        <f t="shared" si="3"/>
        <v>0</v>
      </c>
      <c r="EV31" s="290">
        <f t="shared" si="3"/>
        <v>0</v>
      </c>
      <c r="EW31" s="290">
        <f t="shared" si="3"/>
        <v>0</v>
      </c>
      <c r="EX31" s="290">
        <f t="shared" si="3"/>
        <v>0</v>
      </c>
      <c r="EY31" s="290">
        <f t="shared" si="3"/>
        <v>0</v>
      </c>
      <c r="EZ31" s="290">
        <f t="shared" si="3"/>
        <v>0</v>
      </c>
      <c r="FA31" s="290">
        <f t="shared" si="3"/>
        <v>0</v>
      </c>
      <c r="FB31" s="290">
        <f t="shared" si="3"/>
        <v>0</v>
      </c>
      <c r="FC31" s="290">
        <f t="shared" si="3"/>
        <v>0</v>
      </c>
      <c r="FD31" s="290">
        <f t="shared" si="3"/>
        <v>0</v>
      </c>
      <c r="FE31" s="290">
        <f t="shared" si="3"/>
        <v>0</v>
      </c>
      <c r="FF31" s="290">
        <f t="shared" si="3"/>
        <v>0</v>
      </c>
      <c r="FG31" s="290">
        <f t="shared" si="3"/>
        <v>0</v>
      </c>
      <c r="FH31" s="290">
        <f t="shared" si="3"/>
        <v>0</v>
      </c>
      <c r="FI31" s="290">
        <f t="shared" si="3"/>
        <v>0</v>
      </c>
      <c r="FJ31" s="290">
        <f t="shared" si="3"/>
        <v>0</v>
      </c>
      <c r="FK31" s="290">
        <f t="shared" si="3"/>
        <v>0</v>
      </c>
      <c r="FL31" s="290">
        <f t="shared" si="3"/>
        <v>0</v>
      </c>
      <c r="FM31" s="290">
        <f t="shared" si="3"/>
        <v>0</v>
      </c>
      <c r="FN31" s="290">
        <f t="shared" si="3"/>
        <v>0</v>
      </c>
      <c r="FO31" s="290">
        <f t="shared" si="3"/>
        <v>0</v>
      </c>
      <c r="FP31" s="290">
        <f t="shared" si="3"/>
        <v>0</v>
      </c>
      <c r="FQ31" s="290">
        <f t="shared" si="3"/>
        <v>0</v>
      </c>
      <c r="FR31" s="290">
        <f t="shared" si="3"/>
        <v>0</v>
      </c>
      <c r="FS31" s="290">
        <f t="shared" si="3"/>
        <v>0</v>
      </c>
      <c r="FT31" s="290">
        <f t="shared" si="3"/>
        <v>0</v>
      </c>
      <c r="FU31" s="290">
        <f t="shared" si="3"/>
        <v>0</v>
      </c>
      <c r="FV31" s="290">
        <f t="shared" si="3"/>
        <v>0</v>
      </c>
      <c r="FW31" s="290">
        <f t="shared" si="3"/>
        <v>0</v>
      </c>
      <c r="FX31" s="290">
        <f t="shared" si="3"/>
        <v>0</v>
      </c>
      <c r="FY31" s="290">
        <f t="shared" si="3"/>
        <v>0</v>
      </c>
      <c r="FZ31" s="290">
        <f t="shared" si="3"/>
        <v>0</v>
      </c>
      <c r="GA31" s="290">
        <f t="shared" si="3"/>
        <v>0</v>
      </c>
      <c r="GB31" s="290">
        <f t="shared" si="3"/>
        <v>0</v>
      </c>
      <c r="GC31" s="290">
        <f t="shared" si="3"/>
        <v>0</v>
      </c>
      <c r="GD31" s="290">
        <f t="shared" si="3"/>
        <v>0</v>
      </c>
      <c r="GE31" s="290">
        <f t="shared" si="3"/>
        <v>0</v>
      </c>
      <c r="GF31" s="290">
        <f t="shared" si="3"/>
        <v>0</v>
      </c>
      <c r="GG31" s="290">
        <f t="shared" si="3"/>
        <v>0</v>
      </c>
      <c r="GH31" s="290">
        <f t="shared" ref="GH31:GM31" si="4">SUM(GH7:GH30)</f>
        <v>0</v>
      </c>
      <c r="GI31" s="290">
        <f t="shared" si="4"/>
        <v>0</v>
      </c>
      <c r="GJ31" s="290">
        <f t="shared" si="4"/>
        <v>0</v>
      </c>
      <c r="GK31" s="290">
        <f t="shared" si="4"/>
        <v>0</v>
      </c>
      <c r="GL31" s="290">
        <f t="shared" si="4"/>
        <v>0</v>
      </c>
      <c r="GM31" s="290">
        <f t="shared" si="4"/>
        <v>0</v>
      </c>
      <c r="GN31" s="290"/>
      <c r="GO31" s="290"/>
      <c r="GP31" s="290"/>
      <c r="GQ31" s="290"/>
      <c r="GR31" s="290"/>
      <c r="GS31" s="290"/>
      <c r="GT31" s="290"/>
      <c r="GU31" s="290"/>
      <c r="GV31" s="290"/>
      <c r="GW31" s="290"/>
      <c r="GX31" s="290"/>
      <c r="GY31" s="290"/>
      <c r="GZ31" s="290"/>
      <c r="HA31" s="290"/>
      <c r="HB31" s="290"/>
      <c r="HC31" s="290"/>
      <c r="HD31" s="290"/>
      <c r="HE31" s="290"/>
      <c r="HF31" s="290"/>
      <c r="HG31" s="290"/>
      <c r="HH31" s="290"/>
      <c r="HI31" s="290"/>
      <c r="HJ31" s="290"/>
      <c r="HK31" s="290"/>
      <c r="HL31" s="290"/>
      <c r="HM31" s="290"/>
      <c r="HN31" s="290"/>
      <c r="HO31" s="290"/>
      <c r="HP31" s="290"/>
      <c r="HQ31" s="290"/>
      <c r="HR31" s="290"/>
      <c r="HS31" s="290"/>
      <c r="HT31" s="290"/>
      <c r="HU31" s="290"/>
      <c r="HV31" s="290"/>
      <c r="HW31" s="290"/>
      <c r="HX31" s="290"/>
      <c r="HY31" s="290"/>
      <c r="HZ31" s="290"/>
      <c r="IA31" s="290"/>
      <c r="IB31" s="290"/>
      <c r="IC31" s="290"/>
      <c r="ID31" s="290"/>
      <c r="IE31" s="290"/>
      <c r="IF31" s="290"/>
      <c r="IG31" s="290"/>
      <c r="IH31" s="290"/>
      <c r="II31" s="290"/>
      <c r="IJ31" s="290"/>
      <c r="IK31" s="290"/>
      <c r="IL31" s="290"/>
      <c r="IM31" s="290"/>
      <c r="IN31" s="290"/>
      <c r="IO31" s="290"/>
      <c r="IP31" s="290"/>
      <c r="IQ31" s="290"/>
      <c r="IR31" s="290"/>
      <c r="IS31" s="290"/>
      <c r="IT31" s="290"/>
      <c r="IU31" s="290"/>
      <c r="IV31" s="290"/>
      <c r="IW31" s="290"/>
      <c r="IX31" s="290"/>
      <c r="IY31" s="290"/>
      <c r="IZ31" s="290"/>
      <c r="JA31" s="290"/>
      <c r="JB31" s="290"/>
      <c r="JC31" s="290"/>
      <c r="JD31" s="290"/>
      <c r="JE31" s="290"/>
      <c r="JF31" s="290"/>
      <c r="JG31" s="290"/>
      <c r="JH31" s="290"/>
      <c r="JI31" s="290"/>
      <c r="JJ31" s="290"/>
      <c r="JK31" s="290"/>
      <c r="JL31" s="290"/>
      <c r="JM31" s="290"/>
      <c r="JN31" s="290"/>
      <c r="JO31" s="290"/>
      <c r="JP31" s="290"/>
      <c r="JQ31" s="290"/>
      <c r="JR31" s="290"/>
      <c r="JS31" s="290"/>
      <c r="JT31" s="290"/>
      <c r="JU31" s="290"/>
      <c r="JV31" s="290"/>
      <c r="JW31" s="290"/>
      <c r="JX31" s="290"/>
      <c r="JY31" s="290"/>
      <c r="JZ31" s="290"/>
      <c r="KA31" s="290"/>
      <c r="KB31" s="290"/>
      <c r="KC31" s="290"/>
      <c r="KD31" s="290"/>
      <c r="KE31" s="290"/>
      <c r="KF31" s="290"/>
      <c r="KG31" s="290"/>
      <c r="KH31" s="290"/>
      <c r="KI31" s="290"/>
      <c r="KJ31" s="290"/>
      <c r="KK31" s="290"/>
      <c r="KL31" s="290"/>
      <c r="KM31" s="290"/>
      <c r="KN31" s="290"/>
      <c r="KO31" s="290"/>
      <c r="KP31" s="290"/>
      <c r="KQ31" s="290"/>
      <c r="KR31" s="290"/>
      <c r="KS31" s="290"/>
      <c r="KT31" s="290"/>
      <c r="KU31" s="290"/>
      <c r="KV31" s="290"/>
      <c r="KW31" s="290"/>
      <c r="KX31" s="290"/>
      <c r="KY31" s="290"/>
      <c r="KZ31" s="290"/>
      <c r="LA31" s="290"/>
      <c r="LB31" s="290"/>
      <c r="LC31" s="290"/>
      <c r="LD31" s="290"/>
      <c r="LE31" s="290"/>
      <c r="LF31" s="290"/>
      <c r="LG31" s="290"/>
      <c r="LH31" s="290"/>
      <c r="LI31" s="290"/>
      <c r="LJ31" s="290"/>
      <c r="LK31" s="290"/>
      <c r="LL31" s="290"/>
      <c r="LM31" s="290"/>
      <c r="LN31" s="290"/>
      <c r="LO31" s="290"/>
    </row>
    <row r="32" spans="1:327" s="77" customFormat="1">
      <c r="A32" s="78"/>
    </row>
    <row r="34" ht="39.950000000000003" customHeight="1"/>
    <row r="38" ht="53.1" customHeight="1"/>
    <row r="39" ht="50.1" customHeight="1"/>
    <row r="40" ht="57" customHeight="1"/>
    <row r="41" ht="60.95" customHeight="1"/>
  </sheetData>
  <conditionalFormatting sqref="C5:P6 C7:CH30">
    <cfRule type="expression" dxfId="805" priority="24">
      <formula xml:space="preserve"> INDIRECT(CHAR(COLUMN()+96) &amp; 4) = TODAY() * NOT(ISBLANK(INDIRECT(CHAR(COLUMN()+96) &amp; ROW())))</formula>
    </cfRule>
    <cfRule type="expression" dxfId="804" priority="27">
      <formula xml:space="preserve"> INDIRECT(CHAR(COLUMN()+96) &amp; 4) = TODAY() * ISBLANK(INDIRECT(CHAR(COLUMN()+96) &amp; ROW()))</formula>
    </cfRule>
  </conditionalFormatting>
  <conditionalFormatting sqref="A5:B6 Q5:XFD6 A4:XFD4">
    <cfRule type="timePeriod" dxfId="803" priority="30" timePeriod="today">
      <formula>FLOOR(A4,1)=TODAY()</formula>
    </cfRule>
    <cfRule type="timePeriod" dxfId="802" priority="31" timePeriod="tomorrow">
      <formula>FLOOR(A4,1)=TODAY()+1</formula>
    </cfRule>
    <cfRule type="timePeriod" dxfId="801" priority="32" timePeriod="yesterday">
      <formula>FLOOR(A4,1)=TODAY()-1</formula>
    </cfRule>
  </conditionalFormatting>
  <conditionalFormatting sqref="A7:LO30">
    <cfRule type="expression" dxfId="800" priority="3">
      <formula>INDIRECT("A"&amp;3) = INDIRECT("A"&amp;ROW())</formula>
    </cfRule>
  </conditionalFormatting>
  <conditionalFormatting sqref="A2:A3 A1:XFD1 B2:XFD2">
    <cfRule type="expression" dxfId="799" priority="4">
      <formula xml:space="preserve"> INDIRECT(CHAR(COLUMN()+96) &amp; 4) = TODAY() * ISBLANK(INDIRECT(CHAR(COLUMN()+96) &amp; ROW()))</formula>
    </cfRule>
  </conditionalFormatting>
  <conditionalFormatting sqref="A31:XFD31 C7:LN30">
    <cfRule type="colorScale" priority="15">
      <colorScale>
        <cfvo type="num" val="0"/>
        <cfvo type="num" val="0.5"/>
        <cfvo type="num" val="1"/>
        <color rgb="FFF8696B"/>
        <color rgb="FFFFEB84"/>
        <color rgb="FF63BE7B"/>
      </colorScale>
    </cfRule>
  </conditionalFormatting>
  <conditionalFormatting sqref="C28">
    <cfRule type="colorScale" priority="2">
      <colorScale>
        <cfvo type="num" val="0"/>
        <cfvo type="num" val="0.5"/>
        <cfvo type="num" val="1"/>
        <color rgb="FFF8696B"/>
        <color rgb="FFFFEB84"/>
        <color rgb="FF63BE7B"/>
      </colorScale>
    </cfRule>
  </conditionalFormatting>
  <conditionalFormatting sqref="C2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B1" workbookViewId="0">
      <selection activeCell="G8" sqref="G8"/>
    </sheetView>
  </sheetViews>
  <sheetFormatPr defaultColWidth="8.85546875" defaultRowHeight="12"/>
  <cols>
    <col min="1" max="1" width="21.7109375" style="252" customWidth="1"/>
    <col min="2" max="2" width="14" style="257" customWidth="1"/>
    <col min="3" max="3" width="26.140625" style="258" customWidth="1"/>
    <col min="4" max="4" width="9.140625" style="284" customWidth="1"/>
    <col min="5" max="5" width="17.42578125" style="258" customWidth="1"/>
    <col min="6" max="6" width="28.42578125" style="259" customWidth="1"/>
    <col min="7" max="7" width="29.85546875" style="259" customWidth="1"/>
    <col min="8" max="8" width="40.42578125" style="259" customWidth="1"/>
    <col min="9" max="9" width="33" style="257" customWidth="1"/>
    <col min="10" max="10" width="27.42578125" style="259" customWidth="1"/>
    <col min="11" max="11" width="26.42578125" style="257" customWidth="1"/>
    <col min="12" max="16384" width="8.85546875" style="257"/>
  </cols>
  <sheetData>
    <row r="1" spans="1:46" s="242" customFormat="1">
      <c r="A1" s="241">
        <f ca="1">TODAY()</f>
        <v>43180</v>
      </c>
      <c r="C1" s="243"/>
      <c r="D1" s="249"/>
      <c r="E1" s="243"/>
      <c r="F1" s="254"/>
      <c r="G1" s="254"/>
      <c r="H1" s="254"/>
      <c r="J1" s="254"/>
    </row>
    <row r="2" spans="1:46" s="247" customFormat="1" ht="46.5" customHeight="1">
      <c r="A2" s="244">
        <f ca="1">NOW()</f>
        <v>43180.870027314813</v>
      </c>
      <c r="B2" s="245"/>
      <c r="C2" s="246"/>
      <c r="D2" s="246"/>
      <c r="E2" s="246"/>
      <c r="F2" s="255"/>
      <c r="G2" s="255"/>
      <c r="H2" s="255"/>
      <c r="J2" s="25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5"/>
      <c r="AS2" s="245"/>
      <c r="AT2" s="245"/>
    </row>
    <row r="3" spans="1:46">
      <c r="A3" s="248">
        <f ca="1">HOUR(A2)</f>
        <v>20</v>
      </c>
      <c r="C3" s="269"/>
      <c r="D3" s="277"/>
      <c r="E3" s="269"/>
      <c r="F3" s="272"/>
      <c r="G3" s="270"/>
      <c r="H3" s="272"/>
      <c r="I3" s="271"/>
      <c r="J3" s="272"/>
      <c r="K3" s="271"/>
    </row>
    <row r="4" spans="1:46">
      <c r="A4" s="248"/>
      <c r="C4" s="273"/>
      <c r="D4" s="281"/>
      <c r="E4" s="273"/>
      <c r="F4" s="276"/>
      <c r="G4" s="274"/>
      <c r="H4" s="276"/>
      <c r="I4" s="275"/>
      <c r="J4" s="276"/>
      <c r="K4" s="275"/>
    </row>
    <row r="5" spans="1:46" ht="15">
      <c r="A5" s="278" t="s">
        <v>740</v>
      </c>
      <c r="B5" s="260" t="s">
        <v>722</v>
      </c>
      <c r="C5" s="261" t="s">
        <v>721</v>
      </c>
      <c r="D5" s="261" t="s">
        <v>738</v>
      </c>
      <c r="E5" s="261" t="s">
        <v>736</v>
      </c>
      <c r="F5" s="262" t="s">
        <v>723</v>
      </c>
      <c r="G5" s="262" t="s">
        <v>724</v>
      </c>
      <c r="H5" s="262" t="s">
        <v>725</v>
      </c>
      <c r="I5" s="260" t="s">
        <v>734</v>
      </c>
      <c r="J5" s="262" t="s">
        <v>726</v>
      </c>
      <c r="K5" s="260" t="s">
        <v>727</v>
      </c>
    </row>
    <row r="6" spans="1:46" ht="148.5" customHeight="1">
      <c r="A6" s="243" t="s">
        <v>741</v>
      </c>
      <c r="B6" s="257">
        <v>0</v>
      </c>
      <c r="C6" s="269">
        <v>43176</v>
      </c>
      <c r="D6" s="277" t="s">
        <v>739</v>
      </c>
      <c r="E6" s="269" t="s">
        <v>737</v>
      </c>
      <c r="F6" s="272" t="s">
        <v>729</v>
      </c>
      <c r="G6" s="270" t="s">
        <v>730</v>
      </c>
      <c r="H6" s="272" t="s">
        <v>732</v>
      </c>
      <c r="I6" s="271" t="s">
        <v>735</v>
      </c>
      <c r="J6" s="272" t="s">
        <v>733</v>
      </c>
      <c r="K6" s="271" t="s">
        <v>731</v>
      </c>
    </row>
    <row r="7" spans="1:46" ht="68.25" customHeight="1">
      <c r="A7" s="249" t="s">
        <v>743</v>
      </c>
      <c r="B7" s="257">
        <f ca="1">IF(NOT(ISBLANK(C7)),(C7-C6),0)</f>
        <v>3</v>
      </c>
      <c r="C7" s="263">
        <f ca="1">TODAY()-1</f>
        <v>43179</v>
      </c>
      <c r="D7" s="282" t="s">
        <v>739</v>
      </c>
      <c r="E7" s="263" t="s">
        <v>754</v>
      </c>
      <c r="F7" s="256" t="s">
        <v>755</v>
      </c>
      <c r="G7" s="264" t="s">
        <v>756</v>
      </c>
      <c r="H7" s="256" t="s">
        <v>757</v>
      </c>
      <c r="I7" s="265" t="s">
        <v>758</v>
      </c>
      <c r="J7" s="256" t="s">
        <v>759</v>
      </c>
      <c r="K7" s="265" t="s">
        <v>760</v>
      </c>
    </row>
    <row r="8" spans="1:46" ht="45.75" customHeight="1">
      <c r="A8" s="250"/>
      <c r="B8" s="257">
        <f t="shared" ref="B8:B71" si="0">IF(NOT(ISBLANK(C8)),(C8-C7),0)</f>
        <v>0</v>
      </c>
      <c r="C8" s="269"/>
      <c r="D8" s="277"/>
      <c r="E8" s="269"/>
      <c r="F8" s="272"/>
      <c r="G8" s="270"/>
      <c r="H8" s="272"/>
      <c r="I8" s="271"/>
      <c r="J8" s="272"/>
      <c r="K8" s="271"/>
    </row>
    <row r="9" spans="1:46">
      <c r="A9" s="250"/>
      <c r="B9" s="257">
        <f t="shared" si="0"/>
        <v>0</v>
      </c>
      <c r="C9" s="263"/>
      <c r="D9" s="282"/>
      <c r="E9" s="263"/>
      <c r="F9" s="256"/>
      <c r="G9" s="264"/>
      <c r="H9" s="256"/>
      <c r="I9" s="265"/>
      <c r="J9" s="256"/>
      <c r="K9" s="265"/>
    </row>
    <row r="10" spans="1:46">
      <c r="A10" s="250"/>
      <c r="B10" s="257">
        <f t="shared" si="0"/>
        <v>0</v>
      </c>
      <c r="C10" s="263"/>
      <c r="D10" s="282"/>
      <c r="E10" s="263"/>
      <c r="F10" s="256"/>
      <c r="G10" s="264"/>
      <c r="H10" s="256"/>
      <c r="I10" s="265"/>
      <c r="J10" s="256"/>
      <c r="K10" s="265"/>
    </row>
    <row r="11" spans="1:46">
      <c r="A11" s="250"/>
      <c r="B11" s="257">
        <f t="shared" si="0"/>
        <v>0</v>
      </c>
      <c r="C11" s="263"/>
      <c r="D11" s="282"/>
      <c r="E11" s="263"/>
      <c r="F11" s="256"/>
      <c r="G11" s="264"/>
      <c r="H11" s="256"/>
      <c r="I11" s="265"/>
      <c r="J11" s="256"/>
      <c r="K11" s="265"/>
    </row>
    <row r="12" spans="1:46">
      <c r="A12" s="250"/>
      <c r="B12" s="257">
        <f t="shared" si="0"/>
        <v>0</v>
      </c>
      <c r="C12" s="263"/>
      <c r="D12" s="282"/>
      <c r="E12" s="263"/>
      <c r="F12" s="256"/>
      <c r="G12" s="264"/>
      <c r="H12" s="256"/>
      <c r="I12" s="265"/>
      <c r="J12" s="256"/>
      <c r="K12" s="265"/>
    </row>
    <row r="13" spans="1:46">
      <c r="A13" s="250"/>
      <c r="B13" s="257">
        <f t="shared" si="0"/>
        <v>0</v>
      </c>
      <c r="C13" s="263"/>
      <c r="D13" s="282"/>
      <c r="E13" s="263"/>
      <c r="F13" s="256"/>
      <c r="G13" s="264"/>
      <c r="H13" s="256"/>
      <c r="I13" s="265"/>
      <c r="J13" s="256"/>
      <c r="K13" s="265"/>
    </row>
    <row r="14" spans="1:46">
      <c r="A14" s="250"/>
      <c r="B14" s="257">
        <f t="shared" si="0"/>
        <v>0</v>
      </c>
      <c r="C14" s="263"/>
      <c r="D14" s="282"/>
      <c r="E14" s="263"/>
      <c r="F14" s="256"/>
      <c r="G14" s="264"/>
      <c r="H14" s="256"/>
      <c r="I14" s="265"/>
      <c r="J14" s="256"/>
      <c r="K14" s="265"/>
    </row>
    <row r="15" spans="1:46">
      <c r="A15" s="250"/>
      <c r="B15" s="257">
        <f t="shared" si="0"/>
        <v>0</v>
      </c>
      <c r="C15" s="263"/>
      <c r="D15" s="282"/>
      <c r="E15" s="263"/>
      <c r="F15" s="256"/>
      <c r="G15" s="264"/>
      <c r="H15" s="256"/>
      <c r="I15" s="265"/>
      <c r="J15" s="256"/>
      <c r="K15" s="265"/>
    </row>
    <row r="16" spans="1:46">
      <c r="A16" s="250"/>
      <c r="B16" s="257">
        <f t="shared" si="0"/>
        <v>0</v>
      </c>
      <c r="C16" s="263"/>
      <c r="D16" s="282"/>
      <c r="E16" s="263"/>
      <c r="F16" s="256"/>
      <c r="G16" s="264"/>
      <c r="H16" s="256"/>
      <c r="I16" s="265"/>
      <c r="J16" s="256"/>
      <c r="K16" s="265"/>
    </row>
    <row r="17" spans="1:11">
      <c r="A17" s="250"/>
      <c r="B17" s="257">
        <f t="shared" si="0"/>
        <v>0</v>
      </c>
      <c r="C17" s="263"/>
      <c r="D17" s="282"/>
      <c r="E17" s="263"/>
      <c r="F17" s="256"/>
      <c r="G17" s="264"/>
      <c r="H17" s="256"/>
      <c r="I17" s="265"/>
      <c r="J17" s="256"/>
      <c r="K17" s="265"/>
    </row>
    <row r="18" spans="1:11">
      <c r="A18" s="250"/>
      <c r="B18" s="257">
        <f t="shared" si="0"/>
        <v>0</v>
      </c>
      <c r="C18" s="263"/>
      <c r="D18" s="282"/>
      <c r="E18" s="263"/>
      <c r="F18" s="256"/>
      <c r="G18" s="264"/>
      <c r="H18" s="256"/>
      <c r="I18" s="265"/>
      <c r="J18" s="256"/>
      <c r="K18" s="265"/>
    </row>
    <row r="19" spans="1:11">
      <c r="A19" s="250"/>
      <c r="B19" s="257">
        <f t="shared" si="0"/>
        <v>0</v>
      </c>
      <c r="C19" s="263"/>
      <c r="D19" s="282"/>
      <c r="E19" s="263"/>
      <c r="F19" s="256"/>
      <c r="G19" s="264"/>
      <c r="H19" s="256"/>
      <c r="I19" s="265"/>
      <c r="J19" s="256"/>
      <c r="K19" s="265"/>
    </row>
    <row r="20" spans="1:11" s="266" customFormat="1" ht="20.25" customHeight="1">
      <c r="A20" s="253"/>
      <c r="B20" s="42">
        <f>IF(NOT(ISBLANK(C20)),(C20-C19),0)</f>
        <v>0</v>
      </c>
      <c r="C20" s="46"/>
      <c r="D20" s="283"/>
      <c r="E20" s="46"/>
      <c r="F20" s="267"/>
      <c r="G20" s="268" t="s">
        <v>728</v>
      </c>
      <c r="H20" s="267"/>
      <c r="J20" s="267"/>
    </row>
    <row r="21" spans="1:11">
      <c r="A21" s="250"/>
      <c r="B21" s="257">
        <f t="shared" si="0"/>
        <v>0</v>
      </c>
      <c r="C21" s="263"/>
      <c r="D21" s="282"/>
      <c r="E21" s="263"/>
      <c r="F21" s="256"/>
      <c r="G21" s="264"/>
      <c r="H21" s="256"/>
      <c r="I21" s="265"/>
      <c r="J21" s="256"/>
      <c r="K21" s="265"/>
    </row>
    <row r="22" spans="1:11">
      <c r="A22" s="250"/>
      <c r="B22" s="257">
        <f t="shared" si="0"/>
        <v>0</v>
      </c>
      <c r="C22" s="263"/>
      <c r="D22" s="282"/>
      <c r="E22" s="263"/>
      <c r="F22" s="256"/>
      <c r="G22" s="264"/>
      <c r="H22" s="256"/>
      <c r="I22" s="265"/>
      <c r="J22" s="256"/>
      <c r="K22" s="265"/>
    </row>
    <row r="23" spans="1:11">
      <c r="A23" s="250"/>
      <c r="B23" s="257">
        <f t="shared" si="0"/>
        <v>0</v>
      </c>
      <c r="C23" s="263"/>
      <c r="D23" s="282"/>
      <c r="E23" s="263"/>
      <c r="F23" s="256"/>
      <c r="G23" s="264"/>
      <c r="H23" s="256"/>
      <c r="I23" s="265"/>
      <c r="J23" s="256"/>
      <c r="K23" s="265"/>
    </row>
    <row r="24" spans="1:11">
      <c r="A24" s="250"/>
      <c r="B24" s="257">
        <f t="shared" si="0"/>
        <v>0</v>
      </c>
      <c r="C24" s="263"/>
      <c r="D24" s="282"/>
      <c r="E24" s="263"/>
      <c r="F24" s="256"/>
      <c r="G24" s="264"/>
      <c r="H24" s="256"/>
      <c r="I24" s="265"/>
      <c r="J24" s="256"/>
      <c r="K24" s="265"/>
    </row>
    <row r="25" spans="1:11">
      <c r="A25" s="250"/>
      <c r="B25" s="257">
        <f t="shared" si="0"/>
        <v>0</v>
      </c>
      <c r="C25" s="263"/>
      <c r="D25" s="282"/>
      <c r="E25" s="263"/>
      <c r="F25" s="256"/>
      <c r="G25" s="264"/>
      <c r="H25" s="256"/>
      <c r="I25" s="265"/>
      <c r="J25" s="256"/>
      <c r="K25" s="265"/>
    </row>
    <row r="26" spans="1:11">
      <c r="A26" s="250"/>
      <c r="B26" s="257">
        <f t="shared" si="0"/>
        <v>0</v>
      </c>
      <c r="C26" s="263"/>
      <c r="D26" s="282"/>
      <c r="E26" s="263"/>
      <c r="F26" s="256"/>
      <c r="G26" s="264"/>
      <c r="H26" s="256"/>
      <c r="I26" s="265"/>
      <c r="J26" s="256"/>
      <c r="K26" s="265"/>
    </row>
    <row r="27" spans="1:11">
      <c r="A27" s="250"/>
      <c r="B27" s="257">
        <f t="shared" si="0"/>
        <v>0</v>
      </c>
      <c r="C27" s="263"/>
      <c r="D27" s="282"/>
      <c r="E27" s="263"/>
      <c r="F27" s="256"/>
      <c r="G27" s="264"/>
      <c r="H27" s="256"/>
      <c r="I27" s="265"/>
      <c r="J27" s="256"/>
      <c r="K27" s="265"/>
    </row>
    <row r="28" spans="1:11">
      <c r="A28" s="250"/>
      <c r="B28" s="257">
        <f t="shared" si="0"/>
        <v>0</v>
      </c>
      <c r="C28" s="263"/>
      <c r="D28" s="282"/>
      <c r="E28" s="263"/>
      <c r="F28" s="256"/>
      <c r="G28" s="264"/>
      <c r="H28" s="256"/>
      <c r="I28" s="265"/>
      <c r="J28" s="256"/>
      <c r="K28" s="265"/>
    </row>
    <row r="29" spans="1:11">
      <c r="A29" s="250"/>
      <c r="B29" s="257">
        <f t="shared" si="0"/>
        <v>0</v>
      </c>
      <c r="C29" s="263"/>
      <c r="D29" s="282"/>
      <c r="E29" s="263"/>
      <c r="F29" s="256"/>
      <c r="G29" s="264"/>
      <c r="H29" s="256"/>
      <c r="I29" s="265"/>
      <c r="J29" s="256"/>
      <c r="K29" s="265"/>
    </row>
    <row r="30" spans="1:11">
      <c r="A30" s="250"/>
      <c r="B30" s="257">
        <f t="shared" si="0"/>
        <v>0</v>
      </c>
      <c r="C30" s="263"/>
      <c r="D30" s="282"/>
      <c r="E30" s="263"/>
      <c r="F30" s="256"/>
      <c r="G30" s="264"/>
      <c r="H30" s="256"/>
      <c r="I30" s="265"/>
      <c r="J30" s="256"/>
      <c r="K30" s="265"/>
    </row>
    <row r="31" spans="1:11">
      <c r="A31" s="250"/>
      <c r="B31" s="257">
        <f t="shared" si="0"/>
        <v>0</v>
      </c>
      <c r="C31" s="263"/>
      <c r="D31" s="282"/>
      <c r="E31" s="263"/>
      <c r="F31" s="256"/>
      <c r="G31" s="264"/>
      <c r="H31" s="256"/>
      <c r="I31" s="265"/>
      <c r="J31" s="256"/>
      <c r="K31" s="265"/>
    </row>
    <row r="32" spans="1:11">
      <c r="A32" s="251"/>
      <c r="B32" s="257">
        <f t="shared" si="0"/>
        <v>0</v>
      </c>
      <c r="C32" s="263"/>
      <c r="D32" s="282"/>
      <c r="E32" s="263"/>
      <c r="F32" s="256"/>
      <c r="G32" s="264"/>
      <c r="H32" s="256"/>
      <c r="I32" s="265"/>
      <c r="J32" s="256"/>
      <c r="K32" s="265"/>
    </row>
    <row r="33" spans="1:11">
      <c r="A33" s="251"/>
      <c r="B33" s="257">
        <f t="shared" si="0"/>
        <v>0</v>
      </c>
      <c r="C33" s="263"/>
      <c r="D33" s="282"/>
      <c r="E33" s="263"/>
      <c r="F33" s="256"/>
      <c r="G33" s="264"/>
      <c r="H33" s="256"/>
      <c r="I33" s="265"/>
      <c r="J33" s="256"/>
      <c r="K33" s="265"/>
    </row>
    <row r="34" spans="1:11">
      <c r="B34" s="257">
        <f t="shared" si="0"/>
        <v>0</v>
      </c>
      <c r="C34" s="263"/>
      <c r="D34" s="282"/>
      <c r="E34" s="263"/>
      <c r="F34" s="256"/>
      <c r="G34" s="264"/>
      <c r="H34" s="256"/>
      <c r="I34" s="265"/>
      <c r="J34" s="256"/>
      <c r="K34" s="265"/>
    </row>
    <row r="35" spans="1:11">
      <c r="B35" s="257">
        <f t="shared" si="0"/>
        <v>0</v>
      </c>
      <c r="C35" s="263"/>
      <c r="D35" s="282"/>
      <c r="E35" s="263"/>
      <c r="F35" s="256"/>
      <c r="G35" s="264"/>
      <c r="H35" s="256"/>
      <c r="I35" s="265"/>
      <c r="J35" s="256"/>
      <c r="K35" s="265"/>
    </row>
    <row r="36" spans="1:11">
      <c r="B36" s="257">
        <f t="shared" si="0"/>
        <v>0</v>
      </c>
      <c r="C36" s="263"/>
      <c r="D36" s="282"/>
      <c r="E36" s="263"/>
      <c r="F36" s="256"/>
      <c r="G36" s="264"/>
      <c r="H36" s="256"/>
      <c r="I36" s="265"/>
      <c r="J36" s="256"/>
      <c r="K36" s="265"/>
    </row>
    <row r="37" spans="1:11">
      <c r="B37" s="257">
        <f t="shared" si="0"/>
        <v>0</v>
      </c>
      <c r="C37" s="263"/>
      <c r="D37" s="282"/>
      <c r="E37" s="263"/>
      <c r="F37" s="256"/>
      <c r="G37" s="264"/>
      <c r="H37" s="256"/>
      <c r="I37" s="265"/>
      <c r="J37" s="256"/>
      <c r="K37" s="265"/>
    </row>
    <row r="38" spans="1:11">
      <c r="B38" s="257">
        <f t="shared" si="0"/>
        <v>0</v>
      </c>
      <c r="C38" s="263"/>
      <c r="D38" s="282"/>
      <c r="E38" s="263"/>
      <c r="F38" s="256"/>
      <c r="G38" s="264"/>
      <c r="H38" s="256"/>
      <c r="I38" s="265"/>
      <c r="J38" s="256"/>
      <c r="K38" s="265"/>
    </row>
    <row r="39" spans="1:11">
      <c r="B39" s="257">
        <f t="shared" si="0"/>
        <v>0</v>
      </c>
      <c r="C39" s="263"/>
      <c r="D39" s="282"/>
      <c r="E39" s="263"/>
      <c r="F39" s="256"/>
      <c r="G39" s="264"/>
      <c r="H39" s="256"/>
      <c r="I39" s="265"/>
      <c r="J39" s="256"/>
      <c r="K39" s="265"/>
    </row>
    <row r="40" spans="1:11">
      <c r="B40" s="257">
        <f t="shared" si="0"/>
        <v>0</v>
      </c>
      <c r="C40" s="263"/>
      <c r="D40" s="282"/>
      <c r="E40" s="263"/>
      <c r="F40" s="256"/>
      <c r="G40" s="264"/>
      <c r="H40" s="256"/>
      <c r="I40" s="265"/>
      <c r="J40" s="256"/>
      <c r="K40" s="265"/>
    </row>
    <row r="41" spans="1:11">
      <c r="B41" s="257">
        <f t="shared" si="0"/>
        <v>0</v>
      </c>
      <c r="C41" s="263"/>
      <c r="D41" s="282"/>
      <c r="E41" s="263"/>
      <c r="F41" s="256"/>
      <c r="G41" s="264"/>
      <c r="H41" s="256"/>
      <c r="I41" s="265"/>
      <c r="J41" s="256"/>
      <c r="K41" s="265"/>
    </row>
    <row r="42" spans="1:11">
      <c r="B42" s="257">
        <f t="shared" si="0"/>
        <v>0</v>
      </c>
      <c r="C42" s="263"/>
      <c r="D42" s="282"/>
      <c r="E42" s="263"/>
      <c r="F42" s="256"/>
      <c r="G42" s="264"/>
      <c r="H42" s="256"/>
      <c r="I42" s="265"/>
      <c r="J42" s="256"/>
      <c r="K42" s="265"/>
    </row>
    <row r="43" spans="1:11">
      <c r="B43" s="257">
        <f t="shared" si="0"/>
        <v>0</v>
      </c>
      <c r="C43" s="263"/>
      <c r="D43" s="282"/>
      <c r="E43" s="263"/>
      <c r="F43" s="256"/>
      <c r="G43" s="264"/>
      <c r="H43" s="256"/>
      <c r="I43" s="265"/>
      <c r="J43" s="256"/>
      <c r="K43" s="265"/>
    </row>
    <row r="44" spans="1:11">
      <c r="B44" s="257">
        <f t="shared" si="0"/>
        <v>0</v>
      </c>
      <c r="C44" s="263"/>
      <c r="D44" s="282"/>
      <c r="E44" s="263"/>
      <c r="F44" s="256"/>
      <c r="G44" s="264"/>
      <c r="H44" s="256"/>
      <c r="I44" s="265"/>
      <c r="J44" s="256"/>
      <c r="K44" s="265"/>
    </row>
    <row r="45" spans="1:11">
      <c r="B45" s="257">
        <f t="shared" si="0"/>
        <v>0</v>
      </c>
      <c r="C45" s="263"/>
      <c r="D45" s="282"/>
      <c r="E45" s="263"/>
      <c r="F45" s="256"/>
      <c r="G45" s="264"/>
      <c r="H45" s="256"/>
      <c r="I45" s="265"/>
      <c r="J45" s="256"/>
      <c r="K45" s="265"/>
    </row>
    <row r="46" spans="1:11">
      <c r="B46" s="257">
        <f t="shared" si="0"/>
        <v>0</v>
      </c>
      <c r="C46" s="263"/>
      <c r="D46" s="282"/>
      <c r="E46" s="263"/>
      <c r="F46" s="256"/>
      <c r="G46" s="264"/>
      <c r="H46" s="256"/>
      <c r="I46" s="265"/>
      <c r="J46" s="256"/>
      <c r="K46" s="265"/>
    </row>
    <row r="47" spans="1:11">
      <c r="B47" s="257">
        <f t="shared" si="0"/>
        <v>0</v>
      </c>
      <c r="C47" s="263"/>
      <c r="D47" s="282"/>
      <c r="E47" s="263"/>
      <c r="F47" s="256"/>
      <c r="G47" s="264"/>
      <c r="H47" s="256"/>
      <c r="I47" s="265"/>
      <c r="J47" s="256"/>
      <c r="K47" s="265"/>
    </row>
    <row r="48" spans="1:11">
      <c r="B48" s="257">
        <f t="shared" si="0"/>
        <v>0</v>
      </c>
      <c r="C48" s="263"/>
      <c r="D48" s="282"/>
      <c r="E48" s="263"/>
      <c r="F48" s="256"/>
      <c r="G48" s="264"/>
      <c r="H48" s="256"/>
      <c r="I48" s="265"/>
      <c r="J48" s="256"/>
      <c r="K48" s="265"/>
    </row>
    <row r="49" spans="1:11">
      <c r="B49" s="257">
        <f t="shared" si="0"/>
        <v>0</v>
      </c>
      <c r="C49" s="263"/>
      <c r="D49" s="282"/>
      <c r="E49" s="263"/>
      <c r="F49" s="256"/>
      <c r="G49" s="264"/>
      <c r="H49" s="256"/>
      <c r="I49" s="265"/>
      <c r="J49" s="256"/>
      <c r="K49" s="265"/>
    </row>
    <row r="50" spans="1:11">
      <c r="B50" s="257">
        <f t="shared" si="0"/>
        <v>0</v>
      </c>
      <c r="C50" s="263"/>
      <c r="D50" s="282"/>
      <c r="E50" s="263"/>
      <c r="F50" s="256"/>
      <c r="G50" s="264"/>
      <c r="H50" s="256"/>
      <c r="I50" s="265"/>
      <c r="J50" s="256"/>
      <c r="K50" s="265"/>
    </row>
    <row r="51" spans="1:11">
      <c r="B51" s="257">
        <f>IF(NOT(ISBLANK(C51)),(C51-C50),0)</f>
        <v>0</v>
      </c>
      <c r="C51" s="263"/>
      <c r="D51" s="282"/>
      <c r="E51" s="263"/>
      <c r="F51" s="256"/>
      <c r="G51" s="264"/>
      <c r="H51" s="256"/>
      <c r="I51" s="265"/>
      <c r="J51" s="256"/>
      <c r="K51" s="265"/>
    </row>
    <row r="52" spans="1:11">
      <c r="B52" s="257">
        <f t="shared" si="0"/>
        <v>0</v>
      </c>
      <c r="C52" s="263"/>
      <c r="D52" s="282"/>
      <c r="E52" s="263"/>
      <c r="F52" s="256"/>
      <c r="G52" s="264"/>
      <c r="H52" s="256"/>
      <c r="I52" s="265"/>
      <c r="J52" s="256"/>
      <c r="K52" s="265"/>
    </row>
    <row r="53" spans="1:11">
      <c r="B53" s="257">
        <f t="shared" si="0"/>
        <v>0</v>
      </c>
      <c r="C53" s="263"/>
      <c r="D53" s="282"/>
      <c r="E53" s="263"/>
      <c r="F53" s="256"/>
      <c r="G53" s="264"/>
      <c r="H53" s="256"/>
      <c r="I53" s="265"/>
      <c r="J53" s="256"/>
      <c r="K53" s="265"/>
    </row>
    <row r="54" spans="1:11">
      <c r="B54" s="257">
        <f t="shared" si="0"/>
        <v>0</v>
      </c>
      <c r="C54" s="263"/>
      <c r="D54" s="282"/>
      <c r="E54" s="263"/>
      <c r="F54" s="256"/>
      <c r="G54" s="264"/>
      <c r="H54" s="256"/>
      <c r="I54" s="265"/>
      <c r="J54" s="256"/>
      <c r="K54" s="265"/>
    </row>
    <row r="55" spans="1:11">
      <c r="B55" s="257">
        <f t="shared" si="0"/>
        <v>0</v>
      </c>
      <c r="C55" s="263"/>
      <c r="D55" s="282"/>
      <c r="E55" s="263"/>
      <c r="F55" s="256"/>
      <c r="G55" s="264"/>
      <c r="H55" s="256"/>
      <c r="I55" s="265"/>
      <c r="J55" s="256"/>
      <c r="K55" s="265"/>
    </row>
    <row r="56" spans="1:11">
      <c r="B56" s="257">
        <f t="shared" si="0"/>
        <v>0</v>
      </c>
      <c r="C56" s="263"/>
      <c r="D56" s="282"/>
      <c r="E56" s="263"/>
      <c r="F56" s="256"/>
      <c r="G56" s="264"/>
      <c r="H56" s="256"/>
      <c r="I56" s="265"/>
      <c r="J56" s="256"/>
      <c r="K56" s="265"/>
    </row>
    <row r="57" spans="1:11">
      <c r="B57" s="257">
        <f t="shared" si="0"/>
        <v>0</v>
      </c>
      <c r="C57" s="263"/>
      <c r="D57" s="282"/>
      <c r="E57" s="263"/>
      <c r="F57" s="256"/>
      <c r="G57" s="264"/>
      <c r="H57" s="256"/>
      <c r="I57" s="265"/>
      <c r="J57" s="256"/>
      <c r="K57" s="265"/>
    </row>
    <row r="58" spans="1:11">
      <c r="B58" s="257">
        <f t="shared" si="0"/>
        <v>0</v>
      </c>
      <c r="C58" s="263"/>
      <c r="D58" s="282"/>
      <c r="E58" s="263"/>
      <c r="F58" s="256"/>
      <c r="G58" s="264"/>
      <c r="H58" s="256"/>
      <c r="I58" s="265"/>
      <c r="J58" s="256"/>
      <c r="K58" s="265"/>
    </row>
    <row r="59" spans="1:11">
      <c r="B59" s="257">
        <f t="shared" si="0"/>
        <v>0</v>
      </c>
      <c r="C59" s="263"/>
      <c r="D59" s="282"/>
      <c r="E59" s="263"/>
      <c r="F59" s="256"/>
      <c r="G59" s="264"/>
      <c r="H59" s="256"/>
      <c r="I59" s="265"/>
      <c r="J59" s="256"/>
      <c r="K59" s="265"/>
    </row>
    <row r="60" spans="1:11">
      <c r="B60" s="257">
        <f t="shared" si="0"/>
        <v>0</v>
      </c>
      <c r="C60" s="263"/>
      <c r="D60" s="282"/>
      <c r="E60" s="263"/>
      <c r="F60" s="256"/>
      <c r="G60" s="264"/>
      <c r="H60" s="256"/>
      <c r="I60" s="265"/>
      <c r="J60" s="256"/>
      <c r="K60" s="265"/>
    </row>
    <row r="61" spans="1:11">
      <c r="B61" s="257">
        <f t="shared" si="0"/>
        <v>0</v>
      </c>
      <c r="C61" s="263"/>
      <c r="D61" s="282"/>
      <c r="E61" s="263"/>
      <c r="F61" s="256"/>
      <c r="G61" s="264"/>
      <c r="H61" s="256"/>
      <c r="I61" s="265"/>
      <c r="J61" s="256"/>
      <c r="K61" s="265"/>
    </row>
    <row r="62" spans="1:11">
      <c r="B62" s="257">
        <f t="shared" si="0"/>
        <v>0</v>
      </c>
      <c r="C62" s="263"/>
      <c r="D62" s="282"/>
      <c r="E62" s="263"/>
      <c r="F62" s="256"/>
      <c r="G62" s="264"/>
      <c r="H62" s="256"/>
      <c r="I62" s="265"/>
      <c r="J62" s="256"/>
      <c r="K62" s="265"/>
    </row>
    <row r="63" spans="1:11" s="266" customFormat="1" ht="20.25" customHeight="1">
      <c r="A63" s="253"/>
      <c r="B63" s="42">
        <f>IF(NOT(ISBLANK(C63)),(C63-C62),0)</f>
        <v>0</v>
      </c>
      <c r="C63" s="46"/>
      <c r="D63" s="283"/>
      <c r="E63" s="46"/>
      <c r="F63" s="267"/>
      <c r="G63" s="268" t="s">
        <v>742</v>
      </c>
      <c r="H63" s="267"/>
      <c r="J63" s="267"/>
    </row>
    <row r="64" spans="1:11">
      <c r="B64" s="257">
        <f>IF(NOT(ISBLANK(C64)),(C64-C63),0)</f>
        <v>0</v>
      </c>
      <c r="C64" s="263"/>
      <c r="D64" s="282"/>
      <c r="E64" s="263"/>
      <c r="F64" s="256"/>
      <c r="G64" s="264"/>
      <c r="H64" s="256"/>
      <c r="I64" s="265"/>
      <c r="J64" s="256"/>
      <c r="K64" s="265"/>
    </row>
    <row r="65" spans="2:11">
      <c r="B65" s="257">
        <f t="shared" si="0"/>
        <v>0</v>
      </c>
      <c r="C65" s="263"/>
      <c r="D65" s="282"/>
      <c r="E65" s="263"/>
      <c r="F65" s="256"/>
      <c r="G65" s="264"/>
      <c r="H65" s="256"/>
      <c r="I65" s="265"/>
      <c r="J65" s="256"/>
      <c r="K65" s="265"/>
    </row>
    <row r="66" spans="2:11">
      <c r="B66" s="257">
        <f t="shared" si="0"/>
        <v>0</v>
      </c>
      <c r="C66" s="263"/>
      <c r="D66" s="282"/>
      <c r="E66" s="263"/>
      <c r="F66" s="256"/>
      <c r="G66" s="264"/>
      <c r="H66" s="256"/>
      <c r="I66" s="265"/>
      <c r="J66" s="256"/>
      <c r="K66" s="265"/>
    </row>
    <row r="67" spans="2:11">
      <c r="B67" s="257">
        <f t="shared" si="0"/>
        <v>0</v>
      </c>
      <c r="C67" s="263"/>
      <c r="D67" s="282"/>
      <c r="E67" s="263"/>
      <c r="F67" s="256"/>
      <c r="G67" s="264"/>
      <c r="H67" s="256"/>
      <c r="I67" s="265"/>
      <c r="J67" s="256"/>
      <c r="K67" s="265"/>
    </row>
    <row r="68" spans="2:11">
      <c r="B68" s="257">
        <f t="shared" si="0"/>
        <v>0</v>
      </c>
      <c r="C68" s="263"/>
      <c r="D68" s="282"/>
      <c r="E68" s="263"/>
      <c r="F68" s="256"/>
      <c r="G68" s="264"/>
      <c r="H68" s="256"/>
      <c r="I68" s="265"/>
      <c r="J68" s="256"/>
      <c r="K68" s="265"/>
    </row>
    <row r="69" spans="2:11">
      <c r="B69" s="257">
        <f t="shared" si="0"/>
        <v>0</v>
      </c>
      <c r="C69" s="263"/>
      <c r="D69" s="282"/>
      <c r="E69" s="263"/>
      <c r="F69" s="256"/>
      <c r="G69" s="264"/>
      <c r="H69" s="256"/>
      <c r="I69" s="265"/>
      <c r="J69" s="256"/>
      <c r="K69" s="265"/>
    </row>
    <row r="70" spans="2:11">
      <c r="B70" s="257">
        <f t="shared" si="0"/>
        <v>0</v>
      </c>
      <c r="C70" s="263"/>
      <c r="D70" s="282"/>
      <c r="E70" s="263"/>
      <c r="F70" s="256"/>
      <c r="G70" s="264"/>
      <c r="H70" s="256"/>
      <c r="I70" s="265"/>
      <c r="J70" s="256"/>
      <c r="K70" s="265"/>
    </row>
    <row r="71" spans="2:11">
      <c r="B71" s="257">
        <f t="shared" si="0"/>
        <v>0</v>
      </c>
      <c r="C71" s="263"/>
      <c r="D71" s="282"/>
      <c r="E71" s="263"/>
      <c r="F71" s="256"/>
      <c r="G71" s="264"/>
      <c r="H71" s="256"/>
      <c r="I71" s="265"/>
      <c r="J71" s="256"/>
      <c r="K71" s="265"/>
    </row>
    <row r="72" spans="2:11">
      <c r="B72" s="257">
        <f t="shared" ref="B72:B135" si="1">IF(NOT(ISBLANK(C72)),(C72-C71),0)</f>
        <v>0</v>
      </c>
      <c r="C72" s="263"/>
      <c r="D72" s="282"/>
      <c r="E72" s="263"/>
      <c r="F72" s="256"/>
      <c r="G72" s="264"/>
      <c r="H72" s="256"/>
      <c r="I72" s="265"/>
      <c r="J72" s="256"/>
      <c r="K72" s="265"/>
    </row>
    <row r="73" spans="2:11">
      <c r="B73" s="257">
        <f t="shared" si="1"/>
        <v>0</v>
      </c>
      <c r="C73" s="263"/>
      <c r="D73" s="282"/>
      <c r="E73" s="263"/>
      <c r="F73" s="256"/>
      <c r="G73" s="264"/>
      <c r="H73" s="256"/>
      <c r="I73" s="265"/>
      <c r="J73" s="256"/>
      <c r="K73" s="265"/>
    </row>
    <row r="74" spans="2:11">
      <c r="B74" s="257">
        <f t="shared" si="1"/>
        <v>0</v>
      </c>
      <c r="C74" s="263"/>
      <c r="D74" s="282"/>
      <c r="E74" s="263"/>
      <c r="F74" s="256"/>
      <c r="G74" s="264"/>
      <c r="H74" s="256"/>
      <c r="I74" s="265"/>
      <c r="J74" s="256"/>
      <c r="K74" s="265"/>
    </row>
    <row r="75" spans="2:11">
      <c r="B75" s="257">
        <f t="shared" si="1"/>
        <v>0</v>
      </c>
      <c r="C75" s="263"/>
      <c r="D75" s="282"/>
      <c r="E75" s="263"/>
      <c r="F75" s="256"/>
      <c r="G75" s="264"/>
      <c r="H75" s="256"/>
      <c r="I75" s="265"/>
      <c r="J75" s="256"/>
      <c r="K75" s="265"/>
    </row>
    <row r="76" spans="2:11">
      <c r="B76" s="257">
        <f t="shared" si="1"/>
        <v>0</v>
      </c>
      <c r="C76" s="263"/>
      <c r="D76" s="282"/>
      <c r="E76" s="263"/>
      <c r="F76" s="256"/>
      <c r="G76" s="264"/>
      <c r="H76" s="256"/>
      <c r="I76" s="265"/>
      <c r="J76" s="256"/>
      <c r="K76" s="265"/>
    </row>
    <row r="77" spans="2:11">
      <c r="B77" s="257">
        <f t="shared" si="1"/>
        <v>0</v>
      </c>
      <c r="C77" s="263"/>
      <c r="D77" s="282"/>
      <c r="E77" s="263"/>
      <c r="F77" s="256"/>
      <c r="G77" s="264"/>
      <c r="H77" s="256"/>
      <c r="I77" s="265"/>
      <c r="J77" s="256"/>
      <c r="K77" s="265"/>
    </row>
    <row r="78" spans="2:11">
      <c r="B78" s="257">
        <f t="shared" si="1"/>
        <v>0</v>
      </c>
      <c r="C78" s="263"/>
      <c r="D78" s="282"/>
      <c r="E78" s="263"/>
      <c r="F78" s="256"/>
      <c r="G78" s="264"/>
      <c r="H78" s="256"/>
      <c r="I78" s="265"/>
      <c r="J78" s="256"/>
      <c r="K78" s="265"/>
    </row>
    <row r="79" spans="2:11">
      <c r="B79" s="257">
        <f t="shared" si="1"/>
        <v>0</v>
      </c>
      <c r="C79" s="263"/>
      <c r="D79" s="282"/>
      <c r="E79" s="263"/>
      <c r="F79" s="256"/>
      <c r="G79" s="264"/>
      <c r="H79" s="256"/>
      <c r="I79" s="265"/>
      <c r="J79" s="256"/>
      <c r="K79" s="265"/>
    </row>
    <row r="80" spans="2:11">
      <c r="B80" s="257">
        <f t="shared" si="1"/>
        <v>0</v>
      </c>
      <c r="C80" s="263"/>
      <c r="D80" s="282"/>
      <c r="E80" s="263"/>
      <c r="F80" s="256"/>
      <c r="G80" s="264"/>
      <c r="H80" s="256"/>
      <c r="I80" s="265"/>
      <c r="J80" s="256"/>
      <c r="K80" s="265"/>
    </row>
    <row r="81" spans="2:11">
      <c r="B81" s="257">
        <f t="shared" si="1"/>
        <v>0</v>
      </c>
      <c r="C81" s="263"/>
      <c r="D81" s="282"/>
      <c r="E81" s="263"/>
      <c r="F81" s="256"/>
      <c r="G81" s="264"/>
      <c r="H81" s="256"/>
      <c r="I81" s="265"/>
      <c r="J81" s="256"/>
      <c r="K81" s="265"/>
    </row>
    <row r="82" spans="2:11">
      <c r="B82" s="257">
        <f t="shared" si="1"/>
        <v>0</v>
      </c>
      <c r="C82" s="263"/>
      <c r="D82" s="282"/>
      <c r="E82" s="263"/>
      <c r="F82" s="256"/>
      <c r="G82" s="264"/>
      <c r="H82" s="256"/>
      <c r="I82" s="265"/>
      <c r="J82" s="256"/>
      <c r="K82" s="265"/>
    </row>
    <row r="83" spans="2:11">
      <c r="B83" s="257">
        <f t="shared" si="1"/>
        <v>0</v>
      </c>
      <c r="C83" s="263"/>
      <c r="D83" s="282"/>
      <c r="E83" s="263"/>
      <c r="F83" s="256"/>
      <c r="G83" s="264"/>
      <c r="H83" s="256"/>
      <c r="I83" s="265"/>
      <c r="J83" s="256"/>
      <c r="K83" s="265"/>
    </row>
    <row r="84" spans="2:11">
      <c r="B84" s="257">
        <f t="shared" si="1"/>
        <v>0</v>
      </c>
      <c r="C84" s="263"/>
      <c r="D84" s="282"/>
      <c r="E84" s="263"/>
      <c r="F84" s="256"/>
      <c r="G84" s="264"/>
      <c r="H84" s="256"/>
      <c r="I84" s="265"/>
      <c r="J84" s="256"/>
      <c r="K84" s="265"/>
    </row>
    <row r="85" spans="2:11">
      <c r="B85" s="257">
        <f t="shared" si="1"/>
        <v>0</v>
      </c>
      <c r="C85" s="263"/>
      <c r="D85" s="282"/>
      <c r="E85" s="263"/>
      <c r="F85" s="256"/>
      <c r="G85" s="264"/>
      <c r="H85" s="256"/>
      <c r="I85" s="265"/>
      <c r="J85" s="256"/>
      <c r="K85" s="265"/>
    </row>
    <row r="86" spans="2:11">
      <c r="B86" s="257">
        <f t="shared" si="1"/>
        <v>0</v>
      </c>
      <c r="C86" s="263"/>
      <c r="D86" s="282"/>
      <c r="E86" s="263"/>
      <c r="F86" s="256"/>
      <c r="G86" s="264"/>
      <c r="H86" s="256"/>
      <c r="I86" s="265"/>
      <c r="J86" s="256"/>
      <c r="K86" s="265"/>
    </row>
    <row r="87" spans="2:11">
      <c r="B87" s="257">
        <f t="shared" si="1"/>
        <v>0</v>
      </c>
      <c r="C87" s="263"/>
      <c r="D87" s="282"/>
      <c r="E87" s="263"/>
      <c r="F87" s="256"/>
      <c r="G87" s="264"/>
      <c r="H87" s="256"/>
      <c r="I87" s="265"/>
      <c r="J87" s="256"/>
      <c r="K87" s="265"/>
    </row>
    <row r="88" spans="2:11">
      <c r="B88" s="257">
        <f t="shared" si="1"/>
        <v>0</v>
      </c>
      <c r="C88" s="263"/>
      <c r="D88" s="282"/>
      <c r="E88" s="263"/>
      <c r="F88" s="256"/>
      <c r="G88" s="264"/>
      <c r="H88" s="256"/>
      <c r="I88" s="265"/>
      <c r="J88" s="256"/>
      <c r="K88" s="265"/>
    </row>
    <row r="89" spans="2:11">
      <c r="B89" s="257">
        <f t="shared" si="1"/>
        <v>0</v>
      </c>
      <c r="C89" s="263"/>
      <c r="D89" s="282"/>
      <c r="E89" s="263"/>
      <c r="F89" s="256"/>
      <c r="G89" s="264"/>
      <c r="H89" s="256"/>
      <c r="I89" s="265"/>
      <c r="J89" s="256"/>
      <c r="K89" s="265"/>
    </row>
    <row r="90" spans="2:11">
      <c r="B90" s="257">
        <f t="shared" si="1"/>
        <v>0</v>
      </c>
      <c r="C90" s="263"/>
      <c r="D90" s="282"/>
      <c r="E90" s="263"/>
      <c r="F90" s="256"/>
      <c r="G90" s="264"/>
      <c r="H90" s="256"/>
      <c r="I90" s="265"/>
      <c r="J90" s="256"/>
      <c r="K90" s="265"/>
    </row>
    <row r="91" spans="2:11">
      <c r="B91" s="257">
        <f t="shared" si="1"/>
        <v>0</v>
      </c>
      <c r="C91" s="263"/>
      <c r="D91" s="282"/>
      <c r="E91" s="263"/>
      <c r="F91" s="256"/>
      <c r="G91" s="264"/>
      <c r="H91" s="256"/>
      <c r="I91" s="265"/>
      <c r="J91" s="256"/>
      <c r="K91" s="265"/>
    </row>
    <row r="92" spans="2:11">
      <c r="B92" s="257">
        <f t="shared" si="1"/>
        <v>0</v>
      </c>
      <c r="C92" s="263"/>
      <c r="D92" s="282"/>
      <c r="E92" s="263"/>
      <c r="F92" s="256"/>
      <c r="G92" s="264"/>
      <c r="H92" s="256"/>
      <c r="I92" s="265"/>
      <c r="J92" s="256"/>
      <c r="K92" s="265"/>
    </row>
    <row r="93" spans="2:11">
      <c r="B93" s="257">
        <f t="shared" si="1"/>
        <v>0</v>
      </c>
      <c r="C93" s="263"/>
      <c r="D93" s="282"/>
      <c r="E93" s="263"/>
      <c r="F93" s="256"/>
      <c r="G93" s="264"/>
      <c r="H93" s="256"/>
      <c r="I93" s="265"/>
      <c r="J93" s="256"/>
      <c r="K93" s="265"/>
    </row>
    <row r="94" spans="2:11">
      <c r="B94" s="257">
        <f t="shared" si="1"/>
        <v>0</v>
      </c>
      <c r="C94" s="263"/>
      <c r="D94" s="282"/>
      <c r="E94" s="263"/>
      <c r="F94" s="256"/>
      <c r="G94" s="264"/>
      <c r="H94" s="256"/>
      <c r="I94" s="265"/>
      <c r="J94" s="256"/>
      <c r="K94" s="265"/>
    </row>
    <row r="95" spans="2:11">
      <c r="B95" s="257">
        <f t="shared" si="1"/>
        <v>0</v>
      </c>
      <c r="C95" s="263"/>
      <c r="D95" s="282"/>
      <c r="E95" s="263"/>
      <c r="F95" s="256"/>
      <c r="G95" s="264"/>
      <c r="H95" s="256"/>
      <c r="I95" s="265"/>
      <c r="J95" s="256"/>
      <c r="K95" s="265"/>
    </row>
    <row r="96" spans="2:11">
      <c r="B96" s="257">
        <f t="shared" si="1"/>
        <v>0</v>
      </c>
      <c r="C96" s="263"/>
      <c r="D96" s="282"/>
      <c r="E96" s="263"/>
      <c r="F96" s="256"/>
      <c r="G96" s="264"/>
      <c r="H96" s="256"/>
      <c r="I96" s="265"/>
      <c r="J96" s="256"/>
      <c r="K96" s="265"/>
    </row>
    <row r="97" spans="2:11">
      <c r="B97" s="257">
        <f t="shared" si="1"/>
        <v>0</v>
      </c>
      <c r="C97" s="263"/>
      <c r="D97" s="282"/>
      <c r="E97" s="263"/>
      <c r="F97" s="256"/>
      <c r="G97" s="264"/>
      <c r="H97" s="256"/>
      <c r="I97" s="265"/>
      <c r="J97" s="256"/>
      <c r="K97" s="265"/>
    </row>
    <row r="98" spans="2:11">
      <c r="B98" s="257">
        <f t="shared" si="1"/>
        <v>0</v>
      </c>
      <c r="C98" s="263"/>
      <c r="D98" s="282"/>
      <c r="E98" s="263"/>
      <c r="F98" s="256"/>
      <c r="G98" s="264"/>
      <c r="H98" s="256"/>
      <c r="I98" s="265"/>
      <c r="J98" s="256"/>
      <c r="K98" s="265"/>
    </row>
    <row r="99" spans="2:11">
      <c r="B99" s="257">
        <f t="shared" si="1"/>
        <v>0</v>
      </c>
      <c r="C99" s="263"/>
      <c r="D99" s="282"/>
      <c r="E99" s="263"/>
      <c r="F99" s="256"/>
      <c r="G99" s="264"/>
      <c r="H99" s="256"/>
      <c r="I99" s="265"/>
      <c r="J99" s="256"/>
      <c r="K99" s="265"/>
    </row>
    <row r="100" spans="2:11">
      <c r="B100" s="257">
        <f t="shared" si="1"/>
        <v>0</v>
      </c>
      <c r="C100" s="263"/>
      <c r="D100" s="282"/>
      <c r="E100" s="263"/>
      <c r="F100" s="256"/>
      <c r="G100" s="264"/>
      <c r="H100" s="256"/>
      <c r="I100" s="265"/>
      <c r="J100" s="256"/>
      <c r="K100" s="265"/>
    </row>
    <row r="101" spans="2:11">
      <c r="B101" s="257">
        <f t="shared" si="1"/>
        <v>0</v>
      </c>
      <c r="C101" s="263"/>
      <c r="D101" s="282"/>
      <c r="E101" s="263"/>
      <c r="F101" s="256"/>
      <c r="G101" s="264"/>
      <c r="H101" s="256"/>
      <c r="I101" s="265"/>
      <c r="J101" s="256"/>
      <c r="K101" s="265"/>
    </row>
    <row r="102" spans="2:11">
      <c r="B102" s="257">
        <f t="shared" si="1"/>
        <v>0</v>
      </c>
      <c r="C102" s="263"/>
      <c r="D102" s="282"/>
      <c r="E102" s="263"/>
      <c r="F102" s="256"/>
      <c r="G102" s="264"/>
      <c r="H102" s="256"/>
      <c r="I102" s="265"/>
      <c r="J102" s="256"/>
      <c r="K102" s="265"/>
    </row>
    <row r="103" spans="2:11">
      <c r="B103" s="257">
        <f t="shared" si="1"/>
        <v>0</v>
      </c>
      <c r="C103" s="263"/>
      <c r="D103" s="282"/>
      <c r="E103" s="263"/>
      <c r="F103" s="256"/>
      <c r="G103" s="264"/>
      <c r="H103" s="256"/>
      <c r="I103" s="265"/>
      <c r="J103" s="256"/>
      <c r="K103" s="265"/>
    </row>
    <row r="104" spans="2:11">
      <c r="B104" s="257">
        <f t="shared" si="1"/>
        <v>0</v>
      </c>
      <c r="C104" s="263"/>
      <c r="D104" s="282"/>
      <c r="E104" s="263"/>
      <c r="F104" s="256"/>
      <c r="G104" s="264"/>
      <c r="H104" s="256"/>
      <c r="I104" s="265"/>
      <c r="J104" s="256"/>
      <c r="K104" s="265"/>
    </row>
    <row r="105" spans="2:11">
      <c r="B105" s="257">
        <f t="shared" si="1"/>
        <v>0</v>
      </c>
      <c r="C105" s="263"/>
      <c r="D105" s="282"/>
      <c r="E105" s="263"/>
      <c r="F105" s="256"/>
      <c r="G105" s="264"/>
      <c r="H105" s="256"/>
      <c r="I105" s="265"/>
      <c r="J105" s="256"/>
      <c r="K105" s="265"/>
    </row>
    <row r="106" spans="2:11">
      <c r="B106" s="257">
        <f t="shared" si="1"/>
        <v>0</v>
      </c>
      <c r="C106" s="263"/>
      <c r="D106" s="282"/>
      <c r="E106" s="263"/>
      <c r="F106" s="256"/>
      <c r="G106" s="264"/>
      <c r="H106" s="256"/>
      <c r="I106" s="265"/>
      <c r="J106" s="256"/>
      <c r="K106" s="265"/>
    </row>
    <row r="107" spans="2:11">
      <c r="B107" s="257">
        <f t="shared" si="1"/>
        <v>0</v>
      </c>
      <c r="C107" s="263"/>
      <c r="D107" s="282"/>
      <c r="E107" s="263"/>
      <c r="F107" s="256"/>
      <c r="G107" s="264"/>
      <c r="H107" s="256"/>
      <c r="I107" s="265"/>
      <c r="J107" s="256"/>
      <c r="K107" s="265"/>
    </row>
    <row r="108" spans="2:11">
      <c r="B108" s="257">
        <f t="shared" si="1"/>
        <v>0</v>
      </c>
      <c r="C108" s="263"/>
      <c r="D108" s="282"/>
      <c r="E108" s="263"/>
      <c r="F108" s="256"/>
      <c r="G108" s="264"/>
      <c r="H108" s="256"/>
      <c r="I108" s="265"/>
      <c r="J108" s="256"/>
      <c r="K108" s="265"/>
    </row>
    <row r="109" spans="2:11">
      <c r="B109" s="257">
        <f t="shared" si="1"/>
        <v>0</v>
      </c>
      <c r="C109" s="263"/>
      <c r="D109" s="282"/>
      <c r="E109" s="263"/>
      <c r="F109" s="256"/>
      <c r="G109" s="264"/>
      <c r="H109" s="256"/>
      <c r="I109" s="265"/>
      <c r="J109" s="256"/>
      <c r="K109" s="265"/>
    </row>
    <row r="110" spans="2:11">
      <c r="B110" s="257">
        <f t="shared" si="1"/>
        <v>0</v>
      </c>
      <c r="C110" s="263"/>
      <c r="D110" s="282"/>
      <c r="E110" s="263"/>
      <c r="F110" s="256"/>
      <c r="G110" s="264"/>
      <c r="H110" s="256"/>
      <c r="I110" s="265"/>
      <c r="J110" s="256"/>
      <c r="K110" s="265"/>
    </row>
    <row r="111" spans="2:11">
      <c r="B111" s="257">
        <f t="shared" si="1"/>
        <v>0</v>
      </c>
      <c r="C111" s="263"/>
      <c r="D111" s="282"/>
      <c r="E111" s="263"/>
      <c r="F111" s="256"/>
      <c r="G111" s="264"/>
      <c r="H111" s="256"/>
      <c r="I111" s="265"/>
      <c r="J111" s="256"/>
      <c r="K111" s="265"/>
    </row>
    <row r="112" spans="2:11">
      <c r="B112" s="257">
        <f t="shared" si="1"/>
        <v>0</v>
      </c>
      <c r="C112" s="263"/>
      <c r="D112" s="282"/>
      <c r="E112" s="263"/>
      <c r="F112" s="256"/>
      <c r="G112" s="264"/>
      <c r="H112" s="256"/>
      <c r="I112" s="265"/>
      <c r="J112" s="256"/>
      <c r="K112" s="265"/>
    </row>
    <row r="113" spans="2:11">
      <c r="B113" s="257">
        <f t="shared" si="1"/>
        <v>0</v>
      </c>
      <c r="C113" s="263"/>
      <c r="D113" s="282"/>
      <c r="E113" s="263"/>
      <c r="F113" s="256"/>
      <c r="G113" s="264"/>
      <c r="H113" s="256"/>
      <c r="I113" s="265"/>
      <c r="J113" s="256"/>
      <c r="K113" s="265"/>
    </row>
    <row r="114" spans="2:11">
      <c r="B114" s="257">
        <f t="shared" si="1"/>
        <v>0</v>
      </c>
      <c r="C114" s="263"/>
      <c r="D114" s="282"/>
      <c r="E114" s="263"/>
      <c r="F114" s="256"/>
      <c r="G114" s="264"/>
      <c r="H114" s="256"/>
      <c r="I114" s="265"/>
      <c r="J114" s="256"/>
      <c r="K114" s="265"/>
    </row>
    <row r="115" spans="2:11">
      <c r="B115" s="257">
        <f t="shared" si="1"/>
        <v>0</v>
      </c>
      <c r="C115" s="263"/>
      <c r="D115" s="282"/>
      <c r="E115" s="263"/>
      <c r="F115" s="256"/>
      <c r="G115" s="264"/>
      <c r="H115" s="256"/>
      <c r="I115" s="265"/>
      <c r="J115" s="256"/>
      <c r="K115" s="265"/>
    </row>
    <row r="116" spans="2:11">
      <c r="B116" s="257">
        <f t="shared" si="1"/>
        <v>0</v>
      </c>
      <c r="C116" s="263"/>
      <c r="D116" s="282"/>
      <c r="E116" s="263"/>
      <c r="F116" s="256"/>
      <c r="G116" s="264"/>
      <c r="H116" s="256"/>
      <c r="I116" s="265"/>
      <c r="J116" s="256"/>
      <c r="K116" s="265"/>
    </row>
    <row r="117" spans="2:11">
      <c r="B117" s="257">
        <f t="shared" si="1"/>
        <v>0</v>
      </c>
      <c r="C117" s="263"/>
      <c r="D117" s="282"/>
      <c r="E117" s="263"/>
      <c r="F117" s="256"/>
      <c r="G117" s="264"/>
      <c r="H117" s="256"/>
      <c r="I117" s="265"/>
      <c r="J117" s="256"/>
      <c r="K117" s="265"/>
    </row>
    <row r="118" spans="2:11">
      <c r="B118" s="257">
        <f t="shared" si="1"/>
        <v>0</v>
      </c>
      <c r="C118" s="263"/>
      <c r="D118" s="282"/>
      <c r="E118" s="263"/>
      <c r="F118" s="256"/>
      <c r="G118" s="264"/>
      <c r="H118" s="256"/>
      <c r="I118" s="265"/>
      <c r="J118" s="256"/>
      <c r="K118" s="265"/>
    </row>
    <row r="119" spans="2:11">
      <c r="B119" s="257">
        <f t="shared" si="1"/>
        <v>0</v>
      </c>
      <c r="C119" s="263"/>
      <c r="D119" s="282"/>
      <c r="E119" s="263"/>
      <c r="F119" s="256"/>
      <c r="G119" s="264"/>
      <c r="H119" s="256"/>
      <c r="I119" s="265"/>
      <c r="J119" s="256"/>
      <c r="K119" s="265"/>
    </row>
    <row r="120" spans="2:11">
      <c r="B120" s="257">
        <f t="shared" si="1"/>
        <v>0</v>
      </c>
      <c r="C120" s="263"/>
      <c r="D120" s="282"/>
      <c r="E120" s="263"/>
      <c r="F120" s="256"/>
      <c r="G120" s="264"/>
      <c r="H120" s="256"/>
      <c r="I120" s="265"/>
      <c r="J120" s="256"/>
      <c r="K120" s="265"/>
    </row>
    <row r="121" spans="2:11">
      <c r="B121" s="257">
        <f t="shared" si="1"/>
        <v>0</v>
      </c>
      <c r="C121" s="263"/>
      <c r="D121" s="282"/>
      <c r="E121" s="263"/>
      <c r="F121" s="256"/>
      <c r="G121" s="264"/>
      <c r="H121" s="256"/>
      <c r="I121" s="265"/>
      <c r="J121" s="256"/>
      <c r="K121" s="265"/>
    </row>
    <row r="122" spans="2:11">
      <c r="B122" s="257">
        <f t="shared" si="1"/>
        <v>0</v>
      </c>
      <c r="C122" s="263"/>
      <c r="D122" s="282"/>
      <c r="E122" s="263"/>
      <c r="F122" s="256"/>
      <c r="G122" s="264"/>
      <c r="H122" s="256"/>
      <c r="I122" s="265"/>
      <c r="J122" s="256"/>
      <c r="K122" s="265"/>
    </row>
    <row r="123" spans="2:11">
      <c r="B123" s="257">
        <f t="shared" si="1"/>
        <v>0</v>
      </c>
      <c r="C123" s="263"/>
      <c r="D123" s="282"/>
      <c r="E123" s="263"/>
      <c r="F123" s="256"/>
      <c r="G123" s="264"/>
      <c r="H123" s="256"/>
      <c r="I123" s="265"/>
      <c r="J123" s="256"/>
      <c r="K123" s="265"/>
    </row>
    <row r="124" spans="2:11">
      <c r="B124" s="257">
        <f t="shared" si="1"/>
        <v>0</v>
      </c>
      <c r="C124" s="263"/>
      <c r="D124" s="282"/>
      <c r="E124" s="263"/>
      <c r="F124" s="256"/>
      <c r="G124" s="264"/>
      <c r="H124" s="256"/>
      <c r="I124" s="265"/>
      <c r="J124" s="256"/>
      <c r="K124" s="265"/>
    </row>
    <row r="125" spans="2:11">
      <c r="B125" s="257">
        <f t="shared" si="1"/>
        <v>0</v>
      </c>
      <c r="C125" s="263"/>
      <c r="D125" s="282"/>
      <c r="E125" s="263"/>
      <c r="F125" s="256"/>
      <c r="G125" s="264"/>
      <c r="H125" s="256"/>
      <c r="I125" s="265"/>
      <c r="J125" s="256"/>
      <c r="K125" s="265"/>
    </row>
    <row r="126" spans="2:11">
      <c r="B126" s="257">
        <f t="shared" si="1"/>
        <v>0</v>
      </c>
      <c r="C126" s="263"/>
      <c r="D126" s="282"/>
      <c r="E126" s="263"/>
      <c r="F126" s="256"/>
      <c r="G126" s="264"/>
      <c r="H126" s="256"/>
      <c r="I126" s="265"/>
      <c r="J126" s="256"/>
      <c r="K126" s="265"/>
    </row>
    <row r="127" spans="2:11">
      <c r="B127" s="257">
        <f t="shared" si="1"/>
        <v>0</v>
      </c>
      <c r="C127" s="263"/>
      <c r="D127" s="282"/>
      <c r="E127" s="263"/>
      <c r="F127" s="256"/>
      <c r="G127" s="264"/>
      <c r="H127" s="256"/>
      <c r="I127" s="265"/>
      <c r="J127" s="256"/>
      <c r="K127" s="265"/>
    </row>
    <row r="128" spans="2:11">
      <c r="B128" s="257">
        <f t="shared" si="1"/>
        <v>0</v>
      </c>
      <c r="C128" s="263"/>
      <c r="D128" s="282"/>
      <c r="E128" s="263"/>
      <c r="F128" s="256"/>
      <c r="G128" s="264"/>
      <c r="H128" s="256"/>
      <c r="I128" s="265"/>
      <c r="J128" s="256"/>
      <c r="K128" s="265"/>
    </row>
    <row r="129" spans="2:11">
      <c r="B129" s="257">
        <f t="shared" si="1"/>
        <v>0</v>
      </c>
      <c r="C129" s="263"/>
      <c r="D129" s="282"/>
      <c r="E129" s="263"/>
      <c r="F129" s="256"/>
      <c r="G129" s="264"/>
      <c r="H129" s="256"/>
      <c r="I129" s="265"/>
      <c r="J129" s="256"/>
      <c r="K129" s="265"/>
    </row>
    <row r="130" spans="2:11">
      <c r="B130" s="257">
        <f t="shared" si="1"/>
        <v>0</v>
      </c>
      <c r="C130" s="263"/>
      <c r="D130" s="282"/>
      <c r="E130" s="263"/>
      <c r="F130" s="256"/>
      <c r="G130" s="264"/>
      <c r="H130" s="256"/>
      <c r="I130" s="265"/>
      <c r="J130" s="256"/>
      <c r="K130" s="265"/>
    </row>
    <row r="131" spans="2:11">
      <c r="B131" s="257">
        <f t="shared" si="1"/>
        <v>0</v>
      </c>
      <c r="C131" s="263"/>
      <c r="D131" s="282"/>
      <c r="E131" s="263"/>
      <c r="F131" s="256"/>
      <c r="G131" s="264"/>
      <c r="H131" s="256"/>
      <c r="I131" s="265"/>
      <c r="J131" s="256"/>
      <c r="K131" s="265"/>
    </row>
    <row r="132" spans="2:11">
      <c r="B132" s="257">
        <f t="shared" si="1"/>
        <v>0</v>
      </c>
      <c r="C132" s="263"/>
      <c r="D132" s="282"/>
      <c r="E132" s="263"/>
      <c r="F132" s="256"/>
      <c r="G132" s="264"/>
      <c r="H132" s="256"/>
      <c r="I132" s="265"/>
      <c r="J132" s="256"/>
      <c r="K132" s="265"/>
    </row>
    <row r="133" spans="2:11">
      <c r="B133" s="257">
        <f t="shared" si="1"/>
        <v>0</v>
      </c>
      <c r="C133" s="263"/>
      <c r="D133" s="282"/>
      <c r="E133" s="263"/>
      <c r="F133" s="256"/>
      <c r="G133" s="264"/>
      <c r="H133" s="256"/>
      <c r="I133" s="265"/>
      <c r="J133" s="256"/>
      <c r="K133" s="265"/>
    </row>
    <row r="134" spans="2:11">
      <c r="B134" s="257">
        <f t="shared" si="1"/>
        <v>0</v>
      </c>
      <c r="C134" s="263"/>
      <c r="D134" s="282"/>
      <c r="E134" s="263"/>
      <c r="F134" s="256"/>
      <c r="G134" s="264"/>
      <c r="H134" s="256"/>
      <c r="I134" s="265"/>
      <c r="J134" s="256"/>
      <c r="K134" s="265"/>
    </row>
    <row r="135" spans="2:11">
      <c r="B135" s="257">
        <f t="shared" si="1"/>
        <v>0</v>
      </c>
      <c r="C135" s="263"/>
      <c r="D135" s="282"/>
      <c r="E135" s="263"/>
      <c r="F135" s="256"/>
      <c r="G135" s="264"/>
      <c r="H135" s="256"/>
      <c r="I135" s="265"/>
      <c r="J135" s="256"/>
      <c r="K135" s="265"/>
    </row>
    <row r="136" spans="2:11">
      <c r="B136" s="257">
        <f t="shared" ref="B136:B199" si="2">IF(NOT(ISBLANK(C136)),(C136-C135),0)</f>
        <v>0</v>
      </c>
      <c r="C136" s="263"/>
      <c r="D136" s="282"/>
      <c r="E136" s="263"/>
      <c r="F136" s="256"/>
      <c r="G136" s="264"/>
      <c r="H136" s="256"/>
      <c r="I136" s="265"/>
      <c r="J136" s="256"/>
      <c r="K136" s="265"/>
    </row>
    <row r="137" spans="2:11">
      <c r="B137" s="257">
        <f t="shared" si="2"/>
        <v>0</v>
      </c>
      <c r="C137" s="263"/>
      <c r="D137" s="282"/>
      <c r="E137" s="263"/>
      <c r="F137" s="256"/>
      <c r="G137" s="264"/>
      <c r="H137" s="256"/>
      <c r="I137" s="265"/>
      <c r="J137" s="256"/>
      <c r="K137" s="265"/>
    </row>
    <row r="138" spans="2:11">
      <c r="B138" s="257">
        <f t="shared" si="2"/>
        <v>0</v>
      </c>
      <c r="C138" s="263"/>
      <c r="D138" s="282"/>
      <c r="E138" s="263"/>
      <c r="F138" s="256"/>
      <c r="G138" s="264"/>
      <c r="H138" s="256"/>
      <c r="I138" s="265"/>
      <c r="J138" s="256"/>
      <c r="K138" s="265"/>
    </row>
    <row r="139" spans="2:11">
      <c r="B139" s="257">
        <f t="shared" si="2"/>
        <v>0</v>
      </c>
      <c r="C139" s="263"/>
      <c r="D139" s="282"/>
      <c r="E139" s="263"/>
      <c r="F139" s="256"/>
      <c r="G139" s="264"/>
      <c r="H139" s="256"/>
      <c r="I139" s="265"/>
      <c r="J139" s="256"/>
      <c r="K139" s="265"/>
    </row>
    <row r="140" spans="2:11">
      <c r="B140" s="257">
        <f t="shared" si="2"/>
        <v>0</v>
      </c>
      <c r="C140" s="263"/>
      <c r="D140" s="282"/>
      <c r="E140" s="263"/>
      <c r="F140" s="256"/>
      <c r="G140" s="264"/>
      <c r="H140" s="256"/>
      <c r="I140" s="265"/>
      <c r="J140" s="256"/>
      <c r="K140" s="265"/>
    </row>
    <row r="141" spans="2:11">
      <c r="B141" s="257">
        <f t="shared" si="2"/>
        <v>0</v>
      </c>
      <c r="C141" s="263"/>
      <c r="D141" s="282"/>
      <c r="E141" s="263"/>
      <c r="F141" s="256"/>
      <c r="G141" s="264"/>
      <c r="H141" s="256"/>
      <c r="I141" s="265"/>
      <c r="J141" s="256"/>
      <c r="K141" s="265"/>
    </row>
    <row r="142" spans="2:11">
      <c r="B142" s="257">
        <f t="shared" si="2"/>
        <v>0</v>
      </c>
      <c r="C142" s="263"/>
      <c r="D142" s="282"/>
      <c r="E142" s="263"/>
      <c r="F142" s="256"/>
      <c r="G142" s="264"/>
      <c r="H142" s="256"/>
      <c r="I142" s="265"/>
      <c r="J142" s="256"/>
      <c r="K142" s="265"/>
    </row>
    <row r="143" spans="2:11">
      <c r="B143" s="257">
        <f t="shared" si="2"/>
        <v>0</v>
      </c>
      <c r="C143" s="263"/>
      <c r="D143" s="282"/>
      <c r="E143" s="263"/>
      <c r="F143" s="256"/>
      <c r="G143" s="264"/>
      <c r="H143" s="256"/>
      <c r="I143" s="265"/>
      <c r="J143" s="256"/>
      <c r="K143" s="265"/>
    </row>
    <row r="144" spans="2:11">
      <c r="B144" s="257">
        <f t="shared" si="2"/>
        <v>0</v>
      </c>
      <c r="C144" s="263"/>
      <c r="D144" s="282"/>
      <c r="E144" s="263"/>
      <c r="F144" s="256"/>
      <c r="G144" s="264"/>
      <c r="H144" s="256"/>
      <c r="I144" s="265"/>
      <c r="J144" s="256"/>
      <c r="K144" s="265"/>
    </row>
    <row r="145" spans="2:11">
      <c r="B145" s="257">
        <f t="shared" si="2"/>
        <v>0</v>
      </c>
      <c r="C145" s="263"/>
      <c r="D145" s="282"/>
      <c r="E145" s="263"/>
      <c r="F145" s="256"/>
      <c r="G145" s="264"/>
      <c r="H145" s="256"/>
      <c r="I145" s="265"/>
      <c r="J145" s="256"/>
      <c r="K145" s="265"/>
    </row>
    <row r="146" spans="2:11">
      <c r="B146" s="257">
        <f t="shared" si="2"/>
        <v>0</v>
      </c>
      <c r="C146" s="263"/>
      <c r="D146" s="282"/>
      <c r="E146" s="263"/>
      <c r="F146" s="256"/>
      <c r="G146" s="264"/>
      <c r="H146" s="256"/>
      <c r="I146" s="265"/>
      <c r="J146" s="256"/>
      <c r="K146" s="265"/>
    </row>
    <row r="147" spans="2:11">
      <c r="B147" s="257">
        <f t="shared" si="2"/>
        <v>0</v>
      </c>
      <c r="C147" s="263"/>
      <c r="D147" s="282"/>
      <c r="E147" s="263"/>
      <c r="F147" s="256"/>
      <c r="G147" s="264"/>
      <c r="H147" s="256"/>
      <c r="I147" s="265"/>
      <c r="J147" s="256"/>
      <c r="K147" s="265"/>
    </row>
    <row r="148" spans="2:11">
      <c r="B148" s="257">
        <f t="shared" si="2"/>
        <v>0</v>
      </c>
      <c r="C148" s="263"/>
      <c r="D148" s="282"/>
      <c r="E148" s="263"/>
      <c r="F148" s="256"/>
      <c r="G148" s="264"/>
      <c r="H148" s="256"/>
      <c r="I148" s="265"/>
      <c r="J148" s="256"/>
      <c r="K148" s="265"/>
    </row>
    <row r="149" spans="2:11">
      <c r="B149" s="257">
        <f t="shared" si="2"/>
        <v>0</v>
      </c>
      <c r="C149" s="263"/>
      <c r="D149" s="282"/>
      <c r="E149" s="263"/>
      <c r="F149" s="256"/>
      <c r="G149" s="264"/>
      <c r="H149" s="256"/>
      <c r="I149" s="265"/>
      <c r="J149" s="256"/>
      <c r="K149" s="265"/>
    </row>
    <row r="150" spans="2:11">
      <c r="B150" s="257">
        <f t="shared" si="2"/>
        <v>0</v>
      </c>
      <c r="C150" s="263"/>
      <c r="D150" s="282"/>
      <c r="E150" s="263"/>
      <c r="F150" s="256"/>
      <c r="G150" s="264"/>
      <c r="H150" s="256"/>
      <c r="I150" s="265"/>
      <c r="J150" s="256"/>
      <c r="K150" s="265"/>
    </row>
    <row r="151" spans="2:11">
      <c r="B151" s="257">
        <f t="shared" si="2"/>
        <v>0</v>
      </c>
      <c r="C151" s="263"/>
      <c r="D151" s="282"/>
      <c r="E151" s="263"/>
      <c r="F151" s="256"/>
      <c r="G151" s="264"/>
      <c r="H151" s="256"/>
      <c r="I151" s="265"/>
      <c r="J151" s="256"/>
      <c r="K151" s="265"/>
    </row>
    <row r="152" spans="2:11">
      <c r="B152" s="257">
        <f t="shared" si="2"/>
        <v>0</v>
      </c>
      <c r="C152" s="263"/>
      <c r="D152" s="282"/>
      <c r="E152" s="263"/>
      <c r="F152" s="256"/>
      <c r="G152" s="264"/>
      <c r="H152" s="256"/>
      <c r="I152" s="265"/>
      <c r="J152" s="256"/>
      <c r="K152" s="265"/>
    </row>
    <row r="153" spans="2:11">
      <c r="B153" s="257">
        <f t="shared" si="2"/>
        <v>0</v>
      </c>
      <c r="C153" s="263"/>
      <c r="D153" s="282"/>
      <c r="E153" s="263"/>
      <c r="F153" s="256"/>
      <c r="G153" s="264"/>
      <c r="H153" s="256"/>
      <c r="I153" s="265"/>
      <c r="J153" s="256"/>
      <c r="K153" s="265"/>
    </row>
    <row r="154" spans="2:11">
      <c r="B154" s="257">
        <f t="shared" si="2"/>
        <v>0</v>
      </c>
      <c r="C154" s="263"/>
      <c r="D154" s="282"/>
      <c r="E154" s="263"/>
      <c r="F154" s="256"/>
      <c r="G154" s="264"/>
      <c r="H154" s="256"/>
      <c r="I154" s="265"/>
      <c r="J154" s="256"/>
      <c r="K154" s="265"/>
    </row>
    <row r="155" spans="2:11">
      <c r="B155" s="257">
        <f t="shared" si="2"/>
        <v>0</v>
      </c>
      <c r="C155" s="263"/>
      <c r="D155" s="282"/>
      <c r="E155" s="263"/>
      <c r="F155" s="256"/>
      <c r="G155" s="264"/>
      <c r="H155" s="256"/>
      <c r="I155" s="265"/>
      <c r="J155" s="256"/>
      <c r="K155" s="265"/>
    </row>
    <row r="156" spans="2:11">
      <c r="B156" s="257">
        <f t="shared" si="2"/>
        <v>0</v>
      </c>
      <c r="C156" s="263"/>
      <c r="D156" s="282"/>
      <c r="E156" s="263"/>
      <c r="F156" s="256"/>
      <c r="G156" s="264"/>
      <c r="H156" s="256"/>
      <c r="I156" s="265"/>
      <c r="J156" s="256"/>
      <c r="K156" s="265"/>
    </row>
    <row r="157" spans="2:11">
      <c r="B157" s="257">
        <f t="shared" si="2"/>
        <v>0</v>
      </c>
      <c r="C157" s="263"/>
      <c r="D157" s="282"/>
      <c r="E157" s="263"/>
      <c r="F157" s="256"/>
      <c r="G157" s="264"/>
      <c r="H157" s="256"/>
      <c r="I157" s="265"/>
      <c r="J157" s="256"/>
      <c r="K157" s="265"/>
    </row>
    <row r="158" spans="2:11">
      <c r="B158" s="257">
        <f t="shared" si="2"/>
        <v>0</v>
      </c>
      <c r="C158" s="263"/>
      <c r="D158" s="282"/>
      <c r="E158" s="263"/>
      <c r="F158" s="256"/>
      <c r="G158" s="264"/>
      <c r="H158" s="256"/>
      <c r="I158" s="265"/>
      <c r="J158" s="256"/>
      <c r="K158" s="265"/>
    </row>
    <row r="159" spans="2:11">
      <c r="B159" s="257">
        <f t="shared" si="2"/>
        <v>0</v>
      </c>
      <c r="C159" s="263"/>
      <c r="D159" s="282"/>
      <c r="E159" s="263"/>
      <c r="F159" s="256"/>
      <c r="G159" s="264"/>
      <c r="H159" s="256"/>
      <c r="I159" s="265"/>
      <c r="J159" s="256"/>
      <c r="K159" s="265"/>
    </row>
    <row r="160" spans="2:11">
      <c r="B160" s="257">
        <f t="shared" si="2"/>
        <v>0</v>
      </c>
      <c r="C160" s="263"/>
      <c r="D160" s="282"/>
      <c r="E160" s="263"/>
      <c r="F160" s="256"/>
      <c r="G160" s="264"/>
      <c r="H160" s="256"/>
      <c r="I160" s="265"/>
      <c r="J160" s="256"/>
      <c r="K160" s="265"/>
    </row>
    <row r="161" spans="2:11">
      <c r="B161" s="257">
        <f t="shared" si="2"/>
        <v>0</v>
      </c>
      <c r="C161" s="263"/>
      <c r="D161" s="282"/>
      <c r="E161" s="263"/>
      <c r="F161" s="256"/>
      <c r="G161" s="264"/>
      <c r="H161" s="256"/>
      <c r="I161" s="265"/>
      <c r="J161" s="256"/>
      <c r="K161" s="265"/>
    </row>
    <row r="162" spans="2:11">
      <c r="B162" s="257">
        <f t="shared" si="2"/>
        <v>0</v>
      </c>
      <c r="C162" s="263"/>
      <c r="D162" s="282"/>
      <c r="E162" s="263"/>
      <c r="F162" s="256"/>
      <c r="G162" s="264"/>
      <c r="H162" s="256"/>
      <c r="I162" s="265"/>
      <c r="J162" s="256"/>
      <c r="K162" s="265"/>
    </row>
    <row r="163" spans="2:11">
      <c r="B163" s="257">
        <f t="shared" si="2"/>
        <v>0</v>
      </c>
      <c r="C163" s="263"/>
      <c r="D163" s="282"/>
      <c r="E163" s="263"/>
      <c r="F163" s="256"/>
      <c r="G163" s="264"/>
      <c r="H163" s="256"/>
      <c r="I163" s="265"/>
      <c r="J163" s="256"/>
      <c r="K163" s="265"/>
    </row>
    <row r="164" spans="2:11">
      <c r="B164" s="257">
        <f t="shared" si="2"/>
        <v>0</v>
      </c>
      <c r="C164" s="263"/>
      <c r="D164" s="282"/>
      <c r="E164" s="263"/>
      <c r="F164" s="256"/>
      <c r="G164" s="264"/>
      <c r="H164" s="256"/>
      <c r="I164" s="265"/>
      <c r="J164" s="256"/>
      <c r="K164" s="265"/>
    </row>
    <row r="165" spans="2:11">
      <c r="B165" s="257">
        <f t="shared" si="2"/>
        <v>0</v>
      </c>
      <c r="C165" s="263"/>
      <c r="D165" s="282"/>
      <c r="E165" s="263"/>
      <c r="F165" s="256"/>
      <c r="G165" s="264"/>
      <c r="H165" s="256"/>
      <c r="I165" s="265"/>
      <c r="J165" s="256"/>
      <c r="K165" s="265"/>
    </row>
    <row r="166" spans="2:11">
      <c r="B166" s="257">
        <f t="shared" si="2"/>
        <v>0</v>
      </c>
      <c r="C166" s="263"/>
      <c r="D166" s="282"/>
      <c r="E166" s="263"/>
      <c r="F166" s="256"/>
      <c r="G166" s="264"/>
      <c r="H166" s="256"/>
      <c r="I166" s="265"/>
      <c r="J166" s="256"/>
      <c r="K166" s="265"/>
    </row>
    <row r="167" spans="2:11">
      <c r="B167" s="257">
        <f t="shared" si="2"/>
        <v>0</v>
      </c>
      <c r="C167" s="263"/>
      <c r="D167" s="282"/>
      <c r="E167" s="263"/>
      <c r="F167" s="256"/>
      <c r="G167" s="264"/>
      <c r="H167" s="256"/>
      <c r="I167" s="265"/>
      <c r="J167" s="256"/>
      <c r="K167" s="265"/>
    </row>
    <row r="168" spans="2:11">
      <c r="B168" s="257">
        <f t="shared" si="2"/>
        <v>0</v>
      </c>
      <c r="C168" s="263"/>
      <c r="D168" s="282"/>
      <c r="E168" s="263"/>
      <c r="F168" s="256"/>
      <c r="G168" s="264"/>
      <c r="H168" s="256"/>
      <c r="I168" s="265"/>
      <c r="J168" s="256"/>
      <c r="K168" s="265"/>
    </row>
    <row r="169" spans="2:11">
      <c r="B169" s="257">
        <f t="shared" si="2"/>
        <v>0</v>
      </c>
      <c r="C169" s="263"/>
      <c r="D169" s="282"/>
      <c r="E169" s="263"/>
      <c r="F169" s="256"/>
      <c r="G169" s="264"/>
      <c r="H169" s="256"/>
      <c r="I169" s="265"/>
      <c r="J169" s="256"/>
      <c r="K169" s="265"/>
    </row>
    <row r="170" spans="2:11">
      <c r="B170" s="257">
        <f t="shared" si="2"/>
        <v>0</v>
      </c>
      <c r="C170" s="263"/>
      <c r="D170" s="282"/>
      <c r="E170" s="263"/>
      <c r="F170" s="256"/>
      <c r="G170" s="264"/>
      <c r="H170" s="256"/>
      <c r="I170" s="265"/>
      <c r="J170" s="256"/>
      <c r="K170" s="265"/>
    </row>
    <row r="171" spans="2:11">
      <c r="B171" s="257">
        <f t="shared" si="2"/>
        <v>0</v>
      </c>
      <c r="C171" s="263"/>
      <c r="D171" s="282"/>
      <c r="E171" s="263"/>
      <c r="F171" s="256"/>
      <c r="G171" s="264"/>
      <c r="H171" s="256"/>
      <c r="I171" s="265"/>
      <c r="J171" s="256"/>
      <c r="K171" s="265"/>
    </row>
    <row r="172" spans="2:11">
      <c r="B172" s="257">
        <f t="shared" si="2"/>
        <v>0</v>
      </c>
      <c r="C172" s="263"/>
      <c r="D172" s="282"/>
      <c r="E172" s="263"/>
      <c r="F172" s="256"/>
      <c r="G172" s="264"/>
      <c r="H172" s="256"/>
      <c r="I172" s="265"/>
      <c r="J172" s="256"/>
      <c r="K172" s="265"/>
    </row>
    <row r="173" spans="2:11">
      <c r="B173" s="257">
        <f t="shared" si="2"/>
        <v>0</v>
      </c>
      <c r="C173" s="263"/>
      <c r="D173" s="282"/>
      <c r="E173" s="263"/>
      <c r="F173" s="256"/>
      <c r="G173" s="264"/>
      <c r="H173" s="256"/>
      <c r="I173" s="265"/>
      <c r="J173" s="256"/>
      <c r="K173" s="265"/>
    </row>
    <row r="174" spans="2:11">
      <c r="B174" s="257">
        <f t="shared" si="2"/>
        <v>0</v>
      </c>
      <c r="C174" s="263"/>
      <c r="D174" s="282"/>
      <c r="E174" s="263"/>
      <c r="F174" s="256"/>
      <c r="G174" s="264"/>
      <c r="H174" s="256"/>
      <c r="I174" s="265"/>
      <c r="J174" s="256"/>
      <c r="K174" s="265"/>
    </row>
    <row r="175" spans="2:11">
      <c r="B175" s="257">
        <f t="shared" si="2"/>
        <v>0</v>
      </c>
      <c r="C175" s="263"/>
      <c r="D175" s="282"/>
      <c r="E175" s="263"/>
      <c r="F175" s="256"/>
      <c r="G175" s="264"/>
      <c r="H175" s="256"/>
      <c r="I175" s="265"/>
      <c r="J175" s="256"/>
      <c r="K175" s="265"/>
    </row>
    <row r="176" spans="2:11">
      <c r="B176" s="257">
        <f t="shared" si="2"/>
        <v>0</v>
      </c>
      <c r="C176" s="263"/>
      <c r="D176" s="282"/>
      <c r="E176" s="263"/>
      <c r="F176" s="256"/>
      <c r="G176" s="264"/>
      <c r="H176" s="256"/>
      <c r="I176" s="265"/>
      <c r="J176" s="256"/>
      <c r="K176" s="265"/>
    </row>
    <row r="177" spans="2:11">
      <c r="B177" s="257">
        <f t="shared" si="2"/>
        <v>0</v>
      </c>
      <c r="C177" s="263"/>
      <c r="D177" s="282"/>
      <c r="E177" s="263"/>
      <c r="F177" s="256"/>
      <c r="G177" s="264"/>
      <c r="H177" s="256"/>
      <c r="I177" s="265"/>
      <c r="J177" s="256"/>
      <c r="K177" s="265"/>
    </row>
    <row r="178" spans="2:11">
      <c r="B178" s="257">
        <f t="shared" si="2"/>
        <v>0</v>
      </c>
      <c r="C178" s="263"/>
      <c r="D178" s="282"/>
      <c r="E178" s="263"/>
      <c r="F178" s="256"/>
      <c r="G178" s="264"/>
      <c r="H178" s="256"/>
      <c r="I178" s="265"/>
      <c r="J178" s="256"/>
      <c r="K178" s="265"/>
    </row>
    <row r="179" spans="2:11">
      <c r="B179" s="257">
        <f t="shared" si="2"/>
        <v>0</v>
      </c>
      <c r="C179" s="263"/>
      <c r="D179" s="282"/>
      <c r="E179" s="263"/>
      <c r="F179" s="256"/>
      <c r="G179" s="264"/>
      <c r="H179" s="256"/>
      <c r="I179" s="265"/>
      <c r="J179" s="256"/>
      <c r="K179" s="265"/>
    </row>
    <row r="180" spans="2:11">
      <c r="B180" s="257">
        <f t="shared" si="2"/>
        <v>0</v>
      </c>
      <c r="C180" s="263"/>
      <c r="D180" s="282"/>
      <c r="E180" s="263"/>
      <c r="F180" s="256"/>
      <c r="G180" s="264"/>
      <c r="H180" s="256"/>
      <c r="I180" s="265"/>
      <c r="J180" s="256"/>
      <c r="K180" s="265"/>
    </row>
    <row r="181" spans="2:11">
      <c r="B181" s="257">
        <f t="shared" si="2"/>
        <v>0</v>
      </c>
      <c r="C181" s="263"/>
      <c r="D181" s="282"/>
      <c r="E181" s="263"/>
      <c r="F181" s="256"/>
      <c r="G181" s="264"/>
      <c r="H181" s="256"/>
      <c r="I181" s="265"/>
      <c r="J181" s="256"/>
      <c r="K181" s="265"/>
    </row>
    <row r="182" spans="2:11">
      <c r="B182" s="257">
        <f t="shared" si="2"/>
        <v>0</v>
      </c>
      <c r="C182" s="263"/>
      <c r="D182" s="282"/>
      <c r="E182" s="263"/>
      <c r="F182" s="256"/>
      <c r="G182" s="264"/>
      <c r="H182" s="256"/>
      <c r="I182" s="265"/>
      <c r="J182" s="256"/>
      <c r="K182" s="265"/>
    </row>
    <row r="183" spans="2:11">
      <c r="B183" s="257">
        <f t="shared" si="2"/>
        <v>0</v>
      </c>
      <c r="C183" s="263"/>
      <c r="D183" s="282"/>
      <c r="E183" s="263"/>
      <c r="F183" s="256"/>
      <c r="G183" s="264"/>
      <c r="H183" s="256"/>
      <c r="I183" s="265"/>
      <c r="J183" s="256"/>
      <c r="K183" s="265"/>
    </row>
    <row r="184" spans="2:11">
      <c r="B184" s="257">
        <f t="shared" si="2"/>
        <v>0</v>
      </c>
      <c r="C184" s="263"/>
      <c r="D184" s="282"/>
      <c r="E184" s="263"/>
      <c r="F184" s="256"/>
      <c r="G184" s="264"/>
      <c r="H184" s="256"/>
      <c r="I184" s="265"/>
      <c r="J184" s="256"/>
      <c r="K184" s="265"/>
    </row>
    <row r="185" spans="2:11">
      <c r="B185" s="257">
        <f t="shared" si="2"/>
        <v>0</v>
      </c>
      <c r="C185" s="263"/>
      <c r="D185" s="282"/>
      <c r="E185" s="263"/>
      <c r="F185" s="256"/>
      <c r="G185" s="264"/>
      <c r="H185" s="256"/>
      <c r="I185" s="265"/>
      <c r="J185" s="256"/>
      <c r="K185" s="265"/>
    </row>
    <row r="186" spans="2:11">
      <c r="B186" s="257">
        <f t="shared" si="2"/>
        <v>0</v>
      </c>
      <c r="C186" s="263"/>
      <c r="D186" s="282"/>
      <c r="E186" s="263"/>
      <c r="F186" s="256"/>
      <c r="G186" s="264"/>
      <c r="H186" s="256"/>
      <c r="I186" s="265"/>
      <c r="J186" s="256"/>
      <c r="K186" s="265"/>
    </row>
    <row r="187" spans="2:11">
      <c r="B187" s="257">
        <f t="shared" si="2"/>
        <v>0</v>
      </c>
      <c r="C187" s="263"/>
      <c r="D187" s="282"/>
      <c r="E187" s="263"/>
      <c r="F187" s="256"/>
      <c r="G187" s="264"/>
      <c r="H187" s="256"/>
      <c r="I187" s="265"/>
      <c r="J187" s="256"/>
      <c r="K187" s="265"/>
    </row>
    <row r="188" spans="2:11">
      <c r="B188" s="257">
        <f t="shared" si="2"/>
        <v>0</v>
      </c>
      <c r="C188" s="263"/>
      <c r="D188" s="282"/>
      <c r="E188" s="263"/>
      <c r="F188" s="256"/>
      <c r="G188" s="264"/>
      <c r="H188" s="256"/>
      <c r="I188" s="265"/>
      <c r="J188" s="256"/>
      <c r="K188" s="265"/>
    </row>
    <row r="189" spans="2:11">
      <c r="B189" s="257">
        <f t="shared" si="2"/>
        <v>0</v>
      </c>
      <c r="C189" s="263"/>
      <c r="D189" s="282"/>
      <c r="E189" s="263"/>
      <c r="F189" s="256"/>
      <c r="G189" s="264"/>
      <c r="H189" s="256"/>
      <c r="I189" s="265"/>
      <c r="J189" s="256"/>
      <c r="K189" s="265"/>
    </row>
    <row r="190" spans="2:11">
      <c r="B190" s="257">
        <f t="shared" si="2"/>
        <v>0</v>
      </c>
      <c r="C190" s="263"/>
      <c r="D190" s="282"/>
      <c r="E190" s="263"/>
      <c r="F190" s="256"/>
      <c r="G190" s="264"/>
      <c r="H190" s="256"/>
      <c r="I190" s="265"/>
      <c r="J190" s="256"/>
      <c r="K190" s="265"/>
    </row>
    <row r="191" spans="2:11">
      <c r="B191" s="257">
        <f t="shared" si="2"/>
        <v>0</v>
      </c>
      <c r="C191" s="263"/>
      <c r="D191" s="282"/>
      <c r="E191" s="263"/>
      <c r="F191" s="256"/>
      <c r="G191" s="264"/>
      <c r="H191" s="256"/>
      <c r="I191" s="265"/>
      <c r="J191" s="256"/>
      <c r="K191" s="265"/>
    </row>
    <row r="192" spans="2:11">
      <c r="B192" s="257">
        <f t="shared" si="2"/>
        <v>0</v>
      </c>
      <c r="C192" s="263"/>
      <c r="D192" s="282"/>
      <c r="E192" s="263"/>
      <c r="F192" s="256"/>
      <c r="G192" s="264"/>
      <c r="H192" s="256"/>
      <c r="I192" s="265"/>
      <c r="J192" s="256"/>
      <c r="K192" s="265"/>
    </row>
    <row r="193" spans="2:11">
      <c r="B193" s="257">
        <f t="shared" si="2"/>
        <v>0</v>
      </c>
      <c r="C193" s="263"/>
      <c r="D193" s="282"/>
      <c r="E193" s="263"/>
      <c r="F193" s="256"/>
      <c r="G193" s="264"/>
      <c r="H193" s="256"/>
      <c r="I193" s="265"/>
      <c r="J193" s="256"/>
      <c r="K193" s="265"/>
    </row>
    <row r="194" spans="2:11">
      <c r="B194" s="257">
        <f t="shared" si="2"/>
        <v>0</v>
      </c>
      <c r="C194" s="263"/>
      <c r="D194" s="282"/>
      <c r="E194" s="263"/>
      <c r="F194" s="256"/>
      <c r="G194" s="264"/>
      <c r="H194" s="256"/>
      <c r="I194" s="265"/>
      <c r="J194" s="256"/>
      <c r="K194" s="265"/>
    </row>
    <row r="195" spans="2:11">
      <c r="B195" s="257">
        <f t="shared" si="2"/>
        <v>0</v>
      </c>
      <c r="C195" s="263"/>
      <c r="D195" s="282"/>
      <c r="E195" s="263"/>
      <c r="F195" s="256"/>
      <c r="G195" s="264"/>
      <c r="H195" s="256"/>
      <c r="I195" s="265"/>
      <c r="J195" s="256"/>
      <c r="K195" s="265"/>
    </row>
    <row r="196" spans="2:11">
      <c r="B196" s="257">
        <f t="shared" si="2"/>
        <v>0</v>
      </c>
      <c r="C196" s="263"/>
      <c r="D196" s="282"/>
      <c r="E196" s="263"/>
      <c r="F196" s="256"/>
      <c r="G196" s="264"/>
      <c r="H196" s="256"/>
      <c r="I196" s="265"/>
      <c r="J196" s="256"/>
      <c r="K196" s="265"/>
    </row>
    <row r="197" spans="2:11">
      <c r="B197" s="257">
        <f t="shared" si="2"/>
        <v>0</v>
      </c>
      <c r="C197" s="263"/>
      <c r="D197" s="282"/>
      <c r="E197" s="263"/>
      <c r="F197" s="256"/>
      <c r="G197" s="264"/>
      <c r="H197" s="256"/>
      <c r="I197" s="265"/>
      <c r="J197" s="256"/>
      <c r="K197" s="265"/>
    </row>
    <row r="198" spans="2:11">
      <c r="B198" s="257">
        <f t="shared" si="2"/>
        <v>0</v>
      </c>
      <c r="C198" s="263"/>
      <c r="D198" s="282"/>
      <c r="E198" s="263"/>
      <c r="F198" s="256"/>
      <c r="G198" s="264"/>
      <c r="H198" s="256"/>
      <c r="I198" s="265"/>
      <c r="J198" s="256"/>
      <c r="K198" s="265"/>
    </row>
    <row r="199" spans="2:11">
      <c r="B199" s="257">
        <f t="shared" si="2"/>
        <v>0</v>
      </c>
      <c r="C199" s="263"/>
      <c r="D199" s="282"/>
      <c r="E199" s="263"/>
      <c r="F199" s="256"/>
      <c r="G199" s="264"/>
      <c r="H199" s="256"/>
      <c r="I199" s="265"/>
      <c r="J199" s="256"/>
      <c r="K199" s="265"/>
    </row>
    <row r="200" spans="2:11">
      <c r="B200" s="257">
        <f t="shared" ref="B200:B226" si="3">IF(NOT(ISBLANK(C200)),(C200-C199),0)</f>
        <v>0</v>
      </c>
      <c r="C200" s="263"/>
      <c r="D200" s="282"/>
      <c r="E200" s="263"/>
      <c r="F200" s="256"/>
      <c r="G200" s="264"/>
      <c r="H200" s="256"/>
      <c r="I200" s="265"/>
      <c r="J200" s="256"/>
      <c r="K200" s="265"/>
    </row>
    <row r="201" spans="2:11">
      <c r="B201" s="257">
        <f t="shared" si="3"/>
        <v>0</v>
      </c>
      <c r="C201" s="263"/>
      <c r="D201" s="282"/>
      <c r="E201" s="263"/>
      <c r="F201" s="256"/>
      <c r="G201" s="264"/>
      <c r="H201" s="256"/>
      <c r="I201" s="265"/>
      <c r="J201" s="256"/>
      <c r="K201" s="265"/>
    </row>
    <row r="202" spans="2:11">
      <c r="B202" s="257">
        <f t="shared" si="3"/>
        <v>0</v>
      </c>
      <c r="C202" s="263"/>
      <c r="D202" s="282"/>
      <c r="E202" s="263"/>
      <c r="F202" s="256"/>
      <c r="G202" s="264"/>
      <c r="H202" s="256"/>
      <c r="I202" s="265"/>
      <c r="J202" s="256"/>
      <c r="K202" s="265"/>
    </row>
    <row r="203" spans="2:11">
      <c r="B203" s="257">
        <f t="shared" si="3"/>
        <v>0</v>
      </c>
      <c r="C203" s="263"/>
      <c r="D203" s="282"/>
      <c r="E203" s="263"/>
      <c r="F203" s="256"/>
      <c r="G203" s="264"/>
      <c r="H203" s="256"/>
      <c r="I203" s="265"/>
      <c r="J203" s="256"/>
      <c r="K203" s="265"/>
    </row>
    <row r="204" spans="2:11">
      <c r="B204" s="257">
        <f t="shared" si="3"/>
        <v>0</v>
      </c>
      <c r="C204" s="263"/>
      <c r="D204" s="282"/>
      <c r="E204" s="263"/>
      <c r="F204" s="256"/>
      <c r="G204" s="264"/>
      <c r="H204" s="256"/>
      <c r="I204" s="265"/>
      <c r="J204" s="256"/>
      <c r="K204" s="265"/>
    </row>
    <row r="205" spans="2:11">
      <c r="B205" s="257">
        <f t="shared" si="3"/>
        <v>0</v>
      </c>
      <c r="C205" s="263"/>
      <c r="D205" s="282"/>
      <c r="E205" s="263"/>
      <c r="F205" s="256"/>
      <c r="G205" s="264"/>
      <c r="H205" s="256"/>
      <c r="I205" s="265"/>
      <c r="J205" s="256"/>
      <c r="K205" s="265"/>
    </row>
    <row r="206" spans="2:11">
      <c r="B206" s="257">
        <f t="shared" si="3"/>
        <v>0</v>
      </c>
      <c r="C206" s="263"/>
      <c r="D206" s="282"/>
      <c r="E206" s="263"/>
      <c r="F206" s="256"/>
      <c r="G206" s="264"/>
      <c r="H206" s="256"/>
      <c r="I206" s="265"/>
      <c r="J206" s="256"/>
      <c r="K206" s="265"/>
    </row>
    <row r="207" spans="2:11">
      <c r="B207" s="257">
        <f t="shared" si="3"/>
        <v>0</v>
      </c>
      <c r="C207" s="263"/>
      <c r="D207" s="282"/>
      <c r="E207" s="263"/>
      <c r="F207" s="256"/>
      <c r="G207" s="264"/>
      <c r="H207" s="256"/>
      <c r="I207" s="265"/>
      <c r="J207" s="256"/>
      <c r="K207" s="265"/>
    </row>
    <row r="208" spans="2:11">
      <c r="B208" s="257">
        <f t="shared" si="3"/>
        <v>0</v>
      </c>
      <c r="C208" s="263"/>
      <c r="D208" s="282"/>
      <c r="E208" s="263"/>
      <c r="F208" s="256"/>
      <c r="G208" s="264"/>
      <c r="H208" s="256"/>
      <c r="I208" s="265"/>
      <c r="J208" s="256"/>
      <c r="K208" s="265"/>
    </row>
    <row r="209" spans="2:11">
      <c r="B209" s="257">
        <f t="shared" si="3"/>
        <v>0</v>
      </c>
      <c r="C209" s="263"/>
      <c r="D209" s="282"/>
      <c r="E209" s="263"/>
      <c r="F209" s="256"/>
      <c r="G209" s="264"/>
      <c r="H209" s="256"/>
      <c r="I209" s="265"/>
      <c r="J209" s="256"/>
      <c r="K209" s="265"/>
    </row>
    <row r="210" spans="2:11">
      <c r="B210" s="257">
        <f t="shared" si="3"/>
        <v>0</v>
      </c>
      <c r="C210" s="263"/>
      <c r="D210" s="282"/>
      <c r="E210" s="263"/>
      <c r="F210" s="256"/>
      <c r="G210" s="264"/>
      <c r="H210" s="256"/>
      <c r="I210" s="265"/>
      <c r="J210" s="256"/>
      <c r="K210" s="265"/>
    </row>
    <row r="211" spans="2:11">
      <c r="B211" s="257">
        <f t="shared" si="3"/>
        <v>0</v>
      </c>
      <c r="C211" s="263"/>
      <c r="D211" s="282"/>
      <c r="E211" s="263"/>
      <c r="F211" s="256"/>
      <c r="G211" s="264"/>
      <c r="H211" s="256"/>
      <c r="I211" s="265"/>
      <c r="J211" s="256"/>
      <c r="K211" s="265"/>
    </row>
    <row r="212" spans="2:11">
      <c r="B212" s="257">
        <f t="shared" si="3"/>
        <v>0</v>
      </c>
      <c r="C212" s="263"/>
      <c r="D212" s="282"/>
      <c r="E212" s="263"/>
      <c r="F212" s="256"/>
      <c r="G212" s="264"/>
      <c r="H212" s="256"/>
      <c r="I212" s="265"/>
      <c r="J212" s="256"/>
      <c r="K212" s="265"/>
    </row>
    <row r="213" spans="2:11">
      <c r="B213" s="257">
        <f t="shared" si="3"/>
        <v>0</v>
      </c>
      <c r="C213" s="263"/>
      <c r="D213" s="282"/>
      <c r="E213" s="263"/>
      <c r="F213" s="256"/>
      <c r="G213" s="264"/>
      <c r="H213" s="256"/>
      <c r="I213" s="265"/>
      <c r="J213" s="256"/>
      <c r="K213" s="265"/>
    </row>
    <row r="214" spans="2:11">
      <c r="B214" s="257">
        <f t="shared" si="3"/>
        <v>0</v>
      </c>
      <c r="C214" s="263"/>
      <c r="D214" s="282"/>
      <c r="E214" s="263"/>
      <c r="F214" s="256"/>
      <c r="G214" s="264"/>
      <c r="H214" s="256"/>
      <c r="I214" s="265"/>
      <c r="J214" s="256"/>
      <c r="K214" s="265"/>
    </row>
    <row r="215" spans="2:11">
      <c r="B215" s="257">
        <f t="shared" si="3"/>
        <v>0</v>
      </c>
      <c r="C215" s="263"/>
      <c r="D215" s="282"/>
      <c r="E215" s="263"/>
      <c r="F215" s="256"/>
      <c r="G215" s="264"/>
      <c r="H215" s="256"/>
      <c r="I215" s="265"/>
      <c r="J215" s="256"/>
      <c r="K215" s="265"/>
    </row>
    <row r="216" spans="2:11">
      <c r="B216" s="257">
        <f t="shared" si="3"/>
        <v>0</v>
      </c>
      <c r="C216" s="263"/>
      <c r="D216" s="282"/>
      <c r="E216" s="263"/>
      <c r="F216" s="256"/>
      <c r="G216" s="264"/>
      <c r="H216" s="256"/>
      <c r="I216" s="265"/>
      <c r="J216" s="256"/>
      <c r="K216" s="265"/>
    </row>
    <row r="217" spans="2:11">
      <c r="B217" s="257">
        <f t="shared" si="3"/>
        <v>0</v>
      </c>
      <c r="C217" s="263"/>
      <c r="D217" s="282"/>
      <c r="E217" s="263"/>
      <c r="F217" s="256"/>
      <c r="G217" s="264"/>
      <c r="H217" s="256"/>
      <c r="I217" s="265"/>
      <c r="J217" s="256"/>
      <c r="K217" s="265"/>
    </row>
    <row r="218" spans="2:11">
      <c r="B218" s="257">
        <f t="shared" si="3"/>
        <v>0</v>
      </c>
      <c r="C218" s="263"/>
      <c r="D218" s="282"/>
      <c r="E218" s="263"/>
      <c r="F218" s="256"/>
      <c r="G218" s="264"/>
      <c r="H218" s="256"/>
      <c r="I218" s="265"/>
      <c r="J218" s="256"/>
      <c r="K218" s="265"/>
    </row>
    <row r="219" spans="2:11">
      <c r="B219" s="257">
        <f t="shared" si="3"/>
        <v>0</v>
      </c>
      <c r="C219" s="263"/>
      <c r="D219" s="282"/>
      <c r="E219" s="263"/>
      <c r="F219" s="256"/>
      <c r="G219" s="264"/>
      <c r="H219" s="256"/>
      <c r="I219" s="265"/>
      <c r="J219" s="256"/>
      <c r="K219" s="265"/>
    </row>
    <row r="220" spans="2:11">
      <c r="B220" s="257">
        <f t="shared" si="3"/>
        <v>0</v>
      </c>
      <c r="C220" s="263"/>
      <c r="D220" s="282"/>
      <c r="E220" s="263"/>
      <c r="F220" s="256"/>
      <c r="G220" s="264"/>
      <c r="H220" s="256"/>
      <c r="I220" s="265"/>
      <c r="J220" s="256"/>
      <c r="K220" s="265"/>
    </row>
    <row r="221" spans="2:11">
      <c r="B221" s="257">
        <f t="shared" si="3"/>
        <v>0</v>
      </c>
      <c r="C221" s="263"/>
      <c r="D221" s="282"/>
      <c r="E221" s="263"/>
      <c r="F221" s="256"/>
      <c r="G221" s="264"/>
      <c r="H221" s="256"/>
      <c r="I221" s="265"/>
      <c r="J221" s="256"/>
      <c r="K221" s="265"/>
    </row>
    <row r="222" spans="2:11">
      <c r="B222" s="257">
        <f t="shared" si="3"/>
        <v>0</v>
      </c>
      <c r="C222" s="263"/>
      <c r="D222" s="282"/>
      <c r="E222" s="263"/>
      <c r="F222" s="256"/>
      <c r="G222" s="264"/>
      <c r="H222" s="256"/>
      <c r="I222" s="265"/>
      <c r="J222" s="256"/>
      <c r="K222" s="265"/>
    </row>
    <row r="223" spans="2:11">
      <c r="B223" s="257">
        <f t="shared" si="3"/>
        <v>0</v>
      </c>
      <c r="C223" s="263"/>
      <c r="D223" s="282"/>
      <c r="E223" s="263"/>
      <c r="F223" s="256"/>
      <c r="G223" s="264"/>
      <c r="H223" s="256"/>
      <c r="I223" s="265"/>
      <c r="J223" s="256"/>
      <c r="K223" s="265"/>
    </row>
    <row r="224" spans="2:11">
      <c r="B224" s="257">
        <f t="shared" si="3"/>
        <v>0</v>
      </c>
      <c r="C224" s="263"/>
      <c r="D224" s="282"/>
      <c r="E224" s="263"/>
      <c r="F224" s="256"/>
      <c r="G224" s="264"/>
      <c r="H224" s="256"/>
      <c r="I224" s="265"/>
      <c r="J224" s="256"/>
      <c r="K224" s="265"/>
    </row>
    <row r="225" spans="2:11">
      <c r="B225" s="257">
        <f t="shared" si="3"/>
        <v>0</v>
      </c>
      <c r="C225" s="263"/>
      <c r="D225" s="282"/>
      <c r="E225" s="263"/>
      <c r="F225" s="256"/>
      <c r="G225" s="264"/>
      <c r="H225" s="256"/>
      <c r="I225" s="265"/>
      <c r="J225" s="256"/>
      <c r="K225" s="265"/>
    </row>
    <row r="226" spans="2:11">
      <c r="B226" s="257">
        <f t="shared" si="3"/>
        <v>0</v>
      </c>
      <c r="C226" s="263"/>
      <c r="D226" s="282"/>
      <c r="E226" s="263"/>
      <c r="F226" s="256"/>
      <c r="G226" s="264"/>
      <c r="H226" s="256"/>
      <c r="I226" s="265"/>
      <c r="J226" s="256"/>
      <c r="K226" s="265"/>
    </row>
  </sheetData>
  <conditionalFormatting sqref="A5:A7">
    <cfRule type="timePeriod" dxfId="471" priority="7" timePeriod="today">
      <formula>FLOOR(A5,1)=TODAY()</formula>
    </cfRule>
    <cfRule type="timePeriod" dxfId="470" priority="8" timePeriod="tomorrow">
      <formula>FLOOR(A5,1)=TODAY()+1</formula>
    </cfRule>
    <cfRule type="timePeriod" dxfId="469" priority="9" timePeriod="yesterday">
      <formula>FLOOR(A5,1)=TODAY()-1</formula>
    </cfRule>
  </conditionalFormatting>
  <conditionalFormatting sqref="A8:A19 A21:A31">
    <cfRule type="expression" dxfId="468" priority="4">
      <formula>INDIRECT("A"&amp;3) = INDIRECT("A"&amp;ROW())</formula>
    </cfRule>
  </conditionalFormatting>
  <conditionalFormatting sqref="A3:A4">
    <cfRule type="expression" dxfId="46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46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54" zoomScale="101" workbookViewId="0">
      <selection activeCell="E57" sqref="E57"/>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267</v>
      </c>
      <c r="E28" s="129" t="s">
        <v>264</v>
      </c>
      <c r="F28" s="134">
        <v>16</v>
      </c>
      <c r="G28" s="135"/>
      <c r="H28" s="135"/>
      <c r="I28" s="135"/>
      <c r="J28" s="136"/>
    </row>
    <row r="29" spans="1:10" ht="74.099999999999994" customHeight="1">
      <c r="B29" s="111">
        <v>43153</v>
      </c>
      <c r="C29" s="133"/>
      <c r="D29" s="129" t="s">
        <v>268</v>
      </c>
      <c r="E29" s="129"/>
      <c r="F29" s="134">
        <v>16</v>
      </c>
      <c r="G29" s="135"/>
      <c r="H29" s="135"/>
      <c r="I29" s="135"/>
      <c r="J29" s="136"/>
    </row>
    <row r="30" spans="1:10" ht="131.25" customHeight="1">
      <c r="B30" s="111">
        <v>43154</v>
      </c>
      <c r="C30" s="133"/>
      <c r="D30" s="129" t="s">
        <v>270</v>
      </c>
      <c r="E30" s="129"/>
      <c r="F30" s="134">
        <v>16</v>
      </c>
      <c r="G30" s="135"/>
      <c r="H30" s="135"/>
      <c r="I30" s="135"/>
      <c r="J30" s="136"/>
    </row>
    <row r="31" spans="1:10" ht="245.25" customHeight="1">
      <c r="B31" s="111">
        <v>43155</v>
      </c>
      <c r="C31" s="133" t="s">
        <v>598</v>
      </c>
      <c r="D31" s="129" t="s">
        <v>600</v>
      </c>
      <c r="E31" s="129" t="s">
        <v>599</v>
      </c>
      <c r="F31" s="134">
        <v>16</v>
      </c>
      <c r="G31" s="135"/>
      <c r="H31" s="135"/>
      <c r="I31" s="135"/>
      <c r="J31" s="136"/>
    </row>
    <row r="32" spans="1:10" ht="162.75" customHeight="1">
      <c r="B32" s="111">
        <v>43156</v>
      </c>
      <c r="C32" s="133" t="s">
        <v>601</v>
      </c>
      <c r="D32" s="129" t="s">
        <v>603</v>
      </c>
      <c r="E32" s="129" t="s">
        <v>602</v>
      </c>
      <c r="F32" s="134"/>
      <c r="G32" s="135"/>
      <c r="H32" s="135"/>
      <c r="I32" s="135"/>
      <c r="J32" s="136"/>
    </row>
    <row r="33" spans="2:10" ht="108">
      <c r="B33" s="111">
        <v>43157</v>
      </c>
      <c r="C33" s="133"/>
      <c r="D33" s="129" t="s">
        <v>622</v>
      </c>
      <c r="E33" s="129"/>
      <c r="F33" s="134"/>
      <c r="G33" s="135"/>
      <c r="H33" s="135"/>
      <c r="I33" s="135"/>
      <c r="J33" s="136"/>
    </row>
    <row r="34" spans="2:10" ht="161.25" customHeight="1">
      <c r="B34" s="111">
        <v>43158</v>
      </c>
      <c r="C34" s="133"/>
      <c r="D34" s="129" t="s">
        <v>639</v>
      </c>
      <c r="E34" s="129" t="s">
        <v>640</v>
      </c>
      <c r="F34" s="134"/>
      <c r="G34" s="135"/>
      <c r="H34" s="135"/>
      <c r="I34" s="135"/>
      <c r="J34" s="136"/>
    </row>
    <row r="35" spans="2:10" ht="129" customHeight="1">
      <c r="B35" s="111">
        <v>43159</v>
      </c>
      <c r="C35" s="133"/>
      <c r="D35" s="129" t="s">
        <v>641</v>
      </c>
      <c r="E35" s="129" t="s">
        <v>642</v>
      </c>
      <c r="F35" s="134"/>
      <c r="G35" s="135"/>
      <c r="H35" s="135"/>
      <c r="I35" s="135"/>
      <c r="J35" s="136"/>
    </row>
    <row r="36" spans="2:10" ht="171" customHeight="1">
      <c r="B36" s="111">
        <v>43160</v>
      </c>
      <c r="C36" s="133"/>
      <c r="D36" s="129" t="s">
        <v>651</v>
      </c>
      <c r="E36" s="129" t="s">
        <v>650</v>
      </c>
      <c r="F36" s="134"/>
      <c r="G36" s="135"/>
      <c r="H36" s="135"/>
      <c r="I36" s="135"/>
      <c r="J36" s="136"/>
    </row>
    <row r="37" spans="2:10" ht="48">
      <c r="B37" s="111">
        <v>43161</v>
      </c>
      <c r="C37" s="133"/>
      <c r="D37" s="129" t="s">
        <v>653</v>
      </c>
      <c r="E37" s="129"/>
      <c r="F37" s="134"/>
      <c r="G37" s="135"/>
      <c r="H37" s="135"/>
      <c r="I37" s="135"/>
      <c r="J37" s="136"/>
    </row>
    <row r="38" spans="2:10" ht="114" customHeight="1">
      <c r="B38" s="111">
        <v>43162</v>
      </c>
      <c r="C38" s="133" t="s">
        <v>657</v>
      </c>
      <c r="D38" s="129" t="s">
        <v>655</v>
      </c>
      <c r="E38" s="138" t="s">
        <v>656</v>
      </c>
      <c r="F38" s="134"/>
      <c r="G38" s="135"/>
      <c r="H38" s="135"/>
      <c r="I38" s="135"/>
      <c r="J38" s="136"/>
    </row>
    <row r="39" spans="2:10" ht="189.75" customHeight="1">
      <c r="B39" s="111">
        <v>43163</v>
      </c>
      <c r="C39" s="133"/>
      <c r="D39" s="129" t="s">
        <v>660</v>
      </c>
      <c r="E39" s="138" t="s">
        <v>661</v>
      </c>
      <c r="F39" s="134"/>
      <c r="G39" s="135"/>
      <c r="H39" s="135"/>
      <c r="I39" s="135"/>
      <c r="J39" s="136"/>
    </row>
    <row r="40" spans="2:10" ht="209.25" customHeight="1">
      <c r="B40" s="111">
        <v>43164</v>
      </c>
      <c r="C40" s="133"/>
      <c r="D40" s="129" t="s">
        <v>662</v>
      </c>
      <c r="E40" s="138" t="s">
        <v>661</v>
      </c>
      <c r="F40" s="134"/>
      <c r="G40" s="135"/>
      <c r="H40" s="135"/>
      <c r="I40" s="135"/>
      <c r="J40" s="136"/>
    </row>
    <row r="41" spans="2:10" ht="123.75" customHeight="1">
      <c r="B41" s="111">
        <v>43165</v>
      </c>
      <c r="C41" s="133"/>
      <c r="D41" s="129" t="s">
        <v>684</v>
      </c>
      <c r="E41" s="138" t="s">
        <v>661</v>
      </c>
      <c r="F41" s="134"/>
      <c r="G41" s="135"/>
      <c r="H41" s="135"/>
      <c r="I41" s="135"/>
      <c r="J41" s="136"/>
    </row>
    <row r="42" spans="2:10" ht="60" customHeight="1">
      <c r="B42" s="111">
        <v>43166</v>
      </c>
      <c r="C42" s="133"/>
      <c r="D42" s="129" t="s">
        <v>686</v>
      </c>
      <c r="E42" s="138" t="s">
        <v>661</v>
      </c>
      <c r="F42" s="134"/>
      <c r="G42" s="135"/>
      <c r="H42" s="135"/>
      <c r="I42" s="135"/>
      <c r="J42" s="136"/>
    </row>
    <row r="43" spans="2:10">
      <c r="B43" s="111">
        <v>43167</v>
      </c>
      <c r="C43" s="133"/>
      <c r="D43" s="129" t="s">
        <v>693</v>
      </c>
      <c r="E43" s="138" t="s">
        <v>661</v>
      </c>
      <c r="F43" s="134"/>
      <c r="G43" s="135"/>
      <c r="H43" s="135"/>
      <c r="I43" s="135"/>
      <c r="J43" s="136"/>
    </row>
    <row r="44" spans="2:10" ht="85.5" customHeight="1">
      <c r="B44" s="111">
        <v>43168</v>
      </c>
      <c r="C44" s="133"/>
      <c r="D44" s="129" t="s">
        <v>694</v>
      </c>
      <c r="E44" s="138" t="s">
        <v>661</v>
      </c>
      <c r="F44" s="134"/>
      <c r="G44" s="135"/>
      <c r="H44" s="135"/>
      <c r="I44" s="135"/>
      <c r="J44" s="136"/>
    </row>
    <row r="45" spans="2:10" ht="132">
      <c r="B45" s="111">
        <v>43169</v>
      </c>
      <c r="C45" s="133"/>
      <c r="D45" s="129" t="s">
        <v>697</v>
      </c>
      <c r="E45" s="138" t="s">
        <v>661</v>
      </c>
      <c r="F45" s="134"/>
      <c r="G45" s="135"/>
      <c r="H45" s="135"/>
      <c r="I45" s="135"/>
      <c r="J45" s="136"/>
    </row>
    <row r="46" spans="2:10" ht="85.5" customHeight="1">
      <c r="B46" s="111">
        <v>43170</v>
      </c>
      <c r="C46" s="133"/>
      <c r="D46" s="129" t="s">
        <v>698</v>
      </c>
      <c r="E46" s="138" t="s">
        <v>699</v>
      </c>
      <c r="F46" s="134"/>
      <c r="G46" s="135"/>
      <c r="H46" s="135"/>
      <c r="I46" s="135"/>
      <c r="J46" s="136"/>
    </row>
    <row r="47" spans="2:10" ht="102" customHeight="1">
      <c r="B47" s="111">
        <v>43171</v>
      </c>
      <c r="C47" s="133"/>
      <c r="D47" s="129" t="s">
        <v>703</v>
      </c>
      <c r="E47" s="129"/>
      <c r="F47" s="134"/>
      <c r="G47" s="135"/>
      <c r="H47" s="135"/>
      <c r="I47" s="135"/>
      <c r="J47" s="136"/>
    </row>
    <row r="48" spans="2:10" ht="183" customHeight="1">
      <c r="B48" s="111">
        <v>43172</v>
      </c>
      <c r="C48" s="133"/>
      <c r="D48" s="129" t="s">
        <v>710</v>
      </c>
      <c r="E48" s="129" t="s">
        <v>708</v>
      </c>
      <c r="F48" s="134"/>
      <c r="G48" s="135"/>
      <c r="H48" s="135"/>
      <c r="I48" s="135"/>
      <c r="J48" s="136"/>
    </row>
    <row r="49" spans="2:10" ht="69" customHeight="1">
      <c r="B49" s="111">
        <v>43173</v>
      </c>
      <c r="C49" s="133"/>
      <c r="D49" s="129" t="s">
        <v>711</v>
      </c>
      <c r="E49" s="129"/>
      <c r="F49" s="134"/>
      <c r="G49" s="135"/>
      <c r="H49" s="135"/>
      <c r="I49" s="135"/>
      <c r="J49" s="136"/>
    </row>
    <row r="50" spans="2:10" ht="154.5" customHeight="1">
      <c r="B50" s="111">
        <v>43174</v>
      </c>
      <c r="C50" s="133"/>
      <c r="D50" s="129" t="s">
        <v>718</v>
      </c>
      <c r="E50" s="129"/>
      <c r="F50" s="134"/>
      <c r="G50" s="135"/>
      <c r="H50" s="135"/>
      <c r="I50" s="135"/>
      <c r="J50" s="136"/>
    </row>
    <row r="51" spans="2:10" ht="108" customHeight="1">
      <c r="B51" s="111">
        <v>43175</v>
      </c>
      <c r="C51" s="133"/>
      <c r="D51" s="129" t="s">
        <v>720</v>
      </c>
      <c r="E51" s="129"/>
      <c r="F51" s="134"/>
      <c r="G51" s="135"/>
      <c r="H51" s="135"/>
      <c r="I51" s="135"/>
      <c r="J51" s="136"/>
    </row>
    <row r="52" spans="2:10" ht="120" customHeight="1">
      <c r="B52" s="111">
        <v>43176</v>
      </c>
      <c r="C52" s="133"/>
      <c r="D52" s="129" t="s">
        <v>748</v>
      </c>
      <c r="E52" s="129"/>
      <c r="F52" s="134"/>
      <c r="G52" s="135"/>
      <c r="H52" s="135"/>
      <c r="I52" s="135"/>
      <c r="J52" s="136"/>
    </row>
    <row r="53" spans="2:10" ht="139.5" customHeight="1">
      <c r="B53" s="111">
        <v>43177</v>
      </c>
      <c r="C53" s="133"/>
      <c r="D53" s="129" t="s">
        <v>749</v>
      </c>
      <c r="E53" s="129"/>
      <c r="F53" s="134"/>
      <c r="G53" s="135"/>
      <c r="H53" s="135"/>
      <c r="I53" s="135"/>
      <c r="J53" s="136"/>
    </row>
    <row r="54" spans="2:10" ht="36">
      <c r="B54" s="111">
        <v>43178</v>
      </c>
      <c r="C54" s="133"/>
      <c r="D54" s="129" t="s">
        <v>762</v>
      </c>
      <c r="E54" s="129"/>
      <c r="F54" s="134"/>
      <c r="G54" s="135"/>
      <c r="H54" s="135"/>
      <c r="I54" s="135"/>
      <c r="J54" s="136"/>
    </row>
    <row r="55" spans="2:10" ht="144">
      <c r="B55" s="111">
        <v>43179</v>
      </c>
      <c r="C55" s="133"/>
      <c r="D55" s="129" t="s">
        <v>763</v>
      </c>
      <c r="E55" s="129" t="s">
        <v>764</v>
      </c>
      <c r="F55" s="134"/>
      <c r="G55" s="135"/>
      <c r="H55" s="135"/>
      <c r="I55" s="135"/>
      <c r="J55" s="136"/>
    </row>
    <row r="56" spans="2:10" ht="227.25" customHeight="1">
      <c r="B56" s="111">
        <v>43180</v>
      </c>
      <c r="C56" s="133"/>
      <c r="D56" s="129" t="s">
        <v>775</v>
      </c>
      <c r="E56" s="129" t="s">
        <v>779</v>
      </c>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65" priority="6">
      <formula>INDIRECT("B"&amp;ROW())=TODAY()</formula>
    </cfRule>
  </conditionalFormatting>
  <conditionalFormatting sqref="B9:B427">
    <cfRule type="timePeriod" dxfId="464" priority="5" timePeriod="today">
      <formula>FLOOR(B9,1)=TODAY()</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4" workbookViewId="0">
      <selection activeCell="G7" sqref="G7"/>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43180</v>
      </c>
      <c r="B1" s="69"/>
    </row>
    <row r="2" spans="1:45" s="141" customFormat="1" ht="33.75" customHeight="1">
      <c r="A2" s="140">
        <f ca="1">NOW()</f>
        <v>43180.870027314813</v>
      </c>
      <c r="B2" s="140"/>
      <c r="E2" s="142" t="s">
        <v>610</v>
      </c>
      <c r="F2" s="142"/>
      <c r="G2" s="142"/>
      <c r="J2" s="142"/>
      <c r="K2" s="142"/>
      <c r="L2" s="142"/>
    </row>
    <row r="3" spans="1:45" s="169" customFormat="1">
      <c r="A3" s="175"/>
      <c r="B3" s="169" t="s">
        <v>615</v>
      </c>
      <c r="H3" s="174"/>
      <c r="I3" s="174"/>
    </row>
    <row r="4" spans="1:45" s="168" customFormat="1">
      <c r="A4" s="166"/>
      <c r="B4" s="167" t="s">
        <v>43</v>
      </c>
      <c r="C4" s="168" t="s">
        <v>634</v>
      </c>
      <c r="D4" s="168" t="s">
        <v>9</v>
      </c>
      <c r="E4" s="168" t="s">
        <v>636</v>
      </c>
      <c r="F4" s="168" t="s">
        <v>645</v>
      </c>
      <c r="G4" s="168" t="s">
        <v>24</v>
      </c>
      <c r="H4" s="168" t="s">
        <v>635</v>
      </c>
      <c r="I4" s="168" t="s">
        <v>617</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637</v>
      </c>
      <c r="E5" s="177" t="s">
        <v>643</v>
      </c>
      <c r="F5" s="184" t="s">
        <v>638</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629</v>
      </c>
      <c r="D6" s="1" t="s">
        <v>632</v>
      </c>
      <c r="E6" s="177" t="s">
        <v>630</v>
      </c>
      <c r="F6" s="178" t="s">
        <v>646</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688</v>
      </c>
      <c r="E7" s="177" t="s">
        <v>700</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659</v>
      </c>
      <c r="E8" s="171" t="s">
        <v>701</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633</v>
      </c>
      <c r="E9" s="177" t="s">
        <v>628</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658</v>
      </c>
      <c r="E10" s="177" t="s">
        <v>702</v>
      </c>
      <c r="F10" s="2"/>
      <c r="G10" s="170">
        <v>0.02</v>
      </c>
      <c r="H10" s="64"/>
      <c r="I10" s="51"/>
    </row>
    <row r="11" spans="1:45" ht="89.25" customHeight="1">
      <c r="B11" s="165">
        <v>4.5</v>
      </c>
      <c r="C11" s="2" t="s">
        <v>647</v>
      </c>
      <c r="D11" s="1" t="s">
        <v>649</v>
      </c>
      <c r="E11" s="177" t="s">
        <v>648</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B1" zoomScale="96" zoomScaleNormal="96" zoomScalePageLayoutView="96" workbookViewId="0">
      <selection activeCell="F7" sqref="F7"/>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43180</v>
      </c>
      <c r="B1" s="69"/>
      <c r="C1" s="69"/>
    </row>
    <row r="2" spans="1:46" s="141" customFormat="1" ht="26.25" customHeight="1">
      <c r="A2" s="140">
        <f ca="1">NOW()</f>
        <v>43180.870027314813</v>
      </c>
      <c r="B2" s="140"/>
      <c r="C2" s="140"/>
      <c r="F2" s="142" t="s">
        <v>610</v>
      </c>
      <c r="G2" s="142"/>
      <c r="J2" s="142"/>
      <c r="K2" s="142"/>
      <c r="L2" s="142"/>
      <c r="M2" s="142"/>
      <c r="N2" s="142"/>
    </row>
    <row r="3" spans="1:46" s="169" customFormat="1">
      <c r="A3" s="175"/>
      <c r="B3" s="198" t="s">
        <v>615</v>
      </c>
      <c r="H3" s="174"/>
      <c r="I3" s="174"/>
    </row>
    <row r="4" spans="1:46" s="168" customFormat="1">
      <c r="A4" s="166"/>
      <c r="B4" s="167" t="s">
        <v>43</v>
      </c>
      <c r="C4" s="167" t="s">
        <v>644</v>
      </c>
      <c r="D4" s="168" t="s">
        <v>23</v>
      </c>
      <c r="E4" s="168" t="s">
        <v>623</v>
      </c>
      <c r="F4" s="168" t="s">
        <v>627</v>
      </c>
      <c r="G4" s="168" t="s">
        <v>613</v>
      </c>
      <c r="H4" s="168" t="s">
        <v>612</v>
      </c>
      <c r="I4" s="168" t="s">
        <v>617</v>
      </c>
      <c r="J4" s="168" t="s">
        <v>614</v>
      </c>
      <c r="K4" s="168" t="s">
        <v>626</v>
      </c>
    </row>
    <row r="5" spans="1:46" ht="193.5" customHeight="1">
      <c r="B5" s="165">
        <v>16</v>
      </c>
      <c r="C5" s="165">
        <v>0</v>
      </c>
      <c r="D5" s="2" t="s">
        <v>52</v>
      </c>
      <c r="F5" s="200" t="s">
        <v>753</v>
      </c>
      <c r="G5" s="184" t="s">
        <v>619</v>
      </c>
      <c r="H5" s="170">
        <v>0.5</v>
      </c>
      <c r="I5" s="51">
        <v>43161</v>
      </c>
      <c r="K5" s="17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10</v>
      </c>
      <c r="C6" s="165">
        <v>0</v>
      </c>
      <c r="D6" s="2" t="s">
        <v>611</v>
      </c>
      <c r="E6" s="1" t="s">
        <v>689</v>
      </c>
      <c r="F6" s="200" t="s">
        <v>772</v>
      </c>
      <c r="G6" s="184" t="s">
        <v>618</v>
      </c>
      <c r="H6" s="170">
        <v>0.1</v>
      </c>
      <c r="I6" s="51">
        <v>43177</v>
      </c>
      <c r="K6" s="172"/>
    </row>
    <row r="7" spans="1:46" ht="212.25" customHeight="1">
      <c r="B7" s="165">
        <v>0</v>
      </c>
      <c r="C7" s="165">
        <v>0</v>
      </c>
      <c r="D7" s="2" t="s">
        <v>262</v>
      </c>
      <c r="E7" s="1" t="s">
        <v>687</v>
      </c>
      <c r="F7" s="199" t="s">
        <v>714</v>
      </c>
      <c r="G7" s="184" t="s">
        <v>621</v>
      </c>
      <c r="H7" s="170">
        <v>1</v>
      </c>
      <c r="I7" s="51">
        <v>43160</v>
      </c>
      <c r="K7" s="17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0</v>
      </c>
      <c r="C8" s="165">
        <v>0</v>
      </c>
      <c r="D8" s="2" t="s">
        <v>263</v>
      </c>
      <c r="F8" s="200" t="s">
        <v>715</v>
      </c>
      <c r="G8" s="2"/>
      <c r="H8" s="170">
        <v>0.5</v>
      </c>
      <c r="I8" s="51">
        <v>43165</v>
      </c>
      <c r="K8" s="173"/>
    </row>
    <row r="9" spans="1:46" ht="279.75" customHeight="1">
      <c r="B9" s="165">
        <v>0</v>
      </c>
      <c r="C9" s="165">
        <v>16</v>
      </c>
      <c r="D9" s="2" t="s">
        <v>208</v>
      </c>
      <c r="F9" s="199" t="s">
        <v>685</v>
      </c>
      <c r="G9" s="2"/>
      <c r="H9" s="170">
        <v>0.2</v>
      </c>
      <c r="I9" s="51">
        <v>43189</v>
      </c>
      <c r="K9" s="173"/>
    </row>
    <row r="10" spans="1:46" ht="106.5" customHeight="1">
      <c r="B10" s="165">
        <v>0</v>
      </c>
      <c r="C10" s="165">
        <v>0</v>
      </c>
      <c r="D10" s="176" t="s">
        <v>53</v>
      </c>
      <c r="F10" s="199" t="s">
        <v>707</v>
      </c>
      <c r="G10" s="178"/>
      <c r="H10" s="170">
        <v>0.2</v>
      </c>
      <c r="I10" s="51">
        <v>43160</v>
      </c>
      <c r="K10" s="172"/>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616</v>
      </c>
      <c r="F11" s="171"/>
      <c r="G11" s="178"/>
      <c r="H11" s="170">
        <v>0</v>
      </c>
      <c r="I11" s="51">
        <f ca="1">TODAY()+300</f>
        <v>43480</v>
      </c>
      <c r="K11" s="17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631</v>
      </c>
      <c r="E12" s="2"/>
      <c r="F12" s="179"/>
      <c r="G12" s="178"/>
      <c r="H12" s="180">
        <v>0</v>
      </c>
      <c r="I12" s="181"/>
      <c r="J12" s="39"/>
      <c r="K12" s="182" t="s">
        <v>620</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5"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43180</v>
      </c>
      <c r="G1" s="100" t="s">
        <v>62</v>
      </c>
      <c r="H1" s="79">
        <f ca="1">HOUR(I1)</f>
        <v>20</v>
      </c>
      <c r="I1" s="80">
        <f ca="1">NOW()</f>
        <v>43180.870027314813</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43180</v>
      </c>
      <c r="E8" s="93" t="s">
        <v>74</v>
      </c>
      <c r="F8" s="104">
        <v>43146</v>
      </c>
      <c r="G8" s="95"/>
    </row>
    <row r="9" spans="1:12" s="76" customFormat="1" ht="40.5" customHeight="1" outlineLevel="2">
      <c r="A9" s="84"/>
      <c r="B9" s="88" t="s">
        <v>68</v>
      </c>
      <c r="C9" s="109">
        <v>1</v>
      </c>
      <c r="D9" s="99">
        <v>43141</v>
      </c>
      <c r="E9" s="76" t="s">
        <v>67</v>
      </c>
      <c r="F9" s="103">
        <f ca="1">TODAY()+1</f>
        <v>43181</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43180</v>
      </c>
      <c r="E11" s="76" t="s">
        <v>63</v>
      </c>
      <c r="F11" s="104">
        <v>43146</v>
      </c>
    </row>
    <row r="12" spans="1:12" ht="72" customHeight="1" outlineLevel="2">
      <c r="A12" s="79"/>
      <c r="B12" s="91" t="s">
        <v>71</v>
      </c>
      <c r="C12" s="109">
        <v>0</v>
      </c>
      <c r="D12" s="98">
        <f ca="1">TODAY()</f>
        <v>43180</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43182</v>
      </c>
    </row>
    <row r="16" spans="1:12" ht="87" customHeight="1" outlineLevel="2">
      <c r="A16" s="79"/>
      <c r="B16" s="89" t="s">
        <v>76</v>
      </c>
      <c r="C16" s="109">
        <v>0.1</v>
      </c>
      <c r="D16" s="98">
        <v>43144</v>
      </c>
      <c r="E16" s="76" t="s">
        <v>77</v>
      </c>
      <c r="F16" s="104">
        <f ca="1">TODAY()+5</f>
        <v>43185</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43187</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43180</v>
      </c>
      <c r="E22" s="93" t="s">
        <v>89</v>
      </c>
      <c r="F22" s="104">
        <v>43166</v>
      </c>
    </row>
    <row r="23" spans="1:9" ht="30" customHeight="1" outlineLevel="2">
      <c r="A23" s="79"/>
      <c r="B23" s="89" t="s">
        <v>172</v>
      </c>
      <c r="C23" s="109">
        <v>0.25</v>
      </c>
      <c r="D23" s="98">
        <f ca="1">TODAY()</f>
        <v>43180</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1" priority="5">
      <formula>NOT(ISODD(ROW())) * (INDIRECT("D" &amp; ROW()) &lt;= TODAY()) * (INDIRECT("F" &amp; ROW()) &gt;= TODAY()) * NOT(ISBLANK("D"&amp;ROW()))</formula>
    </cfRule>
    <cfRule type="expression" dxfId="44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3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38" priority="16">
      <formula xml:space="preserve"> (INDIRECT("D" &amp; ROW()) &lt;= TODAY()) * (INDIRECT("F" &amp; ROW()) &gt;= TODAY()) * NOT(ISBLANK("D"&amp;ROW()))</formula>
    </cfRule>
  </conditionalFormatting>
  <conditionalFormatting sqref="F26">
    <cfRule type="expression" dxfId="437" priority="13">
      <formula xml:space="preserve"> (INDIRECT("D" &amp; ROW()) &lt;= TODAY()) * (INDIRECT("F" &amp; ROW()) &gt;= TODAY()) * NOT(ISBLANK("D"&amp;ROW()))</formula>
    </cfRule>
  </conditionalFormatting>
  <conditionalFormatting sqref="B1:E1 G1:XFD1 B82:XFD1048576 B81:E81 G81:XFD81 B2:XFD80">
    <cfRule type="expression" dxfId="436" priority="3">
      <formula>NOT(ISODD(ROW())) * INDIRECT("C"&amp;ROW()) &gt;= 0.9</formula>
    </cfRule>
    <cfRule type="expression" dxfId="435" priority="4">
      <formula xml:space="preserve"> ISODD(ROW()) * INDIRECT("C"&amp;ROW()) &gt;= 0.9</formula>
    </cfRule>
    <cfRule type="expression" dxfId="434" priority="7">
      <formula xml:space="preserve"> ISODD(ROW()) * (INDIRECT("C"&amp;ROW()) &lt; 0.9) * INDIRECT("C"&amp;ROW()) &gt; 0</formula>
    </cfRule>
    <cfRule type="expression" dxfId="43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2" priority="1">
      <formula>NOT(ISODD(ROW())) * (INDIRECT("D" &amp; ROW()) &lt;= TODAY()) * (INDIRECT("F" &amp; ROW()) &gt;= TODAY()) * NOT(ISBLANK("D"&amp;ROW()))</formula>
    </cfRule>
    <cfRule type="expression" dxfId="43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43180</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43166</v>
      </c>
      <c r="I6" s="14">
        <f t="shared" ca="1" si="0"/>
        <v>43167</v>
      </c>
      <c r="J6" s="14">
        <f t="shared" ca="1" si="0"/>
        <v>43168</v>
      </c>
      <c r="K6" s="14">
        <f t="shared" ca="1" si="0"/>
        <v>43169</v>
      </c>
      <c r="L6" s="14">
        <f t="shared" ca="1" si="0"/>
        <v>43170</v>
      </c>
      <c r="M6" s="14">
        <f t="shared" ca="1" si="0"/>
        <v>43171</v>
      </c>
      <c r="N6" s="14">
        <f t="shared" ca="1" si="0"/>
        <v>43172</v>
      </c>
      <c r="O6" s="14">
        <f t="shared" ref="O6:BZ6" ca="1" si="1">TODAY()+((COLUMN()-$H$4)*$N$3)</f>
        <v>43173</v>
      </c>
      <c r="P6" s="14">
        <f t="shared" ca="1" si="1"/>
        <v>43174</v>
      </c>
      <c r="Q6" s="14">
        <f t="shared" ca="1" si="1"/>
        <v>43175</v>
      </c>
      <c r="R6" s="14">
        <f t="shared" ca="1" si="1"/>
        <v>43176</v>
      </c>
      <c r="S6" s="14">
        <f t="shared" ca="1" si="1"/>
        <v>43177</v>
      </c>
      <c r="T6" s="14">
        <f ca="1">TODAY()+((COLUMN()-$H$4)*$N$3)</f>
        <v>43178</v>
      </c>
      <c r="U6" s="14">
        <f t="shared" ca="1" si="1"/>
        <v>43179</v>
      </c>
      <c r="V6" s="14">
        <f t="shared" ca="1" si="1"/>
        <v>43180</v>
      </c>
      <c r="W6" s="14">
        <f t="shared" ca="1" si="1"/>
        <v>43181</v>
      </c>
      <c r="X6" s="14">
        <f t="shared" ca="1" si="1"/>
        <v>43182</v>
      </c>
      <c r="Y6" s="14">
        <f t="shared" ca="1" si="1"/>
        <v>43183</v>
      </c>
      <c r="Z6" s="14">
        <f t="shared" ca="1" si="1"/>
        <v>43184</v>
      </c>
      <c r="AA6" s="14">
        <f t="shared" ca="1" si="1"/>
        <v>43185</v>
      </c>
      <c r="AB6" s="14">
        <f t="shared" ca="1" si="1"/>
        <v>43186</v>
      </c>
      <c r="AC6" s="14">
        <f t="shared" ca="1" si="1"/>
        <v>43187</v>
      </c>
      <c r="AD6" s="14">
        <f t="shared" ca="1" si="1"/>
        <v>43188</v>
      </c>
      <c r="AE6" s="14">
        <f t="shared" ca="1" si="1"/>
        <v>43189</v>
      </c>
      <c r="AF6" s="14">
        <f t="shared" ca="1" si="1"/>
        <v>43190</v>
      </c>
      <c r="AG6" s="14">
        <f t="shared" ca="1" si="1"/>
        <v>43191</v>
      </c>
      <c r="AH6" s="14">
        <f t="shared" ca="1" si="1"/>
        <v>43192</v>
      </c>
      <c r="AI6" s="14">
        <f t="shared" ca="1" si="1"/>
        <v>43193</v>
      </c>
      <c r="AJ6" s="14">
        <f t="shared" ca="1" si="1"/>
        <v>43194</v>
      </c>
      <c r="AK6" s="14">
        <f t="shared" ca="1" si="1"/>
        <v>43195</v>
      </c>
      <c r="AL6" s="14">
        <f t="shared" ca="1" si="1"/>
        <v>43196</v>
      </c>
      <c r="AM6" s="14">
        <f t="shared" ca="1" si="1"/>
        <v>43197</v>
      </c>
      <c r="AN6" s="14">
        <f t="shared" ca="1" si="1"/>
        <v>43198</v>
      </c>
      <c r="AO6" s="14">
        <f t="shared" ca="1" si="1"/>
        <v>43199</v>
      </c>
      <c r="AP6" s="14">
        <f t="shared" ca="1" si="1"/>
        <v>43200</v>
      </c>
      <c r="AQ6" s="14">
        <f t="shared" ca="1" si="1"/>
        <v>43201</v>
      </c>
      <c r="AR6" s="14">
        <f t="shared" ca="1" si="1"/>
        <v>43202</v>
      </c>
      <c r="AS6" s="14">
        <f t="shared" ca="1" si="1"/>
        <v>43203</v>
      </c>
      <c r="AT6" s="14">
        <f t="shared" ca="1" si="1"/>
        <v>43204</v>
      </c>
      <c r="AU6" s="14">
        <f t="shared" ca="1" si="1"/>
        <v>43205</v>
      </c>
      <c r="AV6" s="14">
        <f t="shared" ca="1" si="1"/>
        <v>43206</v>
      </c>
      <c r="AW6" s="14">
        <f t="shared" ca="1" si="1"/>
        <v>43207</v>
      </c>
      <c r="AX6" s="14">
        <f t="shared" ca="1" si="1"/>
        <v>43208</v>
      </c>
      <c r="AY6" s="14">
        <f t="shared" ca="1" si="1"/>
        <v>43209</v>
      </c>
      <c r="AZ6" s="14">
        <f t="shared" ca="1" si="1"/>
        <v>43210</v>
      </c>
      <c r="BA6" s="14">
        <f t="shared" ca="1" si="1"/>
        <v>43211</v>
      </c>
      <c r="BB6" s="14">
        <f t="shared" ca="1" si="1"/>
        <v>43212</v>
      </c>
      <c r="BC6" s="14">
        <f t="shared" ca="1" si="1"/>
        <v>43213</v>
      </c>
      <c r="BD6" s="14">
        <f t="shared" ca="1" si="1"/>
        <v>43214</v>
      </c>
      <c r="BE6" s="14">
        <f t="shared" ca="1" si="1"/>
        <v>43215</v>
      </c>
      <c r="BF6" s="14">
        <f t="shared" ca="1" si="1"/>
        <v>43216</v>
      </c>
      <c r="BG6" s="14">
        <f t="shared" ca="1" si="1"/>
        <v>43217</v>
      </c>
      <c r="BH6" s="14">
        <f t="shared" ca="1" si="1"/>
        <v>43218</v>
      </c>
      <c r="BI6" s="14">
        <f t="shared" ca="1" si="1"/>
        <v>43219</v>
      </c>
      <c r="BJ6" s="14">
        <f t="shared" ca="1" si="1"/>
        <v>43220</v>
      </c>
      <c r="BK6" s="14">
        <f t="shared" ca="1" si="1"/>
        <v>43221</v>
      </c>
      <c r="BL6" s="14">
        <f t="shared" ca="1" si="1"/>
        <v>43222</v>
      </c>
      <c r="BM6" s="14">
        <f t="shared" ca="1" si="1"/>
        <v>43223</v>
      </c>
      <c r="BN6" s="14">
        <f t="shared" ca="1" si="1"/>
        <v>43224</v>
      </c>
      <c r="BO6" s="14">
        <f t="shared" ca="1" si="1"/>
        <v>43225</v>
      </c>
      <c r="BP6" s="14">
        <f t="shared" ca="1" si="1"/>
        <v>43226</v>
      </c>
      <c r="BQ6" s="14">
        <f t="shared" ca="1" si="1"/>
        <v>43227</v>
      </c>
      <c r="BR6" s="14">
        <f t="shared" ca="1" si="1"/>
        <v>43228</v>
      </c>
      <c r="BS6" s="14">
        <f t="shared" ca="1" si="1"/>
        <v>43229</v>
      </c>
      <c r="BT6" s="14">
        <f t="shared" ca="1" si="1"/>
        <v>43230</v>
      </c>
      <c r="BU6" s="14">
        <f t="shared" ca="1" si="1"/>
        <v>43231</v>
      </c>
      <c r="BV6" s="14">
        <f t="shared" ca="1" si="1"/>
        <v>43232</v>
      </c>
      <c r="BW6" s="14">
        <f t="shared" ca="1" si="1"/>
        <v>43233</v>
      </c>
      <c r="BX6" s="14">
        <f t="shared" ca="1" si="1"/>
        <v>43234</v>
      </c>
      <c r="BY6" s="14">
        <f t="shared" ca="1" si="1"/>
        <v>43235</v>
      </c>
      <c r="BZ6" s="14">
        <f t="shared" ca="1" si="1"/>
        <v>43236</v>
      </c>
      <c r="CA6" s="14">
        <f t="shared" ref="CA6:EL6" ca="1" si="2">TODAY()+((COLUMN()-$H$4)*$N$3)</f>
        <v>43237</v>
      </c>
      <c r="CB6" s="14">
        <f t="shared" ca="1" si="2"/>
        <v>43238</v>
      </c>
      <c r="CC6" s="14">
        <f t="shared" ca="1" si="2"/>
        <v>43239</v>
      </c>
      <c r="CD6" s="14">
        <f t="shared" ca="1" si="2"/>
        <v>43240</v>
      </c>
      <c r="CE6" s="14">
        <f t="shared" ca="1" si="2"/>
        <v>43241</v>
      </c>
      <c r="CF6" s="14">
        <f t="shared" ca="1" si="2"/>
        <v>43242</v>
      </c>
      <c r="CG6" s="14">
        <f t="shared" ca="1" si="2"/>
        <v>43243</v>
      </c>
      <c r="CH6" s="14">
        <f t="shared" ca="1" si="2"/>
        <v>43244</v>
      </c>
      <c r="CI6" s="14">
        <f t="shared" ca="1" si="2"/>
        <v>43245</v>
      </c>
      <c r="CJ6" s="14">
        <f t="shared" ca="1" si="2"/>
        <v>43246</v>
      </c>
      <c r="CK6" s="14">
        <f t="shared" ca="1" si="2"/>
        <v>43247</v>
      </c>
      <c r="CL6" s="14">
        <f t="shared" ca="1" si="2"/>
        <v>43248</v>
      </c>
      <c r="CM6" s="14">
        <f t="shared" ca="1" si="2"/>
        <v>43249</v>
      </c>
      <c r="CN6" s="14">
        <f t="shared" ca="1" si="2"/>
        <v>43250</v>
      </c>
      <c r="CO6" s="14">
        <f t="shared" ca="1" si="2"/>
        <v>43251</v>
      </c>
      <c r="CP6" s="14">
        <f t="shared" ca="1" si="2"/>
        <v>43252</v>
      </c>
      <c r="CQ6" s="14">
        <f t="shared" ca="1" si="2"/>
        <v>43253</v>
      </c>
      <c r="CR6" s="14">
        <f t="shared" ca="1" si="2"/>
        <v>43254</v>
      </c>
      <c r="CS6" s="14">
        <f t="shared" ca="1" si="2"/>
        <v>43255</v>
      </c>
      <c r="CT6" s="14">
        <f t="shared" ca="1" si="2"/>
        <v>43256</v>
      </c>
      <c r="CU6" s="14">
        <f t="shared" ca="1" si="2"/>
        <v>43257</v>
      </c>
      <c r="CV6" s="14">
        <f t="shared" ca="1" si="2"/>
        <v>43258</v>
      </c>
      <c r="CW6" s="14">
        <f t="shared" ca="1" si="2"/>
        <v>43259</v>
      </c>
      <c r="CX6" s="14">
        <f t="shared" ca="1" si="2"/>
        <v>43260</v>
      </c>
      <c r="CY6" s="14">
        <f t="shared" ca="1" si="2"/>
        <v>43261</v>
      </c>
      <c r="CZ6" s="14">
        <f t="shared" ca="1" si="2"/>
        <v>43262</v>
      </c>
      <c r="DA6" s="14">
        <f t="shared" ca="1" si="2"/>
        <v>43263</v>
      </c>
      <c r="DB6" s="14">
        <f t="shared" ca="1" si="2"/>
        <v>43264</v>
      </c>
      <c r="DC6" s="14">
        <f t="shared" ca="1" si="2"/>
        <v>43265</v>
      </c>
      <c r="DD6" s="14">
        <f t="shared" ca="1" si="2"/>
        <v>43266</v>
      </c>
      <c r="DE6" s="14">
        <f t="shared" ca="1" si="2"/>
        <v>43267</v>
      </c>
      <c r="DF6" s="14">
        <f t="shared" ca="1" si="2"/>
        <v>43268</v>
      </c>
      <c r="DG6" s="14">
        <f t="shared" ca="1" si="2"/>
        <v>43269</v>
      </c>
      <c r="DH6" s="14">
        <f t="shared" ca="1" si="2"/>
        <v>43270</v>
      </c>
      <c r="DI6" s="14">
        <f t="shared" ca="1" si="2"/>
        <v>43271</v>
      </c>
      <c r="DJ6" s="14">
        <f t="shared" ca="1" si="2"/>
        <v>43272</v>
      </c>
      <c r="DK6" s="14">
        <f t="shared" ca="1" si="2"/>
        <v>43273</v>
      </c>
      <c r="DL6" s="14">
        <f t="shared" ca="1" si="2"/>
        <v>43274</v>
      </c>
      <c r="DM6" s="14">
        <f t="shared" ca="1" si="2"/>
        <v>43275</v>
      </c>
      <c r="DN6" s="14">
        <f t="shared" ca="1" si="2"/>
        <v>43276</v>
      </c>
      <c r="DO6" s="14">
        <f t="shared" ca="1" si="2"/>
        <v>43277</v>
      </c>
      <c r="DP6" s="14">
        <f t="shared" ca="1" si="2"/>
        <v>43278</v>
      </c>
      <c r="DQ6" s="14">
        <f t="shared" ca="1" si="2"/>
        <v>43279</v>
      </c>
      <c r="DR6" s="14">
        <f t="shared" ca="1" si="2"/>
        <v>43280</v>
      </c>
      <c r="DS6" s="14">
        <f t="shared" ca="1" si="2"/>
        <v>43281</v>
      </c>
      <c r="DT6" s="14">
        <f t="shared" ca="1" si="2"/>
        <v>43282</v>
      </c>
      <c r="DU6" s="14">
        <f t="shared" ca="1" si="2"/>
        <v>43283</v>
      </c>
      <c r="DV6" s="14">
        <f t="shared" ca="1" si="2"/>
        <v>43284</v>
      </c>
      <c r="DW6" s="14">
        <f t="shared" ca="1" si="2"/>
        <v>43285</v>
      </c>
      <c r="DX6" s="14">
        <f t="shared" ca="1" si="2"/>
        <v>43286</v>
      </c>
      <c r="DY6" s="14">
        <f t="shared" ca="1" si="2"/>
        <v>43287</v>
      </c>
      <c r="DZ6" s="14">
        <f t="shared" ca="1" si="2"/>
        <v>43288</v>
      </c>
      <c r="EA6" s="14">
        <f t="shared" ca="1" si="2"/>
        <v>43289</v>
      </c>
      <c r="EB6" s="14">
        <f t="shared" ca="1" si="2"/>
        <v>43290</v>
      </c>
      <c r="EC6" s="14">
        <f t="shared" ca="1" si="2"/>
        <v>43291</v>
      </c>
      <c r="ED6" s="14">
        <f t="shared" ca="1" si="2"/>
        <v>43292</v>
      </c>
      <c r="EE6" s="14">
        <f t="shared" ca="1" si="2"/>
        <v>43293</v>
      </c>
      <c r="EF6" s="14">
        <f t="shared" ca="1" si="2"/>
        <v>43294</v>
      </c>
      <c r="EG6" s="14">
        <f t="shared" ca="1" si="2"/>
        <v>43295</v>
      </c>
      <c r="EH6" s="14">
        <f t="shared" ca="1" si="2"/>
        <v>43296</v>
      </c>
      <c r="EI6" s="14">
        <f t="shared" ca="1" si="2"/>
        <v>43297</v>
      </c>
      <c r="EJ6" s="14">
        <f t="shared" ca="1" si="2"/>
        <v>43298</v>
      </c>
      <c r="EK6" s="14">
        <f t="shared" ca="1" si="2"/>
        <v>43299</v>
      </c>
      <c r="EL6" s="14">
        <f t="shared" ca="1" si="2"/>
        <v>43300</v>
      </c>
      <c r="EM6" s="14">
        <f t="shared" ref="EM6:GX6" ca="1" si="3">TODAY()+((COLUMN()-$H$4)*$N$3)</f>
        <v>43301</v>
      </c>
      <c r="EN6" s="14">
        <f t="shared" ca="1" si="3"/>
        <v>43302</v>
      </c>
      <c r="EO6" s="14">
        <f t="shared" ca="1" si="3"/>
        <v>43303</v>
      </c>
      <c r="EP6" s="14">
        <f t="shared" ca="1" si="3"/>
        <v>43304</v>
      </c>
      <c r="EQ6" s="14">
        <f t="shared" ca="1" si="3"/>
        <v>43305</v>
      </c>
      <c r="ER6" s="14">
        <f t="shared" ca="1" si="3"/>
        <v>43306</v>
      </c>
      <c r="ES6" s="14">
        <f t="shared" ca="1" si="3"/>
        <v>43307</v>
      </c>
      <c r="ET6" s="14">
        <f t="shared" ca="1" si="3"/>
        <v>43308</v>
      </c>
      <c r="EU6" s="14">
        <f t="shared" ca="1" si="3"/>
        <v>43309</v>
      </c>
      <c r="EV6" s="14">
        <f t="shared" ca="1" si="3"/>
        <v>43310</v>
      </c>
      <c r="EW6" s="14">
        <f t="shared" ca="1" si="3"/>
        <v>43311</v>
      </c>
      <c r="EX6" s="14">
        <f t="shared" ca="1" si="3"/>
        <v>43312</v>
      </c>
      <c r="EY6" s="14">
        <f t="shared" ca="1" si="3"/>
        <v>43313</v>
      </c>
      <c r="EZ6" s="14">
        <f t="shared" ca="1" si="3"/>
        <v>43314</v>
      </c>
      <c r="FA6" s="14">
        <f t="shared" ca="1" si="3"/>
        <v>43315</v>
      </c>
      <c r="FB6" s="14">
        <f t="shared" ca="1" si="3"/>
        <v>43316</v>
      </c>
      <c r="FC6" s="14">
        <f t="shared" ca="1" si="3"/>
        <v>43317</v>
      </c>
      <c r="FD6" s="14">
        <f t="shared" ca="1" si="3"/>
        <v>43318</v>
      </c>
      <c r="FE6" s="14">
        <f t="shared" ca="1" si="3"/>
        <v>43319</v>
      </c>
      <c r="FF6" s="14">
        <f t="shared" ca="1" si="3"/>
        <v>43320</v>
      </c>
      <c r="FG6" s="14">
        <f t="shared" ca="1" si="3"/>
        <v>43321</v>
      </c>
      <c r="FH6" s="14">
        <f t="shared" ca="1" si="3"/>
        <v>43322</v>
      </c>
      <c r="FI6" s="14">
        <f t="shared" ca="1" si="3"/>
        <v>43323</v>
      </c>
      <c r="FJ6" s="14">
        <f t="shared" ca="1" si="3"/>
        <v>43324</v>
      </c>
      <c r="FK6" s="14">
        <f t="shared" ca="1" si="3"/>
        <v>43325</v>
      </c>
      <c r="FL6" s="14">
        <f t="shared" ca="1" si="3"/>
        <v>43326</v>
      </c>
      <c r="FM6" s="14">
        <f t="shared" ca="1" si="3"/>
        <v>43327</v>
      </c>
      <c r="FN6" s="14">
        <f t="shared" ca="1" si="3"/>
        <v>43328</v>
      </c>
      <c r="FO6" s="14">
        <f t="shared" ca="1" si="3"/>
        <v>43329</v>
      </c>
      <c r="FP6" s="14">
        <f t="shared" ca="1" si="3"/>
        <v>43330</v>
      </c>
      <c r="FQ6" s="14">
        <f t="shared" ca="1" si="3"/>
        <v>43331</v>
      </c>
      <c r="FR6" s="14">
        <f t="shared" ca="1" si="3"/>
        <v>43332</v>
      </c>
      <c r="FS6" s="14">
        <f t="shared" ca="1" si="3"/>
        <v>43333</v>
      </c>
      <c r="FT6" s="14">
        <f t="shared" ca="1" si="3"/>
        <v>43334</v>
      </c>
      <c r="FU6" s="14">
        <f t="shared" ca="1" si="3"/>
        <v>43335</v>
      </c>
      <c r="FV6" s="14">
        <f t="shared" ca="1" si="3"/>
        <v>43336</v>
      </c>
      <c r="FW6" s="14">
        <f t="shared" ca="1" si="3"/>
        <v>43337</v>
      </c>
      <c r="FX6" s="14">
        <f t="shared" ca="1" si="3"/>
        <v>43338</v>
      </c>
      <c r="FY6" s="14">
        <f t="shared" ca="1" si="3"/>
        <v>43339</v>
      </c>
      <c r="FZ6" s="14">
        <f t="shared" ca="1" si="3"/>
        <v>43340</v>
      </c>
      <c r="GA6" s="14">
        <f t="shared" ca="1" si="3"/>
        <v>43341</v>
      </c>
      <c r="GB6" s="14">
        <f t="shared" ca="1" si="3"/>
        <v>43342</v>
      </c>
      <c r="GC6" s="14">
        <f t="shared" ca="1" si="3"/>
        <v>43343</v>
      </c>
      <c r="GD6" s="14">
        <f t="shared" ca="1" si="3"/>
        <v>43344</v>
      </c>
      <c r="GE6" s="14">
        <f t="shared" ca="1" si="3"/>
        <v>43345</v>
      </c>
      <c r="GF6" s="14">
        <f t="shared" ca="1" si="3"/>
        <v>43346</v>
      </c>
      <c r="GG6" s="14">
        <f t="shared" ca="1" si="3"/>
        <v>43347</v>
      </c>
      <c r="GH6" s="14">
        <f t="shared" ca="1" si="3"/>
        <v>43348</v>
      </c>
      <c r="GI6" s="14">
        <f t="shared" ca="1" si="3"/>
        <v>43349</v>
      </c>
      <c r="GJ6" s="14">
        <f t="shared" ca="1" si="3"/>
        <v>43350</v>
      </c>
      <c r="GK6" s="14">
        <f t="shared" ca="1" si="3"/>
        <v>43351</v>
      </c>
      <c r="GL6" s="14">
        <f t="shared" ca="1" si="3"/>
        <v>43352</v>
      </c>
      <c r="GM6" s="14">
        <f t="shared" ca="1" si="3"/>
        <v>43353</v>
      </c>
      <c r="GN6" s="14">
        <f t="shared" ca="1" si="3"/>
        <v>43354</v>
      </c>
      <c r="GO6" s="14">
        <f t="shared" ca="1" si="3"/>
        <v>43355</v>
      </c>
      <c r="GP6" s="14">
        <f t="shared" ca="1" si="3"/>
        <v>43356</v>
      </c>
      <c r="GQ6" s="14">
        <f t="shared" ca="1" si="3"/>
        <v>43357</v>
      </c>
      <c r="GR6" s="14">
        <f t="shared" ca="1" si="3"/>
        <v>43358</v>
      </c>
      <c r="GS6" s="14">
        <f t="shared" ca="1" si="3"/>
        <v>43359</v>
      </c>
      <c r="GT6" s="14">
        <f t="shared" ca="1" si="3"/>
        <v>43360</v>
      </c>
      <c r="GU6" s="14">
        <f t="shared" ca="1" si="3"/>
        <v>43361</v>
      </c>
      <c r="GV6" s="14">
        <f t="shared" ca="1" si="3"/>
        <v>43362</v>
      </c>
      <c r="GW6" s="14">
        <f t="shared" ca="1" si="3"/>
        <v>43363</v>
      </c>
      <c r="GX6" s="14">
        <f t="shared" ca="1" si="3"/>
        <v>43364</v>
      </c>
      <c r="GY6" s="14">
        <f t="shared" ref="GY6:JJ6" ca="1" si="4">TODAY()+((COLUMN()-$H$4)*$N$3)</f>
        <v>43365</v>
      </c>
      <c r="GZ6" s="14">
        <f t="shared" ca="1" si="4"/>
        <v>43366</v>
      </c>
      <c r="HA6" s="14">
        <f t="shared" ca="1" si="4"/>
        <v>43367</v>
      </c>
      <c r="HB6" s="14">
        <f t="shared" ca="1" si="4"/>
        <v>43368</v>
      </c>
      <c r="HC6" s="14">
        <f t="shared" ca="1" si="4"/>
        <v>43369</v>
      </c>
      <c r="HD6" s="14">
        <f t="shared" ca="1" si="4"/>
        <v>43370</v>
      </c>
      <c r="HE6" s="14">
        <f t="shared" ca="1" si="4"/>
        <v>43371</v>
      </c>
      <c r="HF6" s="14">
        <f t="shared" ca="1" si="4"/>
        <v>43372</v>
      </c>
      <c r="HG6" s="14">
        <f t="shared" ca="1" si="4"/>
        <v>43373</v>
      </c>
      <c r="HH6" s="14">
        <f t="shared" ca="1" si="4"/>
        <v>43374</v>
      </c>
      <c r="HI6" s="14">
        <f t="shared" ca="1" si="4"/>
        <v>43375</v>
      </c>
      <c r="HJ6" s="14">
        <f t="shared" ca="1" si="4"/>
        <v>43376</v>
      </c>
      <c r="HK6" s="14">
        <f t="shared" ca="1" si="4"/>
        <v>43377</v>
      </c>
      <c r="HL6" s="14">
        <f t="shared" ca="1" si="4"/>
        <v>43378</v>
      </c>
      <c r="HM6" s="14">
        <f t="shared" ca="1" si="4"/>
        <v>43379</v>
      </c>
      <c r="HN6" s="14">
        <f t="shared" ca="1" si="4"/>
        <v>43380</v>
      </c>
      <c r="HO6" s="14">
        <f t="shared" ca="1" si="4"/>
        <v>43381</v>
      </c>
      <c r="HP6" s="14">
        <f t="shared" ca="1" si="4"/>
        <v>43382</v>
      </c>
      <c r="HQ6" s="14">
        <f t="shared" ca="1" si="4"/>
        <v>43383</v>
      </c>
      <c r="HR6" s="14">
        <f t="shared" ca="1" si="4"/>
        <v>43384</v>
      </c>
      <c r="HS6" s="14">
        <f t="shared" ca="1" si="4"/>
        <v>43385</v>
      </c>
      <c r="HT6" s="14">
        <f t="shared" ca="1" si="4"/>
        <v>43386</v>
      </c>
      <c r="HU6" s="14">
        <f t="shared" ca="1" si="4"/>
        <v>43387</v>
      </c>
      <c r="HV6" s="14">
        <f t="shared" ca="1" si="4"/>
        <v>43388</v>
      </c>
      <c r="HW6" s="14">
        <f t="shared" ca="1" si="4"/>
        <v>43389</v>
      </c>
      <c r="HX6" s="14">
        <f t="shared" ca="1" si="4"/>
        <v>43390</v>
      </c>
      <c r="HY6" s="14">
        <f t="shared" ca="1" si="4"/>
        <v>43391</v>
      </c>
      <c r="HZ6" s="14">
        <f t="shared" ca="1" si="4"/>
        <v>43392</v>
      </c>
      <c r="IA6" s="14">
        <f t="shared" ca="1" si="4"/>
        <v>43393</v>
      </c>
      <c r="IB6" s="14">
        <f t="shared" ca="1" si="4"/>
        <v>43394</v>
      </c>
      <c r="IC6" s="14">
        <f t="shared" ca="1" si="4"/>
        <v>43395</v>
      </c>
      <c r="ID6" s="14">
        <f t="shared" ca="1" si="4"/>
        <v>43396</v>
      </c>
      <c r="IE6" s="14">
        <f t="shared" ca="1" si="4"/>
        <v>43397</v>
      </c>
      <c r="IF6" s="14">
        <f t="shared" ca="1" si="4"/>
        <v>43398</v>
      </c>
      <c r="IG6" s="14">
        <f t="shared" ca="1" si="4"/>
        <v>43399</v>
      </c>
      <c r="IH6" s="14">
        <f t="shared" ca="1" si="4"/>
        <v>43400</v>
      </c>
      <c r="II6" s="14">
        <f t="shared" ca="1" si="4"/>
        <v>43401</v>
      </c>
      <c r="IJ6" s="14">
        <f t="shared" ca="1" si="4"/>
        <v>43402</v>
      </c>
      <c r="IK6" s="14">
        <f t="shared" ca="1" si="4"/>
        <v>43403</v>
      </c>
      <c r="IL6" s="14">
        <f t="shared" ca="1" si="4"/>
        <v>43404</v>
      </c>
      <c r="IM6" s="14">
        <f t="shared" ca="1" si="4"/>
        <v>43405</v>
      </c>
      <c r="IN6" s="14">
        <f t="shared" ca="1" si="4"/>
        <v>43406</v>
      </c>
      <c r="IO6" s="14">
        <f t="shared" ca="1" si="4"/>
        <v>43407</v>
      </c>
      <c r="IP6" s="14">
        <f t="shared" ca="1" si="4"/>
        <v>43408</v>
      </c>
      <c r="IQ6" s="14">
        <f t="shared" ca="1" si="4"/>
        <v>43409</v>
      </c>
      <c r="IR6" s="14">
        <f t="shared" ca="1" si="4"/>
        <v>43410</v>
      </c>
      <c r="IS6" s="14">
        <f t="shared" ca="1" si="4"/>
        <v>43411</v>
      </c>
      <c r="IT6" s="14">
        <f t="shared" ca="1" si="4"/>
        <v>43412</v>
      </c>
      <c r="IU6" s="14">
        <f t="shared" ca="1" si="4"/>
        <v>43413</v>
      </c>
      <c r="IV6" s="14">
        <f t="shared" ca="1" si="4"/>
        <v>43414</v>
      </c>
      <c r="IW6" s="14">
        <f t="shared" ca="1" si="4"/>
        <v>43415</v>
      </c>
      <c r="IX6" s="14">
        <f t="shared" ca="1" si="4"/>
        <v>43416</v>
      </c>
      <c r="IY6" s="14">
        <f t="shared" ca="1" si="4"/>
        <v>43417</v>
      </c>
      <c r="IZ6" s="14">
        <f t="shared" ca="1" si="4"/>
        <v>43418</v>
      </c>
      <c r="JA6" s="14">
        <f t="shared" ca="1" si="4"/>
        <v>43419</v>
      </c>
      <c r="JB6" s="14">
        <f t="shared" ca="1" si="4"/>
        <v>43420</v>
      </c>
      <c r="JC6" s="14">
        <f t="shared" ca="1" si="4"/>
        <v>43421</v>
      </c>
      <c r="JD6" s="14">
        <f t="shared" ca="1" si="4"/>
        <v>43422</v>
      </c>
      <c r="JE6" s="14">
        <f t="shared" ca="1" si="4"/>
        <v>43423</v>
      </c>
      <c r="JF6" s="14">
        <f t="shared" ca="1" si="4"/>
        <v>43424</v>
      </c>
      <c r="JG6" s="14">
        <f t="shared" ca="1" si="4"/>
        <v>43425</v>
      </c>
      <c r="JH6" s="14">
        <f t="shared" ca="1" si="4"/>
        <v>43426</v>
      </c>
      <c r="JI6" s="14">
        <f t="shared" ca="1" si="4"/>
        <v>43427</v>
      </c>
      <c r="JJ6" s="14">
        <f t="shared" ca="1" si="4"/>
        <v>43428</v>
      </c>
      <c r="JK6" s="14">
        <f t="shared" ref="JK6:LV6" ca="1" si="5">TODAY()+((COLUMN()-$H$4)*$N$3)</f>
        <v>43429</v>
      </c>
      <c r="JL6" s="14">
        <f t="shared" ca="1" si="5"/>
        <v>43430</v>
      </c>
      <c r="JM6" s="14">
        <f t="shared" ca="1" si="5"/>
        <v>43431</v>
      </c>
      <c r="JN6" s="14">
        <f t="shared" ca="1" si="5"/>
        <v>43432</v>
      </c>
      <c r="JO6" s="14">
        <f t="shared" ca="1" si="5"/>
        <v>43433</v>
      </c>
      <c r="JP6" s="14">
        <f t="shared" ca="1" si="5"/>
        <v>43434</v>
      </c>
      <c r="JQ6" s="14">
        <f t="shared" ca="1" si="5"/>
        <v>43435</v>
      </c>
      <c r="JR6" s="14">
        <f t="shared" ca="1" si="5"/>
        <v>43436</v>
      </c>
      <c r="JS6" s="14">
        <f t="shared" ca="1" si="5"/>
        <v>43437</v>
      </c>
      <c r="JT6" s="14">
        <f t="shared" ca="1" si="5"/>
        <v>43438</v>
      </c>
      <c r="JU6" s="14">
        <f t="shared" ca="1" si="5"/>
        <v>43439</v>
      </c>
      <c r="JV6" s="14">
        <f t="shared" ca="1" si="5"/>
        <v>43440</v>
      </c>
      <c r="JW6" s="14">
        <f t="shared" ca="1" si="5"/>
        <v>43441</v>
      </c>
      <c r="JX6" s="14">
        <f t="shared" ca="1" si="5"/>
        <v>43442</v>
      </c>
      <c r="JY6" s="14">
        <f t="shared" ca="1" si="5"/>
        <v>43443</v>
      </c>
      <c r="JZ6" s="14">
        <f t="shared" ca="1" si="5"/>
        <v>43444</v>
      </c>
      <c r="KA6" s="14">
        <f t="shared" ca="1" si="5"/>
        <v>43445</v>
      </c>
      <c r="KB6" s="14">
        <f t="shared" ca="1" si="5"/>
        <v>43446</v>
      </c>
      <c r="KC6" s="14">
        <f t="shared" ca="1" si="5"/>
        <v>43447</v>
      </c>
      <c r="KD6" s="14">
        <f t="shared" ca="1" si="5"/>
        <v>43448</v>
      </c>
      <c r="KE6" s="14">
        <f t="shared" ca="1" si="5"/>
        <v>43449</v>
      </c>
      <c r="KF6" s="14">
        <f t="shared" ca="1" si="5"/>
        <v>43450</v>
      </c>
      <c r="KG6" s="14">
        <f t="shared" ca="1" si="5"/>
        <v>43451</v>
      </c>
      <c r="KH6" s="14">
        <f t="shared" ca="1" si="5"/>
        <v>43452</v>
      </c>
      <c r="KI6" s="14">
        <f t="shared" ca="1" si="5"/>
        <v>43453</v>
      </c>
      <c r="KJ6" s="14">
        <f t="shared" ca="1" si="5"/>
        <v>43454</v>
      </c>
      <c r="KK6" s="14">
        <f t="shared" ca="1" si="5"/>
        <v>43455</v>
      </c>
      <c r="KL6" s="14">
        <f t="shared" ca="1" si="5"/>
        <v>43456</v>
      </c>
      <c r="KM6" s="14">
        <f t="shared" ca="1" si="5"/>
        <v>43457</v>
      </c>
      <c r="KN6" s="14">
        <f t="shared" ca="1" si="5"/>
        <v>43458</v>
      </c>
      <c r="KO6" s="14">
        <f t="shared" ca="1" si="5"/>
        <v>43459</v>
      </c>
      <c r="KP6" s="14">
        <f t="shared" ca="1" si="5"/>
        <v>43460</v>
      </c>
      <c r="KQ6" s="14">
        <f t="shared" ca="1" si="5"/>
        <v>43461</v>
      </c>
      <c r="KR6" s="14">
        <f t="shared" ca="1" si="5"/>
        <v>43462</v>
      </c>
      <c r="KS6" s="14">
        <f t="shared" ca="1" si="5"/>
        <v>43463</v>
      </c>
      <c r="KT6" s="14">
        <f t="shared" ca="1" si="5"/>
        <v>43464</v>
      </c>
      <c r="KU6" s="14">
        <f t="shared" ca="1" si="5"/>
        <v>43465</v>
      </c>
      <c r="KV6" s="14">
        <f t="shared" ca="1" si="5"/>
        <v>43466</v>
      </c>
      <c r="KW6" s="14">
        <f t="shared" ca="1" si="5"/>
        <v>43467</v>
      </c>
      <c r="KX6" s="14">
        <f t="shared" ca="1" si="5"/>
        <v>43468</v>
      </c>
      <c r="KY6" s="14">
        <f t="shared" ca="1" si="5"/>
        <v>43469</v>
      </c>
      <c r="KZ6" s="14">
        <f t="shared" ca="1" si="5"/>
        <v>43470</v>
      </c>
      <c r="LA6" s="14">
        <f t="shared" ca="1" si="5"/>
        <v>43471</v>
      </c>
      <c r="LB6" s="14">
        <f t="shared" ca="1" si="5"/>
        <v>43472</v>
      </c>
      <c r="LC6" s="14">
        <f t="shared" ca="1" si="5"/>
        <v>43473</v>
      </c>
      <c r="LD6" s="14">
        <f t="shared" ca="1" si="5"/>
        <v>43474</v>
      </c>
      <c r="LE6" s="14">
        <f t="shared" ca="1" si="5"/>
        <v>43475</v>
      </c>
      <c r="LF6" s="14">
        <f t="shared" ca="1" si="5"/>
        <v>43476</v>
      </c>
      <c r="LG6" s="14">
        <f t="shared" ca="1" si="5"/>
        <v>43477</v>
      </c>
      <c r="LH6" s="14">
        <f t="shared" ca="1" si="5"/>
        <v>43478</v>
      </c>
      <c r="LI6" s="14">
        <f t="shared" ca="1" si="5"/>
        <v>43479</v>
      </c>
      <c r="LJ6" s="14">
        <f t="shared" ca="1" si="5"/>
        <v>43480</v>
      </c>
      <c r="LK6" s="14">
        <f t="shared" ca="1" si="5"/>
        <v>43481</v>
      </c>
      <c r="LL6" s="14">
        <f t="shared" ca="1" si="5"/>
        <v>43482</v>
      </c>
      <c r="LM6" s="14">
        <f t="shared" ca="1" si="5"/>
        <v>43483</v>
      </c>
      <c r="LN6" s="14">
        <f t="shared" ca="1" si="5"/>
        <v>43484</v>
      </c>
      <c r="LO6" s="14">
        <f t="shared" ca="1" si="5"/>
        <v>43485</v>
      </c>
      <c r="LP6" s="14">
        <f t="shared" ca="1" si="5"/>
        <v>43486</v>
      </c>
      <c r="LQ6" s="14">
        <f t="shared" ca="1" si="5"/>
        <v>43487</v>
      </c>
      <c r="LR6" s="14">
        <f t="shared" ca="1" si="5"/>
        <v>43488</v>
      </c>
      <c r="LS6" s="14">
        <f t="shared" ca="1" si="5"/>
        <v>43489</v>
      </c>
      <c r="LT6" s="14">
        <f t="shared" ca="1" si="5"/>
        <v>43490</v>
      </c>
      <c r="LU6" s="14">
        <f t="shared" ca="1" si="5"/>
        <v>43491</v>
      </c>
      <c r="LV6" s="14">
        <f t="shared" ca="1" si="5"/>
        <v>43492</v>
      </c>
      <c r="LW6" s="14">
        <f t="shared" ref="LW6:NA6" ca="1" si="6">TODAY()+((COLUMN()-$H$4)*$N$3)</f>
        <v>43493</v>
      </c>
      <c r="LX6" s="14">
        <f t="shared" ca="1" si="6"/>
        <v>43494</v>
      </c>
      <c r="LY6" s="14">
        <f t="shared" ca="1" si="6"/>
        <v>43495</v>
      </c>
      <c r="LZ6" s="14">
        <f t="shared" ca="1" si="6"/>
        <v>43496</v>
      </c>
      <c r="MA6" s="14">
        <f t="shared" ca="1" si="6"/>
        <v>43497</v>
      </c>
      <c r="MB6" s="14">
        <f t="shared" ca="1" si="6"/>
        <v>43498</v>
      </c>
      <c r="MC6" s="14">
        <f t="shared" ca="1" si="6"/>
        <v>43499</v>
      </c>
      <c r="MD6" s="14">
        <f t="shared" ca="1" si="6"/>
        <v>43500</v>
      </c>
      <c r="ME6" s="14">
        <f t="shared" ca="1" si="6"/>
        <v>43501</v>
      </c>
      <c r="MF6" s="14">
        <f t="shared" ca="1" si="6"/>
        <v>43502</v>
      </c>
      <c r="MG6" s="14">
        <f t="shared" ca="1" si="6"/>
        <v>43503</v>
      </c>
      <c r="MH6" s="14">
        <f t="shared" ca="1" si="6"/>
        <v>43504</v>
      </c>
      <c r="MI6" s="14">
        <f t="shared" ca="1" si="6"/>
        <v>43505</v>
      </c>
      <c r="MJ6" s="14">
        <f t="shared" ca="1" si="6"/>
        <v>43506</v>
      </c>
      <c r="MK6" s="14">
        <f t="shared" ca="1" si="6"/>
        <v>43507</v>
      </c>
      <c r="ML6" s="14">
        <f t="shared" ca="1" si="6"/>
        <v>43508</v>
      </c>
      <c r="MM6" s="14">
        <f t="shared" ca="1" si="6"/>
        <v>43509</v>
      </c>
      <c r="MN6" s="14">
        <f t="shared" ca="1" si="6"/>
        <v>43510</v>
      </c>
      <c r="MO6" s="14">
        <f t="shared" ca="1" si="6"/>
        <v>43511</v>
      </c>
      <c r="MP6" s="14">
        <f t="shared" ca="1" si="6"/>
        <v>43512</v>
      </c>
      <c r="MQ6" s="14">
        <f t="shared" ca="1" si="6"/>
        <v>43513</v>
      </c>
      <c r="MR6" s="14">
        <f t="shared" ca="1" si="6"/>
        <v>43514</v>
      </c>
      <c r="MS6" s="14">
        <f t="shared" ca="1" si="6"/>
        <v>43515</v>
      </c>
      <c r="MT6" s="14">
        <f t="shared" ca="1" si="6"/>
        <v>43516</v>
      </c>
      <c r="MU6" s="14">
        <f t="shared" ca="1" si="6"/>
        <v>43517</v>
      </c>
      <c r="MV6" s="14">
        <f t="shared" ca="1" si="6"/>
        <v>43518</v>
      </c>
      <c r="MW6" s="14">
        <f t="shared" ca="1" si="6"/>
        <v>43519</v>
      </c>
      <c r="MX6" s="14">
        <f t="shared" ca="1" si="6"/>
        <v>43520</v>
      </c>
      <c r="MY6" s="14">
        <f t="shared" ca="1" si="6"/>
        <v>43521</v>
      </c>
      <c r="MZ6" s="14">
        <f t="shared" ca="1" si="6"/>
        <v>43522</v>
      </c>
      <c r="NA6" s="14">
        <f t="shared" ca="1" si="6"/>
        <v>43523</v>
      </c>
    </row>
    <row r="7" spans="1:367" s="2" customFormat="1" ht="24" customHeight="1">
      <c r="A7" s="158" t="s">
        <v>596</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597</v>
      </c>
      <c r="B29" s="112"/>
      <c r="C29" s="115" t="s">
        <v>189</v>
      </c>
      <c r="D29" s="113">
        <v>43163</v>
      </c>
      <c r="E29" s="17">
        <v>43195</v>
      </c>
      <c r="F29" s="194">
        <v>0.6</v>
      </c>
    </row>
    <row r="30" spans="1:45" ht="20.100000000000001" customHeight="1">
      <c r="A30" s="160" t="s">
        <v>597</v>
      </c>
      <c r="B30" s="30" t="s">
        <v>190</v>
      </c>
      <c r="C30" s="16" t="s">
        <v>100</v>
      </c>
      <c r="D30" s="16">
        <v>43163</v>
      </c>
      <c r="E30" s="17">
        <v>43177</v>
      </c>
      <c r="F30" s="4">
        <v>1</v>
      </c>
      <c r="G30" s="114"/>
    </row>
    <row r="31" spans="1:45" ht="20.100000000000001" customHeight="1">
      <c r="A31" s="160" t="s">
        <v>597</v>
      </c>
      <c r="B31" s="30" t="s">
        <v>190</v>
      </c>
      <c r="C31" s="16" t="s">
        <v>207</v>
      </c>
      <c r="D31" s="16">
        <v>43163</v>
      </c>
      <c r="E31" s="17">
        <v>43172</v>
      </c>
      <c r="F31" s="4">
        <v>1</v>
      </c>
      <c r="G31" s="114"/>
    </row>
    <row r="32" spans="1:45" ht="20.100000000000001" customHeight="1">
      <c r="A32" s="160"/>
      <c r="B32" s="162"/>
      <c r="C32" s="163" t="s">
        <v>652</v>
      </c>
      <c r="D32" s="163">
        <v>43161</v>
      </c>
      <c r="E32" s="163">
        <v>43163</v>
      </c>
      <c r="F32" s="201">
        <v>1</v>
      </c>
      <c r="G32" s="114"/>
    </row>
    <row r="33" spans="1:14" ht="20.100000000000001" customHeight="1">
      <c r="A33" s="160" t="s">
        <v>597</v>
      </c>
      <c r="B33" s="30" t="s">
        <v>190</v>
      </c>
      <c r="C33" s="16" t="s">
        <v>188</v>
      </c>
      <c r="D33" s="16">
        <v>43180</v>
      </c>
      <c r="E33" s="17">
        <v>43195</v>
      </c>
      <c r="F33" s="4">
        <v>0.2</v>
      </c>
      <c r="G33" s="114"/>
    </row>
    <row r="34" spans="1:14" ht="20.100000000000001" customHeight="1">
      <c r="A34" s="160" t="s">
        <v>597</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605</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604</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43208</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269</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430" priority="147" timePeriod="yesterday">
      <formula>FLOOR(A6,1)=TODAY()-1</formula>
    </cfRule>
    <cfRule type="timePeriod" dxfId="429" priority="190" timePeriod="tomorrow">
      <formula>FLOOR(A6,1)=TODAY()+1</formula>
    </cfRule>
    <cfRule type="timePeriod" dxfId="428" priority="191" timePeriod="yesterday">
      <formula>FLOOR(A6,1)=TODAY()-1</formula>
    </cfRule>
    <cfRule type="timePeriod" dxfId="427" priority="192" timePeriod="yesterday">
      <formula>FLOOR(A6,1)=TODAY()-1</formula>
    </cfRule>
    <cfRule type="timePeriod" dxfId="42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25" priority="173" operator="lessThanOrEqual">
      <formula>TODAY()</formula>
    </cfRule>
    <cfRule type="cellIs" dxfId="424" priority="174" operator="greaterThan">
      <formula>TODAY()</formula>
    </cfRule>
  </conditionalFormatting>
  <conditionalFormatting sqref="E27:E28 E30:E35 E37:E44 E57:E63 E65:E342 E11:E24 E46:E55">
    <cfRule type="expression" dxfId="423" priority="157">
      <formula>ISBLANK(INDIRECT("E"&amp;ROW()))</formula>
    </cfRule>
  </conditionalFormatting>
  <conditionalFormatting sqref="B27:D28 B30:D35 B37:D44 B46:D55 B57:D63 B65:D342 B11:D24">
    <cfRule type="expression" dxfId="422" priority="149">
      <formula>ISBLANK(INDIRECT("E"&amp;ROW()))*ISBLANK(INDIRECT("F"&amp;ROW()))</formula>
    </cfRule>
    <cfRule type="expression" dxfId="421" priority="150">
      <formula>INDIRECT("F"&amp;ROW()) &gt;= 0.9</formula>
    </cfRule>
    <cfRule type="expression" dxfId="420" priority="151">
      <formula>INDIRECT("F"&amp;ROW())&lt;0.9</formula>
    </cfRule>
    <cfRule type="expression" dxfId="419" priority="152">
      <formula>INDIRECT("E"&amp;ROW())&lt;TODAY() * NOT(ISBLANK(INDIRECT("E"&amp;ROW())))</formula>
    </cfRule>
  </conditionalFormatting>
  <conditionalFormatting sqref="B1:D8 B27:D28 B30:D35 B37:D44 B46:D55 B57:D63 B65:D1048576 B11:D24">
    <cfRule type="expression" dxfId="418" priority="143">
      <formula xml:space="preserve"> (INDIRECT("F" &amp; ROW()) &lt; 0.9) * (INDIRECT("E" &amp; ROW()) &gt; TODAY())</formula>
    </cfRule>
  </conditionalFormatting>
  <conditionalFormatting sqref="I7:DZ8 H27:DZ28 H30:DZ35 H37:DZ44 H46:DZ55 H57:DZ63 H65:DZ732 H11:DZ24">
    <cfRule type="expression" dxfId="41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16" priority="92">
      <formula xml:space="preserve"> NOT(ISBLANK(INDIRECT("D"&amp;ROW()))) * NOT(ISODD(ROW())) *NOT(ISBLANK(INDIRECT("E"&amp;ROW())))*(INDIRECT(SUBSTITUTE(ADDRESS(1,COLUMN(),4),1,"") &amp; 6) &lt;= INDIRECT("E" &amp; ROW()))*(INDIRECT(SUBSTITUTE(ADDRESS(1,COLUMN(),4),1,"") &amp; 6) &gt;= INDIRECT("D" &amp; ROW()))</formula>
    </cfRule>
    <cfRule type="expression" dxfId="41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1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3" priority="111">
      <formula xml:space="preserve"> (INDIRECT("F" &amp; ROW()) &lt; 0.9) * (INDIRECT("E" &amp; ROW()) &gt; TODAY())</formula>
    </cfRule>
  </conditionalFormatting>
  <conditionalFormatting sqref="H26:DZ26">
    <cfRule type="expression" dxfId="412" priority="108">
      <formula xml:space="preserve"> INDIRECT(SUBSTITUTE(ADDRESS(1,COLUMN(),4),1,"") &amp; 6) = TODAY()</formula>
    </cfRule>
  </conditionalFormatting>
  <conditionalFormatting sqref="A26:XFD26">
    <cfRule type="expression" dxfId="411" priority="109">
      <formula xml:space="preserve"> NOT(ISBLANK(INDIRECT("D"&amp;ROW()))) * NOT(ISODD(ROW())) *NOT(ISBLANK(INDIRECT("E"&amp;ROW())))*(INDIRECT(SUBSTITUTE(ADDRESS(1,COLUMN(),4),1,"") &amp; 6) &lt;= INDIRECT("E" &amp; ROW()))*(INDIRECT(SUBSTITUTE(ADDRESS(1,COLUMN(),4),1,"") &amp; 6) &gt;= INDIRECT("D" &amp; ROW()))</formula>
    </cfRule>
    <cfRule type="expression" dxfId="41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09" priority="1">
      <formula xml:space="preserve"> INDIRECT("F" &amp; ROW()) &gt; 0.99</formula>
    </cfRule>
    <cfRule type="expression" dxfId="408" priority="137">
      <formula xml:space="preserve"> NOT(ISBLANK(INDIRECT("F" &amp; ROW()))) *( INDIRECT("D" &amp; ROW()) &gt; TODAY()) * INDIRECT("F"&amp;ROW()) &gt; 0.01 * NOT(INDIRECT("F" &amp; ROW()) &gt; 0.99)</formula>
    </cfRule>
    <cfRule type="expression" dxfId="407" priority="138">
      <formula>INDIRECT("D" &amp; ROW()) &gt; TODAY()</formula>
    </cfRule>
  </conditionalFormatting>
  <conditionalFormatting sqref="E33:E35 E27:E28 E24 E30 E37:E44 E57:E63 E65:E822 E46:E55">
    <cfRule type="expression" dxfId="40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05" priority="81">
      <formula xml:space="preserve"> (INDIRECT("F" &amp; ROW()) &lt; 0.9) * (INDIRECT("E" &amp; ROW()) &gt; TODAY())</formula>
    </cfRule>
  </conditionalFormatting>
  <conditionalFormatting sqref="H10:DZ10">
    <cfRule type="expression" dxfId="404" priority="78">
      <formula xml:space="preserve"> INDIRECT(SUBSTITUTE(ADDRESS(1,COLUMN(),4),1,"") &amp; 6) = TODAY()</formula>
    </cfRule>
  </conditionalFormatting>
  <conditionalFormatting sqref="A10:D10 F10:XFD10">
    <cfRule type="expression" dxfId="403" priority="79">
      <formula xml:space="preserve"> NOT(ISBLANK(INDIRECT("D"&amp;ROW()))) * NOT(ISODD(ROW())) *NOT(ISBLANK(INDIRECT("E"&amp;ROW())))*(INDIRECT(SUBSTITUTE(ADDRESS(1,COLUMN(),4),1,"") &amp; 6) &lt;= INDIRECT("E" &amp; ROW()))*(INDIRECT(SUBSTITUTE(ADDRESS(1,COLUMN(),4),1,"") &amp; 6) &gt;= INDIRECT("D" &amp; ROW()))</formula>
    </cfRule>
    <cfRule type="expression" dxfId="40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1" priority="76">
      <formula xml:space="preserve"> NOT(ISBLANK(INDIRECT("F" &amp; ROW()))) *( INDIRECT("D" &amp; ROW()) &gt; TODAY()) * INDIRECT("F"&amp;ROW()) &gt; 0.01</formula>
    </cfRule>
    <cfRule type="expression" dxfId="400" priority="77">
      <formula>INDIRECT("D" &amp; ROW()) &gt; TODAY()</formula>
    </cfRule>
  </conditionalFormatting>
  <conditionalFormatting sqref="B36:D36">
    <cfRule type="expression" dxfId="399" priority="52">
      <formula xml:space="preserve"> NOT(ISBLANK(INDIRECT("F" &amp; ROW()))) *( INDIRECT("D" &amp; ROW()) &gt; TODAY()) * INDIRECT("F"&amp;ROW()) &gt; 0.01</formula>
    </cfRule>
    <cfRule type="expression" dxfId="39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397" priority="73">
      <formula xml:space="preserve"> (INDIRECT("F" &amp; ROW()) &lt; 0.9) * (INDIRECT("E" &amp; ROW()) &gt; TODAY())</formula>
    </cfRule>
  </conditionalFormatting>
  <conditionalFormatting sqref="H25:DZ25">
    <cfRule type="expression" dxfId="396" priority="70">
      <formula xml:space="preserve"> INDIRECT(SUBSTITUTE(ADDRESS(1,COLUMN(),4),1,"") &amp; 6) = TODAY()</formula>
    </cfRule>
  </conditionalFormatting>
  <conditionalFormatting sqref="A25:XFD25">
    <cfRule type="expression" dxfId="395" priority="71">
      <formula xml:space="preserve"> NOT(ISBLANK(INDIRECT("D"&amp;ROW()))) * NOT(ISODD(ROW())) *NOT(ISBLANK(INDIRECT("E"&amp;ROW())))*(INDIRECT(SUBSTITUTE(ADDRESS(1,COLUMN(),4),1,"") &amp; 6) &lt;= INDIRECT("E" &amp; ROW()))*(INDIRECT(SUBSTITUTE(ADDRESS(1,COLUMN(),4),1,"") &amp; 6) &gt;= INDIRECT("D" &amp; ROW()))</formula>
    </cfRule>
    <cfRule type="expression" dxfId="39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3" priority="68">
      <formula xml:space="preserve"> NOT(ISBLANK(INDIRECT("F" &amp; ROW()))) *( INDIRECT("D" &amp; ROW()) &gt; TODAY()) * INDIRECT("F"&amp;ROW()) &gt; 0.01</formula>
    </cfRule>
    <cfRule type="expression" dxfId="39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1" priority="65">
      <formula xml:space="preserve"> (INDIRECT("F" &amp; ROW()) &lt; 0.9) * (INDIRECT("E" &amp; ROW()) &gt; TODAY())</formula>
    </cfRule>
  </conditionalFormatting>
  <conditionalFormatting sqref="H29:DZ29">
    <cfRule type="expression" dxfId="390" priority="62">
      <formula xml:space="preserve"> INDIRECT(SUBSTITUTE(ADDRESS(1,COLUMN(),4),1,"") &amp; 6) = TODAY()</formula>
    </cfRule>
  </conditionalFormatting>
  <conditionalFormatting sqref="A29:D29 F29:XFD29 A30:A34">
    <cfRule type="expression" dxfId="389" priority="63">
      <formula xml:space="preserve"> NOT(ISBLANK(INDIRECT("D"&amp;ROW()))) * NOT(ISODD(ROW())) *NOT(ISBLANK(INDIRECT("E"&amp;ROW())))*(INDIRECT(SUBSTITUTE(ADDRESS(1,COLUMN(),4),1,"") &amp; 6) &lt;= INDIRECT("E" &amp; ROW()))*(INDIRECT(SUBSTITUTE(ADDRESS(1,COLUMN(),4),1,"") &amp; 6) &gt;= INDIRECT("D" &amp; ROW()))</formula>
    </cfRule>
    <cfRule type="expression" dxfId="38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87" priority="60">
      <formula xml:space="preserve"> NOT(ISBLANK(INDIRECT("F" &amp; ROW()))) *( INDIRECT("D" &amp; ROW()) &gt; TODAY()) * INDIRECT("F"&amp;ROW()) &gt; 0.01</formula>
    </cfRule>
    <cfRule type="expression" dxfId="38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85" priority="57">
      <formula xml:space="preserve"> (INDIRECT("F" &amp; ROW()) &lt; 0.9) * (INDIRECT("E" &amp; ROW()) &gt; TODAY())</formula>
    </cfRule>
  </conditionalFormatting>
  <conditionalFormatting sqref="H36:DZ36">
    <cfRule type="expression" dxfId="384" priority="54">
      <formula xml:space="preserve"> INDIRECT(SUBSTITUTE(ADDRESS(1,COLUMN(),4),1,"") &amp; 6) = TODAY()</formula>
    </cfRule>
  </conditionalFormatting>
  <conditionalFormatting sqref="A36:D36 F36:XFD36 A37:A43">
    <cfRule type="expression" dxfId="383" priority="55">
      <formula xml:space="preserve"> NOT(ISBLANK(INDIRECT("D"&amp;ROW()))) * NOT(ISODD(ROW())) *NOT(ISBLANK(INDIRECT("E"&amp;ROW())))*(INDIRECT(SUBSTITUTE(ADDRESS(1,COLUMN(),4),1,"") &amp; 6) &lt;= INDIRECT("E" &amp; ROW()))*(INDIRECT(SUBSTITUTE(ADDRESS(1,COLUMN(),4),1,"") &amp; 6) &gt;= INDIRECT("D" &amp; ROW()))</formula>
    </cfRule>
    <cfRule type="expression" dxfId="38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1" priority="50" operator="lessThanOrEqual">
      <formula>TODAY()</formula>
    </cfRule>
    <cfRule type="cellIs" dxfId="380" priority="51" operator="greaterThan">
      <formula>TODAY()</formula>
    </cfRule>
  </conditionalFormatting>
  <conditionalFormatting sqref="E10">
    <cfRule type="expression" dxfId="379" priority="49">
      <formula>ISBLANK(INDIRECT("E"&amp;ROW()))</formula>
    </cfRule>
  </conditionalFormatting>
  <conditionalFormatting sqref="E10">
    <cfRule type="expression" dxfId="378" priority="47">
      <formula xml:space="preserve"> NOT(ISBLANK(INDIRECT("D"&amp;ROW()))) * NOT(ISODD(ROW())) *NOT(ISBLANK(INDIRECT("E"&amp;ROW())))*(INDIRECT(SUBSTITUTE(ADDRESS(1,COLUMN(),4),1,"") &amp; 6) &lt;= INDIRECT("E" &amp; ROW()))*(INDIRECT(SUBSTITUTE(ADDRESS(1,COLUMN(),4),1,"") &amp; 6) &gt;= INDIRECT("D" &amp; ROW()))</formula>
    </cfRule>
    <cfRule type="expression" dxfId="37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76" priority="46">
      <formula xml:space="preserve"> INDIRECT("D" &amp; ROW()) &gt; TODAY()</formula>
    </cfRule>
  </conditionalFormatting>
  <conditionalFormatting sqref="E29">
    <cfRule type="cellIs" dxfId="375" priority="44" operator="lessThanOrEqual">
      <formula>TODAY()</formula>
    </cfRule>
    <cfRule type="cellIs" dxfId="374" priority="45" operator="greaterThan">
      <formula>TODAY()</formula>
    </cfRule>
  </conditionalFormatting>
  <conditionalFormatting sqref="E29">
    <cfRule type="expression" dxfId="373" priority="43">
      <formula>ISBLANK(INDIRECT("E"&amp;ROW()))</formula>
    </cfRule>
  </conditionalFormatting>
  <conditionalFormatting sqref="E29">
    <cfRule type="expression" dxfId="372" priority="41">
      <formula xml:space="preserve"> NOT(ISBLANK(INDIRECT("D"&amp;ROW()))) * NOT(ISODD(ROW())) *NOT(ISBLANK(INDIRECT("E"&amp;ROW())))*(INDIRECT(SUBSTITUTE(ADDRESS(1,COLUMN(),4),1,"") &amp; 6) &lt;= INDIRECT("E" &amp; ROW()))*(INDIRECT(SUBSTITUTE(ADDRESS(1,COLUMN(),4),1,"") &amp; 6) &gt;= INDIRECT("D" &amp; ROW()))</formula>
    </cfRule>
    <cfRule type="expression" dxfId="37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0" priority="40">
      <formula xml:space="preserve"> INDIRECT("D" &amp; ROW()) &gt; TODAY()</formula>
    </cfRule>
  </conditionalFormatting>
  <conditionalFormatting sqref="E36">
    <cfRule type="cellIs" dxfId="369" priority="38" operator="lessThanOrEqual">
      <formula>TODAY()</formula>
    </cfRule>
    <cfRule type="cellIs" dxfId="368" priority="39" operator="greaterThan">
      <formula>TODAY()</formula>
    </cfRule>
  </conditionalFormatting>
  <conditionalFormatting sqref="E36">
    <cfRule type="expression" dxfId="367" priority="37">
      <formula>ISBLANK(INDIRECT("E"&amp;ROW()))</formula>
    </cfRule>
  </conditionalFormatting>
  <conditionalFormatting sqref="E36">
    <cfRule type="expression" dxfId="366" priority="35">
      <formula xml:space="preserve"> NOT(ISBLANK(INDIRECT("D"&amp;ROW()))) * NOT(ISODD(ROW())) *NOT(ISBLANK(INDIRECT("E"&amp;ROW())))*(INDIRECT(SUBSTITUTE(ADDRESS(1,COLUMN(),4),1,"") &amp; 6) &lt;= INDIRECT("E" &amp; ROW()))*(INDIRECT(SUBSTITUTE(ADDRESS(1,COLUMN(),4),1,"") &amp; 6) &gt;= INDIRECT("D" &amp; ROW()))</formula>
    </cfRule>
    <cfRule type="expression" dxfId="36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6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3" priority="31">
      <formula xml:space="preserve"> (INDIRECT("F" &amp; ROW()) &lt; 0.9) * (INDIRECT("E" &amp; ROW()) &gt; TODAY())</formula>
    </cfRule>
  </conditionalFormatting>
  <conditionalFormatting sqref="H9:DZ9">
    <cfRule type="expression" dxfId="362" priority="30">
      <formula xml:space="preserve"> INDIRECT(SUBSTITUTE(ADDRESS(1,COLUMN(),4),1,"") &amp; 6) = TODAY()</formula>
    </cfRule>
  </conditionalFormatting>
  <conditionalFormatting sqref="A9:XFD9">
    <cfRule type="expression" dxfId="361" priority="28">
      <formula xml:space="preserve"> NOT(ISBLANK(INDIRECT("D"&amp;ROW()))) * NOT(ISODD(ROW())) *NOT(ISBLANK(INDIRECT("E"&amp;ROW())))*(INDIRECT(SUBSTITUTE(ADDRESS(1,COLUMN(),4),1,"") &amp; 6) &lt;= INDIRECT("E" &amp; ROW()))*(INDIRECT(SUBSTITUTE(ADDRESS(1,COLUMN(),4),1,"") &amp; 6) &gt;= INDIRECT("D" &amp; ROW()))</formula>
    </cfRule>
    <cfRule type="expression" dxfId="36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59" priority="26">
      <formula xml:space="preserve"> NOT(ISBLANK(INDIRECT("F" &amp; ROW()))) *( INDIRECT("D" &amp; ROW()) &gt; TODAY()) * INDIRECT("F"&amp;ROW()) &gt; 0.01</formula>
    </cfRule>
    <cfRule type="expression" dxfId="35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57" priority="23">
      <formula xml:space="preserve"> (INDIRECT("F" &amp; ROW()) &lt; 0.9) * (INDIRECT("E" &amp; ROW()) &gt; TODAY())</formula>
    </cfRule>
  </conditionalFormatting>
  <conditionalFormatting sqref="H45:DZ45">
    <cfRule type="expression" dxfId="356" priority="22">
      <formula xml:space="preserve"> INDIRECT(SUBSTITUTE(ADDRESS(1,COLUMN(),4),1,"") &amp; 6) = TODAY()</formula>
    </cfRule>
  </conditionalFormatting>
  <conditionalFormatting sqref="A45:XFD45 A46:A54">
    <cfRule type="expression" dxfId="355" priority="20">
      <formula xml:space="preserve"> NOT(ISBLANK(INDIRECT("D"&amp;ROW()))) * NOT(ISODD(ROW())) *NOT(ISBLANK(INDIRECT("E"&amp;ROW())))*(INDIRECT(SUBSTITUTE(ADDRESS(1,COLUMN(),4),1,"") &amp; 6) &lt;= INDIRECT("E" &amp; ROW()))*(INDIRECT(SUBSTITUTE(ADDRESS(1,COLUMN(),4),1,"") &amp; 6) &gt;= INDIRECT("D" &amp; ROW()))</formula>
    </cfRule>
    <cfRule type="expression" dxfId="35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3" priority="18">
      <formula xml:space="preserve"> NOT(ISBLANK(INDIRECT("F" &amp; ROW()))) *( INDIRECT("D" &amp; ROW()) &gt; TODAY()) * INDIRECT("F"&amp;ROW()) &gt; 0.01</formula>
    </cfRule>
    <cfRule type="expression" dxfId="35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1" priority="15">
      <formula xml:space="preserve"> (INDIRECT("F" &amp; ROW()) &lt; 0.9) * (INDIRECT("E" &amp; ROW()) &gt; TODAY())</formula>
    </cfRule>
  </conditionalFormatting>
  <conditionalFormatting sqref="H56:DZ56">
    <cfRule type="expression" dxfId="350" priority="14">
      <formula xml:space="preserve"> INDIRECT(SUBSTITUTE(ADDRESS(1,COLUMN(),4),1,"") &amp; 6) = TODAY()</formula>
    </cfRule>
  </conditionalFormatting>
  <conditionalFormatting sqref="A56:XFD56 A57:A62">
    <cfRule type="expression" dxfId="349" priority="12">
      <formula xml:space="preserve"> NOT(ISBLANK(INDIRECT("D"&amp;ROW()))) * NOT(ISODD(ROW())) *NOT(ISBLANK(INDIRECT("E"&amp;ROW())))*(INDIRECT(SUBSTITUTE(ADDRESS(1,COLUMN(),4),1,"") &amp; 6) &lt;= INDIRECT("E" &amp; ROW()))*(INDIRECT(SUBSTITUTE(ADDRESS(1,COLUMN(),4),1,"") &amp; 6) &gt;= INDIRECT("D" &amp; ROW()))</formula>
    </cfRule>
    <cfRule type="expression" dxfId="34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47" priority="10">
      <formula xml:space="preserve"> NOT(ISBLANK(INDIRECT("F" &amp; ROW()))) *( INDIRECT("D" &amp; ROW()) &gt; TODAY()) * INDIRECT("F"&amp;ROW()) &gt; 0.01</formula>
    </cfRule>
    <cfRule type="expression" dxfId="34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45" priority="7">
      <formula xml:space="preserve"> (INDIRECT("F" &amp; ROW()) &lt; 0.9) * (INDIRECT("E" &amp; ROW()) &gt; TODAY())</formula>
    </cfRule>
  </conditionalFormatting>
  <conditionalFormatting sqref="H64:DZ64">
    <cfRule type="expression" dxfId="344" priority="6">
      <formula xml:space="preserve"> INDIRECT(SUBSTITUTE(ADDRESS(1,COLUMN(),4),1,"") &amp; 6) = TODAY()</formula>
    </cfRule>
  </conditionalFormatting>
  <conditionalFormatting sqref="A64:XFD64 A65:A67">
    <cfRule type="expression" dxfId="343" priority="4">
      <formula xml:space="preserve"> NOT(ISBLANK(INDIRECT("D"&amp;ROW()))) * NOT(ISODD(ROW())) *NOT(ISBLANK(INDIRECT("E"&amp;ROW())))*(INDIRECT(SUBSTITUTE(ADDRESS(1,COLUMN(),4),1,"") &amp; 6) &lt;= INDIRECT("E" &amp; ROW()))*(INDIRECT(SUBSTITUTE(ADDRESS(1,COLUMN(),4),1,"") &amp; 6) &gt;= INDIRECT("D" &amp; ROW()))</formula>
    </cfRule>
    <cfRule type="expression" dxfId="34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1" priority="2">
      <formula xml:space="preserve"> NOT(ISBLANK(INDIRECT("F" &amp; ROW()))) *( INDIRECT("D" &amp; ROW()) &gt; TODAY()) * INDIRECT("F"&amp;ROW()) &gt; 0.01</formula>
    </cfRule>
    <cfRule type="expression" dxfId="34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3"/>
    <col min="3" max="3" width="40.42578125" style="203" customWidth="1"/>
    <col min="4" max="4" width="61.140625" style="203" customWidth="1"/>
    <col min="5" max="5" width="18.42578125" style="203" customWidth="1"/>
    <col min="6" max="6" width="24.42578125" style="203" customWidth="1"/>
    <col min="7" max="7" width="27.28515625" style="203" customWidth="1"/>
    <col min="8" max="8" width="42.28515625" style="203" customWidth="1"/>
    <col min="9" max="9" width="36.28515625" style="203" customWidth="1"/>
    <col min="10" max="16384" width="8.85546875" style="203"/>
  </cols>
  <sheetData>
    <row r="1" spans="1:12" s="68" customFormat="1" ht="33.75" customHeight="1">
      <c r="A1" s="69">
        <f ca="1">TODAY()</f>
        <v>43180</v>
      </c>
      <c r="B1" s="69"/>
    </row>
    <row r="2" spans="1:12" s="141" customFormat="1" ht="33.75" customHeight="1">
      <c r="A2" s="140">
        <f ca="1">NOW()</f>
        <v>43180.870027314813</v>
      </c>
      <c r="B2" s="140"/>
      <c r="E2" s="142" t="s">
        <v>610</v>
      </c>
      <c r="F2" s="142"/>
      <c r="G2" s="142"/>
      <c r="J2" s="142"/>
      <c r="K2" s="142"/>
      <c r="L2" s="142"/>
    </row>
    <row r="3" spans="1:12">
      <c r="A3" s="175"/>
    </row>
    <row r="4" spans="1:12">
      <c r="A4" s="166"/>
    </row>
    <row r="5" spans="1:12">
      <c r="C5" s="204"/>
      <c r="D5" s="204"/>
      <c r="E5" s="204"/>
      <c r="F5" s="204"/>
      <c r="G5" s="204"/>
      <c r="H5" s="204"/>
      <c r="I5" s="204"/>
      <c r="J5" s="204"/>
    </row>
    <row r="6" spans="1:12">
      <c r="C6" s="204"/>
      <c r="D6" s="204"/>
      <c r="E6" s="204"/>
      <c r="F6" s="204"/>
      <c r="G6" s="204"/>
      <c r="H6" s="204"/>
      <c r="I6" s="204"/>
      <c r="J6" s="204"/>
    </row>
    <row r="7" spans="1:12">
      <c r="C7" s="205" t="s">
        <v>663</v>
      </c>
      <c r="D7" s="205"/>
      <c r="E7" s="205"/>
      <c r="F7" s="205"/>
      <c r="G7" s="205"/>
      <c r="H7" s="205"/>
      <c r="I7" s="205" t="s">
        <v>187</v>
      </c>
      <c r="J7" s="204"/>
    </row>
    <row r="8" spans="1:12">
      <c r="C8" s="204"/>
      <c r="D8" s="206" t="s">
        <v>664</v>
      </c>
      <c r="E8" s="206"/>
      <c r="F8" s="206"/>
      <c r="G8" s="206"/>
      <c r="H8" s="206" t="s">
        <v>665</v>
      </c>
      <c r="I8" s="204"/>
      <c r="J8" s="204"/>
    </row>
    <row r="9" spans="1:12">
      <c r="C9" s="204"/>
      <c r="D9" s="204"/>
      <c r="E9" s="205" t="s">
        <v>666</v>
      </c>
      <c r="F9" s="205"/>
      <c r="G9" s="205" t="s">
        <v>667</v>
      </c>
      <c r="H9" s="204"/>
      <c r="I9" s="204"/>
      <c r="J9" s="204"/>
    </row>
    <row r="10" spans="1:12">
      <c r="C10" s="204"/>
      <c r="D10" s="204"/>
      <c r="E10" s="204"/>
      <c r="F10" s="206"/>
      <c r="G10" s="204"/>
      <c r="H10" s="204"/>
      <c r="I10" s="204"/>
      <c r="J10" s="204"/>
    </row>
    <row r="11" spans="1:12">
      <c r="C11" s="204"/>
      <c r="D11" s="204"/>
      <c r="E11" s="204"/>
      <c r="F11" s="206" t="s">
        <v>668</v>
      </c>
      <c r="G11" s="204"/>
      <c r="H11" s="204"/>
      <c r="I11" s="204"/>
      <c r="J11" s="204"/>
    </row>
    <row r="12" spans="1:12">
      <c r="C12" s="204"/>
      <c r="D12" s="204"/>
      <c r="E12" s="204"/>
      <c r="F12" s="204"/>
      <c r="G12" s="204"/>
      <c r="H12" s="204"/>
      <c r="I12" s="204"/>
      <c r="J12" s="204"/>
    </row>
    <row r="13" spans="1:12">
      <c r="C13" s="204"/>
      <c r="D13" s="204"/>
      <c r="E13" s="204"/>
      <c r="F13" s="204"/>
      <c r="G13" s="204"/>
      <c r="H13" s="204"/>
      <c r="I13" s="204"/>
      <c r="J13" s="204"/>
    </row>
    <row r="15" spans="1:12">
      <c r="C15" s="93" t="s">
        <v>674</v>
      </c>
      <c r="D15" s="93" t="s">
        <v>9</v>
      </c>
      <c r="E15" s="93" t="s">
        <v>669</v>
      </c>
      <c r="F15" s="203" t="s">
        <v>671</v>
      </c>
      <c r="G15" s="93" t="s">
        <v>679</v>
      </c>
    </row>
    <row r="16" spans="1:12" ht="58.5" customHeight="1">
      <c r="C16" s="93" t="s">
        <v>688</v>
      </c>
      <c r="D16" s="94" t="s">
        <v>690</v>
      </c>
      <c r="E16" s="207">
        <v>0</v>
      </c>
      <c r="F16" s="208"/>
      <c r="G16" s="208"/>
    </row>
    <row r="17" spans="3:7" ht="58.5" customHeight="1">
      <c r="C17" s="203" t="s">
        <v>691</v>
      </c>
      <c r="D17" s="94" t="s">
        <v>692</v>
      </c>
      <c r="E17" s="210">
        <v>0.1</v>
      </c>
      <c r="F17" s="208"/>
      <c r="G17" s="208"/>
    </row>
    <row r="18" spans="3:7" ht="136.5" customHeight="1">
      <c r="C18" s="93" t="s">
        <v>663</v>
      </c>
      <c r="D18" s="94" t="s">
        <v>670</v>
      </c>
      <c r="E18" s="207">
        <v>0.1</v>
      </c>
      <c r="F18" s="208">
        <v>43226</v>
      </c>
      <c r="G18" s="208"/>
    </row>
    <row r="19" spans="3:7" ht="39" customHeight="1">
      <c r="C19" s="93" t="s">
        <v>664</v>
      </c>
      <c r="D19" s="94" t="s">
        <v>672</v>
      </c>
      <c r="E19" s="207">
        <v>0.05</v>
      </c>
    </row>
    <row r="20" spans="3:7" ht="47.25" customHeight="1">
      <c r="C20" s="93" t="s">
        <v>666</v>
      </c>
      <c r="D20" s="94" t="s">
        <v>673</v>
      </c>
      <c r="E20" s="207">
        <v>0.01</v>
      </c>
    </row>
    <row r="21" spans="3:7" ht="105" customHeight="1">
      <c r="C21" s="93" t="s">
        <v>667</v>
      </c>
      <c r="D21" s="94" t="s">
        <v>675</v>
      </c>
      <c r="E21" s="207">
        <v>1.4999999999999999E-2</v>
      </c>
    </row>
    <row r="22" spans="3:7" ht="64.5" customHeight="1">
      <c r="C22" s="93" t="s">
        <v>187</v>
      </c>
      <c r="D22" s="94" t="s">
        <v>676</v>
      </c>
      <c r="E22" s="207">
        <v>0.1</v>
      </c>
      <c r="F22" s="208">
        <v>43261</v>
      </c>
      <c r="G22" s="208"/>
    </row>
    <row r="23" spans="3:7" ht="84" customHeight="1">
      <c r="C23" s="93" t="s">
        <v>677</v>
      </c>
      <c r="D23" s="94" t="s">
        <v>678</v>
      </c>
      <c r="E23" s="207">
        <v>0.02</v>
      </c>
      <c r="F23" s="209">
        <v>43558</v>
      </c>
      <c r="G23" s="209"/>
    </row>
    <row r="24" spans="3:7" ht="119.25" customHeight="1">
      <c r="C24" s="203" t="s">
        <v>680</v>
      </c>
      <c r="D24" s="93" t="s">
        <v>682</v>
      </c>
      <c r="E24" s="207">
        <v>0.2</v>
      </c>
    </row>
    <row r="25" spans="3:7" ht="117" customHeight="1">
      <c r="C25" s="203" t="s">
        <v>681</v>
      </c>
      <c r="D25" s="93" t="s">
        <v>683</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Journal</vt:lpstr>
      <vt:lpstr>Coding Tasks</vt:lpstr>
      <vt:lpstr>Current Tasks</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2018-03-21T10:53:10Z</dcterms:modified>
</cp:coreProperties>
</file>