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6660" windowWidth="38400" windowHeight="21045" tabRatio="540"/>
  </bookViews>
  <sheets>
    <sheet name="Life Planne" sheetId="18" r:id="rId1"/>
    <sheet name="Journal" sheetId="3" r:id="rId2"/>
    <sheet name="Life Map" sheetId="11" r:id="rId3"/>
    <sheet name="Revision Planning" sheetId="15" r:id="rId4"/>
    <sheet name="Current Tasks" sheetId="9" r:id="rId5"/>
    <sheet name="Life Planner" sheetId="6" r:id="rId6"/>
    <sheet name="GAANT" sheetId="1" r:id="rId7"/>
    <sheet name="Sheet1" sheetId="20"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9" i="18" l="1"/>
  <c r="J3" i="18"/>
  <c r="K3" i="18"/>
  <c r="L3" i="18"/>
  <c r="M3" i="18"/>
  <c r="N3" i="18"/>
  <c r="O3" i="18"/>
  <c r="P3" i="18"/>
  <c r="Q3" i="18"/>
  <c r="R3" i="18"/>
  <c r="S3" i="18"/>
  <c r="T3" i="18"/>
  <c r="U3" i="18"/>
  <c r="V3" i="18"/>
  <c r="W3" i="18"/>
  <c r="X3" i="18"/>
  <c r="Y3" i="18"/>
  <c r="Z3" i="18"/>
  <c r="AA3" i="18"/>
  <c r="AB3" i="18"/>
  <c r="AC3" i="18"/>
  <c r="AD3" i="18"/>
  <c r="AE3" i="18"/>
  <c r="AF3" i="18"/>
  <c r="AG3" i="18"/>
  <c r="AH3" i="18"/>
  <c r="AI3" i="18"/>
  <c r="AJ3" i="18"/>
  <c r="AK3" i="18"/>
  <c r="AL3" i="18"/>
  <c r="AM3" i="18"/>
  <c r="AN3" i="18"/>
  <c r="AO3" i="18"/>
  <c r="AP3" i="18"/>
  <c r="AQ3" i="18"/>
  <c r="AR3" i="18"/>
  <c r="AS3" i="18"/>
  <c r="AT3" i="18"/>
  <c r="AU3" i="18"/>
  <c r="AV3" i="18"/>
  <c r="AW3" i="18"/>
  <c r="AX3" i="18"/>
  <c r="AY3" i="18"/>
  <c r="AZ3" i="18"/>
  <c r="BA3" i="18"/>
  <c r="BB3" i="18"/>
  <c r="BC3" i="18"/>
  <c r="BD3" i="18"/>
  <c r="BE3" i="18"/>
  <c r="BF3" i="18"/>
  <c r="BG3" i="18"/>
  <c r="BH3" i="18"/>
  <c r="BI3" i="18"/>
  <c r="BJ3" i="18"/>
  <c r="BK3" i="18"/>
  <c r="BL3" i="18"/>
  <c r="BM3" i="18"/>
  <c r="BN3" i="18"/>
  <c r="BO3" i="18"/>
  <c r="BP3" i="18"/>
  <c r="BQ3" i="18"/>
  <c r="BR3" i="18"/>
  <c r="BS3" i="18"/>
  <c r="BT3" i="18"/>
  <c r="BU3" i="18"/>
  <c r="BV3" i="18"/>
  <c r="BW3" i="18"/>
  <c r="BX3" i="18"/>
  <c r="BY3" i="18"/>
  <c r="BZ3" i="18"/>
  <c r="CA3" i="18"/>
  <c r="CB3" i="18"/>
  <c r="CC3" i="18"/>
  <c r="CD3" i="18"/>
  <c r="CE3" i="18"/>
  <c r="CF3" i="18"/>
  <c r="CG3" i="18"/>
  <c r="CH3" i="18"/>
  <c r="CI3" i="18"/>
  <c r="CJ3" i="18"/>
  <c r="CK3" i="18"/>
  <c r="CL3" i="18"/>
  <c r="CM3" i="18"/>
  <c r="CN3" i="18"/>
  <c r="CO3" i="18"/>
  <c r="CP3" i="18"/>
  <c r="CQ3" i="18"/>
  <c r="CR3" i="18"/>
  <c r="CS3" i="18"/>
  <c r="CT3" i="18"/>
  <c r="CU3" i="18"/>
  <c r="CV3" i="18"/>
  <c r="CW3" i="18"/>
  <c r="CX3" i="18"/>
  <c r="CY3" i="18"/>
  <c r="CZ3" i="18"/>
  <c r="DA3" i="18"/>
  <c r="DB3" i="18"/>
  <c r="DC3" i="18"/>
  <c r="DD3" i="18"/>
  <c r="DE3" i="18"/>
  <c r="DF3" i="18"/>
  <c r="DG3" i="18"/>
  <c r="DH3" i="18"/>
  <c r="DI3" i="18"/>
  <c r="DJ3" i="18"/>
  <c r="DK3" i="18"/>
  <c r="DL3" i="18"/>
  <c r="DM3" i="18"/>
  <c r="DN3" i="18"/>
  <c r="DO3" i="18"/>
  <c r="DP3" i="18"/>
  <c r="DQ3" i="18"/>
  <c r="DR3" i="18"/>
  <c r="DS3" i="18"/>
  <c r="DT3" i="18"/>
  <c r="DU3" i="18"/>
  <c r="DV3" i="18"/>
  <c r="DW3" i="18"/>
  <c r="DX3" i="18"/>
  <c r="DY3" i="18"/>
  <c r="DZ3" i="18"/>
  <c r="EA3" i="18"/>
  <c r="EB3" i="18"/>
  <c r="EC3" i="18"/>
  <c r="ED3" i="18"/>
  <c r="EE3" i="18"/>
  <c r="EF3" i="18"/>
  <c r="EG3" i="18"/>
  <c r="EH3" i="18"/>
  <c r="EI3" i="18"/>
  <c r="EJ3" i="18"/>
  <c r="EK3" i="18"/>
  <c r="EL3" i="18"/>
  <c r="EM3" i="18"/>
  <c r="EN3" i="18"/>
  <c r="EO3" i="18"/>
  <c r="EP3" i="18"/>
  <c r="EQ3" i="18"/>
  <c r="ER3" i="18"/>
  <c r="ES3" i="18"/>
  <c r="ET3" i="18"/>
  <c r="EU3" i="18"/>
  <c r="EV3" i="18"/>
  <c r="EW3" i="18"/>
  <c r="EX3" i="18"/>
  <c r="EY3" i="18"/>
  <c r="EZ3" i="18"/>
  <c r="FA3" i="18"/>
  <c r="FB3" i="18"/>
  <c r="FC3" i="18"/>
  <c r="FD3" i="18"/>
  <c r="FE3" i="18"/>
  <c r="FF3" i="18"/>
  <c r="FG3" i="18"/>
  <c r="FH3" i="18"/>
  <c r="FI3" i="18"/>
  <c r="FJ3" i="18"/>
  <c r="FK3" i="18"/>
  <c r="FL3" i="18"/>
  <c r="FM3" i="18"/>
  <c r="J31" i="18"/>
  <c r="K31" i="18"/>
  <c r="L31" i="18"/>
  <c r="M31" i="18"/>
  <c r="N31" i="18"/>
  <c r="O31" i="18"/>
  <c r="P31" i="18"/>
  <c r="Q31" i="18"/>
  <c r="R31" i="18"/>
  <c r="S31" i="18"/>
  <c r="T31" i="18"/>
  <c r="U31" i="18"/>
  <c r="V31" i="18"/>
  <c r="W31" i="18"/>
  <c r="X31" i="18"/>
  <c r="Y31" i="18"/>
  <c r="Z31" i="18"/>
  <c r="AA31" i="18"/>
  <c r="AB31" i="18"/>
  <c r="AC31" i="18"/>
  <c r="AD31" i="18"/>
  <c r="AE31" i="18"/>
  <c r="AF31" i="18"/>
  <c r="AG31" i="18"/>
  <c r="AH31" i="18"/>
  <c r="AI31" i="18"/>
  <c r="AJ31" i="18"/>
  <c r="AK31" i="18"/>
  <c r="AL31" i="18"/>
  <c r="AM31" i="18"/>
  <c r="AN31" i="18"/>
  <c r="AO31" i="18"/>
  <c r="AP31" i="18"/>
  <c r="AQ31" i="18"/>
  <c r="AR31" i="18"/>
  <c r="AS31" i="18"/>
  <c r="AT31" i="18"/>
  <c r="AU31" i="18"/>
  <c r="AV31" i="18"/>
  <c r="AW31" i="18"/>
  <c r="AX31" i="18"/>
  <c r="AY31" i="18"/>
  <c r="AZ31" i="18"/>
  <c r="BA31" i="18"/>
  <c r="BB31" i="18"/>
  <c r="BC31" i="18"/>
  <c r="BD31" i="18"/>
  <c r="BE31" i="18"/>
  <c r="BF31" i="18"/>
  <c r="BG31" i="18"/>
  <c r="BH31" i="18"/>
  <c r="BI31" i="18"/>
  <c r="BJ31" i="18"/>
  <c r="BK31" i="18"/>
  <c r="BL31" i="18"/>
  <c r="BM31" i="18"/>
  <c r="BN31" i="18"/>
  <c r="BO31" i="18"/>
  <c r="BP31" i="18"/>
  <c r="BQ31" i="18"/>
  <c r="BR31" i="18"/>
  <c r="BS31" i="18"/>
  <c r="BT31" i="18"/>
  <c r="BU31" i="18"/>
  <c r="BV31" i="18"/>
  <c r="BW31" i="18"/>
  <c r="BX31" i="18"/>
  <c r="BY31" i="18"/>
  <c r="BZ31" i="18"/>
  <c r="CA31" i="18"/>
  <c r="CB31" i="18"/>
  <c r="CC31" i="18"/>
  <c r="CD31" i="18"/>
  <c r="CE31" i="18"/>
  <c r="CF31" i="18"/>
  <c r="CG31" i="18"/>
  <c r="CH31" i="18"/>
  <c r="CI31" i="18"/>
  <c r="CJ31" i="18"/>
  <c r="CK31" i="18"/>
  <c r="CL31" i="18"/>
  <c r="CM31" i="18"/>
  <c r="CN31" i="18"/>
  <c r="CO31" i="18"/>
  <c r="CP31" i="18"/>
  <c r="CQ31" i="18"/>
  <c r="CR31" i="18"/>
  <c r="CS31" i="18"/>
  <c r="CT31" i="18"/>
  <c r="CU31" i="18"/>
  <c r="CV31" i="18"/>
  <c r="CW31" i="18"/>
  <c r="CX31" i="18"/>
  <c r="CY31" i="18"/>
  <c r="CZ31" i="18"/>
  <c r="DA31" i="18"/>
  <c r="DB31" i="18"/>
  <c r="DC31" i="18"/>
  <c r="DD31" i="18"/>
  <c r="DE31" i="18"/>
  <c r="DF31" i="18"/>
  <c r="DG31" i="18"/>
  <c r="DH31" i="18"/>
  <c r="DI31" i="18"/>
  <c r="DJ31" i="18"/>
  <c r="DK31" i="18"/>
  <c r="DL31" i="18"/>
  <c r="DM31" i="18"/>
  <c r="DN31" i="18"/>
  <c r="DO31" i="18"/>
  <c r="DP31" i="18"/>
  <c r="DQ31" i="18"/>
  <c r="DR31" i="18"/>
  <c r="DS31" i="18"/>
  <c r="DT31" i="18"/>
  <c r="DU31" i="18"/>
  <c r="DV31" i="18"/>
  <c r="DW31" i="18"/>
  <c r="DX31" i="18"/>
  <c r="DY31" i="18"/>
  <c r="DZ31" i="18"/>
  <c r="EA31" i="18"/>
  <c r="EB31" i="18"/>
  <c r="EC31" i="18"/>
  <c r="ED31" i="18"/>
  <c r="EE31" i="18"/>
  <c r="EF31" i="18"/>
  <c r="EG31" i="18"/>
  <c r="EH31" i="18"/>
  <c r="EI31" i="18"/>
  <c r="EJ31" i="18"/>
  <c r="EK31" i="18"/>
  <c r="EL31" i="18"/>
  <c r="EM31" i="18"/>
  <c r="EN31" i="18"/>
  <c r="EO31" i="18"/>
  <c r="EP31" i="18"/>
  <c r="EQ31" i="18"/>
  <c r="ER31" i="18"/>
  <c r="ES31" i="18"/>
  <c r="ET31" i="18"/>
  <c r="EU31" i="18"/>
  <c r="EV31" i="18"/>
  <c r="EW31" i="18"/>
  <c r="EX31" i="18"/>
  <c r="EY31" i="18"/>
  <c r="EZ31" i="18"/>
  <c r="FA31" i="18"/>
  <c r="FB31" i="18"/>
  <c r="FC31" i="18"/>
  <c r="FD31" i="18"/>
  <c r="FE31" i="18"/>
  <c r="FF31" i="18"/>
  <c r="FG31" i="18"/>
  <c r="FH31" i="18"/>
  <c r="FI31" i="18"/>
  <c r="FJ31" i="18"/>
  <c r="FK31" i="18"/>
  <c r="FL31" i="18"/>
  <c r="FM31" i="18"/>
  <c r="H31" i="18"/>
  <c r="A7" i="6"/>
  <c r="A8" i="6"/>
  <c r="A9" i="6"/>
  <c r="A10" i="6"/>
  <c r="A11" i="6"/>
  <c r="A12" i="6"/>
  <c r="A13" i="6"/>
  <c r="A14" i="6"/>
  <c r="A15" i="6"/>
  <c r="A16" i="6"/>
  <c r="A17" i="6"/>
  <c r="A18" i="6"/>
  <c r="A19" i="6"/>
  <c r="A20" i="6"/>
  <c r="A21" i="6"/>
  <c r="A22" i="6"/>
  <c r="A23" i="6"/>
  <c r="A24" i="6"/>
  <c r="A25" i="6"/>
  <c r="A26" i="6"/>
  <c r="A27" i="6"/>
  <c r="A28" i="6"/>
  <c r="A29" i="6"/>
  <c r="A30" i="6"/>
  <c r="C32" i="6"/>
  <c r="D32" i="6"/>
  <c r="E32" i="6"/>
  <c r="C59" i="6"/>
  <c r="D59" i="6"/>
  <c r="E59" i="6"/>
  <c r="B34" i="6"/>
  <c r="F59" i="6"/>
  <c r="G59" i="6"/>
  <c r="H59" i="6"/>
  <c r="I59" i="6"/>
  <c r="J59" i="6"/>
  <c r="K59" i="6"/>
  <c r="L59" i="6"/>
  <c r="M59" i="6"/>
  <c r="N59" i="6"/>
  <c r="O59" i="6"/>
  <c r="P59" i="6"/>
  <c r="Q59" i="6"/>
  <c r="R59" i="6"/>
  <c r="S59" i="6"/>
  <c r="T59" i="6"/>
  <c r="U59" i="6"/>
  <c r="V59" i="6"/>
  <c r="W59" i="6"/>
  <c r="X59" i="6"/>
  <c r="Y59" i="6"/>
  <c r="Z59" i="6"/>
  <c r="AA59" i="6"/>
  <c r="AB59" i="6"/>
  <c r="AC59" i="6"/>
  <c r="AD59" i="6"/>
  <c r="AE59" i="6"/>
  <c r="AF59" i="6"/>
  <c r="AG59" i="6"/>
  <c r="AH59" i="6"/>
  <c r="AI59" i="6"/>
  <c r="AJ59" i="6"/>
  <c r="AK59" i="6"/>
  <c r="AL59" i="6"/>
  <c r="AM59" i="6"/>
  <c r="AN59" i="6"/>
  <c r="AO59" i="6"/>
  <c r="AP59" i="6"/>
  <c r="AQ59" i="6"/>
  <c r="AR59" i="6"/>
  <c r="AS59" i="6"/>
  <c r="AT59" i="6"/>
  <c r="AU59" i="6"/>
  <c r="AV59" i="6"/>
  <c r="AW59" i="6"/>
  <c r="AX59" i="6"/>
  <c r="AY59" i="6"/>
  <c r="AZ59" i="6"/>
  <c r="BA59" i="6"/>
  <c r="BB59" i="6"/>
  <c r="BC59" i="6"/>
  <c r="BD59" i="6"/>
  <c r="BE59" i="6"/>
  <c r="BF59" i="6"/>
  <c r="BG59" i="6"/>
  <c r="BH59" i="6"/>
  <c r="BI59" i="6"/>
  <c r="BJ59" i="6"/>
  <c r="BK59" i="6"/>
  <c r="BL59" i="6"/>
  <c r="BM59" i="6"/>
  <c r="BN59" i="6"/>
  <c r="BO59" i="6"/>
  <c r="BP59" i="6"/>
  <c r="BQ59" i="6"/>
  <c r="BR59" i="6"/>
  <c r="BS59" i="6"/>
  <c r="BT59" i="6"/>
  <c r="BU59" i="6"/>
  <c r="BV59" i="6"/>
  <c r="BW59" i="6"/>
  <c r="BX59" i="6"/>
  <c r="BY59" i="6"/>
  <c r="BZ59" i="6"/>
  <c r="CA59" i="6"/>
  <c r="CB59" i="6"/>
  <c r="CC59" i="6"/>
  <c r="CD59" i="6"/>
  <c r="CE59" i="6"/>
  <c r="CF59" i="6"/>
  <c r="CG59" i="6"/>
  <c r="CH59" i="6"/>
  <c r="CI59" i="6"/>
  <c r="CJ59" i="6"/>
  <c r="CK59" i="6"/>
  <c r="CL59" i="6"/>
  <c r="CM59" i="6"/>
  <c r="CN59" i="6"/>
  <c r="CO59" i="6"/>
  <c r="CP59" i="6"/>
  <c r="CQ59" i="6"/>
  <c r="CR59" i="6"/>
  <c r="CS59" i="6"/>
  <c r="CT59" i="6"/>
  <c r="CU59" i="6"/>
  <c r="CV59" i="6"/>
  <c r="CW59" i="6"/>
  <c r="CX59" i="6"/>
  <c r="CY59" i="6"/>
  <c r="CZ59" i="6"/>
  <c r="DA59" i="6"/>
  <c r="DB59" i="6"/>
  <c r="DC59" i="6"/>
  <c r="DD59" i="6"/>
  <c r="DE59" i="6"/>
  <c r="DF59" i="6"/>
  <c r="DG59" i="6"/>
  <c r="DH59" i="6"/>
  <c r="DI59" i="6"/>
  <c r="DJ59" i="6"/>
  <c r="DK59" i="6"/>
  <c r="DL59" i="6"/>
  <c r="DM59" i="6"/>
  <c r="DN59" i="6"/>
  <c r="DO59" i="6"/>
  <c r="DP59" i="6"/>
  <c r="DQ59" i="6"/>
  <c r="DR59" i="6"/>
  <c r="DS59" i="6"/>
  <c r="DT59" i="6"/>
  <c r="DU59" i="6"/>
  <c r="DV59" i="6"/>
  <c r="DW59" i="6"/>
  <c r="DX59" i="6"/>
  <c r="DY59" i="6"/>
  <c r="DZ59" i="6"/>
  <c r="EA59" i="6"/>
  <c r="EB59" i="6"/>
  <c r="EC59" i="6"/>
  <c r="ED59" i="6"/>
  <c r="EE59" i="6"/>
  <c r="EF59" i="6"/>
  <c r="EG59" i="6"/>
  <c r="EH59" i="6"/>
  <c r="EI59" i="6"/>
  <c r="EJ59" i="6"/>
  <c r="EK59" i="6"/>
  <c r="EL59" i="6"/>
  <c r="EM59" i="6"/>
  <c r="EN59" i="6"/>
  <c r="EO59" i="6"/>
  <c r="EP59" i="6"/>
  <c r="EQ59" i="6"/>
  <c r="ER59" i="6"/>
  <c r="ES59" i="6"/>
  <c r="ET59" i="6"/>
  <c r="EU59" i="6"/>
  <c r="EV59" i="6"/>
  <c r="EW59" i="6"/>
  <c r="EX59" i="6"/>
  <c r="EY59" i="6"/>
  <c r="EZ59" i="6"/>
  <c r="FA59" i="6"/>
  <c r="FB59" i="6"/>
  <c r="FC59" i="6"/>
  <c r="FD59" i="6"/>
  <c r="FE59" i="6"/>
  <c r="FF59" i="6"/>
  <c r="FG59" i="6"/>
  <c r="FH59" i="6"/>
  <c r="FI59" i="6"/>
  <c r="FJ59" i="6"/>
  <c r="FK59" i="6"/>
  <c r="FL59" i="6"/>
  <c r="FM59" i="6"/>
  <c r="FN59" i="6"/>
  <c r="FO59" i="6"/>
  <c r="FP59" i="6"/>
  <c r="FQ59" i="6"/>
  <c r="FR59" i="6"/>
  <c r="FS59" i="6"/>
  <c r="FT59" i="6"/>
  <c r="FU59" i="6"/>
  <c r="F3" i="18" l="1"/>
  <c r="G3" i="18"/>
  <c r="I3" i="18"/>
  <c r="H3" i="18"/>
  <c r="C3" i="18"/>
  <c r="D3" i="18"/>
  <c r="E3" i="18"/>
  <c r="I31" i="18"/>
  <c r="G31" i="18"/>
  <c r="F31" i="18"/>
  <c r="E31" i="18"/>
  <c r="D31" i="18"/>
  <c r="C31" i="18"/>
  <c r="A30" i="18"/>
  <c r="A29" i="18"/>
  <c r="A28" i="18"/>
  <c r="A27" i="18"/>
  <c r="A26" i="18"/>
  <c r="A25" i="18"/>
  <c r="A24" i="18"/>
  <c r="A23" i="18"/>
  <c r="A22" i="18"/>
  <c r="A21" i="18"/>
  <c r="A20" i="18"/>
  <c r="A19" i="18"/>
  <c r="A18" i="18"/>
  <c r="A17" i="18"/>
  <c r="A16" i="18"/>
  <c r="A15" i="18"/>
  <c r="A14" i="18"/>
  <c r="A13" i="18"/>
  <c r="A12" i="18"/>
  <c r="A11" i="18"/>
  <c r="A10" i="18"/>
  <c r="A9" i="18"/>
  <c r="A8" i="18"/>
  <c r="A7" i="18"/>
  <c r="A5" i="18"/>
  <c r="A2" i="18"/>
  <c r="A3" i="18" s="1"/>
  <c r="A1" i="18"/>
  <c r="L24" i="15" l="1"/>
  <c r="E24" i="15" l="1"/>
  <c r="H24" i="15"/>
  <c r="J24" i="15"/>
  <c r="A5" i="6" l="1"/>
  <c r="S32" i="6" l="1"/>
  <c r="T32" i="6"/>
  <c r="U32" i="6"/>
  <c r="V32" i="6"/>
  <c r="W32" i="6"/>
  <c r="X32" i="6"/>
  <c r="Y32" i="6"/>
  <c r="Z32" i="6"/>
  <c r="AA32" i="6"/>
  <c r="AB32" i="6"/>
  <c r="AC32" i="6"/>
  <c r="AD32" i="6"/>
  <c r="AE32" i="6"/>
  <c r="AF32" i="6"/>
  <c r="AG32" i="6"/>
  <c r="AH32" i="6"/>
  <c r="AI32" i="6"/>
  <c r="AJ32" i="6"/>
  <c r="AK32" i="6"/>
  <c r="AL32" i="6"/>
  <c r="AM32" i="6"/>
  <c r="AN32" i="6"/>
  <c r="AO32" i="6"/>
  <c r="AP32" i="6"/>
  <c r="AQ32" i="6"/>
  <c r="AR32" i="6"/>
  <c r="AS32"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F32" i="6" l="1"/>
  <c r="G32" i="6"/>
  <c r="H32" i="6"/>
  <c r="I32" i="6"/>
  <c r="J32" i="6"/>
  <c r="K32" i="6"/>
  <c r="L32" i="6"/>
  <c r="M32" i="6"/>
  <c r="N32" i="6"/>
  <c r="O32" i="6"/>
  <c r="P32" i="6"/>
  <c r="Q32" i="6"/>
  <c r="R32"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1" i="6"/>
  <c r="C6" i="3"/>
  <c r="E6" i="3"/>
  <c r="EN6" i="1" l="1"/>
  <c r="GP6" i="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<sst xmlns="http://schemas.openxmlformats.org/spreadsheetml/2006/main" count="871" uniqueCount="688">
  <si>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</si>
  <si>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</si>
  <si>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</si>
  <si>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</si>
  <si>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</si>
  <si>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</si>
  <si>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</si>
  <si>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</si>
  <si>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</si>
  <si>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</si>
  <si>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</si>
  <si>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</si>
  <si>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</si>
  <si>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</si>
  <si>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</si>
  <si>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</si>
  <si>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</si>
  <si>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</si>
  <si>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</si>
  <si>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</si>
  <si>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</si>
  <si>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</si>
  <si>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</si>
  <si>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</si>
  <si>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</si>
  <si>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</si>
  <si>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</si>
  <si>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</si>
  <si>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</si>
  <si>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</si>
  <si>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</si>
  <si>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</si>
  <si>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</si>
  <si>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</si>
  <si>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</si>
  <si>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</si>
  <si>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</si>
  <si>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</si>
  <si>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</si>
  <si>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</si>
  <si>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</si>
  <si>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</si>
  <si>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</si>
  <si>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</si>
  <si>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</si>
  <si>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</si>
  <si>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</si>
  <si>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</si>
  <si>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</si>
  <si>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</si>
  <si>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</si>
  <si>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</si>
  <si>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</si>
  <si>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</si>
  <si>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</si>
  <si>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</si>
  <si>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</si>
  <si>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</si>
  <si>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</si>
  <si>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</si>
  <si>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</si>
  <si>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</si>
  <si>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</si>
  <si>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</si>
  <si>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</si>
  <si>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</si>
  <si>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</si>
  <si>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</si>
  <si>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</si>
  <si>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</si>
  <si>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</si>
  <si>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</si>
  <si>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</si>
  <si>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</si>
  <si>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</si>
  <si>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</si>
  <si>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</si>
  <si>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</si>
  <si>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</si>
  <si>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</si>
  <si>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</si>
  <si>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</si>
  <si>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</si>
  <si>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</si>
  <si>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</si>
  <si>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</si>
  <si>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</si>
  <si>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</si>
  <si>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</si>
  <si>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</si>
  <si>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</si>
  <si>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</si>
  <si>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</si>
  <si>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</si>
  <si>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</si>
  <si>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</si>
  <si>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</si>
  <si>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</si>
  <si>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</si>
  <si>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</si>
  <si>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</si>
  <si>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</si>
  <si>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</si>
  <si>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</si>
  <si>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</si>
  <si>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</si>
  <si>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</si>
  <si>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</si>
  <si>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</si>
  <si>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</si>
  <si>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</si>
  <si>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</si>
  <si>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</si>
  <si>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</si>
  <si>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</si>
  <si>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</si>
  <si>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</si>
  <si>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</si>
  <si>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</si>
  <si>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</si>
  <si>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</si>
  <si>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</si>
  <si>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</si>
  <si>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</si>
  <si>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</si>
  <si>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</si>
  <si>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</si>
  <si>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</si>
  <si>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</si>
  <si>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</si>
  <si>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</si>
  <si>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</si>
  <si>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</si>
  <si>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</si>
  <si>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</si>
  <si>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</si>
  <si>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</si>
  <si>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</si>
  <si>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</si>
  <si>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</si>
  <si>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</si>
  <si>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</si>
  <si>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</si>
  <si>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</si>
  <si>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</si>
  <si>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</si>
  <si>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</si>
  <si>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</si>
  <si>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</si>
  <si>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</si>
  <si>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</si>
  <si>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</si>
  <si>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</si>
  <si>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</si>
  <si>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</si>
  <si>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</si>
  <si>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</si>
  <si>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</si>
  <si>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</si>
  <si>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</si>
  <si>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</si>
  <si>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</si>
  <si>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</si>
  <si>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</si>
  <si>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</si>
  <si>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</si>
  <si>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</si>
  <si>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</si>
  <si>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</si>
  <si>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</si>
  <si>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</si>
  <si>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</si>
  <si>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</si>
  <si>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</si>
  <si>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</si>
  <si>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</si>
  <si>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</si>
  <si>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</si>
  <si>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</si>
  <si>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</si>
  <si>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</si>
  <si>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</si>
  <si>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</si>
  <si>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</si>
  <si>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</si>
  <si>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</si>
  <si>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</si>
  <si>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</si>
  <si>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</si>
  <si>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</si>
  <si>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</si>
  <si>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</si>
  <si>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</si>
  <si>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</si>
  <si>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</si>
  <si>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</si>
  <si>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</si>
  <si>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</si>
  <si>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</si>
  <si>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</si>
  <si>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</si>
  <si>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</si>
  <si>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</si>
  <si>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</si>
  <si>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</si>
  <si>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</si>
  <si>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</si>
  <si>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</si>
  <si>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</si>
  <si>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</si>
  <si>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</si>
  <si>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</si>
  <si>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</si>
  <si>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</si>
  <si>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</si>
  <si>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</si>
  <si>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</si>
  <si>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</si>
  <si>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</si>
  <si>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</si>
  <si>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</si>
  <si>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</si>
  <si>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</si>
  <si>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</si>
  <si>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</si>
  <si>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</si>
  <si>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</si>
  <si>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</si>
  <si>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</si>
  <si>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</si>
  <si>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</si>
  <si>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</si>
  <si>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</si>
  <si>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</si>
  <si>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</si>
  <si>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</si>
  <si>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</si>
  <si>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</si>
  <si>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</si>
  <si>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</si>
  <si>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</si>
  <si>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</si>
  <si>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</si>
  <si>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</si>
  <si>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</si>
  <si>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</si>
  <si>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</si>
  <si>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</si>
  <si>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</si>
  <si>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</si>
  <si>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</si>
  <si>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</si>
  <si>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</si>
  <si>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</si>
  <si>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</si>
  <si>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</si>
  <si>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</si>
  <si>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</si>
  <si>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</si>
  <si>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</si>
  <si>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</si>
  <si>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</si>
  <si>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</si>
  <si>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</si>
  <si>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</si>
  <si>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</si>
  <si>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</si>
  <si>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</si>
  <si>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</si>
  <si>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</si>
  <si>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</si>
  <si>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</si>
  <si>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</si>
  <si>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</si>
  <si>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</si>
  <si>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</si>
  <si>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</si>
  <si>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</si>
  <si>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</si>
  <si>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</si>
  <si>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</si>
  <si>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</si>
  <si>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</si>
  <si>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</si>
  <si>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</si>
  <si>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</si>
  <si>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</si>
  <si>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</si>
  <si>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</si>
  <si>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</si>
  <si>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</si>
  <si>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</si>
  <si>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</si>
  <si>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</si>
  <si>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</si>
  <si>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</si>
  <si>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</si>
  <si>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</si>
  <si>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</si>
  <si>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</si>
  <si>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</si>
  <si>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</si>
  <si>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</si>
  <si>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</si>
  <si>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</si>
  <si>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</si>
  <si>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</si>
  <si>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</si>
  <si>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</si>
  <si>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</si>
  <si>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</si>
  <si>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</si>
  <si>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</si>
  <si>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</si>
  <si>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</si>
  <si>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</si>
  <si>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</si>
  <si>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</si>
  <si>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</si>
  <si>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</si>
  <si>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</si>
  <si>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</si>
  <si>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</si>
  <si>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</si>
  <si>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</si>
  <si>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</si>
  <si>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</si>
  <si>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</si>
  <si>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</si>
  <si>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</si>
  <si>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</si>
  <si>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</si>
  <si>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</si>
  <si>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</si>
  <si>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</si>
  <si>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</si>
  <si>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</si>
  <si>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</si>
  <si>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</si>
  <si>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</si>
  <si>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</si>
  <si>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</si>
  <si>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</si>
  <si>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</si>
  <si>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</si>
  <si>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</si>
  <si>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</si>
  <si>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</si>
  <si>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</si>
  <si>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</si>
  <si>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</si>
  <si>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</si>
  <si>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</si>
  <si>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</si>
  <si>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</si>
  <si>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</si>
  <si>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</si>
  <si>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</si>
  <si>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</si>
  <si>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</si>
  <si>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</si>
  <si>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</si>
  <si>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</si>
  <si>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</si>
  <si>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</si>
  <si>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</si>
  <si>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</si>
  <si>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</si>
  <si>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</si>
  <si>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</si>
  <si>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</si>
  <si>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</si>
  <si>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</si>
  <si>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</si>
  <si>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</si>
  <si>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</si>
  <si>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</si>
  <si>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</si>
  <si>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</si>
  <si>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</si>
  <si>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</si>
  <si>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</si>
  <si>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</si>
  <si>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</si>
  <si>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</si>
  <si>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</si>
  <si>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</si>
  <si>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</si>
  <si>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</si>
  <si>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</si>
  <si>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</si>
  <si>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</si>
  <si>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</si>
  <si>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</si>
  <si>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</si>
  <si>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</si>
  <si>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</si>
  <si>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</si>
  <si>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</si>
  <si>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</si>
  <si>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</si>
  <si>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</si>
  <si>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</si>
  <si>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</si>
  <si>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</si>
  <si>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</si>
  <si>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</si>
  <si>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</si>
  <si>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</si>
  <si>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</si>
  <si>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</si>
  <si>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</si>
  <si>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</si>
  <si>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</si>
  <si>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</si>
  <si>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</si>
  <si>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</si>
  <si>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</si>
  <si>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</si>
  <si>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</si>
  <si>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</si>
  <si>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</si>
  <si>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</si>
  <si>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</si>
  <si>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</si>
  <si>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</si>
  <si>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</si>
  <si>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</si>
  <si>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</si>
  <si>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</si>
  <si>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</si>
  <si>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</si>
  <si>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</si>
  <si>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</si>
  <si>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</si>
  <si>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</si>
  <si>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</si>
  <si>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</si>
  <si>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</si>
  <si>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</si>
  <si>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</si>
  <si>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</si>
  <si>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</si>
  <si>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</si>
  <si>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</si>
  <si>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</si>
  <si>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</si>
  <si>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</si>
  <si>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</si>
  <si>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</si>
  <si>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</si>
  <si>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</si>
  <si>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</si>
  <si>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</si>
  <si>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</si>
  <si>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</si>
  <si>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</si>
  <si>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</si>
  <si>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</si>
  <si>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</si>
  <si>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</si>
  <si>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</si>
  <si>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</si>
  <si>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</si>
  <si>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</si>
  <si>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</si>
  <si>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</si>
  <si>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</si>
  <si>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</si>
  <si>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</si>
  <si>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</si>
  <si>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</si>
  <si>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t>
  </si>
  <si>
    <t>Final Revision</t>
  </si>
  <si>
    <t>Days Until Exam</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</si>
  <si>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</si>
  <si>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</si>
  <si>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</si>
  <si>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</si>
  <si>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</si>
  <si>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</si>
  <si>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</si>
  <si>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</si>
  <si>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</si>
  <si>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</si>
  <si>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</si>
  <si>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</si>
  <si>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 xml:space="preserve">Why haven't I looked at machine learning on my channel yett…..??? </t>
  </si>
  <si>
    <t>Wow! I can't believe this. I got the elbow effector down down and it workrkrksksksksksksssss!!!!!!!! Okay so the elbow effector works, I got it to work, even if it is a sligh work around, it works, which is the main thing which is hpippyy! Okay now the contact system. Now talking about YouTube you do have the Nueral Network Idea which is quite mad imao, it's amazing idea and will guarantee a lot of views because it's all the hype rn and if you can createa  successfull series out of it then you are just a lad. Okay so self driving cars using the nueral networks, okay okay. We will have to learn all the calculus and since it will be very hard for me I will have an easier time explaining it to my viewers. In the meantime while I am learning that I will release the A* Pathfinding Videos to the Stealth Series to teach people about how to do pathfinding really easily in their games.... Using my own node based system yeah.... Then I will create an editor script to place these nodes so that they auto connect, boom clap clap... Yeah</t>
  </si>
  <si>
    <t>Yet again I feel lost, this game is way too big. I want to keep the idea and the story but it's way too big for me. I have to accept that, the sheer number of assets it would take to create this is enormouse and you have to be smart about this yea, so what you can do is downscale the game. For example journey very simple but one of the best games evr made, so not why re-imagine something like that. The art in the duelist art is beautiful, if you could re-create something like that but with an unique twist, for example you're not actually the player or something. I can create beautiful environments. Let's brainstorm some ideas with the art style of duelist.</t>
  </si>
  <si>
    <r>
      <t xml:space="preserve">Okay I think I can do this, but the problem I am having right now is planning, I actually do not have a clear sense of </t>
    </r>
    <r>
      <rPr>
        <b/>
        <sz val="9"/>
        <color theme="1"/>
        <rFont val="Calibri"/>
        <family val="2"/>
        <scheme val="minor"/>
      </rPr>
      <t>direction</t>
    </r>
    <r>
      <rPr>
        <sz val="9"/>
        <color theme="1"/>
        <rFont val="Calibri"/>
        <family val="2"/>
        <scheme val="minor"/>
      </rPr>
      <t xml:space="preserve"> it's a bit confusing. But I have cleared up the issue, I will go with imaginative worlds like the Duelist has portrayed but I will go for an over the shoulder approach for most of the game to hide. No i am not sure actrually. I think I need to calm down and think of a way I can portray a message throught this idea and how I can actually accomplish this. But until then I will continue to bs and build up Dev Logs</t>
    </r>
  </si>
  <si>
    <t>I know what I am lacking tho…. I am lacking a plan, the idea or the game it's self it not impossible. The lack of planning makes it impossible. I will spend the next 2 days getting a good plan. Don't be lazy on this…. +++ https://www.youtube.com/watch?v=wQmx3vjZSAY.. So my design skills need to improve obviously but you know how the chars have to look. But you need an overall statement of how you will finish the game and the actual story of the game. You carrying a bomb is not interesting..................................... It needs to have drama, action etc...</t>
  </si>
  <si>
    <t>if you w s g p - hollopr.c</t>
  </si>
  <si>
    <r>
      <t xml:space="preserve">The only person that believes in you is </t>
    </r>
    <r>
      <rPr>
        <b/>
        <sz val="9"/>
        <color theme="1"/>
        <rFont val="Calibri"/>
        <family val="2"/>
        <scheme val="minor"/>
      </rPr>
      <t>you</t>
    </r>
    <r>
      <rPr>
        <sz val="9"/>
        <color theme="1"/>
        <rFont val="Calibri"/>
        <family val="2"/>
        <scheme val="minor"/>
      </rPr>
      <t>. No one else does</t>
    </r>
  </si>
  <si>
    <t>So I finsiehd a rough outline of what the game should look like dnow I j</t>
  </si>
  <si>
    <t xml:space="preserve">I really need to re-calibrate. Why the fuck am I being so lazy huh, These two weeks are important and I have to utilise the time. I cannot waste it, 3AM from now, 3-4 I WILL DO MY WORK OR PLAN OUT THE REST OF THE DAY OR LISTEN TO MOTIVATION DOESN’T MATTER GET UP GET READY FOR THE GRIND. AT 5AM PRECISE I WILL BE EXERCISING. DONE THEN GO. SHOWER BOOM INSTANT 
You have a goal for the next two days, figure out the NNET problem, release DEV LOG 2 and I think the new thumbnail and tags really killed it or was it reddit again hahaha </t>
  </si>
  <si>
    <r>
      <t xml:space="preserve">Some Development notes to Self : 
Tools you will need : 
- Substance Editor (This will be amazing for all your objects and really be good)
- Amplify for Unity is the most talked about feature and will really help me (Pirate first then buy)
- Remember to finish all mechanics before jumping into design
- You need to watch lots of tutorials on how to level design and using the lighitng in Unity w/ volumetric lighting
______________________
I need to promote my twitter more and I need to get my facebook verified as well hahaha I need to get more socially involeved like Sykoo who is amazing, he has grown so much with social media marketing. That is how you do it. Grow your twitter following and then create amazing content. I need to learn neural nets because this video will do </t>
    </r>
    <r>
      <rPr>
        <b/>
        <sz val="9"/>
        <color theme="1"/>
        <rFont val="Calibri"/>
        <family val="2"/>
        <scheme val="minor"/>
      </rPr>
      <t>amazing</t>
    </r>
    <r>
      <rPr>
        <sz val="9"/>
        <color theme="1"/>
        <rFont val="Calibri"/>
        <family val="2"/>
        <scheme val="minor"/>
      </rPr>
      <t xml:space="preserve">
</t>
    </r>
  </si>
  <si>
    <t>That video that I watched just changes the way I look at thumbnails, I have a totally new intake on them, the way Sykoo manages his thumbnails is also beautiful. I am going to finish this development log script and pump it out. Then I will dedicate the rest of the day to 
- Learning how I will build the nueral net seris that I have promised
- Learning how to build the ledge climbing system
This system could help you -- https://www.youtube.com/watch?v=y4dLaZ5eK44
Teaches you in depth: https://www.youtube.com/watch?v=262XJe2I2D0
I don't want to release a video on backprop until I understand it fully so I will ask miss brookes but until then I will release a vid using genetic algs which is the bestttt &lt;#</t>
  </si>
  <si>
    <t>I need to look at more of how to actually do genetic algorithms, look at my problem and creata test case based on that. So in other words (PLAN)</t>
  </si>
  <si>
    <t>WHERE THE FUCK THE DISCIPLINE AT EH?
Come back to genetic algorithms in 2 days I need to work on the development log and then my own game. But this YouTube video is important but bro… Genetic algoirthms should be a brease for yoru. It's just this NNET part.RESTARTS AGAINSSS</t>
  </si>
  <si>
    <t>This nueral network video is very important for me, so if I can implement the NEAT algorithm into the car model then I have a way to do this. So let's get started and release that video……</t>
  </si>
  <si>
    <t>Okay so this is my goal and If I accomplish this I am okay, tomorrow I will publish the development log video, the day after that I will reelease an introduction to self driving car with neural entworks, I will explain that I will make a video on other machine learning topics including backpropogation with UNity and NEAT a very famous algorithm with unity but this is just an introduciton.. Explain with good visuals made in photoshop or somehinh... After that I will finish the A* Video for my stealth series, then I will be able to work on my ledfge climbing system......................................... YAS</t>
  </si>
  <si>
    <r>
      <t xml:space="preserve">Listen to motivation what the fuck, I need to get up and not waste this precious time. Sleep at nine wake at 3. Done no excuses or extending that damn period got it??
Okay so this is how it's gonna go. Priority list right -&gt; Okay so first prioirity is to finish recording the A* video for the Stealth Series and Edit that along side the Development Log video (Which you shoiukld re-record) and then publish both those videos and do some quick marketing on that. Once you finish those videos, you have the entire time left to work on the ledge climbing system, and an emininent video is going to come out on that so once you finish that system make sure to tutorialise it. Mean whiel you will improve your genetic algorithm to do slicing etc..but you will only work on that once you have finished the A* and Development Log. No touching machine elarning until those are done. You have to wake up at around 3 am from now so to do that and not waste </t>
    </r>
    <r>
      <rPr>
        <b/>
        <sz val="9"/>
        <color theme="1"/>
        <rFont val="Calibri"/>
        <family val="2"/>
        <scheme val="minor"/>
      </rPr>
      <t>7 hours</t>
    </r>
    <r>
      <rPr>
        <sz val="9"/>
        <color theme="1"/>
        <rFont val="Calibri"/>
        <family val="2"/>
        <scheme val="minor"/>
      </rPr>
      <t xml:space="preserve"> you must sleep at 9</t>
    </r>
  </si>
  <si>
    <t xml:space="preserve">I want the dev logs to have a differentiation factor and I believe what that can be is animations, like really good aniamtions that go along with the script during the time when there is no actual footage to show. So I would like to learn howt to do ze animation in order for me to become a boss. Thank god. This keyboard feels legendary wtfffffff nice i love it imao.... So I belive If i dont release this video today it will carry on tomorrow and we will have to postpone the A* video slighlty in order for us to get our shit together because i still need to actually finish developing the A* alogirhtm, I am just confident I know how to do it. But there is a lot of animational capabilities for the A* video so that will be good. Everything else is going pretty fine so yeaeaaaa thats good ;) </t>
  </si>
  <si>
    <t xml:space="preserve">Holy shit the blog is getting a lot of traction so I need to make sure I am updating on the blog, on twitter, on youtube :)) I can do thiss :) Let's go </t>
  </si>
  <si>
    <t xml:space="preserve">The next two days that I have planned are extremely goal oriented and will get me closer to my end of the 2 week goal, which is releasing the two videos. So I will release the Dev Log and begin work on that once I exercise today ………… Remember who to tell Bday tooo
F HER IM DONE. I'm moving on. If someone treats you that shit you don't need to put up with them. You know that channel that does game development tips?? Yeah do animations like them when you  dont have any footage to show + show some stockky looking footage... :) </t>
  </si>
  <si>
    <t>Yo we could do sick animations like blood and stuff and scrunch up paper for that sound effect like a person getting torn in half..?? (NAH JUST SIMPLE ANIMATIONS FAM) KEEP IT SIMPLE… But We can make the dialogue really funny and moving around…. We can do funny camera zooms etc...</t>
  </si>
  <si>
    <t>Fucking retard sleep at 9 whats your problem this is what you get if you don’t boom</t>
  </si>
  <si>
    <t>https://www.youtube.com/watch?v=tEIUWZ8jXYY</t>
  </si>
  <si>
    <t xml:space="preserve">This song made me realise that you need to be a beast. You need to work hard there is not asujhccess withouti work ethic. You need to exefcise like a mad man. Okayt fuck what they say, we are goingt o make a living with YouTube making games and get filthy rrich scew this. It's over I am going to goddddddd level. </t>
  </si>
  <si>
    <t>If I want to go to america I have to blow her away with a beautiful website. Welcome to the good likfe</t>
  </si>
  <si>
    <t>My next move is to build the world optimiser in NeFARIOUS and release an epic A* tutorial video teaching people how to make pathfinding of their dreams. I WILL DO THIS. This will be good… Don't do it for the views do it for the game like it was about originally</t>
  </si>
  <si>
    <t xml:space="preserve">Honestly the game is a waste without the open world optimisation so can you begin that today and if you can create a tutorial on that as well and it will more importantly help your game. FUCK THE A* for now. It's not working and it's okay fuck it fuck it
Tomorrrows world optimisation : 
Open World Building
    Custom World Streaming
        Using the Scene Manager 
        Custom LOD techniques
    Foilage Optimisation
        GPU Instancing
        For each scene build a txt file of pre-positioned foilage 
            Load them in dynamically by reading
    Job System
        Dynamically Loading Scenes into game
    World Builder
        Editor Window that manages ^^^^
        Works in conjunction with CRP 
            CRP tells the World Builder how to contruct the world
        OC 
    This needs to be further broken down when the time comes to do this Sprint
</t>
  </si>
  <si>
    <t>By the end of the holidays I must have finished the A* video series which is going to be amazing, I will also have finished the website which is important. I need it to be very stylish. I also need to have made some decent progress on the world builder in order to be able to talk about something inside the development logs, I can dedicate the entire video on that next time. Next time on the development logs I want to talk about more on how I did certain things and not just what I did. I also will shut the F up about subs yeah. I will use this week wisely.</t>
  </si>
  <si>
    <t>Okay so my new goal list for the end of this week - Have a working A* grid managing pathfinder that you can show off to the world and make an intense tutorial about it but with many visuals like sebastian lague explaining the heuristics and how we will make everything work.
Then I will be working on the world manager and I really need a planning sheet right now, I feel lost. AGILE PLANNER DOESNT WORK ahahaha I realise now..</t>
  </si>
  <si>
    <t>Trello will work with all the extensions hahahaha, from now on I will have to use PlanAway (free) to put events on there. With the chrome extensions I can use trello now and I will think about buying it once I make some $$ -- - so what am I going to do todayyyyy --- wlll I will finisht he A* algorithm for me, then I will begin story baord and my world optimisation system but think about it -- if you finisih world optimisation themn you dont have to wory at all. You hae finished.</t>
  </si>
  <si>
    <t>I need to seriously start looking into this ACT stuff because I will go to unviersity of California of masachusets so for that I will prepare. This term I will be focused and cull out the distractions.</t>
  </si>
  <si>
    <r>
      <t xml:space="preserve">I really have to learn to come to reality yes? I will begin the ledge climber system today and honestly take it sprint by sprint. I don't want to go over board killing myself because I don't know how to do stuff. The A* System I am going to create it for </t>
    </r>
    <r>
      <rPr>
        <b/>
        <sz val="9"/>
        <color theme="1"/>
        <rFont val="Calibri"/>
        <family val="2"/>
        <scheme val="minor"/>
      </rPr>
      <t>me</t>
    </r>
    <r>
      <rPr>
        <sz val="9"/>
        <color theme="1"/>
        <rFont val="Calibri"/>
        <family val="2"/>
        <scheme val="minor"/>
      </rPr>
      <t xml:space="preserve"> and then I will release it to YouTube based on what I feel. That's how I will grow, not by releasing what they want but by releasing what I want. Also for the development logs from now I will extend it's lenght by much more by explaining how I manage my systems in stead of just saying what I did. I also need to finish this website for school which is pre important so I will get that done as well. But other than that I can relax for an hour before I have to begin the grind.</t>
    </r>
  </si>
  <si>
    <t>Just think about it ajay once you finish all the systems that you have on your Trello then you have developed all the mechanics required for you to just begin designing the game and puttign everything together. Imaging how amazing that would be… Especially the NPC stuff then you would have all the control. The pathfinding algorithms you just have all the tools required and then you put it all together with the models, then you will just have to do a bit of animational scripting but your entire focus can be on that.</t>
  </si>
  <si>
    <t>I nedd to get my shit together. Discipline is the key no? Why are you losing motivation what's going onn. What is my game. I am questioning the idea of the game? Should I not make a simpler game like an easy runaway hit game..? Feel like this game is too complicated and over my head type yknow -- okay so what type of game would you like to make then?? I can make this open world game in the background but in the foreground I should create a game that I would like to play like a stealth based game but the obstacle I always have is that level based games never make it...</t>
  </si>
  <si>
    <t>I don't want to focus mechanic by mechanic. I want to get an idea and rapid prototype it into a vertical slice and allow my friends to play a very beta version of it and put it into it…</t>
  </si>
  <si>
    <t>There's also the idea of an open battle royal where AI are dropped in and realistic combat with stealth put in but it's a bit weird… So I need to figure out what I ened for a vertical slice and I will begin building it…
Alright happy birthday but this vertical slice will really help you visualise the game and how you can create it, I will begin witht he player development and making sure that it is up to scratch. I will not get too caught up with IK, I don't even want it to be a part of the vertical slice. I will completely manage that whence I finish the vertical slice....
Imagine how motivational it would be to have my player finished with a ledge climbing system,  and combat system with animations attached!!! Lets do it, but before that i need a design for my player</t>
  </si>
  <si>
    <t>I need a very intense story line and a way to fill up the game into a beautiful and compelx story and you must use stealth systems like in hitman with smoke grenades and flashes like in hitman with a combat system like Absolver w/ weapons such as arrows and aiming systems. Beautiful dialogue systems.... We need to figure out what a vertical slice level looks like with all of these aspects into one small little mission that people can play and give you some motivaiton -- Absolver is a great game but it doesnt have a story but my game will, and that's the story. I don't want it to be a large open world okay I need it to have many intricately smaller missions that lead into bigger ones etcc. Alll with an epic story tied to the top but before I can get there I need to finish the vertical slice in order to give me a sense of waht the game isssss</t>
  </si>
  <si>
    <t>Okay this is amazing. Clarity seeking time okay…. So lets talk about YouTube for a second okay -- This is YouTube clarity.. I will not be releasing a pathfinding tutorial on my channel infact the next tutorial I post willa ctually be about the next thing I develop for my gamewhich currently is the player which I will import and add a ledge climbing system too.</t>
  </si>
  <si>
    <t>So I will be creating the vertical slice which will be a realistic castle place where my palyer (fully modelled and animated) will be able to ledge climb around, fight enemies with a realistic combat system where he will be able to learn new attacks and shit and use stealth tactics to kill enemies and stuff. It will look v beautiful with volumetric fog and shit. I am currently working on the player model which i will beautifully texture, animate, rig and IK and properly attach animations to it with referencing IK poses that will display where the foot is about to land and cool stuff like that so with that I can use some cool IK to pull the foot down and stuff. But I will be making some awesome stuff.</t>
  </si>
  <si>
    <r>
      <t xml:space="preserve">In terms of the game, The game will no longer be just a forest… It will be a large open world with many many places to interact with and missions that </t>
    </r>
    <r>
      <rPr>
        <b/>
        <sz val="9"/>
        <color theme="1"/>
        <rFont val="Calibri"/>
        <family val="2"/>
        <scheme val="minor"/>
      </rPr>
      <t>will have something to do with the game story</t>
    </r>
    <r>
      <rPr>
        <sz val="9"/>
        <color theme="1"/>
        <rFont val="Calibri"/>
        <family val="2"/>
        <scheme val="minor"/>
      </rPr>
      <t xml:space="preserve"> in order to enter that dimernsion you will have to get this and this and to get this and this you will have to do this and this at this place liek that I want it liek that. The dialogue sysem will beautiful with beautiful weather systems and JUST EVERYTHING WILL BE BEAUTIFUL I LOVE THIS GAME&gt; I TIW ILL BE THE BEST. I need a deeeeeeeeeep asf story tho and I still need to know for sure If I am going to implemetn tthe side character or not or if he will over complicate things. I need to know </t>
    </r>
    <r>
      <rPr>
        <b/>
        <sz val="9"/>
        <color theme="1"/>
        <rFont val="Calibri"/>
        <family val="2"/>
        <scheme val="minor"/>
      </rPr>
      <t>how much freedom</t>
    </r>
    <r>
      <rPr>
        <sz val="9"/>
        <color theme="1"/>
        <rFont val="Calibri"/>
        <family val="2"/>
        <scheme val="minor"/>
      </rPr>
      <t xml:space="preserve"> the character should have or if it should just be like ABSOLVER where it is open world but it has set paths that you can take you cant just do whatever the f you want, which 100% reasonable you can make quite large worlds with that type of mechanic and it would be much easier to control, but then it would feel slrightly restricting, but we can play with it and see both ptions are available. Let's just focus on the player now, ledge climbing, stealth mechanics, strafing , ttack and I wanta  beaitful player mdoel which will just be amazinnnn</t>
    </r>
  </si>
  <si>
    <t>Discipline
Knowledge - Coding Knowledge 
- ACT Knowledge
Curiosity
Strength
Integrity (the quality of being honest and having strong moral principles.)
BE THE HERO OF YOUR OWN LIFE YOU GOT THIS</t>
  </si>
  <si>
    <t>So for now I will be working on the player making the model perfect getting the animations on him and actually progerssing and not making useless mechanis that I wont be able to see the result off. I need the player to be ablet o move around and implement the mechanics on to him so I will work on that and share my model creation next time. I will add lots of cool clothes, items and textures to him . I need to learn about how to texture that model then I also want to learn how to light scenes properly in Unty</t>
  </si>
  <si>
    <t>Wow okay what do I need to change abouttt meeee???? AS IN WHAT ABOUT MY MIND AND VALUES DO I NEED TO GROW?? Theres only 2 things to work on ACT, WEBSITE &amp; OFCOUSE PLAYER (SO 3 SORRY I CANT COUNT)</t>
  </si>
  <si>
    <t>You need to make the ledge controller</t>
  </si>
  <si>
    <r>
      <t xml:space="preserve">Okay so this bank roberry game, will allow people to be in a a small radius of this building where the bank is, I will allow for intricate building of the banks by other users where they can publish the levels and create new objects, like guns etc… They will be able tos hare all the content through a medium like a store etc... The more </t>
    </r>
    <r>
      <rPr>
        <b/>
        <sz val="9"/>
        <color theme="1"/>
        <rFont val="Calibri"/>
        <family val="2"/>
        <scheme val="minor"/>
      </rPr>
      <t>approved by community</t>
    </r>
    <r>
      <rPr>
        <sz val="9"/>
        <color theme="1"/>
        <rFont val="Calibri"/>
        <family val="2"/>
        <scheme val="minor"/>
      </rPr>
      <t xml:space="preserve"> banks you rob the higher your aresenal gets and you can rob more banks with more efficiency, steal more money have a quicker time and get your name on the leaderboards. It will be an interactive community... The main cores of this game include hitman like features like dragging bodies, disguising etc.. But I want my own take with the ability to really parkour with wall climbing etcc, the smoke bombs, flashes, lasers everything open. Everything in the environment is interactable including security cams which you may have to hack, no bullshit like hacking with your phone, you will need to go down and dirty. You can go in guns blazing, or you can keep your stealth up and social engineer your way in or even really stealth it out. But in order to give a sense of challenge you will have to pay for the items you want to take into the next mission and if you loose it, then you loose that money as well.... </t>
    </r>
  </si>
  <si>
    <t xml:space="preserve">I will write the game design document right now and I won't sleep for the rest of the day I just got a new idea and I am bound to finish it fuck sleeping yea </t>
  </si>
  <si>
    <t>Design</t>
  </si>
  <si>
    <t>Mechanics</t>
  </si>
  <si>
    <t>Detailed</t>
  </si>
  <si>
    <t>Other</t>
  </si>
  <si>
    <t>Other #2</t>
  </si>
  <si>
    <t>Description</t>
  </si>
  <si>
    <t>Player Design &amp; NPC Base Design</t>
  </si>
  <si>
    <t>Detailed Models &amp; Clothing Systems for interchanging clothing between NPC * Character</t>
  </si>
  <si>
    <t>Player Blend Animations</t>
  </si>
  <si>
    <t>Every single animation ( Make blend list and animation tree ) -&gt; Pivot, Walk, Run, Strafe, Jump, Fall</t>
  </si>
  <si>
    <t>NPC Systems</t>
  </si>
  <si>
    <t>Dialgoue Systems</t>
  </si>
  <si>
    <t>Parkouring Systems</t>
  </si>
  <si>
    <t>Heist Planning System</t>
  </si>
  <si>
    <t>Blueprints</t>
  </si>
  <si>
    <t>Distraction System</t>
  </si>
  <si>
    <t>Cloth Disguising System</t>
  </si>
  <si>
    <t>Ragdoll Body Draggin Systems</t>
  </si>
  <si>
    <t>Object Interaction Systems</t>
  </si>
  <si>
    <t>Weaponary Systems</t>
  </si>
  <si>
    <t>I need to : 
- Plan different menu levels
- Plan the stages up to the scene
- Where do you spawn
- How do you complete the objectives
- Are there employees, if so what role will they play ?
- How are the different ways you can fail
- It's an indoor based game is a ledge climber needed?
- What systems are most improtant
- How will you create each system and how long will it take
- You need to tactically sit down and plan the first level
- Plan all the differnt ways the level can be completetd 
- All the tools required to finish this level &amp; what mechanics
- All scenarious &amp; dialogues
- How you will create this mini level all the way from the menu to customisation to in-game spawning to finishing
- What does the UI look inside the game what information will it indicate?
- The weapons are effective for the first levels after that the harder levels require a lot of stealth because the NPC's don't give a shit who you are they will gun you down easily.
- Different ways to open the bank (Forcing an employee? Stealing the key? C4ing? Hacking? Getting clues?)
- How is this game extendable? Can you customise your player?
- Watch GTA Heist and figure out how they do things and where they lackkk</t>
  </si>
  <si>
    <t>Lets do this. This is a real game. People can interact more with this game…. It's something that you can get out there within 5 months and why the hell would you turn that down…
My mind is against me… Just remember that</t>
  </si>
  <si>
    <t>Theres a lot to plan for this game, like what each interaction is and different ways the player could approch each map, I have decided that employee NPC and Ledge Climbing will be included inside the game so that’s a thing. But there is so much to plan like I don't even know where to start, I believe we should make a comprehensive list of all the features &amp; things like --- NPC, then ITEM BUILDING etc... and then rank them by some order and begin that game and go mindlessly through the dust and finish the game. I need to finish a vertical slice of the stealth game so that my friends can play through as well. I need and will do this</t>
  </si>
  <si>
    <t>Yay let's get through this day with some beautiful music and 2 hours of sleep. This is life and I will make sure to plan out the game today so that I can begin the game by Monday… :) I know that you are a bit mad that you haven't been able to continue the previous game but all the efforts that you put into it are not wasted they can still be worked on using the mechanics of this game that I am building. But i have deep down always wanted to create a bank robbery game so why the hell not do it huh?</t>
  </si>
  <si>
    <t>Welcome, today I need to learn to wake up earlier ~ I can wake up to the alarm it's just you keep falling asleep, you need to push yourself and if you want go and exercise as soon as you wake up and it may wake you up and you won't have to exercise for th</t>
  </si>
  <si>
    <t>We hit the gym at 7 am so that I can ride my bike there and do a bunch of bench presses and try and increase that max total of weight that you can lift. I will begin the NPC System.. Well the NPC system is going good, but the problem is the player controlelr I iwl have to take a day to re-write the entire system. I have the basics but I have screwed up majorly somewhere along the line.. Im so stupid I will continue to build up my game but why not I be a udemy course instructor as well!! I will teach people how to build stuff in Unity</t>
  </si>
  <si>
    <t xml:space="preserve">Now that I got my high I don't need to play that game anymore I need to work. O I will work on the website and make it as beautiful as I want installing new fonts etc.. Then I will make </t>
  </si>
  <si>
    <t>Im starting to piss mylife away again. Tomorrow I wiill have the perefect day. Full work.The NPC's are very important towards this game but you have to make the editor for the NPC it is the most crucial part of the entire process I need a good editor that can communicate and make decisions. The graph get's</t>
  </si>
  <si>
    <t>Things to manage</t>
  </si>
  <si>
    <t>Other Importants</t>
  </si>
  <si>
    <t>Planning for the ACT Exams</t>
  </si>
  <si>
    <t>Revising Regularly</t>
  </si>
  <si>
    <t>Publishing Blog Posts</t>
  </si>
  <si>
    <t>Releasing Development Logs (Planned)</t>
  </si>
  <si>
    <t xml:space="preserve">Goal is 100 hours and the reward is to relax an entire day </t>
  </si>
  <si>
    <r>
      <rPr>
        <b/>
        <sz val="11"/>
        <color rgb="FF00F66F"/>
        <rFont val="Calibri"/>
        <family val="2"/>
        <scheme val="minor"/>
      </rPr>
      <t>Homework</t>
    </r>
    <r>
      <rPr>
        <b/>
        <sz val="11"/>
        <color theme="1"/>
        <rFont val="Calibri"/>
        <family val="2"/>
        <scheme val="minor"/>
      </rPr>
      <t xml:space="preserve">, </t>
    </r>
    <r>
      <rPr>
        <b/>
        <sz val="11"/>
        <color rgb="FF92D050"/>
        <rFont val="Calibri"/>
        <family val="2"/>
        <scheme val="minor"/>
      </rPr>
      <t>Nefarious</t>
    </r>
    <r>
      <rPr>
        <b/>
        <sz val="11"/>
        <color theme="1"/>
        <rFont val="Calibri"/>
        <family val="2"/>
        <scheme val="minor"/>
      </rPr>
      <t xml:space="preserve">, </t>
    </r>
    <r>
      <rPr>
        <b/>
        <sz val="11"/>
        <color rgb="FF00B0F0"/>
        <rFont val="Calibri"/>
        <family val="2"/>
        <scheme val="minor"/>
      </rPr>
      <t>App Development</t>
    </r>
    <r>
      <rPr>
        <b/>
        <sz val="11"/>
        <color theme="1"/>
        <rFont val="Calibri"/>
        <family val="2"/>
        <scheme val="minor"/>
      </rPr>
      <t xml:space="preserve">, </t>
    </r>
    <r>
      <rPr>
        <b/>
        <sz val="11"/>
        <color rgb="FFFF2929"/>
        <rFont val="Calibri"/>
        <family val="2"/>
        <scheme val="minor"/>
      </rPr>
      <t>YouTube (NEAT</t>
    </r>
    <r>
      <rPr>
        <b/>
        <sz val="11"/>
        <color theme="1"/>
        <rFont val="Calibri"/>
        <family val="2"/>
        <scheme val="minor"/>
      </rPr>
      <t xml:space="preserve">), </t>
    </r>
    <r>
      <rPr>
        <b/>
        <sz val="11"/>
        <color theme="8" tint="-0.249977111117893"/>
        <rFont val="Calibri"/>
        <family val="2"/>
        <scheme val="minor"/>
      </rPr>
      <t>Udemy Course &amp; Growing Social Media</t>
    </r>
  </si>
  <si>
    <t>Max attention span is 1.5 hours - 2.0 hours</t>
  </si>
  <si>
    <t>Working on the Licence</t>
  </si>
  <si>
    <t>I don't know how I feel anymore</t>
  </si>
  <si>
    <t>Alright I might be going through depression but Idc anymore okay. Alright so what I need to do is pretty clear - fuck making apps okay, that's going off track. You are going to make sure that you are focusing on game development  --- but you can branch of this into many different categories right --- BUILD UP YOUR WEBSITE (MAKE IT BIG) + WORK ON YOUTUBE CHANNEL + WORK ON A PREMIUM UDEMY COURSE.. Make the branch now</t>
  </si>
  <si>
    <t>Install Code Blocks
Finish the website for ComSci</t>
  </si>
  <si>
    <t>Revise the past tense for Spanish &amp; learn how it works -- but I believe I should wait…</t>
  </si>
  <si>
    <t>I need to go much much higher level thinking, what skills do you have --- Game Development but what can you learn  C++ , Unreal and many other things. What can I do with skills--- I can build the next best game development teaching site… I will finish the bank roberry game which I can make very realistic -- then I will be able to release it on steam &amp; have the website to be my development &amp; teaching log. I will publish on YouTube and grow there.... But where am I going to go from there, that's still only avg what is my purpose. ------------------------------------------------------------------------------------------------------------------------------------------------------------------------------------------------------------------------------------------------------------------------------------------------------------------------------------------------------------------------------------------------------------------------------------------------------------------------------------------------------------------------------------------------------------------------------------------------------------------------------------------------------------------------------------------------------------------------------------------------------------------------------------------------------------------------------------------------------------------------------------------------------- what -------------- is -------------- my -------------- purpose</t>
  </si>
  <si>
    <t xml:space="preserve">You can't look up tto the top of the staircase right now, you just have to take the next step and hope it goes well like I said I have it all planned out -- succed in game dev release this game get it on steam, use money from that &amp; website &amp; YouTube to invest in houses -- work on that for 5 years and really build up a fortune. Invest that back into building some new technolgy hit a billion and retire. :) </t>
  </si>
  <si>
    <t xml:space="preserve">Finish the NPC Editor then you can build the NPC's then you will be able to conitnu eon your work… Then after that you will just have to program the AI using the editor then that will mean that most of the game is done. Then you work on the player controller </t>
  </si>
  <si>
    <t>EPIC FOR MOTIVATION : https://www.youtube.com/watch?v=iZVjofdBw14</t>
  </si>
  <si>
    <t>Patience is important. Are you going to run from your game every time, huh? Are you going to keep running??????????????? I am going to finish this game no matter what. I have the game idea, I have everything why the fuck should I give up now. Listen to this -- https://www.youtube.com/watch?v=lsdqxeb9oMI... From now have a plan for the week and say how it contributes to the end result. Have a clear idea of what the game is.</t>
  </si>
  <si>
    <t>I have been putting off the simple things that make my life better. From now I am going to imply discipline and gratitude into my life..</t>
  </si>
  <si>
    <t>MAP</t>
  </si>
  <si>
    <t>PRE-DEV</t>
  </si>
  <si>
    <t xml:space="preserve">Building the Map </t>
  </si>
  <si>
    <t>Story Boarding</t>
  </si>
  <si>
    <t xml:space="preserve">I need to focus on a couple of different things :
- YouTube Channel
- Website
- Nefarious
- IB 
- Licence
The more effort the more you will get out of life for example I didn’t feel like doing the licence maybe actually try and use the five second rule. Like now i need to get the clothes 5 4 3 </t>
  </si>
  <si>
    <t xml:space="preserve">The goal is to quickly finish the ledge climber system and then you can work on the NPC System then you can work on the level design and story boarding then we can really have the base systems down pat and begin the real development. Once you finish the first two steps you will release the next development then after that is the next steps....
Look aight finishing nefarious shouldnt be just some priority okay your parents believe in you that you will finish this darm game so finish it. Like the famous quote said don't look at the top of the stair case. Just look at hen next step and see how to solve that...
Effort is the cure all.. I am not currently puting in enough effort but that can change like that... so I will work work work
The 5 second rule does work and like that lady said once you start what they find is that it is really hard to stop and 2 hours gone like that. I managed to find the relative Vector to all the objects in the scene now I just need to find out if it is facing forward relative to the player or to the right then I will be albe to shimmy across any ledge no problem. Job well done, today went pretty good so I am quite happy with that. I love my selffffffff :)))  </t>
  </si>
  <si>
    <r>
      <t xml:space="preserve">You need to build up your channel by adding new exciting content that peop[le will be interested in watching…
You need to re-build your website so that it can support tutorials and development logs beautifully.
Nefarious
- Every week you need to work on a pre-development feature and a development feature
For example this week you should work on the </t>
    </r>
    <r>
      <rPr>
        <b/>
        <sz val="9"/>
        <color theme="1"/>
        <rFont val="Calibri"/>
        <family val="2"/>
        <scheme val="minor"/>
      </rPr>
      <t xml:space="preserve">Map Development </t>
    </r>
    <r>
      <rPr>
        <sz val="9"/>
        <color theme="1"/>
        <rFont val="Calibri"/>
        <family val="2"/>
        <scheme val="minor"/>
      </rPr>
      <t xml:space="preserve"> and the </t>
    </r>
    <r>
      <rPr>
        <b/>
        <sz val="9"/>
        <color theme="1"/>
        <rFont val="Calibri"/>
        <family val="2"/>
        <scheme val="minor"/>
      </rPr>
      <t>Ledge Climber System</t>
    </r>
    <r>
      <rPr>
        <sz val="9"/>
        <color theme="1"/>
        <rFont val="Calibri"/>
        <family val="2"/>
        <scheme val="minor"/>
      </rPr>
      <t xml:space="preserve">
or </t>
    </r>
    <r>
      <rPr>
        <b/>
        <sz val="9"/>
        <color theme="1"/>
        <rFont val="Calibri"/>
        <family val="2"/>
        <scheme val="minor"/>
      </rPr>
      <t>NPC System</t>
    </r>
    <r>
      <rPr>
        <sz val="9"/>
        <color theme="1"/>
        <rFont val="Calibri"/>
        <family val="2"/>
        <scheme val="minor"/>
      </rPr>
      <t xml:space="preserve">
In terms of the licence I will need to work on the licence
IB I need to focus on homework and assignments boom
___________________________
One of your goals is 1000 subscribers to WORK and STRIVE towards it ... Like those motivational videos said. Consistency and persistance in the ideas that you form will lead to eventual success. Not immediately. But surely. You got this ajay I love you.</t>
    </r>
  </si>
  <si>
    <t>Woah I'm not really talkin to myself anymore am I? Well I am focusign a lot in school and I am realising that I can keep up with the content if I try and well I am smart. I know this. Well talking about Nefarious. Your sub base is increasing so expect more views I am extremely happy at this rate I will hit atleast 500 subs by the end of aug... which is pre cool. But I will release a video on the ledge climbing and everything else I have done (research on map development etc..) and the play for th ledge climber system i will explain how I am going to do it. But in terms of actually doing I will be creating the editor to select verticies which I am slightly maybe maybe putting off. But yea</t>
  </si>
  <si>
    <t>Finish the ledge climber
Create Dev log
Create blog post
Create Udemy Course
Continue Next part of Game</t>
  </si>
  <si>
    <t>NEFARIOUS : 
- I will begin the ledge climbing editor
- I will begin the video on what I did so far and explain the systems
Licence 
- I will read through the document once more and next week I will do the exam
James Game
- I will create a step by step plan and visualise the game
- I will setup the GIT repo
- Will create the project and work with Edwin to create the models
IB
- I will study for physics through one note and become well veresed with concepts
- I will go forward in math and make sure I understand all concepts and learn logs
- Write the speech for Spanish fully and paractice (don't delay)
Life
I will wake up at 3 at least 4 times this week</t>
  </si>
  <si>
    <t>You need to work for your comfort and relaxation… Take one relax day for every 4 days of hard amitious work</t>
  </si>
  <si>
    <t>So purpose, very compelx topic -- You cant just find it. For now focus on your game, your work and try make meaning from that and grow from there. Be that kid who made the million dollar game and using that money find your purpose. What do you love to do . But grind it out first. Mark Cuban' spurpose wasn't to make Broadcast.com that didn't help anyone didn't make him great but he imporved with the money that he got. That's how you do this</t>
  </si>
  <si>
    <t>Okay I need to get a move on with all my work, this game is my escape but you're treating it as if it some second thing to you because of how long term it is. From now on I will pick one task and set  FIRM DEADLINE…</t>
  </si>
  <si>
    <t>Also work on Jame's game it will be fun -- you are not putting 100% yet. I sleep today at 9:30 I wake at 2: 40 and I wil lbegin the editing, I will leave to school tomorrow for the 8:24 train? So work till 6:30</t>
  </si>
  <si>
    <t>Okay sick so we need to finish the ledge climber by dead line but there is a problem with the relativity of points, I need to fix that once that is done I have all the points, then I need to manage connection creation between points and direction management. So once connections are done I need to map input from a point to detect which point to go next to - normalise direction and find distance between Vector3 input etc... Next just move / rotate the player along those lines, and the last thing would be managing dismounts and then writing a quick post on it then you're done. You can move on.</t>
  </si>
  <si>
    <t>In terms of the video the script is much better and the editing can be sick asf this time. I got this don’t worry</t>
  </si>
  <si>
    <t>Cool. Next step is to record the entire audio which I can do sometime in the day after tomorrow. I fixed the relativity issue - well techinically I found a better workaround imao. Well - now the issue is player detection, I need to find a way to properly detect this type of stuff and the best thign i think is to check for collisions on player forobjects with ledge comps and then check if it --- or try auto segmenting and use the current function to check for the closest latch on point and attach there, then you are in. Hard part is drop down points --- we will see tomorrow imao</t>
  </si>
  <si>
    <t>I am happy with my progress today but I need to buckle down and do the spanish imao. I need to fix it, create the presentation, make it a bit more intereting, print, make notes and revise para by para.</t>
  </si>
  <si>
    <t>Alright so I have two problems now, one is easy to fix (the ledge loop check must be done within the ledge not the COBJECT because, remember every object can have multiple ledges - this same logic needs to be aplied where finding best point, you need to find the best poitns for each ledge and then compare between ledges and see which points suit the best then find the 10 mediocre points... Once you finish this small issue - then you can go onto creating and visualisting connections- then work on snapping the player to ledges - then you can work on mapping input to a movement along a connection and move the player along the connection - then you can manage mounting and dismounting - which are going to be two big things - mounting especially needs to be managed with the 10 points --- dismounting will also be snapped ---- then make the distance of the mediocore points based on arm span -- Then you will be able to move on because you have a ledge climber that you can traverse over - I should finish before my dead line --- I also need to work on jame's game and the licence and the development log which I will finish the script for tonight -- with that awesome hack with the mic now I can get prof qual - Plus I love BTS</t>
  </si>
  <si>
    <t>In terms of IB , this Friday, sat and Sunday I need to dedicate time to doing the spanish so I can be confident during the day - &gt; I also need to spend time doing some numerical physics questions, some maths index questions so I can strengthen that area (using the calculator for graphs as well) and for comp sci i need to do all the challenge sets with flow charts so I can impress the teacher.</t>
  </si>
  <si>
    <t>Wow I just realised how important morning rituals and night rituals are. Meditation -- clarity --- pain and hardwork</t>
  </si>
  <si>
    <t xml:space="preserve">Ledge connections have to be based on previous ledge points defined inside the ledge class --- </t>
  </si>
  <si>
    <t>To this it is a complex task - I will have to : 
- Do the normal face select but then check if the object already has a ledge in which the vertext of that index is taken up and if it is a ledge button will be created there and you will be able to connect it with other objects. 
Then you need to check if two seleced objects are on the same ledge and if they aren't they will be connected, if they are on different ledges then all the other points will be connected to it : approx time : 1 hour 30 mins</t>
  </si>
  <si>
    <t>quit wazsting time</t>
  </si>
  <si>
    <t>shit weekend fuck this I cant record in the boxp</t>
  </si>
  <si>
    <t xml:space="preserve">I NEED TO CALM DOWN </t>
  </si>
  <si>
    <t>RELX</t>
  </si>
  <si>
    <t xml:space="preserve">The game is not about uilding money - it's about creating a meaninful story through design, story telling etc… </t>
  </si>
  <si>
    <t xml:space="preserve">Total Hours </t>
  </si>
  <si>
    <t xml:space="preserve">Computer Science Notes : 
- For challenge set two I have to create a psuedocode for one challenge and a flowchart for one and code it, for the other challenge sets pick three challenge sets - one psuedo code, one flow chart &amp; one coded alone… but all of them need to have code -- </t>
  </si>
  <si>
    <t>Don't worry too much about the highnes of quality it will be masked by the content so do not worry - just get the video out there and we can focus on the audio throughout the period of releasing the next videoooo</t>
  </si>
  <si>
    <t>How to get high quality attachment</t>
  </si>
  <si>
    <r>
      <t xml:space="preserve">Okay so I need to talk about commitment - to be a good leader you must gain the trust of others and to do that you must keep your commitments 000 one such commitment is Jame's game and you </t>
    </r>
    <r>
      <rPr>
        <b/>
        <sz val="9"/>
        <color theme="1"/>
        <rFont val="Calibri"/>
        <family val="2"/>
        <scheme val="minor"/>
      </rPr>
      <t>will keep that. I make a promise to myself that I will make him happy.... despite what I feel</t>
    </r>
  </si>
  <si>
    <t>So the idea of the game is that you are installing a program but unfortuantely it has a virus attached to it, so you have to filter out the virus by placing blocks while trying to still install the good program -- you can use many techniques and it will be very puzzle oriented ---- -:))</t>
  </si>
  <si>
    <t xml:space="preserve">SPANISH - PAST REMEMBER THE CONJUIGATIONS ____ + NEW VOCAB </t>
  </si>
  <si>
    <t>AUDIO RECORDING</t>
  </si>
  <si>
    <t>One who cannot master himself, can never master others.</t>
  </si>
  <si>
    <t>I really feel like you aer taking your time with the game and I am not happy with this type of effort. I need a higher level of planning to know how the vertical slice is gonna look - stop worrying too much on mechanics and lets get to it</t>
  </si>
  <si>
    <t>CHSET 4 and 5</t>
  </si>
  <si>
    <t>Best procrastination technique is to use the POMODORO technique which you set a timer for 15 minutes and within that timer you ARE NOT ALLOWED TO DO ANYTHING and  you must just get started. After 15 minutes you may choose to reward youserlf for 10 minutes (which you set a timer as well) or you may choose to continue working for another 15 minutes in which you set a timer as well. By setting timers you allow yourself to not get caught up in distractions and remind yourself how improtant these things are. Self discipline does not come easy and you must force yourself to learn it. For example you should be asleep by now but clearly you are not going to wake up and you're going to be late to school tomorrow but you don't care which is not a very good thing.....</t>
  </si>
  <si>
    <t>Alright POMODORO technique actually works wtffffff. I finished the connection ssytem</t>
  </si>
  <si>
    <t>POMODORO ^^</t>
  </si>
  <si>
    <t>I was thinking for the proceduralising of movement 
- Evertthing can be done with aniamtions curves - One curve for the height over time on a jump and another one for the jump height as distance goes (linear) or something like that and we can do an entire realistic animation system inside the editor and then match it up with really quick changes of poses in our character and posing can use the IK... But as we promised we shall not even get into that.. I will spend some 1 -2 months for animation and fitting everything later hahah. Well for the story, you are sent out with many inter mission and I need to sit down and create the final story board. But before that I need to make that recording and will do that tomorrow -- but no sleep today night. Relax n shit, you 'ave 4 hours. 1 movie + try and move the character along it.</t>
  </si>
  <si>
    <t>QUESTION 13</t>
  </si>
  <si>
    <t>QUESTION 13 PHYSICS + WORK (5 SECOND RULE + POMODORO)</t>
  </si>
  <si>
    <t>CHILL + BEGIN</t>
  </si>
  <si>
    <t>I actually am eager to finish the basic mechanics so I can get onto more fun topics .. SO let me really quickly finish connection traversing then I am done ledge climbing officially</t>
  </si>
  <si>
    <t>LDGE</t>
  </si>
  <si>
    <t>That's it.. The basic ledge climber system is technically complete tf
Needed :
- Relative Camera Control
- Better Corner Turning
- Better direction control on connections
- Allowance from properties</t>
  </si>
  <si>
    <t>REL</t>
  </si>
  <si>
    <t>LEARN NEXT MATH</t>
  </si>
  <si>
    <t>LEARN NEXT SPANISH</t>
  </si>
  <si>
    <t>LEARN ENGLISH PPT</t>
  </si>
  <si>
    <t>WHERE 2 FROM HERE</t>
  </si>
  <si>
    <t xml:space="preserve">Okay so I ve come to a small revelation 
- Use AddForce for Rigidbodies
- You can modify trans.up
- Quadtrees are very important and you should learn how to implement that
But mainly… 
- Your ledge detection is good but it needs premises in which to check collision
- Do smart ray casting to check for the next point
</t>
  </si>
  <si>
    <t>My next task is to allow myself to create a new raycasting method to allow me to traverse corners and then the last thing would be able to manage dismounts and add an editor properity for that and I would be happy my friend…. You are so close to finishing this system, I am so proud of you and I know you can accomplsih the Inverse Kinematics system as well...</t>
  </si>
  <si>
    <t>SLEEP AND WKAE UP WITH PASSIOn</t>
  </si>
  <si>
    <t>BRK</t>
  </si>
  <si>
    <t>MP1</t>
  </si>
  <si>
    <t>[HOMEWRK] QUESTION 13 PHYSICS + WORK (5 SECOND RULE + POMODORO)</t>
  </si>
  <si>
    <t>The benefit to my system over the other systems is that it is optimised in that you don’t have to do a million raycasts and you have much more control and you can do it with any messshhh!!! That’s why it's so cool -- the only optimisation is that these obejcts have to be deloaded because of the information it continas--- Use quadtree to remove it?/
Show absolver graphics</t>
  </si>
  <si>
    <t>ABSOLVER</t>
  </si>
  <si>
    <t>[HOMEWORK] CHALLENGE SET 14-&gt;15 (PS + FLO)</t>
  </si>
  <si>
    <t>WK</t>
  </si>
  <si>
    <t>RAY LEDGE</t>
  </si>
  <si>
    <t>For dismounting off a ledge, just detect the type of connection between the ledge and dismount point and detect it like usual, but now instead of moving right to it, set the 'pointToBe' to be + transform.width / 5 + transform.height /5 to set it ontop of the ledge and once it has reached -- detacht();
But ofcouse when you have animation this would be innapropriate, I would use root motion in this example... We just have to see though
Another important thing to do is clean up this code and make it nice and beautiful..</t>
  </si>
  <si>
    <t>EAT AND SUITS</t>
  </si>
  <si>
    <t>AUDIO PLEASE</t>
  </si>
  <si>
    <t>GYM</t>
  </si>
  <si>
    <t>WHATEVER WORK NEEDS TO BE DONE</t>
  </si>
  <si>
    <t>AUDIO + EDITING</t>
  </si>
  <si>
    <t>EDITING</t>
  </si>
  <si>
    <t>CHSET 4 and 6</t>
  </si>
  <si>
    <t>Let's get into the discipline that you used to have, if the alarms wont wake you up then you will have to set multiple alarms on many devices, or charge up the speaker and connect your phone to it… That seems to be the best options. Also make a recording.... Which will motivate you, or record a motivational speech from mp4 to mp3 and connect it to the alarm. That will help</t>
  </si>
  <si>
    <t>SUIT</t>
  </si>
  <si>
    <t>DISMOUNTING ON LEDGES</t>
  </si>
  <si>
    <t>NO BREAKS TODAY NOT ALLOWED</t>
  </si>
  <si>
    <t>EAT</t>
  </si>
  <si>
    <t>PHYS</t>
  </si>
  <si>
    <t>RECORDING</t>
  </si>
  <si>
    <t>PLAN WHAT IS NEXT, SETTING DEAD LINES AND PLANNING…</t>
  </si>
  <si>
    <t>MP2</t>
  </si>
  <si>
    <t>LEDGE DISMOUNTING</t>
  </si>
  <si>
    <t>PLANNING NEXT AND DEADLINING</t>
  </si>
  <si>
    <t>POSITIVE REINFORCEMENT</t>
  </si>
  <si>
    <t>MP3</t>
  </si>
  <si>
    <t>&lt;&lt; VISION FOR THE NEXT AND HOW IT WILL HELP</t>
  </si>
  <si>
    <t>You have something to honour, this is your channel and your game… These are things you have pledged to.. Now that channel that you played around with grew from 80 subscribers to 100, to 200, to 300, to 400 and has reached half a thousand and this is a massive accomplishment and 100k is simple from here... Make it 1000 and for that you will have to grind and micromanage for the good content. But you can and will do it..</t>
  </si>
  <si>
    <t>MP3 - PAGE (122)</t>
  </si>
  <si>
    <t xml:space="preserve">BREAK </t>
  </si>
  <si>
    <t>SCRIPT WRITE</t>
  </si>
  <si>
    <t>Good job you disciplined yourself and actually got the script and dismounting complete -- I knew you could do it : 
2 more things you must do 
- First clear up the the script, ugliest script I have seen in a while
- Drop connections (just ray down and see if connection is there and see if it is maanged)
- Getting the attach points working for jump points
[PLEASE CLEAR UP THAT SCRIPT IMAO]</t>
  </si>
  <si>
    <t>SPANISH</t>
  </si>
  <si>
    <t>AUDIO CR</t>
  </si>
  <si>
    <t>COMSCI - Challenge set 6--</t>
  </si>
  <si>
    <t>BUSINESS DO THE TEXTBOOK</t>
  </si>
  <si>
    <t>physics read resistivity</t>
  </si>
  <si>
    <t>Like they say, you're not avoiding sleep -- you're just delaying it. That's what happened yesterday. AS soon as I got home - I collapsed and Im not surprised imao. I just twant to take a brief moment to thank you the laptop for working so hard and I would like to thank my parents for being so supportive and I wouldnt be here without them, literrallly....</t>
  </si>
  <si>
    <t>IMATH WORK</t>
  </si>
  <si>
    <t>COMPSCI COMPETITION RESEARCH</t>
  </si>
  <si>
    <t xml:space="preserve">So what is going to </t>
  </si>
  <si>
    <t>So what is going to happen now that the ledge climber is completed? What system will move me furthest and help me most in terms of seeing the end vision of the game - 
Current options : 
- Recording the part 3 (In progress) --&lt;&lt; Needed
- Begin the world optimisation and create it in a procedural manner, if I do this - it will set the game in bounds of reality and will allow me to actually see the end vision of the game and this is extremely important...
^^ ___
- For this you will firstly have to map out a few possible ideas of how you can optimse
- You can plan out the different types of optimisation and what objects they will help
- You can begin developing a time line of how long it will take 
- You must write the blog post on the ledge climber system
^^__
- Begin some NPC systems for example the NPC editor system where you can build a node editor and add nodes to it, especially by adding the regional A* pathfinding to it. But this will be more helpful if I add it onto the World Manager and the editor that it comes with it....</t>
  </si>
  <si>
    <t>See different differntly</t>
  </si>
  <si>
    <t>..\..\Mindmaps\Open World Organisation.mm</t>
  </si>
  <si>
    <t>UNWIND</t>
  </si>
  <si>
    <t>SPANISH WORK ON SHEETS</t>
  </si>
  <si>
    <t>ENGLISH PROJ</t>
  </si>
  <si>
    <t>MATHEMATICS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</si>
</sst>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499984740745262"/>
      <name val="Calibri"/>
      <family val="2"/>
      <scheme val="minor"/>
    </font>
    <font>
      <u/>
      <sz val="9"/>
      <color theme="1"/>
      <name val="Calibri"/>
      <family val="2"/>
      <scheme val="minor"/>
    </font>
    <font>
      <sz val="11"/>
      <color theme="1"/>
      <name val="Calibri"/>
      <scheme val="minor"/>
    </font>
    <font>
      <sz val="9"/>
      <color rgb="FF9C6500"/>
      <name val="Calibri"/>
      <family val="2"/>
      <scheme val="minor"/>
    </font>
    <font>
      <i/>
      <sz val="11"/>
      <color theme="1" tint="4.9989318521683403E-2"/>
      <name val="Calibri"/>
      <family val="2"/>
      <scheme val="minor"/>
    </font>
    <font>
      <b/>
      <sz val="16"/>
      <color theme="1"/>
      <name val="Calibri"/>
      <family val="2"/>
      <scheme val="minor"/>
    </font>
    <font>
      <b/>
      <sz val="11"/>
      <color rgb="FF92D050"/>
      <name val="Calibri"/>
      <family val="2"/>
      <scheme val="minor"/>
    </font>
    <font>
      <b/>
      <sz val="11"/>
      <color rgb="FF00B0F0"/>
      <name val="Calibri"/>
      <family val="2"/>
      <scheme val="minor"/>
    </font>
    <font>
      <b/>
      <sz val="11"/>
      <color theme="8" tint="-0.249977111117893"/>
      <name val="Calibri"/>
      <family val="2"/>
      <scheme val="minor"/>
    </font>
    <font>
      <b/>
      <sz val="11"/>
      <color rgb="FF00F66F"/>
      <name val="Calibri"/>
      <family val="2"/>
      <scheme val="minor"/>
    </font>
    <font>
      <b/>
      <sz val="11"/>
      <color rgb="FFFF2929"/>
      <name val="Calibri"/>
      <family val="2"/>
      <scheme val="minor"/>
    </font>
    <font>
      <b/>
      <i/>
      <sz val="9"/>
      <color theme="1"/>
      <name val="Calibri"/>
      <family val="2"/>
      <scheme val="minor"/>
    </font>
    <font>
      <b/>
      <sz val="20"/>
      <color theme="1"/>
      <name val="Calibri"/>
      <family val="2"/>
      <scheme val="minor"/>
    </font>
    <font>
      <b/>
      <u/>
      <sz val="11"/>
      <color theme="0"/>
      <name val="Calibri"/>
      <family val="2"/>
      <scheme val="minor"/>
    </font>
  </fonts>
  <fills count="2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7030A0"/>
        <bgColor indexed="64"/>
      </patternFill>
    </fill>
    <fill>
      <patternFill patternType="solid">
        <fgColor theme="4"/>
        <bgColor indexed="64"/>
      </patternFill>
    </fill>
    <fill>
      <patternFill patternType="solid">
        <fgColor rgb="FFFF5050"/>
        <bgColor indexed="64"/>
      </patternFill>
    </fill>
    <fill>
      <patternFill patternType="solid">
        <fgColor theme="0" tint="-0.14999847407452621"/>
        <bgColor theme="0" tint="-0.14999847407452621"/>
      </patternFill>
    </fill>
    <fill>
      <patternFill patternType="solid">
        <fgColor rgb="FFFFFF00"/>
        <bgColor theme="0" tint="-0.14999847407452621"/>
      </patternFill>
    </fill>
  </fills>
  <borders count="25">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slantDashDot">
        <color auto="1"/>
      </left>
      <right/>
      <top style="double">
        <color auto="1"/>
      </top>
      <bottom/>
      <diagonal/>
    </border>
    <border>
      <left style="slantDashDot">
        <color auto="1"/>
      </left>
      <right/>
      <top/>
      <bottom/>
      <diagonal/>
    </border>
    <border>
      <left/>
      <right/>
      <top/>
      <bottom style="thick">
        <color auto="1"/>
      </bottom>
      <diagonal/>
    </border>
    <border>
      <left style="slantDashDot">
        <color auto="1"/>
      </left>
      <right/>
      <top/>
      <bottom style="thick">
        <color auto="1"/>
      </bottom>
      <diagonal/>
    </border>
  </borders>
  <cellStyleXfs count="9">
    <xf numFmtId="0" fontId="0" fillId="0" borderId="0">
      <alignment horizontal="center" vertical="center" wrapText="1"/>
    </xf>
    <xf numFmtId="0" fontId="1" fillId="2" borderId="0" applyNumberFormat="0" applyBorder="0" applyAlignment="0" applyProtection="0"/>
    <xf numFmtId="0" fontId="11" fillId="0" borderId="0" applyNumberFormat="0" applyFill="0" applyBorder="0" applyAlignment="0" applyProtection="0"/>
    <xf numFmtId="0" fontId="15" fillId="10" borderId="14" applyNumberFormat="0" applyFont="0" applyAlignment="0" applyProtection="0"/>
    <xf numFmtId="0" fontId="24" fillId="11" borderId="0" applyNumberFormat="0" applyBorder="0" applyAlignment="0" applyProtection="0"/>
    <xf numFmtId="0" fontId="25" fillId="12" borderId="0" applyNumberFormat="0" applyBorder="0" applyAlignment="0" applyProtection="0"/>
    <xf numFmtId="0" fontId="29" fillId="13" borderId="19" applyNumberFormat="0" applyAlignment="0" applyProtection="0"/>
    <xf numFmtId="0" fontId="33" fillId="14" borderId="20" applyNumberFormat="0" applyBorder="0" applyAlignment="0" applyProtection="0"/>
    <xf numFmtId="0" fontId="15" fillId="0" borderId="18">
      <alignment horizontal="center" vertical="center" wrapText="1"/>
    </xf>
  </cellStyleXfs>
  <cellXfs count="221">
    <xf numFmtId="0" fontId="0" fillId="0" borderId="0" xfId="0">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alignment horizontal="center" vertical="center" wrapText="1"/>
    </xf>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0"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0" borderId="14" xfId="3" applyFont="1" applyAlignment="1">
      <alignment horizontal="center" vertical="center" wrapText="1"/>
    </xf>
    <xf numFmtId="0" fontId="19" fillId="10"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1" borderId="0" xfId="4" applyFont="1" applyAlignment="1">
      <alignment horizontal="center" vertical="center"/>
    </xf>
    <xf numFmtId="0" fontId="27" fillId="12"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9"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9"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0" fontId="11" fillId="0" borderId="16" xfId="2" applyBorder="1" applyAlignment="1">
      <alignment horizontal="center" vertical="center" wrapText="1"/>
    </xf>
    <xf numFmtId="49" fontId="24" fillId="11" borderId="12" xfId="4" applyNumberFormat="1" applyBorder="1" applyAlignment="1">
      <alignment horizontal="center" vertical="center" wrapText="1"/>
    </xf>
    <xf numFmtId="49" fontId="24" fillId="11" borderId="11" xfId="4" applyNumberFormat="1" applyBorder="1" applyAlignment="1">
      <alignment horizontal="center" vertical="center" wrapText="1"/>
    </xf>
    <xf numFmtId="2" fontId="24" fillId="11"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0" fillId="2" borderId="0" xfId="1" applyFont="1" applyAlignment="1">
      <alignment horizontal="center" vertical="center" wrapText="1"/>
    </xf>
    <xf numFmtId="165" fontId="30" fillId="2" borderId="3" xfId="1" applyNumberFormat="1" applyFont="1" applyBorder="1" applyAlignment="1">
      <alignment horizontal="center" vertical="center" wrapText="1"/>
    </xf>
    <xf numFmtId="49" fontId="30" fillId="2" borderId="12" xfId="1" applyNumberFormat="1" applyFont="1" applyBorder="1" applyAlignment="1">
      <alignment horizontal="center" vertical="center" wrapText="1"/>
    </xf>
    <xf numFmtId="49" fontId="30" fillId="2" borderId="11" xfId="1" applyNumberFormat="1" applyFont="1" applyBorder="1" applyAlignment="1">
      <alignment horizontal="center" vertical="center" wrapText="1"/>
    </xf>
    <xf numFmtId="2" fontId="30" fillId="2" borderId="11" xfId="1" applyNumberFormat="1" applyFont="1" applyBorder="1" applyAlignment="1">
      <alignment horizontal="center" vertical="center" wrapText="1"/>
    </xf>
    <xf numFmtId="0" fontId="30" fillId="2" borderId="11" xfId="1" applyFont="1" applyBorder="1" applyAlignment="1">
      <alignment horizontal="center" vertical="center" wrapText="1"/>
    </xf>
    <xf numFmtId="0" fontId="30" fillId="2" borderId="13" xfId="1" applyFont="1" applyBorder="1" applyAlignment="1">
      <alignment horizontal="center" vertical="center" wrapText="1"/>
    </xf>
    <xf numFmtId="49" fontId="31" fillId="2" borderId="11" xfId="1" applyNumberFormat="1" applyFont="1" applyBorder="1" applyAlignment="1">
      <alignment horizontal="center" vertical="center" wrapText="1"/>
    </xf>
    <xf numFmtId="49" fontId="32"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0" borderId="14" xfId="3" applyFont="1" applyAlignment="1">
      <alignment horizontal="center" vertical="center" wrapText="1"/>
    </xf>
    <xf numFmtId="10" fontId="0" fillId="10" borderId="14" xfId="3" applyNumberFormat="1" applyFont="1" applyAlignment="1">
      <alignment horizontal="center" vertical="center" wrapText="1"/>
    </xf>
    <xf numFmtId="0" fontId="29" fillId="13" borderId="19" xfId="6" applyAlignment="1">
      <alignment horizontal="center" vertical="center" wrapText="1"/>
    </xf>
    <xf numFmtId="10" fontId="29" fillId="13" borderId="19" xfId="6" applyNumberFormat="1" applyAlignment="1">
      <alignment horizontal="center" vertical="center" wrapText="1"/>
    </xf>
    <xf numFmtId="2" fontId="29" fillId="13" borderId="19" xfId="6" applyNumberFormat="1" applyAlignment="1">
      <alignment horizontal="center" vertical="center" wrapText="1"/>
    </xf>
    <xf numFmtId="16" fontId="25" fillId="12" borderId="0" xfId="5" applyNumberFormat="1" applyAlignment="1">
      <alignment horizontal="center" vertical="center" wrapText="1"/>
    </xf>
    <xf numFmtId="2" fontId="0" fillId="15" borderId="0" xfId="0" applyNumberFormat="1" applyFont="1" applyFill="1" applyAlignment="1">
      <alignment horizontal="center" vertical="center" wrapText="1" shrinkToFit="1"/>
    </xf>
    <xf numFmtId="2" fontId="35" fillId="8" borderId="0" xfId="0" applyNumberFormat="1" applyFont="1" applyFill="1" applyAlignment="1">
      <alignment horizontal="center" vertical="center" wrapText="1"/>
    </xf>
    <xf numFmtId="10" fontId="0" fillId="0" borderId="0" xfId="0" applyNumberFormat="1" applyFill="1" applyAlignment="1">
      <alignment horizontal="center" vertical="center" wrapText="1"/>
    </xf>
    <xf numFmtId="0" fontId="0" fillId="7" borderId="0" xfId="0" applyFill="1">
      <alignment horizontal="center" vertical="center" wrapText="1"/>
    </xf>
    <xf numFmtId="166" fontId="0" fillId="7" borderId="0" xfId="0" applyNumberFormat="1" applyFont="1" applyFill="1" applyAlignment="1">
      <alignment horizontal="center" vertical="center" wrapText="1"/>
    </xf>
    <xf numFmtId="165" fontId="37" fillId="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shrinkToFit="1"/>
    </xf>
    <xf numFmtId="0" fontId="0" fillId="9" borderId="21" xfId="0" applyFill="1" applyBorder="1" applyAlignment="1">
      <alignment horizontal="center"/>
    </xf>
    <xf numFmtId="0" fontId="8" fillId="9" borderId="22" xfId="0" applyFont="1" applyFill="1" applyBorder="1" applyAlignment="1">
      <alignment horizontal="left" indent="5"/>
    </xf>
    <xf numFmtId="168" fontId="8" fillId="9" borderId="22" xfId="0" applyNumberFormat="1" applyFont="1" applyFill="1" applyBorder="1" applyAlignment="1">
      <alignment horizontal="left" indent="5"/>
    </xf>
    <xf numFmtId="0" fontId="0" fillId="9" borderId="22" xfId="0" applyFill="1" applyBorder="1">
      <alignment horizontal="center" vertical="center" wrapText="1"/>
    </xf>
    <xf numFmtId="0" fontId="0" fillId="0" borderId="0" xfId="0" applyFill="1">
      <alignment horizontal="center" vertical="center" wrapText="1"/>
    </xf>
    <xf numFmtId="2" fontId="0" fillId="8" borderId="23" xfId="0" applyNumberFormat="1" applyFont="1" applyFill="1" applyBorder="1" applyAlignment="1">
      <alignment horizontal="center" vertical="center" wrapText="1"/>
    </xf>
    <xf numFmtId="0" fontId="0" fillId="8" borderId="23" xfId="0" applyFont="1" applyFill="1" applyBorder="1" applyAlignment="1">
      <alignment horizontal="center" vertical="center" wrapText="1"/>
    </xf>
    <xf numFmtId="2" fontId="38" fillId="9" borderId="22" xfId="0" applyNumberFormat="1" applyFont="1" applyFill="1" applyBorder="1" applyAlignment="1">
      <alignment horizontal="center" vertical="center"/>
    </xf>
    <xf numFmtId="0" fontId="0" fillId="9" borderId="24" xfId="0" applyFill="1" applyBorder="1" applyAlignment="1">
      <alignment horizontal="center" vertical="center" wrapText="1" shrinkToFit="1"/>
    </xf>
    <xf numFmtId="166" fontId="36" fillId="9" borderId="18" xfId="5" applyNumberFormat="1" applyFont="1" applyFill="1" applyBorder="1" applyAlignment="1">
      <alignment horizontal="center" wrapText="1"/>
    </xf>
    <xf numFmtId="166" fontId="9" fillId="9" borderId="18" xfId="0" applyNumberFormat="1" applyFont="1" applyFill="1" applyBorder="1" applyAlignment="1">
      <alignment horizontal="center" wrapText="1"/>
    </xf>
    <xf numFmtId="2" fontId="0" fillId="17" borderId="0" xfId="0" applyNumberFormat="1" applyFont="1" applyFill="1" applyAlignment="1">
      <alignment horizontal="center" vertical="center" wrapText="1" shrinkToFit="1"/>
    </xf>
    <xf numFmtId="49" fontId="8" fillId="18" borderId="12" xfId="0" applyNumberFormat="1" applyFont="1" applyFill="1" applyBorder="1" applyAlignment="1">
      <alignment horizontal="center" vertical="center" wrapText="1"/>
    </xf>
    <xf numFmtId="49" fontId="8" fillId="18" borderId="11" xfId="0" applyNumberFormat="1" applyFont="1" applyFill="1" applyBorder="1" applyAlignment="1">
      <alignment horizontal="center" vertical="center" wrapText="1"/>
    </xf>
    <xf numFmtId="2" fontId="8" fillId="18" borderId="11"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0" fillId="20" borderId="0" xfId="0" applyFont="1" applyFill="1" applyAlignment="1">
      <alignment horizontal="center" vertical="center" wrapText="1"/>
    </xf>
    <xf numFmtId="14" fontId="15" fillId="19" borderId="18" xfId="8" applyNumberFormat="1" applyFill="1">
      <alignment horizontal="center" vertical="center" wrapText="1"/>
    </xf>
    <xf numFmtId="2" fontId="0" fillId="0" borderId="0" xfId="0" quotePrefix="1" applyNumberFormat="1" applyFont="1" applyFill="1" applyAlignment="1">
      <alignment horizontal="center" vertical="center" wrapText="1" shrinkToFit="1"/>
    </xf>
    <xf numFmtId="2" fontId="1" fillId="2" borderId="0" xfId="1" applyNumberFormat="1" applyAlignment="1">
      <alignment horizontal="center" vertical="center" wrapText="1" shrinkToFit="1"/>
    </xf>
    <xf numFmtId="2" fontId="44" fillId="3" borderId="11" xfId="0" applyNumberFormat="1" applyFont="1" applyFill="1" applyBorder="1" applyAlignment="1">
      <alignment horizontal="center" vertical="center" wrapText="1"/>
    </xf>
    <xf numFmtId="2" fontId="0" fillId="21" borderId="0" xfId="0" applyNumberFormat="1"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2"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2" fontId="0" fillId="24" borderId="0" xfId="0" applyNumberFormat="1" applyFont="1" applyFill="1" applyAlignment="1">
      <alignment horizontal="center" vertical="center" wrapText="1" shrinkToFit="1"/>
    </xf>
    <xf numFmtId="2" fontId="0" fillId="0" borderId="0" xfId="0" applyNumberFormat="1" applyFill="1">
      <alignment horizontal="center" vertical="center" wrapText="1"/>
    </xf>
    <xf numFmtId="0" fontId="0" fillId="0" borderId="0" xfId="0" applyFill="1" applyAlignment="1">
      <alignment horizontal="center" vertical="center"/>
    </xf>
    <xf numFmtId="0" fontId="0" fillId="0" borderId="0" xfId="0" applyFill="1" applyAlignment="1">
      <alignment horizontal="center"/>
    </xf>
    <xf numFmtId="0" fontId="45" fillId="9" borderId="0" xfId="0" applyFont="1" applyFill="1" applyAlignment="1">
      <alignment horizontal="center"/>
    </xf>
    <xf numFmtId="2" fontId="2" fillId="15" borderId="0" xfId="0" applyNumberFormat="1" applyFont="1" applyFill="1" applyAlignment="1">
      <alignment horizontal="center" vertical="center" wrapText="1" shrinkToFit="1"/>
    </xf>
    <xf numFmtId="2" fontId="2" fillId="25" borderId="0" xfId="0" applyNumberFormat="1" applyFont="1" applyFill="1" applyAlignment="1">
      <alignment horizontal="center" vertical="center" wrapText="1" shrinkToFit="1"/>
    </xf>
    <xf numFmtId="2" fontId="9" fillId="3" borderId="11" xfId="0" applyNumberFormat="1" applyFont="1" applyFill="1" applyBorder="1" applyAlignment="1">
      <alignment horizontal="center" vertical="center" wrapText="1"/>
    </xf>
    <xf numFmtId="2" fontId="46" fillId="0" borderId="0" xfId="2" applyNumberFormat="1" applyFont="1" applyFill="1" applyAlignment="1">
      <alignment horizontal="center" vertical="center" wrapText="1" shrinkToFit="1"/>
    </xf>
  </cellXfs>
  <cellStyles count="9">
    <cellStyle name="Bad" xfId="4" builtinId="27"/>
    <cellStyle name="Calculation" xfId="7" builtinId="22" customBuiltin="1"/>
    <cellStyle name="Good" xfId="1" builtinId="26"/>
    <cellStyle name="Half" xfId="8"/>
    <cellStyle name="Hyperlink" xfId="2" builtinId="8"/>
    <cellStyle name="Neutral" xfId="5" builtinId="28"/>
    <cellStyle name="Normal" xfId="0" builtinId="0" customBuiltin="1"/>
    <cellStyle name="Note" xfId="3" builtinId="10"/>
    <cellStyle name="Output" xfId="6" builtinId="21"/>
  </cellStyles>
  <dxfs count="650">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5" tint="0.39994506668294322"/>
        </patternFill>
      </fill>
    </dxf>
    <dxf>
      <font>
        <b/>
        <i val="0"/>
        <color theme="0"/>
      </font>
      <fill>
        <patternFill>
          <bgColor theme="9" tint="0.39994506668294322"/>
        </patternFill>
      </fill>
    </dxf>
    <dxf>
      <font>
        <b/>
        <i val="0"/>
        <color theme="0"/>
      </font>
      <fill>
        <patternFill>
          <bgColor rgb="FFBC8FDD"/>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BC8FDD"/>
      <color rgb="FF7E36B4"/>
      <color rgb="FFBD92DE"/>
      <color rgb="FF61D6FF"/>
      <color rgb="FFFF2929"/>
      <color rgb="FF00F66F"/>
      <color rgb="FFFF3B3B"/>
      <color rgb="FFA1C7F5"/>
      <color rgb="FFEBDD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72"/>
</file>

<file path=xl/ctrlProps/ctrlProp2.xml><?xml version="1.0" encoding="utf-8"?>
<formControlPr xmlns="http://schemas.microsoft.com/office/spreadsheetml/2009/9/main" objectType="Scroll" dx="22" fmlaLink="$N$3" horiz="1" max="20" min="1" page="10" val="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3" name="Table3" displayName="Table3" ref="C15:G120" totalsRowShown="0" headerRowDxfId="463" dataDxfId="462">
  <autoFilter ref="C15:G120"/>
  <tableColumns count="5">
    <tableColumn id="1" name="Task" dataDxfId="461"/>
    <tableColumn id="2" name="TODO" dataDxfId="460"/>
    <tableColumn id="3" name="Percentage" dataDxfId="459"/>
    <tableColumn id="4" name="Due" dataDxfId="458"/>
    <tableColumn id="5" name="Side Notes" dataDxfId="457"/>
  </tableColumns>
  <tableStyleInfo name="TableStyleLight1" showFirstColumn="0" showLastColumn="0" showRowStripes="1" showColumnStripes="0"/>
</table>
</file>

<file path=xl/tables/table2.xml><?xml version="1.0" encoding="utf-8"?>
<table xmlns="http://schemas.openxmlformats.org/spreadsheetml/2006/main" id="1" name="Table1" displayName="Table1" ref="B4:K11" totalsRowShown="0" headerRowDxfId="456" dataDxfId="455">
  <autoFilter ref="B4:K11"/>
  <sortState ref="B5:K12">
    <sortCondition descending="1" ref="B4:B12"/>
  </sortState>
  <tableColumns count="10">
    <tableColumn id="1" name="PRIORITY" dataDxfId="454"/>
    <tableColumn id="10" name="Finish By" dataDxfId="453"/>
    <tableColumn id="2" name="SUBJECT" dataDxfId="452"/>
    <tableColumn id="9" name="TASKS LEFT" dataDxfId="451"/>
    <tableColumn id="3" name="Tasks" dataDxfId="450" dataCellStyle="Note"/>
    <tableColumn id="4" name="Links" dataDxfId="449"/>
    <tableColumn id="5" name="Percent" dataDxfId="448"/>
    <tableColumn id="6" name="Due Dates" dataDxfId="447"/>
    <tableColumn id="7" name="Revision" dataDxfId="446" dataCellStyle="Normal"/>
    <tableColumn id="8" name="Next Assesment + Assignment" dataDxfId="445"/>
  </tableColumns>
  <tableStyleInfo name="TableStyleLight1" showFirstColumn="0" showLastColumn="0" showRowStripes="1" showColumnStripes="0"/>
</table>
</file>

<file path=xl/tables/table3.xml><?xml version="1.0" encoding="utf-8"?>
<table xmlns="http://schemas.openxmlformats.org/spreadsheetml/2006/main" id="4" name="Table4" displayName="Table4" ref="C4:FU32" totalsRowCount="1" headerRowDxfId="427" dataDxfId="426" totalsRowDxfId="425">
  <autoFilter ref="C4:FU31"/>
  <tableColumns count="175">
    <tableColumn id="179" name="Thursday169" totalsRowFunction="custom" dataDxfId="424" totalsRowDxfId="423">
      <totalsRowFormula>SUM(C8:C31)</totalsRowFormula>
    </tableColumn>
    <tableColumn id="180" name="Friday170" totalsRowFunction="custom" dataDxfId="422" totalsRowDxfId="421">
      <totalsRowFormula>SUM(D8:D31)</totalsRowFormula>
    </tableColumn>
    <tableColumn id="181" name="Saturday171" totalsRowFunction="custom" dataDxfId="420" totalsRowDxfId="419">
      <totalsRowFormula>SUM(E8:E31)</totalsRowFormula>
    </tableColumn>
    <tableColumn id="182" name="Sunday172" totalsRowFunction="custom" dataDxfId="418" totalsRowDxfId="417">
      <totalsRowFormula>SUM(F8:F31)</totalsRowFormula>
    </tableColumn>
    <tableColumn id="183" name="Monday173" totalsRowFunction="custom" dataDxfId="416" totalsRowDxfId="415">
      <totalsRowFormula>SUM(G8:G31)</totalsRowFormula>
    </tableColumn>
    <tableColumn id="184" name="Tuesday174" totalsRowFunction="custom" dataDxfId="414" totalsRowDxfId="413">
      <totalsRowFormula>SUM(H8:H31)</totalsRowFormula>
    </tableColumn>
    <tableColumn id="185" name="Wednesday175" totalsRowFunction="custom" dataDxfId="412" totalsRowDxfId="411">
      <totalsRowFormula>SUM(I8:I31)</totalsRowFormula>
    </tableColumn>
    <tableColumn id="186" name="Thursday176" totalsRowFunction="custom" dataDxfId="410" totalsRowDxfId="409">
      <totalsRowFormula>SUM(J8:J31)</totalsRowFormula>
    </tableColumn>
    <tableColumn id="187" name="Friday177" totalsRowFunction="custom" dataDxfId="408" totalsRowDxfId="407">
      <totalsRowFormula>SUM(K8:K31)</totalsRowFormula>
    </tableColumn>
    <tableColumn id="188" name="Saturday178" totalsRowFunction="custom" dataDxfId="406" totalsRowDxfId="405">
      <totalsRowFormula>SUM(L8:L31)</totalsRowFormula>
    </tableColumn>
    <tableColumn id="189" name="Sunday179" totalsRowFunction="custom" dataDxfId="404" totalsRowDxfId="403">
      <totalsRowFormula>SUM(M8:M31)</totalsRowFormula>
    </tableColumn>
    <tableColumn id="190" name="Monday180" totalsRowFunction="custom" dataDxfId="402" totalsRowDxfId="401">
      <totalsRowFormula>SUM(N8:N31)</totalsRowFormula>
    </tableColumn>
    <tableColumn id="191" name="Tuesday181" totalsRowFunction="custom" dataDxfId="400" totalsRowDxfId="399">
      <totalsRowFormula>SUM(O8:O31)</totalsRowFormula>
    </tableColumn>
    <tableColumn id="192" name="Wednesday182" totalsRowFunction="custom" dataDxfId="398" totalsRowDxfId="397">
      <totalsRowFormula>SUM(P8:P31)</totalsRowFormula>
    </tableColumn>
    <tableColumn id="193" name="Thursday183" totalsRowFunction="custom" dataDxfId="396" totalsRowDxfId="395">
      <totalsRowFormula>SUM(Q8:Q31)</totalsRowFormula>
    </tableColumn>
    <tableColumn id="194" name="Friday184" totalsRowFunction="custom" dataDxfId="394" totalsRowDxfId="393">
      <totalsRowFormula>SUM(R8:R31)</totalsRowFormula>
    </tableColumn>
    <tableColumn id="195" name="Saturday185" totalsRowFunction="custom" dataDxfId="392" totalsRowDxfId="391">
      <totalsRowFormula>SUM(S8:S31)</totalsRowFormula>
    </tableColumn>
    <tableColumn id="196" name="Sunday186" totalsRowFunction="custom" dataDxfId="390" totalsRowDxfId="389">
      <totalsRowFormula>SUM(T8:T31)</totalsRowFormula>
    </tableColumn>
    <tableColumn id="197" name="Monday187" totalsRowFunction="custom" dataDxfId="388" totalsRowDxfId="387">
      <totalsRowFormula>SUM(U8:U31)</totalsRowFormula>
    </tableColumn>
    <tableColumn id="198" name="Tuesday188" totalsRowFunction="custom" dataDxfId="386" totalsRowDxfId="385">
      <totalsRowFormula>SUM(V8:V31)</totalsRowFormula>
    </tableColumn>
    <tableColumn id="199" name="Wednesday189" totalsRowFunction="custom" dataDxfId="384" totalsRowDxfId="383">
      <totalsRowFormula>SUM(W8:W31)</totalsRowFormula>
    </tableColumn>
    <tableColumn id="200" name="Thursday190" totalsRowFunction="custom" dataDxfId="382" totalsRowDxfId="381">
      <totalsRowFormula>SUM(X8:X31)</totalsRowFormula>
    </tableColumn>
    <tableColumn id="201" name="Friday191" totalsRowFunction="custom" dataDxfId="380" totalsRowDxfId="379">
      <totalsRowFormula>SUM(Y8:Y31)</totalsRowFormula>
    </tableColumn>
    <tableColumn id="202" name="Saturday192" totalsRowFunction="custom" dataDxfId="378" totalsRowDxfId="377">
      <totalsRowFormula>SUM(Z8:Z31)</totalsRowFormula>
    </tableColumn>
    <tableColumn id="203" name="Sunday193" totalsRowFunction="custom" dataDxfId="376" totalsRowDxfId="375">
      <totalsRowFormula>SUM(AA8:AA31)</totalsRowFormula>
    </tableColumn>
    <tableColumn id="204" name="Monday194" totalsRowFunction="custom" dataDxfId="374" totalsRowDxfId="373">
      <totalsRowFormula>SUM(AB8:AB31)</totalsRowFormula>
    </tableColumn>
    <tableColumn id="205" name="Tuesday195" totalsRowFunction="custom" dataDxfId="372" totalsRowDxfId="371">
      <totalsRowFormula>SUM(AC8:AC31)</totalsRowFormula>
    </tableColumn>
    <tableColumn id="206" name="Wednesday196" totalsRowFunction="custom" dataDxfId="370" totalsRowDxfId="369">
      <totalsRowFormula>SUM(AD8:AD31)</totalsRowFormula>
    </tableColumn>
    <tableColumn id="207" name="Thursday197" totalsRowFunction="custom" dataDxfId="368" totalsRowDxfId="367">
      <totalsRowFormula>SUM(AE8:AE31)</totalsRowFormula>
    </tableColumn>
    <tableColumn id="208" name="Friday198" totalsRowFunction="custom" dataDxfId="366" totalsRowDxfId="365">
      <totalsRowFormula>SUM(AF8:AF31)</totalsRowFormula>
    </tableColumn>
    <tableColumn id="209" name="Saturday199" totalsRowFunction="custom" dataDxfId="364" totalsRowDxfId="363">
      <totalsRowFormula>SUM(AG8:AG31)</totalsRowFormula>
    </tableColumn>
    <tableColumn id="210" name="Sunday200" totalsRowFunction="custom" dataDxfId="362" totalsRowDxfId="361">
      <totalsRowFormula>SUM(AH8:AH31)</totalsRowFormula>
    </tableColumn>
    <tableColumn id="211" name="Monday201" totalsRowFunction="custom" dataDxfId="360" totalsRowDxfId="359">
      <totalsRowFormula>SUM(AI8:AI31)</totalsRowFormula>
    </tableColumn>
    <tableColumn id="212" name="Tuesday202" totalsRowFunction="custom" dataDxfId="358" totalsRowDxfId="357">
      <totalsRowFormula>SUM(AJ8:AJ31)</totalsRowFormula>
    </tableColumn>
    <tableColumn id="213" name="Wednesday203" totalsRowFunction="custom" dataDxfId="356" totalsRowDxfId="355">
      <totalsRowFormula>SUM(AK8:AK31)</totalsRowFormula>
    </tableColumn>
    <tableColumn id="214" name="Thursday204" totalsRowFunction="custom" dataDxfId="354" totalsRowDxfId="353">
      <totalsRowFormula>SUM(AL8:AL31)</totalsRowFormula>
    </tableColumn>
    <tableColumn id="215" name="Friday205" totalsRowFunction="custom" dataDxfId="352" totalsRowDxfId="351">
      <totalsRowFormula>SUM(AM8:AM31)</totalsRowFormula>
    </tableColumn>
    <tableColumn id="216" name="Saturday206" totalsRowFunction="custom" dataDxfId="350" totalsRowDxfId="349">
      <totalsRowFormula>SUM(AN8:AN31)</totalsRowFormula>
    </tableColumn>
    <tableColumn id="217" name="Sunday207" totalsRowFunction="custom" dataDxfId="348" totalsRowDxfId="347">
      <totalsRowFormula>SUM(AO8:AO31)</totalsRowFormula>
    </tableColumn>
    <tableColumn id="218" name="Monday208" totalsRowFunction="custom" dataDxfId="346" totalsRowDxfId="345">
      <totalsRowFormula>SUM(AP8:AP31)</totalsRowFormula>
    </tableColumn>
    <tableColumn id="219" name="Tuesday209" totalsRowFunction="custom" dataDxfId="344" totalsRowDxfId="343">
      <totalsRowFormula>SUM(AQ8:AQ31)</totalsRowFormula>
    </tableColumn>
    <tableColumn id="220" name="Wednesday210" totalsRowFunction="custom" dataDxfId="342" totalsRowDxfId="341">
      <totalsRowFormula>SUM(AR8:AR31)</totalsRowFormula>
    </tableColumn>
    <tableColumn id="221" name="Thursday211" totalsRowFunction="custom" dataDxfId="340" totalsRowDxfId="339">
      <totalsRowFormula>SUM(AS8:AS31)</totalsRowFormula>
    </tableColumn>
    <tableColumn id="222" name="Friday212" totalsRowFunction="custom" dataDxfId="338" totalsRowDxfId="337">
      <totalsRowFormula>SUM(AT8:AT31)</totalsRowFormula>
    </tableColumn>
    <tableColumn id="223" name="Saturday213" totalsRowFunction="custom" dataDxfId="336" totalsRowDxfId="335">
      <totalsRowFormula>SUM(AU8:AU31)</totalsRowFormula>
    </tableColumn>
    <tableColumn id="224" name="Sunday214" totalsRowFunction="custom" dataDxfId="334" totalsRowDxfId="333">
      <totalsRowFormula>SUM(AV8:AV31)</totalsRowFormula>
    </tableColumn>
    <tableColumn id="225" name="Monday215" totalsRowFunction="custom" dataDxfId="332" totalsRowDxfId="331">
      <totalsRowFormula>SUM(AW8:AW31)</totalsRowFormula>
    </tableColumn>
    <tableColumn id="226" name="Tuesday216" totalsRowFunction="custom" dataDxfId="330" totalsRowDxfId="329">
      <totalsRowFormula>SUM(AX8:AX31)</totalsRowFormula>
    </tableColumn>
    <tableColumn id="227" name="Wednesday217" totalsRowFunction="custom" dataDxfId="328" totalsRowDxfId="327">
      <totalsRowFormula>SUM(AY8:AY31)</totalsRowFormula>
    </tableColumn>
    <tableColumn id="228" name="Thursday218" totalsRowFunction="custom" dataDxfId="326" totalsRowDxfId="325">
      <totalsRowFormula>SUM(AZ8:AZ31)</totalsRowFormula>
    </tableColumn>
    <tableColumn id="229" name="Friday219" totalsRowFunction="custom" dataDxfId="324" totalsRowDxfId="323">
      <totalsRowFormula>SUM(BA8:BA31)</totalsRowFormula>
    </tableColumn>
    <tableColumn id="230" name="Saturday220" totalsRowFunction="custom" dataDxfId="322" totalsRowDxfId="321">
      <totalsRowFormula>SUM(BB8:BB31)</totalsRowFormula>
    </tableColumn>
    <tableColumn id="231" name="Sunday221" totalsRowFunction="custom" dataDxfId="320" totalsRowDxfId="319">
      <totalsRowFormula>SUM(BC8:BC31)</totalsRowFormula>
    </tableColumn>
    <tableColumn id="232" name="Monday222" totalsRowFunction="custom" dataDxfId="318" totalsRowDxfId="317">
      <totalsRowFormula>SUM(BD8:BD31)</totalsRowFormula>
    </tableColumn>
    <tableColumn id="233" name="Tuesday223" totalsRowFunction="custom" dataDxfId="316" totalsRowDxfId="315">
      <totalsRowFormula>SUM(BE8:BE31)</totalsRowFormula>
    </tableColumn>
    <tableColumn id="234" name="Wednesday224" totalsRowFunction="custom" dataDxfId="314" totalsRowDxfId="313">
      <totalsRowFormula>SUM(BF8:BF31)</totalsRowFormula>
    </tableColumn>
    <tableColumn id="235" name="Thursday225" totalsRowFunction="custom" dataDxfId="312" totalsRowDxfId="311">
      <totalsRowFormula>SUM(BG8:BG31)</totalsRowFormula>
    </tableColumn>
    <tableColumn id="236" name="Friday226" totalsRowFunction="custom" dataDxfId="310" totalsRowDxfId="309">
      <totalsRowFormula>SUM(BH8:BH31)</totalsRowFormula>
    </tableColumn>
    <tableColumn id="237" name="Saturday227" totalsRowFunction="custom" dataDxfId="308" totalsRowDxfId="307">
      <totalsRowFormula>SUM(BI8:BI31)</totalsRowFormula>
    </tableColumn>
    <tableColumn id="238" name="Sunday228" totalsRowFunction="custom" dataDxfId="306" totalsRowDxfId="305">
      <totalsRowFormula>SUM(BJ8:BJ31)</totalsRowFormula>
    </tableColumn>
    <tableColumn id="239" name="Monday229" totalsRowFunction="custom" dataDxfId="304" totalsRowDxfId="303">
      <totalsRowFormula>SUM(BK8:BK31)</totalsRowFormula>
    </tableColumn>
    <tableColumn id="240" name="Tuesday230" totalsRowFunction="custom" dataDxfId="302" totalsRowDxfId="301">
      <totalsRowFormula>SUM(BL8:BL31)</totalsRowFormula>
    </tableColumn>
    <tableColumn id="241" name="Wednesday231" totalsRowFunction="custom" dataDxfId="300" totalsRowDxfId="299">
      <totalsRowFormula>SUM(BM8:BM31)</totalsRowFormula>
    </tableColumn>
    <tableColumn id="242" name="Thursday232" totalsRowFunction="custom" dataDxfId="298" totalsRowDxfId="297">
      <totalsRowFormula>SUM(BN8:BN31)</totalsRowFormula>
    </tableColumn>
    <tableColumn id="243" name="Friday233" totalsRowFunction="custom" dataDxfId="296" totalsRowDxfId="295">
      <totalsRowFormula>SUM(BO8:BO31)</totalsRowFormula>
    </tableColumn>
    <tableColumn id="244" name="Saturday234" totalsRowFunction="custom" dataDxfId="294" totalsRowDxfId="293">
      <totalsRowFormula>SUM(BP8:BP31)</totalsRowFormula>
    </tableColumn>
    <tableColumn id="245" name="Sunday235" totalsRowFunction="custom" dataDxfId="292" totalsRowDxfId="291">
      <totalsRowFormula>SUM(BQ8:BQ31)</totalsRowFormula>
    </tableColumn>
    <tableColumn id="246" name="Monday236" totalsRowFunction="custom" dataDxfId="290" totalsRowDxfId="289">
      <totalsRowFormula>SUM(BR8:BR31)</totalsRowFormula>
    </tableColumn>
    <tableColumn id="247" name="Tuesday237" totalsRowFunction="custom" dataDxfId="288" totalsRowDxfId="287">
      <totalsRowFormula>SUM(BS8:BS31)</totalsRowFormula>
    </tableColumn>
    <tableColumn id="248" name="Wednesday238" totalsRowFunction="custom" dataDxfId="286" totalsRowDxfId="285">
      <totalsRowFormula>SUM(BT8:BT31)</totalsRowFormula>
    </tableColumn>
    <tableColumn id="249" name="Thursday239" totalsRowFunction="custom" dataDxfId="284" totalsRowDxfId="283">
      <totalsRowFormula>SUM(BU8:BU31)</totalsRowFormula>
    </tableColumn>
    <tableColumn id="250" name="Friday240" totalsRowFunction="custom" dataDxfId="282" totalsRowDxfId="281">
      <totalsRowFormula>SUM(BV8:BV31)</totalsRowFormula>
    </tableColumn>
    <tableColumn id="251" name="Saturday241" totalsRowFunction="custom" dataDxfId="280" totalsRowDxfId="279">
      <totalsRowFormula>SUM(BW8:BW31)</totalsRowFormula>
    </tableColumn>
    <tableColumn id="252" name="Sunday242" totalsRowFunction="custom" dataDxfId="278" totalsRowDxfId="277">
      <totalsRowFormula>SUM(BX8:BX31)</totalsRowFormula>
    </tableColumn>
    <tableColumn id="253" name="Monday243" dataDxfId="276" totalsRowDxfId="275"/>
    <tableColumn id="254" name="Tuesday244" dataDxfId="274" totalsRowDxfId="273"/>
    <tableColumn id="255" name="Wednesday245" dataDxfId="272" totalsRowDxfId="271"/>
    <tableColumn id="256" name="Thursday246" dataDxfId="270" totalsRowDxfId="269"/>
    <tableColumn id="257" name="Friday247" dataDxfId="268" totalsRowDxfId="267"/>
    <tableColumn id="258" name="Saturday248" dataDxfId="266" totalsRowDxfId="265"/>
    <tableColumn id="259" name="Sunday249" dataDxfId="264" totalsRowDxfId="263"/>
    <tableColumn id="260" name="Monday250" dataDxfId="262" totalsRowDxfId="261"/>
    <tableColumn id="261" name="Tuesday251" dataDxfId="260" totalsRowDxfId="259"/>
    <tableColumn id="262" name="Wednesday252" dataDxfId="258" totalsRowDxfId="257"/>
    <tableColumn id="263" name="Thursday253" dataDxfId="256" totalsRowDxfId="255"/>
    <tableColumn id="264" name="Friday254" dataDxfId="254" totalsRowDxfId="253"/>
    <tableColumn id="265" name="Saturday255" dataDxfId="252" totalsRowDxfId="251"/>
    <tableColumn id="266" name="Sunday256" dataDxfId="250" totalsRowDxfId="249"/>
    <tableColumn id="267" name="Monday257" dataDxfId="248" totalsRowDxfId="247"/>
    <tableColumn id="268" name="Tuesday258" dataDxfId="246" totalsRowDxfId="245"/>
    <tableColumn id="269" name="Wednesday259" dataDxfId="244" totalsRowDxfId="243"/>
    <tableColumn id="270" name="Thursday260" dataDxfId="242" totalsRowDxfId="241"/>
    <tableColumn id="271" name="Friday261" dataDxfId="240" totalsRowDxfId="239"/>
    <tableColumn id="272" name="Saturday262" dataDxfId="238" totalsRowDxfId="237"/>
    <tableColumn id="273" name="Sunday263" dataDxfId="236" totalsRowDxfId="235"/>
    <tableColumn id="274" name="Monday264" dataDxfId="234" totalsRowDxfId="233"/>
    <tableColumn id="275" name="Tuesday265" dataDxfId="232" totalsRowDxfId="231"/>
    <tableColumn id="276" name="Wednesday266" dataDxfId="230" totalsRowDxfId="229"/>
    <tableColumn id="277" name="Thursday267" dataDxfId="228" totalsRowDxfId="227"/>
    <tableColumn id="278" name="Friday268" dataDxfId="226" totalsRowDxfId="225"/>
    <tableColumn id="279" name="Saturday269" dataDxfId="224" totalsRowDxfId="223"/>
    <tableColumn id="280" name="Sunday270" dataDxfId="222" totalsRowDxfId="221"/>
    <tableColumn id="281" name="Monday271" dataDxfId="220" totalsRowDxfId="219"/>
    <tableColumn id="282" name="Tuesday272" dataDxfId="218" totalsRowDxfId="217"/>
    <tableColumn id="283" name="Wednesday273" dataDxfId="216" totalsRowDxfId="215"/>
    <tableColumn id="284" name="Thursday274" dataDxfId="214" totalsRowDxfId="213"/>
    <tableColumn id="285" name="Friday275" dataDxfId="212" totalsRowDxfId="211"/>
    <tableColumn id="286" name="Saturday276" dataDxfId="210" totalsRowDxfId="209"/>
    <tableColumn id="287" name="Sunday277" dataDxfId="208" totalsRowDxfId="207"/>
    <tableColumn id="288" name="Monday278" dataDxfId="206" totalsRowDxfId="205"/>
    <tableColumn id="289" name="Tuesday279" dataDxfId="204" totalsRowDxfId="203"/>
    <tableColumn id="290" name="Wednesday280" dataDxfId="202" totalsRowDxfId="201"/>
    <tableColumn id="291" name="Thursday281" dataDxfId="200" totalsRowDxfId="199"/>
    <tableColumn id="292" name="Friday282" dataDxfId="198" totalsRowDxfId="197"/>
    <tableColumn id="293" name="Saturday283" dataDxfId="196" totalsRowDxfId="195"/>
    <tableColumn id="294" name="Sunday284" dataDxfId="194" totalsRowDxfId="193"/>
    <tableColumn id="295" name="Monday285" dataDxfId="192" totalsRowDxfId="191"/>
    <tableColumn id="296" name="Tuesday286" dataDxfId="190" totalsRowDxfId="189"/>
    <tableColumn id="297" name="Wednesday287" dataDxfId="188" totalsRowDxfId="187"/>
    <tableColumn id="298" name="Thursday288" dataDxfId="186" totalsRowDxfId="185"/>
    <tableColumn id="299" name="Friday289" dataDxfId="184" totalsRowDxfId="183"/>
    <tableColumn id="300" name="Saturday290" dataDxfId="182" totalsRowDxfId="181"/>
    <tableColumn id="301" name="Sunday291" dataDxfId="180" totalsRowDxfId="179"/>
    <tableColumn id="302" name="Monday292" dataDxfId="178" totalsRowDxfId="177"/>
    <tableColumn id="303" name="Tuesday293" dataDxfId="176" totalsRowDxfId="175"/>
    <tableColumn id="304" name="Wednesday294" dataDxfId="174" totalsRowDxfId="173"/>
    <tableColumn id="305" name="Thursday295" dataDxfId="172" totalsRowDxfId="171"/>
    <tableColumn id="306" name="Friday296" dataDxfId="170" totalsRowDxfId="169"/>
    <tableColumn id="307" name="Saturday297" dataDxfId="168" totalsRowDxfId="167"/>
    <tableColumn id="308" name="Sunday298" dataDxfId="166" totalsRowDxfId="165"/>
    <tableColumn id="309" name="Monday299" dataDxfId="164" totalsRowDxfId="163"/>
    <tableColumn id="310" name="Tuesday300" dataDxfId="162" totalsRowDxfId="161"/>
    <tableColumn id="311" name="Wednesday301" dataDxfId="160" totalsRowDxfId="159"/>
    <tableColumn id="312" name="Thursday302" dataDxfId="158" totalsRowDxfId="157"/>
    <tableColumn id="313" name="Friday303" dataDxfId="156" totalsRowDxfId="155"/>
    <tableColumn id="314" name="Saturday304" dataDxfId="154" totalsRowDxfId="153"/>
    <tableColumn id="315" name="Sunday305" dataDxfId="152" totalsRowDxfId="151"/>
    <tableColumn id="316" name="Monday306" dataDxfId="150" totalsRowDxfId="149"/>
    <tableColumn id="317" name="Tuesday307" dataDxfId="148" totalsRowDxfId="147"/>
    <tableColumn id="318" name="Wednesday308" dataDxfId="146" totalsRowDxfId="145"/>
    <tableColumn id="319" name="Thursday309" dataDxfId="144" totalsRowDxfId="143"/>
    <tableColumn id="320" name="Friday310" dataDxfId="142" totalsRowDxfId="141"/>
    <tableColumn id="321" name="Saturday311" dataDxfId="140" totalsRowDxfId="139"/>
    <tableColumn id="322" name="Sunday312" dataDxfId="138" totalsRowDxfId="137"/>
    <tableColumn id="323" name="Monday313" dataDxfId="136" totalsRowDxfId="135"/>
    <tableColumn id="324" name="Tuesday314" dataDxfId="134" totalsRowDxfId="133"/>
    <tableColumn id="325" name="Wednesday315" dataDxfId="132" totalsRowDxfId="131"/>
    <tableColumn id="326" name="Thursday316" dataDxfId="130" totalsRowDxfId="129"/>
    <tableColumn id="327" name="Friday317" dataDxfId="128" totalsRowDxfId="127"/>
    <tableColumn id="328" name="Saturday318" dataDxfId="126" totalsRowDxfId="125"/>
    <tableColumn id="329" name="Sunday319" dataDxfId="124" totalsRowDxfId="123"/>
    <tableColumn id="330" name="Monday320" dataDxfId="122" totalsRowDxfId="121"/>
    <tableColumn id="331" name="Tuesday321" dataDxfId="120" totalsRowDxfId="119"/>
    <tableColumn id="332" name="Wednesday322" dataDxfId="118" totalsRowDxfId="117"/>
    <tableColumn id="333" name="Thursday323" dataDxfId="116" totalsRowDxfId="115"/>
    <tableColumn id="334" name="Friday324" dataDxfId="114" totalsRowDxfId="113"/>
    <tableColumn id="335" name="Saturday325" dataDxfId="112" totalsRowDxfId="111"/>
    <tableColumn id="336" name="Sunday326" dataDxfId="110" totalsRowDxfId="109"/>
    <tableColumn id="337" name="Monday327" dataDxfId="108" totalsRowDxfId="107"/>
    <tableColumn id="338" name="Tuesday328" dataDxfId="106" totalsRowDxfId="105"/>
    <tableColumn id="339" name="Wednesday329" dataDxfId="104" totalsRowDxfId="103"/>
    <tableColumn id="340" name="Thursday330" dataDxfId="102" totalsRowDxfId="101"/>
    <tableColumn id="341" name="Friday331" dataDxfId="100" totalsRowDxfId="99"/>
    <tableColumn id="342" name="Saturday332" dataDxfId="98" totalsRowDxfId="97"/>
    <tableColumn id="343" name="Sunday333" dataDxfId="96" totalsRowDxfId="95"/>
    <tableColumn id="344" name="Monday334" dataDxfId="94" totalsRowDxfId="93"/>
    <tableColumn id="345" name="Tuesday335" dataDxfId="92" totalsRowDxfId="91"/>
    <tableColumn id="346" name="Wednesday336" dataDxfId="90" totalsRowDxfId="89"/>
    <tableColumn id="347" name="Thursday337" dataDxfId="88" totalsRowDxfId="87"/>
    <tableColumn id="348" name="Friday338" dataDxfId="86" totalsRowDxfId="85"/>
    <tableColumn id="349" name="Saturday339" dataDxfId="84" totalsRowDxfId="83"/>
    <tableColumn id="350" name="Sunday340" dataDxfId="82" totalsRowDxfId="81"/>
    <tableColumn id="351" name="Monday341" dataDxfId="80" totalsRowDxfId="79"/>
    <tableColumn id="352" name="Tuesday342" dataDxfId="78" totalsRowDxfId="77"/>
    <tableColumn id="353" name="Wednesday343" dataDxfId="76" totalsRowDxfId="75"/>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43" tableBorderDxfId="42">
  <autoFilter ref="A7:F723"/>
  <tableColumns count="6">
    <tableColumn id="1" name="CAT" dataDxfId="41" dataCellStyle="Good"/>
    <tableColumn id="2" name="STAGE" dataDxfId="40"/>
    <tableColumn id="3" name="TASK" dataDxfId="39"/>
    <tableColumn id="4" name="Start Date" dataDxfId="38"/>
    <tableColumn id="5" name="End Date" dataDxfId="37"/>
    <tableColumn id="6" name="Progress" dataDxfId="3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indmaps\Open%20World%20Organisation.m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FM344"/>
  <sheetViews>
    <sheetView tabSelected="1" topLeftCell="A6" zoomScale="85" zoomScaleNormal="85" workbookViewId="0">
      <pane xSplit="2" topLeftCell="C1" activePane="topRight" state="frozen"/>
      <selection pane="topRight" activeCell="E26" sqref="E26"/>
    </sheetView>
  </sheetViews>
  <sheetFormatPr defaultRowHeight="15" x14ac:dyDescent="0.25"/>
  <cols>
    <col min="1" max="1" width="22" style="66" customWidth="1"/>
    <col min="2" max="2" width="42.85546875" style="69" customWidth="1"/>
    <col min="3" max="3" width="39.42578125" style="73" customWidth="1"/>
    <col min="4" max="4" width="27.28515625" style="73" bestFit="1" customWidth="1"/>
    <col min="5" max="5" width="27.140625" style="73" bestFit="1" customWidth="1"/>
    <col min="6" max="6" width="46.28515625" style="73" bestFit="1" customWidth="1"/>
    <col min="7" max="7" width="28.28515625" style="73" bestFit="1" customWidth="1"/>
    <col min="8" max="8" width="25" style="73" bestFit="1" customWidth="1"/>
    <col min="9" max="9" width="28.140625" style="73" bestFit="1" customWidth="1"/>
    <col min="10" max="10" width="45.42578125" style="183" customWidth="1"/>
    <col min="11" max="169" width="20.7109375" customWidth="1"/>
  </cols>
  <sheetData>
    <row r="1" spans="1:169" x14ac:dyDescent="0.25">
      <c r="A1" s="68">
        <f ca="1">TODAY()</f>
        <v>43333</v>
      </c>
      <c r="B1" s="67"/>
      <c r="C1" s="67"/>
      <c r="D1" s="67"/>
      <c r="E1" s="67"/>
      <c r="F1" s="67" t="s">
        <v>254</v>
      </c>
      <c r="G1" s="184" t="s">
        <v>254</v>
      </c>
      <c r="H1" s="67"/>
      <c r="I1" s="67"/>
      <c r="J1" s="67" t="s">
        <v>254</v>
      </c>
      <c r="K1" s="184" t="s">
        <v>254</v>
      </c>
      <c r="L1" s="67"/>
      <c r="M1" s="67"/>
      <c r="N1" s="67" t="s">
        <v>254</v>
      </c>
      <c r="O1" s="184" t="s">
        <v>254</v>
      </c>
      <c r="P1" s="67"/>
      <c r="Q1" s="67"/>
      <c r="R1" s="67" t="s">
        <v>254</v>
      </c>
      <c r="S1" s="184" t="s">
        <v>254</v>
      </c>
      <c r="T1" s="67"/>
      <c r="U1" s="67"/>
      <c r="V1" s="67" t="s">
        <v>254</v>
      </c>
      <c r="W1" s="184" t="s">
        <v>254</v>
      </c>
      <c r="X1" s="67"/>
      <c r="Y1" s="67"/>
      <c r="Z1" s="67" t="s">
        <v>254</v>
      </c>
      <c r="AA1" s="184" t="s">
        <v>254</v>
      </c>
      <c r="AB1" s="67"/>
      <c r="AC1" s="67"/>
      <c r="AD1" s="67" t="s">
        <v>254</v>
      </c>
      <c r="AE1" s="184" t="s">
        <v>254</v>
      </c>
      <c r="AF1" s="67"/>
      <c r="AG1" s="67"/>
      <c r="AH1" s="67" t="s">
        <v>254</v>
      </c>
      <c r="AI1" s="184" t="s">
        <v>254</v>
      </c>
      <c r="AJ1" s="67"/>
      <c r="AK1" s="67"/>
      <c r="AL1" s="67" t="s">
        <v>254</v>
      </c>
      <c r="AM1" s="184" t="s">
        <v>254</v>
      </c>
      <c r="AN1" s="67"/>
      <c r="AO1" s="67"/>
      <c r="AP1" s="67" t="s">
        <v>254</v>
      </c>
      <c r="AQ1" s="184" t="s">
        <v>254</v>
      </c>
      <c r="AR1" s="67"/>
      <c r="AS1" s="67"/>
      <c r="AT1" s="67" t="s">
        <v>254</v>
      </c>
      <c r="AU1" s="184" t="s">
        <v>254</v>
      </c>
      <c r="AV1" s="67"/>
      <c r="AW1" s="67"/>
      <c r="AX1" s="67" t="s">
        <v>254</v>
      </c>
      <c r="AY1" s="184" t="s">
        <v>254</v>
      </c>
      <c r="AZ1" s="67"/>
      <c r="BA1" s="67"/>
      <c r="BB1" s="67" t="s">
        <v>254</v>
      </c>
      <c r="BC1" s="184" t="s">
        <v>254</v>
      </c>
      <c r="BD1" s="67"/>
      <c r="BE1" s="67"/>
      <c r="BF1" s="67" t="s">
        <v>254</v>
      </c>
      <c r="BG1" s="184" t="s">
        <v>254</v>
      </c>
      <c r="BH1" s="67"/>
      <c r="BI1" s="67"/>
      <c r="BJ1" s="67" t="s">
        <v>254</v>
      </c>
      <c r="BK1" s="184" t="s">
        <v>254</v>
      </c>
      <c r="BL1" s="67"/>
      <c r="BM1" s="67"/>
      <c r="BN1" s="67" t="s">
        <v>254</v>
      </c>
      <c r="BO1" s="184" t="s">
        <v>254</v>
      </c>
      <c r="BP1" s="67"/>
      <c r="BQ1" s="67"/>
      <c r="BR1" s="67" t="s">
        <v>254</v>
      </c>
      <c r="BS1" s="184" t="s">
        <v>254</v>
      </c>
      <c r="BT1" s="67"/>
      <c r="BU1" s="67"/>
      <c r="BV1" s="67" t="s">
        <v>254</v>
      </c>
      <c r="BW1" s="184" t="s">
        <v>254</v>
      </c>
      <c r="BX1" s="67"/>
      <c r="BY1" s="67"/>
      <c r="BZ1" s="67" t="s">
        <v>254</v>
      </c>
      <c r="CA1" s="184" t="s">
        <v>254</v>
      </c>
      <c r="CB1" s="67"/>
      <c r="CC1" s="67"/>
      <c r="CD1" s="67" t="s">
        <v>254</v>
      </c>
      <c r="CE1" s="184" t="s">
        <v>254</v>
      </c>
      <c r="CF1" s="67"/>
      <c r="CG1" s="67"/>
      <c r="CH1" s="67" t="s">
        <v>254</v>
      </c>
      <c r="CI1" s="184" t="s">
        <v>254</v>
      </c>
      <c r="CJ1" s="67"/>
      <c r="CK1" s="67"/>
      <c r="CL1" s="67" t="s">
        <v>254</v>
      </c>
      <c r="CM1" s="184" t="s">
        <v>254</v>
      </c>
      <c r="CN1" s="67"/>
      <c r="CO1" s="67"/>
      <c r="CP1" s="67" t="s">
        <v>254</v>
      </c>
      <c r="CQ1" s="184" t="s">
        <v>254</v>
      </c>
      <c r="CR1" s="67"/>
      <c r="CS1" s="67"/>
      <c r="CT1" s="67" t="s">
        <v>254</v>
      </c>
      <c r="CU1" s="184" t="s">
        <v>254</v>
      </c>
      <c r="CV1" s="67"/>
      <c r="CW1" s="67"/>
      <c r="CX1" s="67" t="s">
        <v>254</v>
      </c>
      <c r="CY1" s="184" t="s">
        <v>254</v>
      </c>
      <c r="CZ1" s="67"/>
      <c r="DA1" s="67"/>
      <c r="DB1" s="67" t="s">
        <v>254</v>
      </c>
      <c r="DC1" s="184" t="s">
        <v>254</v>
      </c>
      <c r="DD1" s="67"/>
      <c r="DE1" s="67"/>
      <c r="DF1" s="67" t="s">
        <v>254</v>
      </c>
      <c r="DG1" s="184" t="s">
        <v>254</v>
      </c>
      <c r="DH1" s="67"/>
      <c r="DI1" s="67"/>
      <c r="DJ1" s="67" t="s">
        <v>254</v>
      </c>
      <c r="DK1" s="184" t="s">
        <v>254</v>
      </c>
      <c r="DL1" s="67"/>
      <c r="DM1" s="67"/>
      <c r="DN1" s="67" t="s">
        <v>254</v>
      </c>
      <c r="DO1" s="184" t="s">
        <v>254</v>
      </c>
      <c r="DP1" s="67"/>
      <c r="DQ1" s="67"/>
      <c r="DR1" s="67" t="s">
        <v>254</v>
      </c>
      <c r="DS1" s="184" t="s">
        <v>254</v>
      </c>
      <c r="DT1" s="67"/>
      <c r="DU1" s="67"/>
      <c r="DV1" s="67" t="s">
        <v>254</v>
      </c>
      <c r="DW1" s="184" t="s">
        <v>254</v>
      </c>
      <c r="DX1" s="67"/>
      <c r="DY1" s="67"/>
      <c r="DZ1" s="67" t="s">
        <v>254</v>
      </c>
      <c r="EA1" s="184" t="s">
        <v>254</v>
      </c>
      <c r="EB1" s="67"/>
      <c r="EC1" s="67"/>
      <c r="ED1" s="67" t="s">
        <v>254</v>
      </c>
      <c r="EE1" s="184" t="s">
        <v>254</v>
      </c>
      <c r="EF1" s="67"/>
      <c r="EG1" s="67"/>
      <c r="EH1" s="67" t="s">
        <v>254</v>
      </c>
      <c r="EI1" s="184" t="s">
        <v>254</v>
      </c>
      <c r="EJ1" s="67"/>
      <c r="EK1" s="67"/>
      <c r="EL1" s="67" t="s">
        <v>254</v>
      </c>
      <c r="EM1" s="184" t="s">
        <v>254</v>
      </c>
      <c r="EN1" s="67"/>
      <c r="EO1" s="67"/>
      <c r="EP1" s="67" t="s">
        <v>254</v>
      </c>
      <c r="EQ1" s="184" t="s">
        <v>254</v>
      </c>
      <c r="ER1" s="67"/>
      <c r="ES1" s="67"/>
      <c r="ET1" s="67" t="s">
        <v>254</v>
      </c>
      <c r="EU1" s="184" t="s">
        <v>254</v>
      </c>
      <c r="EV1" s="67"/>
      <c r="EW1" s="67"/>
      <c r="EX1" s="67" t="s">
        <v>254</v>
      </c>
      <c r="EY1" s="184" t="s">
        <v>254</v>
      </c>
      <c r="EZ1" s="67"/>
      <c r="FA1" s="67"/>
      <c r="FB1" s="67" t="s">
        <v>254</v>
      </c>
      <c r="FC1" s="184" t="s">
        <v>254</v>
      </c>
      <c r="FD1" s="67"/>
      <c r="FE1" s="67"/>
      <c r="FF1" s="67" t="s">
        <v>254</v>
      </c>
      <c r="FG1" s="184" t="s">
        <v>254</v>
      </c>
      <c r="FH1" s="67"/>
      <c r="FI1" s="67"/>
      <c r="FJ1" s="67" t="s">
        <v>254</v>
      </c>
      <c r="FK1" s="184" t="s">
        <v>254</v>
      </c>
      <c r="FL1" s="67"/>
      <c r="FM1" s="67"/>
    </row>
    <row r="2" spans="1:169" ht="15.75" x14ac:dyDescent="0.25">
      <c r="A2" s="95">
        <f ca="1">NOW()</f>
        <v>43333.726772685186</v>
      </c>
      <c r="B2" s="97">
        <v>43157</v>
      </c>
      <c r="C2" s="96">
        <v>0</v>
      </c>
      <c r="D2" s="96">
        <v>1</v>
      </c>
      <c r="E2" s="96">
        <v>2</v>
      </c>
      <c r="F2" s="96">
        <v>3</v>
      </c>
      <c r="G2" s="96">
        <v>4</v>
      </c>
      <c r="H2" s="96">
        <v>5</v>
      </c>
      <c r="I2" s="96">
        <v>6</v>
      </c>
      <c r="J2" s="96">
        <v>7</v>
      </c>
      <c r="K2" s="96">
        <v>8</v>
      </c>
      <c r="L2" s="96">
        <v>9</v>
      </c>
      <c r="M2" s="96">
        <v>10</v>
      </c>
      <c r="N2" s="96">
        <v>11</v>
      </c>
      <c r="O2" s="96">
        <v>12</v>
      </c>
      <c r="P2" s="96">
        <v>13</v>
      </c>
      <c r="Q2" s="96">
        <v>14</v>
      </c>
      <c r="R2" s="96">
        <v>15</v>
      </c>
      <c r="S2" s="96">
        <v>16</v>
      </c>
      <c r="T2" s="96">
        <v>17</v>
      </c>
      <c r="U2" s="96">
        <v>18</v>
      </c>
      <c r="V2" s="96">
        <v>19</v>
      </c>
      <c r="W2" s="96">
        <v>20</v>
      </c>
      <c r="X2" s="96">
        <v>21</v>
      </c>
      <c r="Y2" s="96">
        <v>22</v>
      </c>
      <c r="Z2" s="96">
        <v>23</v>
      </c>
      <c r="AA2" s="96">
        <v>24</v>
      </c>
      <c r="AB2" s="96">
        <v>25</v>
      </c>
      <c r="AC2" s="96">
        <v>26</v>
      </c>
      <c r="AD2" s="96">
        <v>27</v>
      </c>
      <c r="AE2" s="96">
        <v>28</v>
      </c>
      <c r="AF2" s="96">
        <v>29</v>
      </c>
      <c r="AG2" s="96">
        <v>30</v>
      </c>
      <c r="AH2" s="96">
        <v>31</v>
      </c>
      <c r="AI2" s="96">
        <v>32</v>
      </c>
      <c r="AJ2" s="96">
        <v>33</v>
      </c>
      <c r="AK2" s="96">
        <v>34</v>
      </c>
      <c r="AL2" s="96">
        <v>35</v>
      </c>
      <c r="AM2" s="96">
        <v>36</v>
      </c>
      <c r="AN2" s="96">
        <v>37</v>
      </c>
      <c r="AO2" s="96">
        <v>38</v>
      </c>
      <c r="AP2" s="96">
        <v>39</v>
      </c>
      <c r="AQ2" s="96">
        <v>40</v>
      </c>
      <c r="AR2" s="96">
        <v>41</v>
      </c>
      <c r="AS2" s="96">
        <v>42</v>
      </c>
      <c r="AT2" s="96">
        <v>43</v>
      </c>
      <c r="AU2" s="96">
        <v>44</v>
      </c>
      <c r="AV2" s="96">
        <v>45</v>
      </c>
      <c r="AW2" s="96">
        <v>46</v>
      </c>
      <c r="AX2" s="96">
        <v>47</v>
      </c>
      <c r="AY2" s="96">
        <v>48</v>
      </c>
      <c r="AZ2" s="96">
        <v>49</v>
      </c>
      <c r="BA2" s="96">
        <v>50</v>
      </c>
      <c r="BB2" s="96">
        <v>51</v>
      </c>
      <c r="BC2" s="96">
        <v>52</v>
      </c>
      <c r="BD2" s="96">
        <v>53</v>
      </c>
      <c r="BE2" s="96">
        <v>54</v>
      </c>
      <c r="BF2" s="96">
        <v>55</v>
      </c>
      <c r="BG2" s="96">
        <v>56</v>
      </c>
      <c r="BH2" s="96">
        <v>57</v>
      </c>
      <c r="BI2" s="96">
        <v>58</v>
      </c>
      <c r="BJ2" s="96">
        <v>59</v>
      </c>
      <c r="BK2" s="96">
        <v>60</v>
      </c>
      <c r="BL2" s="96">
        <v>61</v>
      </c>
      <c r="BM2" s="96">
        <v>62</v>
      </c>
      <c r="BN2" s="96">
        <v>63</v>
      </c>
      <c r="BO2" s="96">
        <v>64</v>
      </c>
      <c r="BP2" s="96">
        <v>65</v>
      </c>
      <c r="BQ2" s="96">
        <v>66</v>
      </c>
      <c r="BR2" s="96">
        <v>67</v>
      </c>
      <c r="BS2" s="96">
        <v>68</v>
      </c>
      <c r="BT2" s="96">
        <v>69</v>
      </c>
      <c r="BU2" s="96">
        <v>70</v>
      </c>
      <c r="BV2" s="96">
        <v>71</v>
      </c>
      <c r="BW2" s="96">
        <v>72</v>
      </c>
      <c r="BX2" s="96">
        <v>73</v>
      </c>
      <c r="BY2" s="96">
        <v>74</v>
      </c>
      <c r="BZ2" s="96">
        <v>75</v>
      </c>
      <c r="CA2" s="96">
        <v>76</v>
      </c>
      <c r="CB2" s="96">
        <v>77</v>
      </c>
      <c r="CC2" s="96">
        <v>78</v>
      </c>
      <c r="CD2" s="96">
        <v>79</v>
      </c>
      <c r="CE2" s="96">
        <v>80</v>
      </c>
      <c r="CF2" s="96">
        <v>81</v>
      </c>
      <c r="CG2" s="96">
        <v>82</v>
      </c>
      <c r="CH2" s="96">
        <v>83</v>
      </c>
      <c r="CI2" s="96">
        <v>84</v>
      </c>
      <c r="CJ2" s="96">
        <v>85</v>
      </c>
      <c r="CK2" s="96">
        <v>86</v>
      </c>
      <c r="CL2" s="96">
        <v>87</v>
      </c>
      <c r="CM2" s="96">
        <v>88</v>
      </c>
      <c r="CN2" s="96">
        <v>89</v>
      </c>
      <c r="CO2" s="96">
        <v>90</v>
      </c>
      <c r="CP2" s="96">
        <v>91</v>
      </c>
      <c r="CQ2" s="96">
        <v>92</v>
      </c>
      <c r="CR2" s="96">
        <v>93</v>
      </c>
      <c r="CS2" s="96">
        <v>94</v>
      </c>
      <c r="CT2" s="96">
        <v>95</v>
      </c>
      <c r="CU2" s="96">
        <v>96</v>
      </c>
      <c r="CV2" s="96">
        <v>97</v>
      </c>
      <c r="CW2" s="96">
        <v>98</v>
      </c>
      <c r="CX2" s="96">
        <v>99</v>
      </c>
      <c r="CY2" s="96">
        <v>100</v>
      </c>
      <c r="CZ2" s="96">
        <v>101</v>
      </c>
      <c r="DA2" s="96">
        <v>102</v>
      </c>
      <c r="DB2" s="96">
        <v>103</v>
      </c>
      <c r="DC2" s="96">
        <v>104</v>
      </c>
      <c r="DD2" s="96">
        <v>105</v>
      </c>
      <c r="DE2" s="96">
        <v>106</v>
      </c>
      <c r="DF2" s="96">
        <v>107</v>
      </c>
      <c r="DG2" s="96">
        <v>108</v>
      </c>
      <c r="DH2" s="96">
        <v>109</v>
      </c>
      <c r="DI2" s="96">
        <v>110</v>
      </c>
      <c r="DJ2" s="96">
        <v>111</v>
      </c>
      <c r="DK2" s="96">
        <v>112</v>
      </c>
      <c r="DL2" s="96">
        <v>113</v>
      </c>
      <c r="DM2" s="96">
        <v>114</v>
      </c>
      <c r="DN2" s="96">
        <v>115</v>
      </c>
      <c r="DO2" s="96">
        <v>116</v>
      </c>
      <c r="DP2" s="96">
        <v>117</v>
      </c>
      <c r="DQ2" s="96">
        <v>118</v>
      </c>
      <c r="DR2" s="96">
        <v>119</v>
      </c>
      <c r="DS2" s="96">
        <v>120</v>
      </c>
      <c r="DT2" s="96">
        <v>121</v>
      </c>
      <c r="DU2" s="96">
        <v>122</v>
      </c>
      <c r="DV2" s="96">
        <v>123</v>
      </c>
      <c r="DW2" s="96">
        <v>124</v>
      </c>
      <c r="DX2" s="96">
        <v>125</v>
      </c>
      <c r="DY2" s="96">
        <v>126</v>
      </c>
      <c r="DZ2" s="96">
        <v>127</v>
      </c>
      <c r="EA2" s="96">
        <v>128</v>
      </c>
      <c r="EB2" s="96">
        <v>129</v>
      </c>
      <c r="EC2" s="96">
        <v>130</v>
      </c>
      <c r="ED2" s="96">
        <v>131</v>
      </c>
      <c r="EE2" s="96">
        <v>132</v>
      </c>
      <c r="EF2" s="96">
        <v>133</v>
      </c>
      <c r="EG2" s="96">
        <v>134</v>
      </c>
      <c r="EH2" s="96">
        <v>135</v>
      </c>
      <c r="EI2" s="96">
        <v>136</v>
      </c>
      <c r="EJ2" s="96">
        <v>137</v>
      </c>
      <c r="EK2" s="96">
        <v>138</v>
      </c>
      <c r="EL2" s="96">
        <v>139</v>
      </c>
      <c r="EM2" s="96">
        <v>140</v>
      </c>
      <c r="EN2" s="96">
        <v>141</v>
      </c>
      <c r="EO2" s="96">
        <v>142</v>
      </c>
      <c r="EP2" s="96">
        <v>143</v>
      </c>
      <c r="EQ2" s="96">
        <v>144</v>
      </c>
      <c r="ER2" s="96">
        <v>145</v>
      </c>
      <c r="ES2" s="96">
        <v>146</v>
      </c>
      <c r="ET2" s="96">
        <v>147</v>
      </c>
      <c r="EU2" s="96">
        <v>148</v>
      </c>
      <c r="EV2" s="96">
        <v>149</v>
      </c>
      <c r="EW2" s="96">
        <v>150</v>
      </c>
      <c r="EX2" s="96">
        <v>151</v>
      </c>
      <c r="EY2" s="96">
        <v>152</v>
      </c>
      <c r="EZ2" s="96">
        <v>153</v>
      </c>
      <c r="FA2" s="96">
        <v>154</v>
      </c>
      <c r="FB2" s="96">
        <v>155</v>
      </c>
      <c r="FC2" s="96">
        <v>156</v>
      </c>
      <c r="FD2" s="96">
        <v>157</v>
      </c>
      <c r="FE2" s="96">
        <v>158</v>
      </c>
      <c r="FF2" s="96">
        <v>159</v>
      </c>
      <c r="FG2" s="96">
        <v>160</v>
      </c>
      <c r="FH2" s="96">
        <v>161</v>
      </c>
      <c r="FI2" s="96">
        <v>162</v>
      </c>
      <c r="FJ2" s="96">
        <v>163</v>
      </c>
      <c r="FK2" s="96">
        <v>164</v>
      </c>
      <c r="FL2" s="96">
        <v>165</v>
      </c>
      <c r="FM2" s="96">
        <v>166</v>
      </c>
    </row>
    <row r="3" spans="1:169" x14ac:dyDescent="0.25">
      <c r="A3" s="170">
        <f ca="1">HOUR(A2)</f>
        <v>17</v>
      </c>
      <c r="B3" s="124"/>
      <c r="C3" s="185">
        <f t="shared" ref="C3:BN3" si="0">C4</f>
        <v>43331</v>
      </c>
      <c r="D3" s="185">
        <f t="shared" si="0"/>
        <v>43332</v>
      </c>
      <c r="E3" s="185">
        <f t="shared" si="0"/>
        <v>43333</v>
      </c>
      <c r="F3" s="185">
        <f t="shared" si="0"/>
        <v>43334</v>
      </c>
      <c r="G3" s="185">
        <f t="shared" si="0"/>
        <v>43335</v>
      </c>
      <c r="H3" s="185">
        <f t="shared" si="0"/>
        <v>43336</v>
      </c>
      <c r="I3" s="185">
        <f t="shared" si="0"/>
        <v>43337</v>
      </c>
      <c r="J3" s="185">
        <f t="shared" si="0"/>
        <v>43338</v>
      </c>
      <c r="K3" s="185">
        <f t="shared" si="0"/>
        <v>43339</v>
      </c>
      <c r="L3" s="185">
        <f t="shared" si="0"/>
        <v>43340</v>
      </c>
      <c r="M3" s="185">
        <f t="shared" si="0"/>
        <v>43341</v>
      </c>
      <c r="N3" s="185">
        <f t="shared" si="0"/>
        <v>43342</v>
      </c>
      <c r="O3" s="185">
        <f t="shared" si="0"/>
        <v>43343</v>
      </c>
      <c r="P3" s="185">
        <f t="shared" si="0"/>
        <v>43344</v>
      </c>
      <c r="Q3" s="185">
        <f t="shared" si="0"/>
        <v>43345</v>
      </c>
      <c r="R3" s="185">
        <f t="shared" si="0"/>
        <v>43346</v>
      </c>
      <c r="S3" s="185">
        <f t="shared" si="0"/>
        <v>43347</v>
      </c>
      <c r="T3" s="185">
        <f t="shared" si="0"/>
        <v>43348</v>
      </c>
      <c r="U3" s="185">
        <f t="shared" si="0"/>
        <v>43349</v>
      </c>
      <c r="V3" s="185">
        <f t="shared" si="0"/>
        <v>43350</v>
      </c>
      <c r="W3" s="185">
        <f t="shared" si="0"/>
        <v>43351</v>
      </c>
      <c r="X3" s="185">
        <f t="shared" si="0"/>
        <v>43352</v>
      </c>
      <c r="Y3" s="185">
        <f t="shared" si="0"/>
        <v>43353</v>
      </c>
      <c r="Z3" s="185">
        <f t="shared" si="0"/>
        <v>43354</v>
      </c>
      <c r="AA3" s="185">
        <f t="shared" si="0"/>
        <v>43355</v>
      </c>
      <c r="AB3" s="185">
        <f t="shared" si="0"/>
        <v>43356</v>
      </c>
      <c r="AC3" s="185">
        <f t="shared" si="0"/>
        <v>43357</v>
      </c>
      <c r="AD3" s="185">
        <f t="shared" si="0"/>
        <v>43358</v>
      </c>
      <c r="AE3" s="185">
        <f t="shared" si="0"/>
        <v>43359</v>
      </c>
      <c r="AF3" s="185">
        <f t="shared" si="0"/>
        <v>43360</v>
      </c>
      <c r="AG3" s="185">
        <f t="shared" si="0"/>
        <v>43361</v>
      </c>
      <c r="AH3" s="185">
        <f t="shared" si="0"/>
        <v>43362</v>
      </c>
      <c r="AI3" s="185">
        <f t="shared" si="0"/>
        <v>43363</v>
      </c>
      <c r="AJ3" s="185">
        <f t="shared" si="0"/>
        <v>43364</v>
      </c>
      <c r="AK3" s="185">
        <f t="shared" si="0"/>
        <v>43365</v>
      </c>
      <c r="AL3" s="185">
        <f t="shared" si="0"/>
        <v>43366</v>
      </c>
      <c r="AM3" s="185">
        <f t="shared" si="0"/>
        <v>43367</v>
      </c>
      <c r="AN3" s="185">
        <f t="shared" si="0"/>
        <v>43368</v>
      </c>
      <c r="AO3" s="185">
        <f t="shared" si="0"/>
        <v>43369</v>
      </c>
      <c r="AP3" s="185">
        <f t="shared" si="0"/>
        <v>43370</v>
      </c>
      <c r="AQ3" s="185">
        <f t="shared" si="0"/>
        <v>43371</v>
      </c>
      <c r="AR3" s="185">
        <f t="shared" si="0"/>
        <v>43372</v>
      </c>
      <c r="AS3" s="185">
        <f t="shared" si="0"/>
        <v>43373</v>
      </c>
      <c r="AT3" s="185">
        <f t="shared" si="0"/>
        <v>43374</v>
      </c>
      <c r="AU3" s="185">
        <f t="shared" si="0"/>
        <v>43375</v>
      </c>
      <c r="AV3" s="185">
        <f t="shared" si="0"/>
        <v>43376</v>
      </c>
      <c r="AW3" s="185">
        <f t="shared" si="0"/>
        <v>43377</v>
      </c>
      <c r="AX3" s="185">
        <f t="shared" si="0"/>
        <v>43378</v>
      </c>
      <c r="AY3" s="185">
        <f t="shared" si="0"/>
        <v>43379</v>
      </c>
      <c r="AZ3" s="185">
        <f t="shared" si="0"/>
        <v>43380</v>
      </c>
      <c r="BA3" s="185">
        <f t="shared" si="0"/>
        <v>43381</v>
      </c>
      <c r="BB3" s="185">
        <f t="shared" si="0"/>
        <v>43382</v>
      </c>
      <c r="BC3" s="185">
        <f t="shared" si="0"/>
        <v>43383</v>
      </c>
      <c r="BD3" s="185">
        <f t="shared" si="0"/>
        <v>43384</v>
      </c>
      <c r="BE3" s="185">
        <f t="shared" si="0"/>
        <v>43385</v>
      </c>
      <c r="BF3" s="185">
        <f t="shared" si="0"/>
        <v>43386</v>
      </c>
      <c r="BG3" s="185">
        <f t="shared" si="0"/>
        <v>43387</v>
      </c>
      <c r="BH3" s="185">
        <f t="shared" si="0"/>
        <v>43388</v>
      </c>
      <c r="BI3" s="185">
        <f t="shared" si="0"/>
        <v>43389</v>
      </c>
      <c r="BJ3" s="185">
        <f t="shared" si="0"/>
        <v>43390</v>
      </c>
      <c r="BK3" s="185">
        <f t="shared" si="0"/>
        <v>43391</v>
      </c>
      <c r="BL3" s="185">
        <f t="shared" si="0"/>
        <v>43392</v>
      </c>
      <c r="BM3" s="185">
        <f t="shared" si="0"/>
        <v>43393</v>
      </c>
      <c r="BN3" s="185">
        <f t="shared" si="0"/>
        <v>43394</v>
      </c>
      <c r="BO3" s="185">
        <f t="shared" ref="BO3:DZ3" si="1">BO4</f>
        <v>43395</v>
      </c>
      <c r="BP3" s="185">
        <f t="shared" si="1"/>
        <v>43396</v>
      </c>
      <c r="BQ3" s="185">
        <f t="shared" si="1"/>
        <v>43397</v>
      </c>
      <c r="BR3" s="185">
        <f t="shared" si="1"/>
        <v>43398</v>
      </c>
      <c r="BS3" s="185">
        <f t="shared" si="1"/>
        <v>43399</v>
      </c>
      <c r="BT3" s="185">
        <f t="shared" si="1"/>
        <v>43400</v>
      </c>
      <c r="BU3" s="185">
        <f t="shared" si="1"/>
        <v>43401</v>
      </c>
      <c r="BV3" s="185">
        <f t="shared" si="1"/>
        <v>43402</v>
      </c>
      <c r="BW3" s="185">
        <f t="shared" si="1"/>
        <v>43403</v>
      </c>
      <c r="BX3" s="185">
        <f t="shared" si="1"/>
        <v>43404</v>
      </c>
      <c r="BY3" s="185">
        <f t="shared" si="1"/>
        <v>43405</v>
      </c>
      <c r="BZ3" s="185">
        <f t="shared" si="1"/>
        <v>43406</v>
      </c>
      <c r="CA3" s="185">
        <f t="shared" si="1"/>
        <v>43407</v>
      </c>
      <c r="CB3" s="185">
        <f t="shared" si="1"/>
        <v>43408</v>
      </c>
      <c r="CC3" s="185">
        <f t="shared" si="1"/>
        <v>43409</v>
      </c>
      <c r="CD3" s="185">
        <f t="shared" si="1"/>
        <v>43410</v>
      </c>
      <c r="CE3" s="185">
        <f t="shared" si="1"/>
        <v>43411</v>
      </c>
      <c r="CF3" s="185">
        <f t="shared" si="1"/>
        <v>43412</v>
      </c>
      <c r="CG3" s="185">
        <f t="shared" si="1"/>
        <v>43413</v>
      </c>
      <c r="CH3" s="185">
        <f t="shared" si="1"/>
        <v>43414</v>
      </c>
      <c r="CI3" s="185">
        <f t="shared" si="1"/>
        <v>43415</v>
      </c>
      <c r="CJ3" s="185">
        <f t="shared" si="1"/>
        <v>43416</v>
      </c>
      <c r="CK3" s="185">
        <f t="shared" si="1"/>
        <v>43417</v>
      </c>
      <c r="CL3" s="185">
        <f t="shared" si="1"/>
        <v>43418</v>
      </c>
      <c r="CM3" s="185">
        <f t="shared" si="1"/>
        <v>43419</v>
      </c>
      <c r="CN3" s="185">
        <f t="shared" si="1"/>
        <v>43420</v>
      </c>
      <c r="CO3" s="185">
        <f t="shared" si="1"/>
        <v>43421</v>
      </c>
      <c r="CP3" s="185">
        <f t="shared" si="1"/>
        <v>43422</v>
      </c>
      <c r="CQ3" s="185">
        <f t="shared" si="1"/>
        <v>43423</v>
      </c>
      <c r="CR3" s="185">
        <f t="shared" si="1"/>
        <v>43424</v>
      </c>
      <c r="CS3" s="185">
        <f t="shared" si="1"/>
        <v>43425</v>
      </c>
      <c r="CT3" s="185">
        <f t="shared" si="1"/>
        <v>43426</v>
      </c>
      <c r="CU3" s="185">
        <f t="shared" si="1"/>
        <v>43427</v>
      </c>
      <c r="CV3" s="185">
        <f t="shared" si="1"/>
        <v>43428</v>
      </c>
      <c r="CW3" s="185">
        <f t="shared" si="1"/>
        <v>43429</v>
      </c>
      <c r="CX3" s="185">
        <f t="shared" si="1"/>
        <v>43430</v>
      </c>
      <c r="CY3" s="185">
        <f t="shared" si="1"/>
        <v>43431</v>
      </c>
      <c r="CZ3" s="185">
        <f t="shared" si="1"/>
        <v>43432</v>
      </c>
      <c r="DA3" s="185">
        <f t="shared" si="1"/>
        <v>43433</v>
      </c>
      <c r="DB3" s="185">
        <f t="shared" si="1"/>
        <v>43434</v>
      </c>
      <c r="DC3" s="185">
        <f t="shared" si="1"/>
        <v>43435</v>
      </c>
      <c r="DD3" s="185">
        <f t="shared" si="1"/>
        <v>43436</v>
      </c>
      <c r="DE3" s="185">
        <f t="shared" si="1"/>
        <v>43437</v>
      </c>
      <c r="DF3" s="185">
        <f t="shared" si="1"/>
        <v>43438</v>
      </c>
      <c r="DG3" s="185">
        <f t="shared" si="1"/>
        <v>43439</v>
      </c>
      <c r="DH3" s="185">
        <f t="shared" si="1"/>
        <v>43440</v>
      </c>
      <c r="DI3" s="185">
        <f t="shared" si="1"/>
        <v>43441</v>
      </c>
      <c r="DJ3" s="185">
        <f t="shared" si="1"/>
        <v>43442</v>
      </c>
      <c r="DK3" s="185">
        <f t="shared" si="1"/>
        <v>43443</v>
      </c>
      <c r="DL3" s="185">
        <f t="shared" si="1"/>
        <v>43444</v>
      </c>
      <c r="DM3" s="185">
        <f t="shared" si="1"/>
        <v>43445</v>
      </c>
      <c r="DN3" s="185">
        <f t="shared" si="1"/>
        <v>43446</v>
      </c>
      <c r="DO3" s="185">
        <f t="shared" si="1"/>
        <v>43447</v>
      </c>
      <c r="DP3" s="185">
        <f t="shared" si="1"/>
        <v>43448</v>
      </c>
      <c r="DQ3" s="185">
        <f t="shared" si="1"/>
        <v>43449</v>
      </c>
      <c r="DR3" s="185">
        <f t="shared" si="1"/>
        <v>43450</v>
      </c>
      <c r="DS3" s="185">
        <f t="shared" si="1"/>
        <v>43451</v>
      </c>
      <c r="DT3" s="185">
        <f t="shared" si="1"/>
        <v>43452</v>
      </c>
      <c r="DU3" s="185">
        <f t="shared" si="1"/>
        <v>43453</v>
      </c>
      <c r="DV3" s="185">
        <f t="shared" si="1"/>
        <v>43454</v>
      </c>
      <c r="DW3" s="185">
        <f t="shared" si="1"/>
        <v>43455</v>
      </c>
      <c r="DX3" s="185">
        <f t="shared" si="1"/>
        <v>43456</v>
      </c>
      <c r="DY3" s="185">
        <f t="shared" si="1"/>
        <v>43457</v>
      </c>
      <c r="DZ3" s="185">
        <f t="shared" si="1"/>
        <v>43458</v>
      </c>
      <c r="EA3" s="185">
        <f t="shared" ref="EA3:FM3" si="2">EA4</f>
        <v>43459</v>
      </c>
      <c r="EB3" s="185">
        <f t="shared" si="2"/>
        <v>43460</v>
      </c>
      <c r="EC3" s="185">
        <f t="shared" si="2"/>
        <v>43461</v>
      </c>
      <c r="ED3" s="185">
        <f t="shared" si="2"/>
        <v>43462</v>
      </c>
      <c r="EE3" s="185">
        <f t="shared" si="2"/>
        <v>43463</v>
      </c>
      <c r="EF3" s="185">
        <f t="shared" si="2"/>
        <v>43464</v>
      </c>
      <c r="EG3" s="185">
        <f t="shared" si="2"/>
        <v>43465</v>
      </c>
      <c r="EH3" s="185">
        <f t="shared" si="2"/>
        <v>43466</v>
      </c>
      <c r="EI3" s="185">
        <f t="shared" si="2"/>
        <v>43467</v>
      </c>
      <c r="EJ3" s="185">
        <f t="shared" si="2"/>
        <v>43468</v>
      </c>
      <c r="EK3" s="185">
        <f t="shared" si="2"/>
        <v>43469</v>
      </c>
      <c r="EL3" s="185">
        <f t="shared" si="2"/>
        <v>43470</v>
      </c>
      <c r="EM3" s="185">
        <f t="shared" si="2"/>
        <v>43471</v>
      </c>
      <c r="EN3" s="185">
        <f t="shared" si="2"/>
        <v>43472</v>
      </c>
      <c r="EO3" s="185">
        <f t="shared" si="2"/>
        <v>43473</v>
      </c>
      <c r="EP3" s="185">
        <f t="shared" si="2"/>
        <v>43474</v>
      </c>
      <c r="EQ3" s="185">
        <f t="shared" si="2"/>
        <v>43475</v>
      </c>
      <c r="ER3" s="185">
        <f t="shared" si="2"/>
        <v>43476</v>
      </c>
      <c r="ES3" s="185">
        <f t="shared" si="2"/>
        <v>43477</v>
      </c>
      <c r="ET3" s="185">
        <f t="shared" si="2"/>
        <v>43478</v>
      </c>
      <c r="EU3" s="185">
        <f t="shared" si="2"/>
        <v>43479</v>
      </c>
      <c r="EV3" s="185">
        <f t="shared" si="2"/>
        <v>43480</v>
      </c>
      <c r="EW3" s="185">
        <f t="shared" si="2"/>
        <v>43481</v>
      </c>
      <c r="EX3" s="185">
        <f t="shared" si="2"/>
        <v>43482</v>
      </c>
      <c r="EY3" s="185">
        <f t="shared" si="2"/>
        <v>43483</v>
      </c>
      <c r="EZ3" s="185">
        <f t="shared" si="2"/>
        <v>43484</v>
      </c>
      <c r="FA3" s="185">
        <f t="shared" si="2"/>
        <v>43485</v>
      </c>
      <c r="FB3" s="185">
        <f t="shared" si="2"/>
        <v>43486</v>
      </c>
      <c r="FC3" s="185">
        <f t="shared" si="2"/>
        <v>43487</v>
      </c>
      <c r="FD3" s="185">
        <f t="shared" si="2"/>
        <v>43488</v>
      </c>
      <c r="FE3" s="185">
        <f t="shared" si="2"/>
        <v>43489</v>
      </c>
      <c r="FF3" s="185">
        <f t="shared" si="2"/>
        <v>43490</v>
      </c>
      <c r="FG3" s="185">
        <f t="shared" si="2"/>
        <v>43491</v>
      </c>
      <c r="FH3" s="185">
        <f t="shared" si="2"/>
        <v>43492</v>
      </c>
      <c r="FI3" s="185">
        <f t="shared" si="2"/>
        <v>43493</v>
      </c>
      <c r="FJ3" s="185">
        <f t="shared" si="2"/>
        <v>43494</v>
      </c>
      <c r="FK3" s="185">
        <f t="shared" si="2"/>
        <v>43495</v>
      </c>
      <c r="FL3" s="185">
        <f t="shared" si="2"/>
        <v>43496</v>
      </c>
      <c r="FM3" s="185">
        <f t="shared" si="2"/>
        <v>43497</v>
      </c>
    </row>
    <row r="4" spans="1:169" ht="20.25" customHeight="1" x14ac:dyDescent="0.25">
      <c r="A4" s="70"/>
      <c r="B4" s="71"/>
      <c r="C4" s="72">
        <v>43331</v>
      </c>
      <c r="D4" s="72">
        <v>43332</v>
      </c>
      <c r="E4" s="72">
        <v>43333</v>
      </c>
      <c r="F4" s="72">
        <v>43334</v>
      </c>
      <c r="G4" s="72">
        <v>43335</v>
      </c>
      <c r="H4" s="72">
        <v>43336</v>
      </c>
      <c r="I4" s="72">
        <v>43337</v>
      </c>
      <c r="J4" s="72">
        <v>43338</v>
      </c>
      <c r="K4" s="72">
        <v>43339</v>
      </c>
      <c r="L4" s="72">
        <v>43340</v>
      </c>
      <c r="M4" s="72">
        <v>43341</v>
      </c>
      <c r="N4" s="72">
        <v>43342</v>
      </c>
      <c r="O4" s="72">
        <v>43343</v>
      </c>
      <c r="P4" s="72">
        <v>43344</v>
      </c>
      <c r="Q4" s="72">
        <v>43345</v>
      </c>
      <c r="R4" s="72">
        <v>43346</v>
      </c>
      <c r="S4" s="72">
        <v>43347</v>
      </c>
      <c r="T4" s="72">
        <v>43348</v>
      </c>
      <c r="U4" s="72">
        <v>43349</v>
      </c>
      <c r="V4" s="72">
        <v>43350</v>
      </c>
      <c r="W4" s="72">
        <v>43351</v>
      </c>
      <c r="X4" s="72">
        <v>43352</v>
      </c>
      <c r="Y4" s="72">
        <v>43353</v>
      </c>
      <c r="Z4" s="72">
        <v>43354</v>
      </c>
      <c r="AA4" s="72">
        <v>43355</v>
      </c>
      <c r="AB4" s="72">
        <v>43356</v>
      </c>
      <c r="AC4" s="72">
        <v>43357</v>
      </c>
      <c r="AD4" s="72">
        <v>43358</v>
      </c>
      <c r="AE4" s="72">
        <v>43359</v>
      </c>
      <c r="AF4" s="72">
        <v>43360</v>
      </c>
      <c r="AG4" s="72">
        <v>43361</v>
      </c>
      <c r="AH4" s="72">
        <v>43362</v>
      </c>
      <c r="AI4" s="72">
        <v>43363</v>
      </c>
      <c r="AJ4" s="72">
        <v>43364</v>
      </c>
      <c r="AK4" s="72">
        <v>43365</v>
      </c>
      <c r="AL4" s="72">
        <v>43366</v>
      </c>
      <c r="AM4" s="72">
        <v>43367</v>
      </c>
      <c r="AN4" s="72">
        <v>43368</v>
      </c>
      <c r="AO4" s="72">
        <v>43369</v>
      </c>
      <c r="AP4" s="72">
        <v>43370</v>
      </c>
      <c r="AQ4" s="72">
        <v>43371</v>
      </c>
      <c r="AR4" s="72">
        <v>43372</v>
      </c>
      <c r="AS4" s="72">
        <v>43373</v>
      </c>
      <c r="AT4" s="72">
        <v>43374</v>
      </c>
      <c r="AU4" s="72">
        <v>43375</v>
      </c>
      <c r="AV4" s="72">
        <v>43376</v>
      </c>
      <c r="AW4" s="72">
        <v>43377</v>
      </c>
      <c r="AX4" s="72">
        <v>43378</v>
      </c>
      <c r="AY4" s="72">
        <v>43379</v>
      </c>
      <c r="AZ4" s="72">
        <v>43380</v>
      </c>
      <c r="BA4" s="72">
        <v>43381</v>
      </c>
      <c r="BB4" s="72">
        <v>43382</v>
      </c>
      <c r="BC4" s="72">
        <v>43383</v>
      </c>
      <c r="BD4" s="72">
        <v>43384</v>
      </c>
      <c r="BE4" s="72">
        <v>43385</v>
      </c>
      <c r="BF4" s="72">
        <v>43386</v>
      </c>
      <c r="BG4" s="72">
        <v>43387</v>
      </c>
      <c r="BH4" s="72">
        <v>43388</v>
      </c>
      <c r="BI4" s="72">
        <v>43389</v>
      </c>
      <c r="BJ4" s="72">
        <v>43390</v>
      </c>
      <c r="BK4" s="72">
        <v>43391</v>
      </c>
      <c r="BL4" s="72">
        <v>43392</v>
      </c>
      <c r="BM4" s="72">
        <v>43393</v>
      </c>
      <c r="BN4" s="72">
        <v>43394</v>
      </c>
      <c r="BO4" s="72">
        <v>43395</v>
      </c>
      <c r="BP4" s="72">
        <v>43396</v>
      </c>
      <c r="BQ4" s="72">
        <v>43397</v>
      </c>
      <c r="BR4" s="72">
        <v>43398</v>
      </c>
      <c r="BS4" s="72">
        <v>43399</v>
      </c>
      <c r="BT4" s="72">
        <v>43400</v>
      </c>
      <c r="BU4" s="72">
        <v>43401</v>
      </c>
      <c r="BV4" s="72">
        <v>43402</v>
      </c>
      <c r="BW4" s="72">
        <v>43403</v>
      </c>
      <c r="BX4" s="72">
        <v>43404</v>
      </c>
      <c r="BY4" s="72">
        <v>43405</v>
      </c>
      <c r="BZ4" s="72">
        <v>43406</v>
      </c>
      <c r="CA4" s="72">
        <v>43407</v>
      </c>
      <c r="CB4" s="72">
        <v>43408</v>
      </c>
      <c r="CC4" s="72">
        <v>43409</v>
      </c>
      <c r="CD4" s="72">
        <v>43410</v>
      </c>
      <c r="CE4" s="72">
        <v>43411</v>
      </c>
      <c r="CF4" s="72">
        <v>43412</v>
      </c>
      <c r="CG4" s="72">
        <v>43413</v>
      </c>
      <c r="CH4" s="72">
        <v>43414</v>
      </c>
      <c r="CI4" s="72">
        <v>43415</v>
      </c>
      <c r="CJ4" s="72">
        <v>43416</v>
      </c>
      <c r="CK4" s="72">
        <v>43417</v>
      </c>
      <c r="CL4" s="72">
        <v>43418</v>
      </c>
      <c r="CM4" s="72">
        <v>43419</v>
      </c>
      <c r="CN4" s="72">
        <v>43420</v>
      </c>
      <c r="CO4" s="72">
        <v>43421</v>
      </c>
      <c r="CP4" s="72">
        <v>43422</v>
      </c>
      <c r="CQ4" s="72">
        <v>43423</v>
      </c>
      <c r="CR4" s="72">
        <v>43424</v>
      </c>
      <c r="CS4" s="72">
        <v>43425</v>
      </c>
      <c r="CT4" s="72">
        <v>43426</v>
      </c>
      <c r="CU4" s="72">
        <v>43427</v>
      </c>
      <c r="CV4" s="72">
        <v>43428</v>
      </c>
      <c r="CW4" s="72">
        <v>43429</v>
      </c>
      <c r="CX4" s="72">
        <v>43430</v>
      </c>
      <c r="CY4" s="72">
        <v>43431</v>
      </c>
      <c r="CZ4" s="72">
        <v>43432</v>
      </c>
      <c r="DA4" s="72">
        <v>43433</v>
      </c>
      <c r="DB4" s="72">
        <v>43434</v>
      </c>
      <c r="DC4" s="72">
        <v>43435</v>
      </c>
      <c r="DD4" s="72">
        <v>43436</v>
      </c>
      <c r="DE4" s="72">
        <v>43437</v>
      </c>
      <c r="DF4" s="72">
        <v>43438</v>
      </c>
      <c r="DG4" s="72">
        <v>43439</v>
      </c>
      <c r="DH4" s="72">
        <v>43440</v>
      </c>
      <c r="DI4" s="72">
        <v>43441</v>
      </c>
      <c r="DJ4" s="72">
        <v>43442</v>
      </c>
      <c r="DK4" s="72">
        <v>43443</v>
      </c>
      <c r="DL4" s="72">
        <v>43444</v>
      </c>
      <c r="DM4" s="72">
        <v>43445</v>
      </c>
      <c r="DN4" s="72">
        <v>43446</v>
      </c>
      <c r="DO4" s="72">
        <v>43447</v>
      </c>
      <c r="DP4" s="72">
        <v>43448</v>
      </c>
      <c r="DQ4" s="72">
        <v>43449</v>
      </c>
      <c r="DR4" s="72">
        <v>43450</v>
      </c>
      <c r="DS4" s="72">
        <v>43451</v>
      </c>
      <c r="DT4" s="72">
        <v>43452</v>
      </c>
      <c r="DU4" s="72">
        <v>43453</v>
      </c>
      <c r="DV4" s="72">
        <v>43454</v>
      </c>
      <c r="DW4" s="72">
        <v>43455</v>
      </c>
      <c r="DX4" s="72">
        <v>43456</v>
      </c>
      <c r="DY4" s="72">
        <v>43457</v>
      </c>
      <c r="DZ4" s="72">
        <v>43458</v>
      </c>
      <c r="EA4" s="72">
        <v>43459</v>
      </c>
      <c r="EB4" s="72">
        <v>43460</v>
      </c>
      <c r="EC4" s="72">
        <v>43461</v>
      </c>
      <c r="ED4" s="72">
        <v>43462</v>
      </c>
      <c r="EE4" s="72">
        <v>43463</v>
      </c>
      <c r="EF4" s="72">
        <v>43464</v>
      </c>
      <c r="EG4" s="72">
        <v>43465</v>
      </c>
      <c r="EH4" s="72">
        <v>43466</v>
      </c>
      <c r="EI4" s="72">
        <v>43467</v>
      </c>
      <c r="EJ4" s="72">
        <v>43468</v>
      </c>
      <c r="EK4" s="72">
        <v>43469</v>
      </c>
      <c r="EL4" s="72">
        <v>43470</v>
      </c>
      <c r="EM4" s="72">
        <v>43471</v>
      </c>
      <c r="EN4" s="72">
        <v>43472</v>
      </c>
      <c r="EO4" s="72">
        <v>43473</v>
      </c>
      <c r="EP4" s="72">
        <v>43474</v>
      </c>
      <c r="EQ4" s="72">
        <v>43475</v>
      </c>
      <c r="ER4" s="72">
        <v>43476</v>
      </c>
      <c r="ES4" s="72">
        <v>43477</v>
      </c>
      <c r="ET4" s="72">
        <v>43478</v>
      </c>
      <c r="EU4" s="72">
        <v>43479</v>
      </c>
      <c r="EV4" s="72">
        <v>43480</v>
      </c>
      <c r="EW4" s="72">
        <v>43481</v>
      </c>
      <c r="EX4" s="72">
        <v>43482</v>
      </c>
      <c r="EY4" s="72">
        <v>43483</v>
      </c>
      <c r="EZ4" s="72">
        <v>43484</v>
      </c>
      <c r="FA4" s="72">
        <v>43485</v>
      </c>
      <c r="FB4" s="72">
        <v>43486</v>
      </c>
      <c r="FC4" s="72">
        <v>43487</v>
      </c>
      <c r="FD4" s="72">
        <v>43488</v>
      </c>
      <c r="FE4" s="72">
        <v>43489</v>
      </c>
      <c r="FF4" s="72">
        <v>43490</v>
      </c>
      <c r="FG4" s="72">
        <v>43491</v>
      </c>
      <c r="FH4" s="72">
        <v>43492</v>
      </c>
      <c r="FI4" s="72">
        <v>43493</v>
      </c>
      <c r="FJ4" s="72">
        <v>43494</v>
      </c>
      <c r="FK4" s="72">
        <v>43495</v>
      </c>
      <c r="FL4" s="72">
        <v>43496</v>
      </c>
      <c r="FM4" s="72">
        <v>43497</v>
      </c>
    </row>
    <row r="5" spans="1:169" ht="19.5" customHeight="1" x14ac:dyDescent="0.25">
      <c r="A5" s="169">
        <f ca="1">NOW()</f>
        <v>43333.726772685186</v>
      </c>
      <c r="B5" s="139" t="s">
        <v>308</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row>
    <row r="6" spans="1:169" ht="67.5" customHeight="1" thickBot="1" x14ac:dyDescent="0.25">
      <c r="A6" s="141"/>
      <c r="B6" s="139" t="s">
        <v>462</v>
      </c>
      <c r="C6" s="196"/>
      <c r="D6" s="196"/>
      <c r="E6" s="196"/>
      <c r="F6" s="196" t="s">
        <v>568</v>
      </c>
      <c r="G6" s="196"/>
      <c r="H6" s="196"/>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c r="AQ6" s="197"/>
      <c r="AR6" s="197"/>
      <c r="AS6" s="197"/>
      <c r="AT6" s="197"/>
      <c r="AU6" s="197"/>
      <c r="AV6" s="197"/>
      <c r="AW6" s="197"/>
      <c r="AX6" s="197"/>
      <c r="AY6" s="197"/>
      <c r="AZ6" s="197"/>
      <c r="BA6" s="197"/>
      <c r="BB6" s="197"/>
      <c r="BC6" s="197"/>
      <c r="BD6" s="197"/>
      <c r="BE6" s="197"/>
      <c r="BF6" s="197"/>
      <c r="BG6" s="197"/>
      <c r="BH6" s="197"/>
      <c r="BI6" s="197"/>
      <c r="BJ6" s="197"/>
      <c r="BK6" s="197"/>
      <c r="BL6" s="197"/>
      <c r="BM6" s="197"/>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7"/>
      <c r="CU6" s="197"/>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row>
    <row r="7" spans="1:169" ht="15.75" thickTop="1" x14ac:dyDescent="0.25">
      <c r="A7" s="159">
        <f>HOUR(B7)</f>
        <v>0</v>
      </c>
      <c r="B7" s="160">
        <v>0</v>
      </c>
      <c r="C7" s="161" t="s">
        <v>654</v>
      </c>
      <c r="D7" s="212" t="s">
        <v>670</v>
      </c>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c r="AJ7" s="186"/>
      <c r="AK7" s="186"/>
      <c r="AL7" s="186"/>
      <c r="AM7" s="186"/>
      <c r="AN7" s="186"/>
      <c r="AO7" s="186"/>
      <c r="AP7" s="186"/>
      <c r="AQ7" s="186"/>
      <c r="AR7" s="186"/>
      <c r="AS7" s="186"/>
      <c r="AT7" s="186"/>
      <c r="AU7" s="186"/>
      <c r="AV7" s="186"/>
      <c r="AW7" s="186"/>
      <c r="AX7" s="186"/>
      <c r="AY7" s="186"/>
      <c r="AZ7" s="186"/>
      <c r="BA7" s="186"/>
      <c r="BB7" s="186"/>
      <c r="BC7" s="186"/>
      <c r="BD7" s="186"/>
      <c r="BE7" s="186"/>
      <c r="BF7" s="186"/>
      <c r="BG7" s="186"/>
      <c r="BH7" s="186"/>
      <c r="BI7" s="186"/>
      <c r="BJ7" s="186"/>
      <c r="BK7" s="186"/>
      <c r="BL7" s="186"/>
      <c r="BM7" s="186"/>
      <c r="BN7" s="186"/>
      <c r="BO7" s="186"/>
      <c r="BP7" s="186"/>
      <c r="BQ7" s="186"/>
      <c r="BR7" s="186"/>
      <c r="BS7" s="186"/>
      <c r="BT7" s="186"/>
      <c r="BU7" s="186"/>
      <c r="BV7" s="186"/>
      <c r="BW7" s="186"/>
      <c r="BX7" s="186"/>
      <c r="BY7" s="186"/>
      <c r="BZ7" s="186"/>
      <c r="CA7" s="186"/>
      <c r="CB7" s="186"/>
      <c r="CC7" s="186"/>
      <c r="CD7" s="186"/>
      <c r="CE7" s="186"/>
      <c r="CF7" s="186"/>
      <c r="CG7" s="186"/>
      <c r="CH7" s="186"/>
      <c r="CI7" s="186"/>
      <c r="CJ7" s="186"/>
      <c r="CK7" s="186"/>
      <c r="CL7" s="186"/>
      <c r="CM7" s="186"/>
      <c r="CN7" s="186"/>
      <c r="CO7" s="186"/>
      <c r="CP7" s="186"/>
      <c r="CQ7" s="186"/>
      <c r="CR7" s="186"/>
      <c r="CS7" s="186"/>
      <c r="CT7" s="186"/>
      <c r="CU7" s="186"/>
      <c r="CV7" s="186"/>
      <c r="CW7" s="186"/>
      <c r="CX7" s="186"/>
      <c r="CY7" s="186"/>
      <c r="CZ7" s="186"/>
      <c r="DA7" s="186"/>
      <c r="DB7" s="186"/>
      <c r="DC7" s="186"/>
      <c r="DD7" s="186"/>
      <c r="DE7" s="186"/>
      <c r="DF7" s="186"/>
      <c r="DG7" s="186"/>
      <c r="DH7" s="186"/>
      <c r="DI7" s="186"/>
      <c r="DJ7" s="186"/>
      <c r="DK7" s="186"/>
      <c r="DL7" s="186"/>
      <c r="DM7" s="186"/>
      <c r="DN7" s="186"/>
      <c r="DO7" s="186"/>
      <c r="DP7" s="186"/>
      <c r="DQ7" s="186"/>
      <c r="DR7" s="186"/>
      <c r="DS7" s="186"/>
      <c r="DT7" s="186"/>
      <c r="DU7" s="186"/>
      <c r="DV7" s="186"/>
      <c r="DW7" s="186"/>
      <c r="DX7" s="186"/>
      <c r="DY7" s="186"/>
      <c r="DZ7" s="186"/>
      <c r="EA7" s="186"/>
      <c r="EB7" s="186"/>
      <c r="EC7" s="186"/>
      <c r="ED7" s="186"/>
      <c r="EE7" s="186"/>
      <c r="EF7" s="186"/>
      <c r="EG7" s="186"/>
      <c r="EH7" s="186"/>
      <c r="EI7" s="186"/>
      <c r="EJ7" s="186"/>
      <c r="EK7" s="186"/>
      <c r="EL7" s="186"/>
      <c r="EM7" s="186"/>
      <c r="EN7" s="186"/>
      <c r="EO7" s="186"/>
      <c r="EP7" s="186"/>
      <c r="EQ7" s="186"/>
      <c r="ER7" s="186"/>
      <c r="ES7" s="186"/>
      <c r="ET7" s="186"/>
      <c r="EU7" s="186"/>
      <c r="EV7" s="186"/>
      <c r="EW7" s="186"/>
      <c r="EX7" s="186"/>
      <c r="EY7" s="186"/>
      <c r="EZ7" s="186"/>
      <c r="FA7" s="186"/>
      <c r="FB7" s="186"/>
      <c r="FC7" s="186"/>
      <c r="FD7" s="186"/>
      <c r="FE7" s="186"/>
      <c r="FF7" s="186"/>
      <c r="FG7" s="186"/>
      <c r="FH7" s="186"/>
      <c r="FI7" s="186"/>
      <c r="FJ7" s="186"/>
      <c r="FK7" s="186"/>
      <c r="FL7" s="186"/>
      <c r="FM7" s="186"/>
    </row>
    <row r="8" spans="1:169" x14ac:dyDescent="0.25">
      <c r="A8" s="159">
        <f>HOUR(B8)</f>
        <v>1</v>
      </c>
      <c r="B8" s="160">
        <v>4.1666666666666699E-2</v>
      </c>
      <c r="C8" s="212"/>
      <c r="D8" s="212" t="s">
        <v>662</v>
      </c>
      <c r="E8" s="186"/>
      <c r="F8" s="186"/>
      <c r="G8" s="186"/>
      <c r="H8" s="186"/>
      <c r="I8" s="186"/>
      <c r="J8" s="186"/>
      <c r="K8" s="186"/>
      <c r="L8" s="186"/>
      <c r="M8" s="186"/>
      <c r="N8" s="186"/>
      <c r="O8" s="186"/>
      <c r="P8" s="186"/>
      <c r="Q8" s="186"/>
      <c r="R8" s="186"/>
      <c r="S8" s="186"/>
      <c r="T8" s="186"/>
      <c r="U8" s="186"/>
      <c r="V8" s="186"/>
      <c r="W8" s="186"/>
      <c r="X8" s="186"/>
      <c r="Y8" s="186"/>
      <c r="Z8" s="186"/>
      <c r="AA8" s="186"/>
      <c r="AB8" s="186"/>
      <c r="AC8" s="186"/>
      <c r="AD8" s="186"/>
      <c r="AE8" s="186"/>
      <c r="AF8" s="186"/>
      <c r="AG8" s="186"/>
      <c r="AH8" s="186"/>
      <c r="AI8" s="186"/>
      <c r="AJ8" s="186"/>
      <c r="AK8" s="186"/>
      <c r="AL8" s="186"/>
      <c r="AM8" s="186"/>
      <c r="AN8" s="186"/>
      <c r="AO8" s="186"/>
      <c r="AP8" s="186"/>
      <c r="AQ8" s="186"/>
      <c r="AR8" s="186"/>
      <c r="AS8" s="186"/>
      <c r="AT8" s="186"/>
      <c r="AU8" s="186"/>
      <c r="AV8" s="186"/>
      <c r="AW8" s="186"/>
      <c r="AX8" s="186"/>
      <c r="AY8" s="186"/>
      <c r="AZ8" s="186"/>
      <c r="BA8" s="186"/>
      <c r="BB8" s="186"/>
      <c r="BC8" s="186"/>
      <c r="BD8" s="186"/>
      <c r="BE8" s="186"/>
      <c r="BF8" s="186"/>
      <c r="BG8" s="186"/>
      <c r="BH8" s="186"/>
      <c r="BI8" s="186"/>
      <c r="BJ8" s="186"/>
      <c r="BK8" s="186"/>
      <c r="BL8" s="186"/>
      <c r="BM8" s="186"/>
      <c r="BN8" s="186"/>
      <c r="BO8" s="186"/>
      <c r="BP8" s="186"/>
      <c r="BQ8" s="186"/>
      <c r="BR8" s="186"/>
      <c r="BS8" s="186"/>
      <c r="BT8" s="186"/>
      <c r="BU8" s="186"/>
      <c r="BV8" s="186"/>
      <c r="BW8" s="186"/>
      <c r="BX8" s="186"/>
      <c r="BY8" s="186"/>
      <c r="BZ8" s="186"/>
      <c r="CA8" s="186"/>
      <c r="CB8" s="186"/>
      <c r="CC8" s="186"/>
      <c r="CD8" s="186"/>
      <c r="CE8" s="186"/>
      <c r="CF8" s="186"/>
      <c r="CG8" s="186"/>
      <c r="CH8" s="186"/>
      <c r="CI8" s="186"/>
      <c r="CJ8" s="186"/>
      <c r="CK8" s="186"/>
      <c r="CL8" s="186"/>
      <c r="CM8" s="186"/>
      <c r="CN8" s="186"/>
      <c r="CO8" s="186"/>
      <c r="CP8" s="186"/>
      <c r="CQ8" s="186"/>
      <c r="CR8" s="186"/>
      <c r="CS8" s="186"/>
      <c r="CT8" s="186"/>
      <c r="CU8" s="186"/>
      <c r="CV8" s="186"/>
      <c r="CW8" s="186"/>
      <c r="CX8" s="186"/>
      <c r="CY8" s="186"/>
      <c r="CZ8" s="186"/>
      <c r="DA8" s="186"/>
      <c r="DB8" s="186"/>
      <c r="DC8" s="186"/>
      <c r="DD8" s="186"/>
      <c r="DE8" s="186"/>
      <c r="DF8" s="186"/>
      <c r="DG8" s="186"/>
      <c r="DH8" s="186"/>
      <c r="DI8" s="186"/>
      <c r="DJ8" s="186"/>
      <c r="DK8" s="186"/>
      <c r="DL8" s="186"/>
      <c r="DM8" s="186"/>
      <c r="DN8" s="186"/>
      <c r="DO8" s="186"/>
      <c r="DP8" s="186"/>
      <c r="DQ8" s="186"/>
      <c r="DR8" s="186"/>
      <c r="DS8" s="186"/>
      <c r="DT8" s="186"/>
      <c r="DU8" s="186"/>
      <c r="DV8" s="186"/>
      <c r="DW8" s="186"/>
      <c r="DX8" s="186"/>
      <c r="DY8" s="186"/>
      <c r="DZ8" s="186"/>
      <c r="EA8" s="186"/>
      <c r="EB8" s="186"/>
      <c r="EC8" s="186"/>
      <c r="ED8" s="186"/>
      <c r="EE8" s="186"/>
      <c r="EF8" s="186"/>
      <c r="EG8" s="186"/>
      <c r="EH8" s="186"/>
      <c r="EI8" s="186"/>
      <c r="EJ8" s="186"/>
      <c r="EK8" s="186"/>
      <c r="EL8" s="186"/>
      <c r="EM8" s="186"/>
      <c r="EN8" s="186"/>
      <c r="EO8" s="186"/>
      <c r="EP8" s="186"/>
      <c r="EQ8" s="186"/>
      <c r="ER8" s="186"/>
      <c r="ES8" s="186"/>
      <c r="ET8" s="186"/>
      <c r="EU8" s="186"/>
      <c r="EV8" s="186"/>
      <c r="EW8" s="186"/>
      <c r="EX8" s="186"/>
      <c r="EY8" s="186"/>
      <c r="EZ8" s="186"/>
      <c r="FA8" s="186"/>
      <c r="FB8" s="186"/>
      <c r="FC8" s="186"/>
      <c r="FD8" s="186"/>
      <c r="FE8" s="186"/>
      <c r="FF8" s="186"/>
      <c r="FG8" s="186"/>
      <c r="FH8" s="186"/>
      <c r="FI8" s="186"/>
      <c r="FJ8" s="186"/>
      <c r="FK8" s="186"/>
      <c r="FL8" s="186"/>
      <c r="FM8" s="186"/>
    </row>
    <row r="9" spans="1:169" ht="30" x14ac:dyDescent="0.25">
      <c r="A9" s="159">
        <f t="shared" ref="A9:A30" si="3">HOUR(B9)</f>
        <v>2</v>
      </c>
      <c r="B9" s="160">
        <v>8.3333333333333301E-2</v>
      </c>
      <c r="C9" s="161" t="s">
        <v>615</v>
      </c>
      <c r="D9" s="186" t="s">
        <v>663</v>
      </c>
      <c r="E9" s="186" t="s">
        <v>666</v>
      </c>
      <c r="F9" s="186"/>
      <c r="G9" s="186"/>
      <c r="H9" s="186"/>
      <c r="I9" s="186"/>
      <c r="J9" s="186"/>
      <c r="K9" s="186"/>
      <c r="L9" s="186"/>
      <c r="M9" s="186"/>
      <c r="N9" s="186"/>
      <c r="O9" s="186"/>
      <c r="P9" s="186"/>
      <c r="Q9" s="186"/>
      <c r="R9" s="186"/>
      <c r="S9" s="186"/>
      <c r="T9" s="186"/>
      <c r="U9" s="186"/>
      <c r="V9" s="186"/>
      <c r="W9" s="186"/>
      <c r="X9" s="186"/>
      <c r="Y9" s="186"/>
      <c r="Z9" s="186"/>
      <c r="AA9" s="186"/>
      <c r="AB9" s="186"/>
      <c r="AC9" s="186"/>
      <c r="AD9" s="186"/>
      <c r="AE9" s="186"/>
      <c r="AF9" s="186"/>
      <c r="AG9" s="186"/>
      <c r="AH9" s="186"/>
      <c r="AI9" s="186"/>
      <c r="AJ9" s="186"/>
      <c r="AK9" s="186"/>
      <c r="AL9" s="186"/>
      <c r="AM9" s="186"/>
      <c r="AN9" s="186"/>
      <c r="AO9" s="186"/>
      <c r="AP9" s="186"/>
      <c r="AQ9" s="186"/>
      <c r="AR9" s="186"/>
      <c r="AS9" s="186"/>
      <c r="AT9" s="186"/>
      <c r="AU9" s="186"/>
      <c r="AV9" s="186"/>
      <c r="AW9" s="186"/>
      <c r="AX9" s="186"/>
      <c r="AY9" s="186"/>
      <c r="AZ9" s="186"/>
      <c r="BA9" s="186"/>
      <c r="BB9" s="186"/>
      <c r="BC9" s="186"/>
      <c r="BD9" s="186"/>
      <c r="BE9" s="186"/>
      <c r="BF9" s="186"/>
      <c r="BG9" s="186"/>
      <c r="BH9" s="186"/>
      <c r="BI9" s="186"/>
      <c r="BJ9" s="186"/>
      <c r="BK9" s="186"/>
      <c r="BL9" s="186"/>
      <c r="BM9" s="186"/>
      <c r="BN9" s="186"/>
      <c r="BO9" s="186"/>
      <c r="BP9" s="186"/>
      <c r="BQ9" s="186"/>
      <c r="BR9" s="186"/>
      <c r="BS9" s="186"/>
      <c r="BT9" s="186"/>
      <c r="BU9" s="186"/>
      <c r="BV9" s="186"/>
      <c r="BW9" s="186"/>
      <c r="BX9" s="186"/>
      <c r="BY9" s="186"/>
      <c r="BZ9" s="186"/>
      <c r="CA9" s="186"/>
      <c r="CB9" s="186"/>
      <c r="CC9" s="186"/>
      <c r="CD9" s="186"/>
      <c r="CE9" s="186"/>
      <c r="CF9" s="186"/>
      <c r="CG9" s="186"/>
      <c r="CH9" s="186"/>
      <c r="CI9" s="186"/>
      <c r="CJ9" s="186"/>
      <c r="CK9" s="186"/>
      <c r="CL9" s="186"/>
      <c r="CM9" s="186"/>
      <c r="CN9" s="186"/>
      <c r="CO9" s="186"/>
      <c r="CP9" s="186"/>
      <c r="CQ9" s="186"/>
      <c r="CR9" s="186"/>
      <c r="CS9" s="186"/>
      <c r="CT9" s="186"/>
      <c r="CU9" s="186"/>
      <c r="CV9" s="186"/>
      <c r="CW9" s="186"/>
      <c r="CX9" s="186"/>
      <c r="CY9" s="186"/>
      <c r="CZ9" s="186"/>
      <c r="DA9" s="186"/>
      <c r="DB9" s="186"/>
      <c r="DC9" s="186"/>
      <c r="DD9" s="186"/>
      <c r="DE9" s="186"/>
      <c r="DF9" s="186"/>
      <c r="DG9" s="186"/>
      <c r="DH9" s="186"/>
      <c r="DI9" s="186"/>
      <c r="DJ9" s="186"/>
      <c r="DK9" s="186"/>
      <c r="DL9" s="186"/>
      <c r="DM9" s="186"/>
      <c r="DN9" s="186"/>
      <c r="DO9" s="186"/>
      <c r="DP9" s="186"/>
      <c r="DQ9" s="186"/>
      <c r="DR9" s="186"/>
      <c r="DS9" s="186"/>
      <c r="DT9" s="186"/>
      <c r="DU9" s="186"/>
      <c r="DV9" s="186"/>
      <c r="DW9" s="186"/>
      <c r="DX9" s="186"/>
      <c r="DY9" s="186"/>
      <c r="DZ9" s="186"/>
      <c r="EA9" s="186"/>
      <c r="EB9" s="186"/>
      <c r="EC9" s="186"/>
      <c r="ED9" s="186"/>
      <c r="EE9" s="186"/>
      <c r="EF9" s="186"/>
      <c r="EG9" s="186"/>
      <c r="EH9" s="186"/>
      <c r="EI9" s="186"/>
      <c r="EJ9" s="186"/>
      <c r="EK9" s="186"/>
      <c r="EL9" s="186"/>
      <c r="EM9" s="186"/>
      <c r="EN9" s="186"/>
      <c r="EO9" s="186"/>
      <c r="EP9" s="186"/>
      <c r="EQ9" s="186"/>
      <c r="ER9" s="186"/>
      <c r="ES9" s="186"/>
      <c r="ET9" s="186"/>
      <c r="EU9" s="186"/>
      <c r="EV9" s="186"/>
      <c r="EW9" s="186"/>
      <c r="EX9" s="186"/>
      <c r="EY9" s="186"/>
      <c r="EZ9" s="186"/>
      <c r="FA9" s="186"/>
      <c r="FB9" s="186"/>
      <c r="FC9" s="186"/>
      <c r="FD9" s="186"/>
      <c r="FE9" s="186"/>
      <c r="FF9" s="186"/>
      <c r="FG9" s="186"/>
      <c r="FH9" s="186"/>
      <c r="FI9" s="186"/>
      <c r="FJ9" s="186"/>
      <c r="FK9" s="186"/>
      <c r="FL9" s="186"/>
      <c r="FM9" s="186"/>
    </row>
    <row r="10" spans="1:169" x14ac:dyDescent="0.25">
      <c r="A10" s="159">
        <f t="shared" si="3"/>
        <v>3</v>
      </c>
      <c r="B10" s="160">
        <v>0.125</v>
      </c>
      <c r="C10" s="212" t="s">
        <v>650</v>
      </c>
      <c r="D10" s="168" t="s">
        <v>664</v>
      </c>
      <c r="E10" s="168"/>
      <c r="F10" s="168" t="s">
        <v>673</v>
      </c>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row>
    <row r="11" spans="1:169" x14ac:dyDescent="0.25">
      <c r="A11" s="159">
        <f t="shared" si="3"/>
        <v>4</v>
      </c>
      <c r="B11" s="160">
        <v>0.16666666666666699</v>
      </c>
      <c r="C11" s="161" t="s">
        <v>650</v>
      </c>
      <c r="D11" s="168"/>
      <c r="E11" s="168"/>
      <c r="F11" s="168" t="s">
        <v>673</v>
      </c>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row>
    <row r="12" spans="1:169" x14ac:dyDescent="0.25">
      <c r="A12" s="159">
        <f t="shared" si="3"/>
        <v>5</v>
      </c>
      <c r="B12" s="160">
        <v>0.20833333333333301</v>
      </c>
      <c r="C12" s="212" t="s">
        <v>650</v>
      </c>
      <c r="D12" s="168"/>
      <c r="E12" s="168"/>
      <c r="F12" s="168" t="s">
        <v>673</v>
      </c>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row>
    <row r="13" spans="1:169" x14ac:dyDescent="0.25">
      <c r="A13" s="159">
        <f t="shared" si="3"/>
        <v>6</v>
      </c>
      <c r="B13" s="160">
        <v>0.25</v>
      </c>
      <c r="C13" s="208" t="s">
        <v>648</v>
      </c>
      <c r="D13" s="168"/>
      <c r="E13" s="168"/>
      <c r="F13" s="213"/>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row>
    <row r="14" spans="1:169" x14ac:dyDescent="0.25">
      <c r="A14" s="159">
        <f t="shared" si="3"/>
        <v>7</v>
      </c>
      <c r="B14" s="160">
        <v>0.29166666666666702</v>
      </c>
      <c r="C14" s="208" t="s">
        <v>648</v>
      </c>
      <c r="D14" s="168"/>
      <c r="E14" s="168"/>
      <c r="F14" s="213"/>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row>
    <row r="15" spans="1:169" x14ac:dyDescent="0.25">
      <c r="A15" s="159">
        <f t="shared" si="3"/>
        <v>8</v>
      </c>
      <c r="B15" s="160">
        <v>0.33333333333333298</v>
      </c>
      <c r="C15" s="161" t="s">
        <v>261</v>
      </c>
      <c r="D15" s="168"/>
      <c r="E15" s="168"/>
      <c r="F15" s="213"/>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row>
    <row r="16" spans="1:169" x14ac:dyDescent="0.25">
      <c r="A16" s="159">
        <f t="shared" si="3"/>
        <v>9</v>
      </c>
      <c r="B16" s="160">
        <v>0.375</v>
      </c>
      <c r="C16" s="212" t="s">
        <v>651</v>
      </c>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row>
    <row r="17" spans="1:169" x14ac:dyDescent="0.25">
      <c r="A17" s="159">
        <f t="shared" si="3"/>
        <v>10</v>
      </c>
      <c r="B17" s="160">
        <v>0.41666666666666702</v>
      </c>
      <c r="C17" s="161" t="s">
        <v>618</v>
      </c>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row>
    <row r="18" spans="1:169" x14ac:dyDescent="0.25">
      <c r="A18" s="159">
        <f t="shared" si="3"/>
        <v>11</v>
      </c>
      <c r="B18" s="160">
        <v>0.45833333333333298</v>
      </c>
      <c r="C18" s="212" t="s">
        <v>652</v>
      </c>
      <c r="D18" s="168" t="s">
        <v>674</v>
      </c>
      <c r="E18" s="168"/>
      <c r="F18" s="168"/>
      <c r="G18" s="191"/>
      <c r="H18" s="168"/>
      <c r="I18" s="168"/>
      <c r="J18" s="168"/>
      <c r="K18" s="168"/>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row>
    <row r="19" spans="1:169" x14ac:dyDescent="0.25">
      <c r="A19" s="159">
        <f t="shared" si="3"/>
        <v>12</v>
      </c>
      <c r="B19" s="160">
        <v>0.5</v>
      </c>
      <c r="C19" s="180" t="s">
        <v>657</v>
      </c>
      <c r="D19" s="168"/>
      <c r="E19" s="168"/>
      <c r="F19" s="168"/>
      <c r="G19" s="191"/>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row>
    <row r="20" spans="1:169" x14ac:dyDescent="0.25">
      <c r="A20" s="159">
        <f t="shared" si="3"/>
        <v>13</v>
      </c>
      <c r="B20" s="160">
        <v>0.54166666666666696</v>
      </c>
      <c r="C20" s="212" t="s">
        <v>618</v>
      </c>
      <c r="D20" s="168"/>
      <c r="E20" s="168"/>
      <c r="F20" s="168"/>
      <c r="G20" s="168"/>
      <c r="H20" s="168"/>
      <c r="I20" s="168"/>
      <c r="J20" s="168"/>
      <c r="K20" s="168"/>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row>
    <row r="21" spans="1:169" x14ac:dyDescent="0.25">
      <c r="A21" s="159">
        <f t="shared" si="3"/>
        <v>14</v>
      </c>
      <c r="B21" s="160">
        <v>0.58333333333333304</v>
      </c>
      <c r="C21" s="180" t="s">
        <v>658</v>
      </c>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row>
    <row r="22" spans="1:169" x14ac:dyDescent="0.25">
      <c r="A22" s="159">
        <f t="shared" si="3"/>
        <v>15</v>
      </c>
      <c r="B22" s="160">
        <v>0.625</v>
      </c>
      <c r="C22" s="212" t="s">
        <v>638</v>
      </c>
      <c r="D22" s="212" t="s">
        <v>668</v>
      </c>
      <c r="E22" s="168"/>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row>
    <row r="23" spans="1:169" x14ac:dyDescent="0.25">
      <c r="A23" s="159">
        <f t="shared" si="3"/>
        <v>16</v>
      </c>
      <c r="B23" s="160">
        <v>0.66666666666666696</v>
      </c>
      <c r="C23" s="161" t="s">
        <v>659</v>
      </c>
      <c r="D23" s="168" t="s">
        <v>672</v>
      </c>
      <c r="E23" s="168"/>
      <c r="F23" s="220" t="s">
        <v>683</v>
      </c>
      <c r="G23" s="168"/>
      <c r="H23" s="168"/>
      <c r="I23" s="168"/>
      <c r="J23" s="168"/>
      <c r="K23" s="168"/>
      <c r="L23" s="168"/>
      <c r="M23" s="168"/>
      <c r="N23" s="168"/>
      <c r="O23" s="168"/>
      <c r="P23" s="168"/>
      <c r="Q23" s="168"/>
      <c r="R23" s="168"/>
      <c r="S23" s="168"/>
      <c r="T23" s="168"/>
      <c r="U23" s="168"/>
      <c r="V23" s="168"/>
      <c r="W23" s="168"/>
      <c r="X23" s="168"/>
      <c r="Y23" s="168"/>
      <c r="Z23" s="168"/>
      <c r="AA23" s="168"/>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row>
    <row r="24" spans="1:169" x14ac:dyDescent="0.25">
      <c r="A24" s="159">
        <f t="shared" si="3"/>
        <v>17</v>
      </c>
      <c r="B24" s="160">
        <v>0.70833333333333304</v>
      </c>
      <c r="C24" s="168" t="s">
        <v>664</v>
      </c>
      <c r="D24" s="168" t="s">
        <v>673</v>
      </c>
      <c r="E24" s="217" t="s">
        <v>684</v>
      </c>
      <c r="F24" s="168"/>
      <c r="G24" s="168"/>
      <c r="H24" s="168"/>
      <c r="I24" s="168"/>
      <c r="J24" s="168"/>
      <c r="K24" s="168"/>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row>
    <row r="25" spans="1:169" x14ac:dyDescent="0.25">
      <c r="A25" s="159">
        <f t="shared" si="3"/>
        <v>18</v>
      </c>
      <c r="B25" s="160">
        <v>0.75</v>
      </c>
      <c r="C25" s="212" t="s">
        <v>638</v>
      </c>
      <c r="D25" s="168" t="s">
        <v>673</v>
      </c>
      <c r="E25" s="217"/>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row>
    <row r="26" spans="1:169" x14ac:dyDescent="0.25">
      <c r="A26" s="159">
        <f t="shared" si="3"/>
        <v>19</v>
      </c>
      <c r="B26" s="160">
        <v>0.79166666666666696</v>
      </c>
      <c r="C26" s="212" t="s">
        <v>661</v>
      </c>
      <c r="D26" s="168" t="s">
        <v>673</v>
      </c>
      <c r="E26" s="217" t="s">
        <v>678</v>
      </c>
      <c r="F26" s="205" t="s">
        <v>675</v>
      </c>
      <c r="G26" s="168"/>
      <c r="H26" s="168"/>
      <c r="I26" s="168"/>
      <c r="J26" s="168"/>
      <c r="K26" s="168"/>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row>
    <row r="27" spans="1:169" x14ac:dyDescent="0.25">
      <c r="A27" s="159">
        <f t="shared" si="3"/>
        <v>20</v>
      </c>
      <c r="B27" s="160">
        <v>0.83333333333333304</v>
      </c>
      <c r="C27" s="212" t="s">
        <v>665</v>
      </c>
      <c r="D27" s="212" t="s">
        <v>668</v>
      </c>
      <c r="E27" s="212" t="s">
        <v>668</v>
      </c>
      <c r="F27" s="168" t="s">
        <v>686</v>
      </c>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row>
    <row r="28" spans="1:169" ht="30" x14ac:dyDescent="0.25">
      <c r="A28" s="159">
        <f t="shared" si="3"/>
        <v>21</v>
      </c>
      <c r="B28" s="160">
        <v>0.875</v>
      </c>
      <c r="C28" s="212" t="s">
        <v>659</v>
      </c>
      <c r="D28" s="205" t="s">
        <v>675</v>
      </c>
      <c r="E28" s="218" t="s">
        <v>679</v>
      </c>
      <c r="F28" s="168" t="s">
        <v>687</v>
      </c>
      <c r="G28" s="168"/>
      <c r="H28" s="168"/>
      <c r="I28" s="168"/>
      <c r="J28" s="168"/>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row>
    <row r="29" spans="1:169" x14ac:dyDescent="0.25">
      <c r="A29" s="159">
        <f t="shared" si="3"/>
        <v>22</v>
      </c>
      <c r="B29" s="160">
        <v>0.91666666666666696</v>
      </c>
      <c r="C29" s="161" t="s">
        <v>669</v>
      </c>
      <c r="D29" s="212" t="s">
        <v>676</v>
      </c>
      <c r="E29" s="168" t="s">
        <v>685</v>
      </c>
      <c r="F29" s="186"/>
      <c r="G29" s="186"/>
      <c r="H29" s="186"/>
      <c r="I29" s="186"/>
      <c r="J29" s="186"/>
      <c r="K29" s="186"/>
      <c r="L29" s="186"/>
      <c r="M29" s="186"/>
      <c r="N29" s="186"/>
      <c r="O29" s="186"/>
      <c r="P29" s="186"/>
      <c r="Q29" s="186"/>
      <c r="R29" s="186"/>
      <c r="S29" s="186"/>
      <c r="T29" s="186"/>
      <c r="U29" s="186"/>
      <c r="V29" s="186"/>
      <c r="W29" s="186"/>
      <c r="X29" s="186"/>
      <c r="Y29" s="186"/>
      <c r="Z29" s="186"/>
      <c r="AA29" s="186"/>
      <c r="AB29" s="186"/>
      <c r="AC29" s="186"/>
      <c r="AD29" s="186"/>
      <c r="AE29" s="186"/>
      <c r="AF29" s="186"/>
      <c r="AG29" s="186"/>
      <c r="AH29" s="186"/>
      <c r="AI29" s="186"/>
      <c r="AJ29" s="186"/>
      <c r="AK29" s="186"/>
      <c r="AL29" s="186"/>
      <c r="AM29" s="186"/>
      <c r="AN29" s="186"/>
      <c r="AO29" s="186"/>
      <c r="AP29" s="186"/>
      <c r="AQ29" s="186"/>
      <c r="AR29" s="186"/>
      <c r="AS29" s="186"/>
      <c r="AT29" s="186"/>
      <c r="AU29" s="186"/>
      <c r="AV29" s="186"/>
      <c r="AW29" s="186"/>
      <c r="AX29" s="186"/>
      <c r="AY29" s="186"/>
      <c r="AZ29" s="186"/>
      <c r="BA29" s="186"/>
      <c r="BB29" s="186"/>
      <c r="BC29" s="186"/>
      <c r="BD29" s="186"/>
      <c r="BE29" s="186"/>
      <c r="BF29" s="186"/>
      <c r="BG29" s="186"/>
      <c r="BH29" s="186"/>
      <c r="BI29" s="186"/>
      <c r="BJ29" s="186"/>
      <c r="BK29" s="186"/>
      <c r="BL29" s="186"/>
      <c r="BM29" s="186"/>
      <c r="BN29" s="186"/>
      <c r="BO29" s="186"/>
      <c r="BP29" s="186"/>
      <c r="BQ29" s="186"/>
      <c r="BR29" s="186"/>
      <c r="BS29" s="186"/>
      <c r="BT29" s="186"/>
      <c r="BU29" s="186"/>
      <c r="BV29" s="186"/>
      <c r="BW29" s="186"/>
      <c r="BX29" s="186"/>
      <c r="BY29" s="186"/>
      <c r="BZ29" s="186"/>
      <c r="CA29" s="186"/>
      <c r="CB29" s="186"/>
      <c r="CC29" s="186"/>
      <c r="CD29" s="186"/>
      <c r="CE29" s="186"/>
      <c r="CF29" s="186"/>
      <c r="CG29" s="186"/>
      <c r="CH29" s="186"/>
      <c r="CI29" s="186"/>
      <c r="CJ29" s="186"/>
      <c r="CK29" s="186"/>
      <c r="CL29" s="186"/>
      <c r="CM29" s="186"/>
      <c r="CN29" s="186"/>
      <c r="CO29" s="186"/>
      <c r="CP29" s="186"/>
      <c r="CQ29" s="186"/>
      <c r="CR29" s="186"/>
      <c r="CS29" s="186"/>
      <c r="CT29" s="186"/>
      <c r="CU29" s="186"/>
      <c r="CV29" s="186"/>
      <c r="CW29" s="186"/>
      <c r="CX29" s="186"/>
      <c r="CY29" s="186"/>
      <c r="CZ29" s="186"/>
      <c r="DA29" s="186"/>
      <c r="DB29" s="186"/>
      <c r="DC29" s="186"/>
      <c r="DD29" s="186"/>
      <c r="DE29" s="186"/>
      <c r="DF29" s="186"/>
      <c r="DG29" s="186"/>
      <c r="DH29" s="186"/>
      <c r="DI29" s="186"/>
      <c r="DJ29" s="186"/>
      <c r="DK29" s="186"/>
      <c r="DL29" s="186"/>
      <c r="DM29" s="186"/>
      <c r="DN29" s="186"/>
      <c r="DO29" s="186"/>
      <c r="DP29" s="186"/>
      <c r="DQ29" s="186"/>
      <c r="DR29" s="186"/>
      <c r="DS29" s="186"/>
      <c r="DT29" s="186"/>
      <c r="DU29" s="186"/>
      <c r="DV29" s="186"/>
      <c r="DW29" s="186"/>
      <c r="DX29" s="186"/>
      <c r="DY29" s="186"/>
      <c r="DZ29" s="186"/>
      <c r="EA29" s="186"/>
      <c r="EB29" s="186"/>
      <c r="EC29" s="186"/>
      <c r="ED29" s="186"/>
      <c r="EE29" s="186"/>
      <c r="EF29" s="186"/>
      <c r="EG29" s="186"/>
      <c r="EH29" s="186"/>
      <c r="EI29" s="186"/>
      <c r="EJ29" s="186"/>
      <c r="EK29" s="186"/>
      <c r="EL29" s="186"/>
      <c r="EM29" s="186"/>
      <c r="EN29" s="186"/>
      <c r="EO29" s="186"/>
      <c r="EP29" s="186"/>
      <c r="EQ29" s="186"/>
      <c r="ER29" s="186"/>
      <c r="ES29" s="186"/>
      <c r="ET29" s="186"/>
      <c r="EU29" s="186"/>
      <c r="EV29" s="186"/>
      <c r="EW29" s="186"/>
      <c r="EX29" s="186"/>
      <c r="EY29" s="186"/>
      <c r="EZ29" s="186"/>
      <c r="FA29" s="186"/>
      <c r="FB29" s="186"/>
      <c r="FC29" s="186"/>
      <c r="FD29" s="186"/>
      <c r="FE29" s="186"/>
      <c r="FF29" s="186"/>
      <c r="FG29" s="186"/>
      <c r="FH29" s="186"/>
      <c r="FI29" s="186"/>
      <c r="FJ29" s="186"/>
      <c r="FK29" s="186"/>
      <c r="FL29" s="186"/>
      <c r="FM29" s="186"/>
    </row>
    <row r="30" spans="1:169" ht="47.25" customHeight="1" x14ac:dyDescent="0.25">
      <c r="A30" s="159">
        <f t="shared" si="3"/>
        <v>23</v>
      </c>
      <c r="B30" s="160">
        <v>0.95833333333333304</v>
      </c>
      <c r="C30" s="212" t="s">
        <v>669</v>
      </c>
      <c r="D30" s="186"/>
      <c r="E30" s="186"/>
      <c r="F30" s="186"/>
      <c r="G30" s="186"/>
      <c r="H30" s="186"/>
      <c r="I30" s="186"/>
      <c r="J30" s="186"/>
      <c r="K30" s="186"/>
      <c r="L30" s="186"/>
      <c r="M30" s="186"/>
      <c r="N30" s="186"/>
      <c r="O30" s="186"/>
      <c r="P30" s="186"/>
      <c r="Q30" s="186"/>
      <c r="R30" s="186"/>
      <c r="S30" s="186"/>
      <c r="T30" s="186"/>
      <c r="U30" s="186"/>
      <c r="V30" s="186"/>
      <c r="W30" s="186"/>
      <c r="X30" s="186"/>
      <c r="Y30" s="186"/>
      <c r="Z30" s="186"/>
      <c r="AA30" s="186"/>
      <c r="AB30" s="186"/>
      <c r="AC30" s="186"/>
      <c r="AD30" s="186"/>
      <c r="AE30" s="186"/>
      <c r="AF30" s="186"/>
      <c r="AG30" s="186"/>
      <c r="AH30" s="186"/>
      <c r="AI30" s="186"/>
      <c r="AJ30" s="186"/>
      <c r="AK30" s="186"/>
      <c r="AL30" s="186"/>
      <c r="AM30" s="186"/>
      <c r="AN30" s="186"/>
      <c r="AO30" s="186"/>
      <c r="AP30" s="186"/>
      <c r="AQ30" s="186"/>
      <c r="AR30" s="186"/>
      <c r="AS30" s="186"/>
      <c r="AT30" s="186"/>
      <c r="AU30" s="186"/>
      <c r="AV30" s="186"/>
      <c r="AW30" s="186"/>
      <c r="AX30" s="186"/>
      <c r="AY30" s="186"/>
      <c r="AZ30" s="186"/>
      <c r="BA30" s="186"/>
      <c r="BB30" s="186"/>
      <c r="BC30" s="186"/>
      <c r="BD30" s="186"/>
      <c r="BE30" s="186"/>
      <c r="BF30" s="186"/>
      <c r="BG30" s="186"/>
      <c r="BH30" s="186"/>
      <c r="BI30" s="186"/>
      <c r="BJ30" s="186"/>
      <c r="BK30" s="186"/>
      <c r="BL30" s="186"/>
      <c r="BM30" s="186"/>
      <c r="BN30" s="186"/>
      <c r="BO30" s="186"/>
      <c r="BP30" s="186"/>
      <c r="BQ30" s="186"/>
      <c r="BR30" s="186"/>
      <c r="BS30" s="186"/>
      <c r="BT30" s="186"/>
      <c r="BU30" s="186"/>
      <c r="BV30" s="186"/>
      <c r="BW30" s="186"/>
      <c r="BX30" s="186"/>
      <c r="BY30" s="186"/>
      <c r="BZ30" s="186"/>
      <c r="CA30" s="186"/>
      <c r="CB30" s="186"/>
      <c r="CC30" s="186"/>
      <c r="CD30" s="186"/>
      <c r="CE30" s="186"/>
      <c r="CF30" s="186"/>
      <c r="CG30" s="186"/>
      <c r="CH30" s="186"/>
      <c r="CI30" s="186"/>
      <c r="CJ30" s="186"/>
      <c r="CK30" s="186"/>
      <c r="CL30" s="186"/>
      <c r="CM30" s="186"/>
      <c r="CN30" s="186"/>
      <c r="CO30" s="186"/>
      <c r="CP30" s="186"/>
      <c r="CQ30" s="186"/>
      <c r="CR30" s="186"/>
      <c r="CS30" s="186"/>
      <c r="CT30" s="186"/>
      <c r="CU30" s="186"/>
      <c r="CV30" s="186"/>
      <c r="CW30" s="186"/>
      <c r="CX30" s="186"/>
      <c r="CY30" s="186"/>
      <c r="CZ30" s="186"/>
      <c r="DA30" s="186"/>
      <c r="DB30" s="186"/>
      <c r="DC30" s="186"/>
      <c r="DD30" s="186"/>
      <c r="DE30" s="186"/>
      <c r="DF30" s="186"/>
      <c r="DG30" s="186"/>
      <c r="DH30" s="186"/>
      <c r="DI30" s="186"/>
      <c r="DJ30" s="186"/>
      <c r="DK30" s="186"/>
      <c r="DL30" s="186"/>
      <c r="DM30" s="186"/>
      <c r="DN30" s="186"/>
      <c r="DO30" s="186"/>
      <c r="DP30" s="186"/>
      <c r="DQ30" s="186"/>
      <c r="DR30" s="186"/>
      <c r="DS30" s="186"/>
      <c r="DT30" s="186"/>
      <c r="DU30" s="186"/>
      <c r="DV30" s="186"/>
      <c r="DW30" s="186"/>
      <c r="DX30" s="186"/>
      <c r="DY30" s="186"/>
      <c r="DZ30" s="186"/>
      <c r="EA30" s="186"/>
      <c r="EB30" s="186"/>
      <c r="EC30" s="186"/>
      <c r="ED30" s="186"/>
      <c r="EE30" s="186"/>
      <c r="EF30" s="186"/>
      <c r="EG30" s="186"/>
      <c r="EH30" s="186"/>
      <c r="EI30" s="186"/>
      <c r="EJ30" s="186"/>
      <c r="EK30" s="186"/>
      <c r="EL30" s="186"/>
      <c r="EM30" s="186"/>
      <c r="EN30" s="186"/>
      <c r="EO30" s="186"/>
      <c r="EP30" s="186"/>
      <c r="EQ30" s="186"/>
      <c r="ER30" s="186"/>
      <c r="ES30" s="186"/>
      <c r="ET30" s="186"/>
      <c r="EU30" s="186"/>
      <c r="EV30" s="186"/>
      <c r="EW30" s="186"/>
      <c r="EX30" s="186"/>
      <c r="EY30" s="186"/>
      <c r="EZ30" s="186"/>
      <c r="FA30" s="186"/>
      <c r="FB30" s="186"/>
      <c r="FC30" s="186"/>
      <c r="FD30" s="186"/>
      <c r="FE30" s="186"/>
      <c r="FF30" s="186"/>
      <c r="FG30" s="186"/>
      <c r="FH30" s="186"/>
      <c r="FI30" s="186"/>
      <c r="FJ30" s="186"/>
      <c r="FK30" s="186"/>
      <c r="FL30" s="186"/>
      <c r="FM30" s="186"/>
    </row>
    <row r="31" spans="1:169" ht="39" customHeight="1" x14ac:dyDescent="0.25">
      <c r="A31" s="75"/>
      <c r="B31" s="144" t="s">
        <v>314</v>
      </c>
      <c r="C31" s="181">
        <f t="shared" ref="C31:I31" si="4">SUM(C7:C30)</f>
        <v>0</v>
      </c>
      <c r="D31" s="181">
        <f t="shared" si="4"/>
        <v>0</v>
      </c>
      <c r="E31" s="181">
        <f t="shared" si="4"/>
        <v>0</v>
      </c>
      <c r="F31" s="181">
        <f t="shared" si="4"/>
        <v>0</v>
      </c>
      <c r="G31" s="181">
        <f t="shared" si="4"/>
        <v>0</v>
      </c>
      <c r="H31" s="181">
        <f t="shared" si="4"/>
        <v>0</v>
      </c>
      <c r="I31" s="181">
        <f t="shared" si="4"/>
        <v>0</v>
      </c>
      <c r="J31" s="181">
        <f t="shared" ref="J31:BU31" si="5">SUM(J7:J30)</f>
        <v>0</v>
      </c>
      <c r="K31" s="181">
        <f t="shared" si="5"/>
        <v>0</v>
      </c>
      <c r="L31" s="181">
        <f t="shared" si="5"/>
        <v>0</v>
      </c>
      <c r="M31" s="181">
        <f t="shared" si="5"/>
        <v>0</v>
      </c>
      <c r="N31" s="181">
        <f t="shared" si="5"/>
        <v>0</v>
      </c>
      <c r="O31" s="181">
        <f t="shared" si="5"/>
        <v>0</v>
      </c>
      <c r="P31" s="181">
        <f t="shared" si="5"/>
        <v>0</v>
      </c>
      <c r="Q31" s="181">
        <f t="shared" si="5"/>
        <v>0</v>
      </c>
      <c r="R31" s="181">
        <f t="shared" si="5"/>
        <v>0</v>
      </c>
      <c r="S31" s="181">
        <f t="shared" si="5"/>
        <v>0</v>
      </c>
      <c r="T31" s="181">
        <f t="shared" si="5"/>
        <v>0</v>
      </c>
      <c r="U31" s="181">
        <f t="shared" si="5"/>
        <v>0</v>
      </c>
      <c r="V31" s="181">
        <f t="shared" si="5"/>
        <v>0</v>
      </c>
      <c r="W31" s="181">
        <f t="shared" si="5"/>
        <v>0</v>
      </c>
      <c r="X31" s="181">
        <f t="shared" si="5"/>
        <v>0</v>
      </c>
      <c r="Y31" s="181">
        <f t="shared" si="5"/>
        <v>0</v>
      </c>
      <c r="Z31" s="181">
        <f t="shared" si="5"/>
        <v>0</v>
      </c>
      <c r="AA31" s="181">
        <f t="shared" si="5"/>
        <v>0</v>
      </c>
      <c r="AB31" s="181">
        <f t="shared" si="5"/>
        <v>0</v>
      </c>
      <c r="AC31" s="181">
        <f t="shared" si="5"/>
        <v>0</v>
      </c>
      <c r="AD31" s="181">
        <f t="shared" si="5"/>
        <v>0</v>
      </c>
      <c r="AE31" s="181">
        <f t="shared" si="5"/>
        <v>0</v>
      </c>
      <c r="AF31" s="181">
        <f t="shared" si="5"/>
        <v>0</v>
      </c>
      <c r="AG31" s="181">
        <f t="shared" si="5"/>
        <v>0</v>
      </c>
      <c r="AH31" s="181">
        <f t="shared" si="5"/>
        <v>0</v>
      </c>
      <c r="AI31" s="181">
        <f t="shared" si="5"/>
        <v>0</v>
      </c>
      <c r="AJ31" s="181">
        <f t="shared" si="5"/>
        <v>0</v>
      </c>
      <c r="AK31" s="181">
        <f t="shared" si="5"/>
        <v>0</v>
      </c>
      <c r="AL31" s="181">
        <f t="shared" si="5"/>
        <v>0</v>
      </c>
      <c r="AM31" s="181">
        <f t="shared" si="5"/>
        <v>0</v>
      </c>
      <c r="AN31" s="181">
        <f t="shared" si="5"/>
        <v>0</v>
      </c>
      <c r="AO31" s="181">
        <f t="shared" si="5"/>
        <v>0</v>
      </c>
      <c r="AP31" s="181">
        <f t="shared" si="5"/>
        <v>0</v>
      </c>
      <c r="AQ31" s="181">
        <f t="shared" si="5"/>
        <v>0</v>
      </c>
      <c r="AR31" s="181">
        <f t="shared" si="5"/>
        <v>0</v>
      </c>
      <c r="AS31" s="181">
        <f t="shared" si="5"/>
        <v>0</v>
      </c>
      <c r="AT31" s="181">
        <f t="shared" si="5"/>
        <v>0</v>
      </c>
      <c r="AU31" s="181">
        <f t="shared" si="5"/>
        <v>0</v>
      </c>
      <c r="AV31" s="181">
        <f t="shared" si="5"/>
        <v>0</v>
      </c>
      <c r="AW31" s="181">
        <f t="shared" si="5"/>
        <v>0</v>
      </c>
      <c r="AX31" s="181">
        <f t="shared" si="5"/>
        <v>0</v>
      </c>
      <c r="AY31" s="181">
        <f t="shared" si="5"/>
        <v>0</v>
      </c>
      <c r="AZ31" s="181">
        <f t="shared" si="5"/>
        <v>0</v>
      </c>
      <c r="BA31" s="181">
        <f t="shared" si="5"/>
        <v>0</v>
      </c>
      <c r="BB31" s="181">
        <f t="shared" si="5"/>
        <v>0</v>
      </c>
      <c r="BC31" s="181">
        <f t="shared" si="5"/>
        <v>0</v>
      </c>
      <c r="BD31" s="181">
        <f t="shared" si="5"/>
        <v>0</v>
      </c>
      <c r="BE31" s="181">
        <f t="shared" si="5"/>
        <v>0</v>
      </c>
      <c r="BF31" s="181">
        <f t="shared" si="5"/>
        <v>0</v>
      </c>
      <c r="BG31" s="181">
        <f t="shared" si="5"/>
        <v>0</v>
      </c>
      <c r="BH31" s="181">
        <f t="shared" si="5"/>
        <v>0</v>
      </c>
      <c r="BI31" s="181">
        <f t="shared" si="5"/>
        <v>0</v>
      </c>
      <c r="BJ31" s="181">
        <f t="shared" si="5"/>
        <v>0</v>
      </c>
      <c r="BK31" s="181">
        <f t="shared" si="5"/>
        <v>0</v>
      </c>
      <c r="BL31" s="181">
        <f t="shared" si="5"/>
        <v>0</v>
      </c>
      <c r="BM31" s="181">
        <f t="shared" si="5"/>
        <v>0</v>
      </c>
      <c r="BN31" s="181">
        <f t="shared" si="5"/>
        <v>0</v>
      </c>
      <c r="BO31" s="181">
        <f t="shared" si="5"/>
        <v>0</v>
      </c>
      <c r="BP31" s="181">
        <f t="shared" si="5"/>
        <v>0</v>
      </c>
      <c r="BQ31" s="181">
        <f t="shared" si="5"/>
        <v>0</v>
      </c>
      <c r="BR31" s="181">
        <f t="shared" si="5"/>
        <v>0</v>
      </c>
      <c r="BS31" s="181">
        <f t="shared" si="5"/>
        <v>0</v>
      </c>
      <c r="BT31" s="181">
        <f t="shared" si="5"/>
        <v>0</v>
      </c>
      <c r="BU31" s="181">
        <f t="shared" si="5"/>
        <v>0</v>
      </c>
      <c r="BV31" s="181">
        <f t="shared" ref="BV31:EG31" si="6">SUM(BV7:BV30)</f>
        <v>0</v>
      </c>
      <c r="BW31" s="181">
        <f t="shared" si="6"/>
        <v>0</v>
      </c>
      <c r="BX31" s="181">
        <f t="shared" si="6"/>
        <v>0</v>
      </c>
      <c r="BY31" s="181">
        <f t="shared" si="6"/>
        <v>0</v>
      </c>
      <c r="BZ31" s="181">
        <f t="shared" si="6"/>
        <v>0</v>
      </c>
      <c r="CA31" s="181">
        <f t="shared" si="6"/>
        <v>0</v>
      </c>
      <c r="CB31" s="181">
        <f t="shared" si="6"/>
        <v>0</v>
      </c>
      <c r="CC31" s="181">
        <f t="shared" si="6"/>
        <v>0</v>
      </c>
      <c r="CD31" s="181">
        <f t="shared" si="6"/>
        <v>0</v>
      </c>
      <c r="CE31" s="181">
        <f t="shared" si="6"/>
        <v>0</v>
      </c>
      <c r="CF31" s="181">
        <f t="shared" si="6"/>
        <v>0</v>
      </c>
      <c r="CG31" s="181">
        <f t="shared" si="6"/>
        <v>0</v>
      </c>
      <c r="CH31" s="181">
        <f t="shared" si="6"/>
        <v>0</v>
      </c>
      <c r="CI31" s="181">
        <f t="shared" si="6"/>
        <v>0</v>
      </c>
      <c r="CJ31" s="181">
        <f t="shared" si="6"/>
        <v>0</v>
      </c>
      <c r="CK31" s="181">
        <f t="shared" si="6"/>
        <v>0</v>
      </c>
      <c r="CL31" s="181">
        <f t="shared" si="6"/>
        <v>0</v>
      </c>
      <c r="CM31" s="181">
        <f t="shared" si="6"/>
        <v>0</v>
      </c>
      <c r="CN31" s="181">
        <f t="shared" si="6"/>
        <v>0</v>
      </c>
      <c r="CO31" s="181">
        <f t="shared" si="6"/>
        <v>0</v>
      </c>
      <c r="CP31" s="181">
        <f t="shared" si="6"/>
        <v>0</v>
      </c>
      <c r="CQ31" s="181">
        <f t="shared" si="6"/>
        <v>0</v>
      </c>
      <c r="CR31" s="181">
        <f t="shared" si="6"/>
        <v>0</v>
      </c>
      <c r="CS31" s="181">
        <f t="shared" si="6"/>
        <v>0</v>
      </c>
      <c r="CT31" s="181">
        <f t="shared" si="6"/>
        <v>0</v>
      </c>
      <c r="CU31" s="181">
        <f t="shared" si="6"/>
        <v>0</v>
      </c>
      <c r="CV31" s="181">
        <f t="shared" si="6"/>
        <v>0</v>
      </c>
      <c r="CW31" s="181">
        <f t="shared" si="6"/>
        <v>0</v>
      </c>
      <c r="CX31" s="181">
        <f t="shared" si="6"/>
        <v>0</v>
      </c>
      <c r="CY31" s="181">
        <f t="shared" si="6"/>
        <v>0</v>
      </c>
      <c r="CZ31" s="181">
        <f t="shared" si="6"/>
        <v>0</v>
      </c>
      <c r="DA31" s="181">
        <f t="shared" si="6"/>
        <v>0</v>
      </c>
      <c r="DB31" s="181">
        <f t="shared" si="6"/>
        <v>0</v>
      </c>
      <c r="DC31" s="181">
        <f t="shared" si="6"/>
        <v>0</v>
      </c>
      <c r="DD31" s="181">
        <f t="shared" si="6"/>
        <v>0</v>
      </c>
      <c r="DE31" s="181">
        <f t="shared" si="6"/>
        <v>0</v>
      </c>
      <c r="DF31" s="181">
        <f t="shared" si="6"/>
        <v>0</v>
      </c>
      <c r="DG31" s="181">
        <f t="shared" si="6"/>
        <v>0</v>
      </c>
      <c r="DH31" s="181">
        <f t="shared" si="6"/>
        <v>0</v>
      </c>
      <c r="DI31" s="181">
        <f t="shared" si="6"/>
        <v>0</v>
      </c>
      <c r="DJ31" s="181">
        <f t="shared" si="6"/>
        <v>0</v>
      </c>
      <c r="DK31" s="181">
        <f t="shared" si="6"/>
        <v>0</v>
      </c>
      <c r="DL31" s="181">
        <f t="shared" si="6"/>
        <v>0</v>
      </c>
      <c r="DM31" s="181">
        <f t="shared" si="6"/>
        <v>0</v>
      </c>
      <c r="DN31" s="181">
        <f t="shared" si="6"/>
        <v>0</v>
      </c>
      <c r="DO31" s="181">
        <f t="shared" si="6"/>
        <v>0</v>
      </c>
      <c r="DP31" s="181">
        <f t="shared" si="6"/>
        <v>0</v>
      </c>
      <c r="DQ31" s="181">
        <f t="shared" si="6"/>
        <v>0</v>
      </c>
      <c r="DR31" s="181">
        <f t="shared" si="6"/>
        <v>0</v>
      </c>
      <c r="DS31" s="181">
        <f t="shared" si="6"/>
        <v>0</v>
      </c>
      <c r="DT31" s="181">
        <f t="shared" si="6"/>
        <v>0</v>
      </c>
      <c r="DU31" s="181">
        <f t="shared" si="6"/>
        <v>0</v>
      </c>
      <c r="DV31" s="181">
        <f t="shared" si="6"/>
        <v>0</v>
      </c>
      <c r="DW31" s="181">
        <f t="shared" si="6"/>
        <v>0</v>
      </c>
      <c r="DX31" s="181">
        <f t="shared" si="6"/>
        <v>0</v>
      </c>
      <c r="DY31" s="181">
        <f t="shared" si="6"/>
        <v>0</v>
      </c>
      <c r="DZ31" s="181">
        <f t="shared" si="6"/>
        <v>0</v>
      </c>
      <c r="EA31" s="181">
        <f t="shared" si="6"/>
        <v>0</v>
      </c>
      <c r="EB31" s="181">
        <f t="shared" si="6"/>
        <v>0</v>
      </c>
      <c r="EC31" s="181">
        <f t="shared" si="6"/>
        <v>0</v>
      </c>
      <c r="ED31" s="181">
        <f t="shared" si="6"/>
        <v>0</v>
      </c>
      <c r="EE31" s="181">
        <f t="shared" si="6"/>
        <v>0</v>
      </c>
      <c r="EF31" s="181">
        <f t="shared" si="6"/>
        <v>0</v>
      </c>
      <c r="EG31" s="181">
        <f t="shared" si="6"/>
        <v>0</v>
      </c>
      <c r="EH31" s="181">
        <f t="shared" ref="EH31:FM31" si="7">SUM(EH7:EH30)</f>
        <v>0</v>
      </c>
      <c r="EI31" s="181">
        <f t="shared" si="7"/>
        <v>0</v>
      </c>
      <c r="EJ31" s="181">
        <f t="shared" si="7"/>
        <v>0</v>
      </c>
      <c r="EK31" s="181">
        <f t="shared" si="7"/>
        <v>0</v>
      </c>
      <c r="EL31" s="181">
        <f t="shared" si="7"/>
        <v>0</v>
      </c>
      <c r="EM31" s="181">
        <f t="shared" si="7"/>
        <v>0</v>
      </c>
      <c r="EN31" s="181">
        <f t="shared" si="7"/>
        <v>0</v>
      </c>
      <c r="EO31" s="181">
        <f t="shared" si="7"/>
        <v>0</v>
      </c>
      <c r="EP31" s="181">
        <f t="shared" si="7"/>
        <v>0</v>
      </c>
      <c r="EQ31" s="181">
        <f t="shared" si="7"/>
        <v>0</v>
      </c>
      <c r="ER31" s="181">
        <f t="shared" si="7"/>
        <v>0</v>
      </c>
      <c r="ES31" s="181">
        <f t="shared" si="7"/>
        <v>0</v>
      </c>
      <c r="ET31" s="181">
        <f t="shared" si="7"/>
        <v>0</v>
      </c>
      <c r="EU31" s="181">
        <f t="shared" si="7"/>
        <v>0</v>
      </c>
      <c r="EV31" s="181">
        <f t="shared" si="7"/>
        <v>0</v>
      </c>
      <c r="EW31" s="181">
        <f t="shared" si="7"/>
        <v>0</v>
      </c>
      <c r="EX31" s="181">
        <f t="shared" si="7"/>
        <v>0</v>
      </c>
      <c r="EY31" s="181">
        <f t="shared" si="7"/>
        <v>0</v>
      </c>
      <c r="EZ31" s="181">
        <f t="shared" si="7"/>
        <v>0</v>
      </c>
      <c r="FA31" s="181">
        <f t="shared" si="7"/>
        <v>0</v>
      </c>
      <c r="FB31" s="181">
        <f t="shared" si="7"/>
        <v>0</v>
      </c>
      <c r="FC31" s="181">
        <f t="shared" si="7"/>
        <v>0</v>
      </c>
      <c r="FD31" s="181">
        <f t="shared" si="7"/>
        <v>0</v>
      </c>
      <c r="FE31" s="181">
        <f t="shared" si="7"/>
        <v>0</v>
      </c>
      <c r="FF31" s="181">
        <f t="shared" si="7"/>
        <v>0</v>
      </c>
      <c r="FG31" s="181">
        <f t="shared" si="7"/>
        <v>0</v>
      </c>
      <c r="FH31" s="181">
        <f t="shared" si="7"/>
        <v>0</v>
      </c>
      <c r="FI31" s="181">
        <f t="shared" si="7"/>
        <v>0</v>
      </c>
      <c r="FJ31" s="181">
        <f t="shared" si="7"/>
        <v>0</v>
      </c>
      <c r="FK31" s="181">
        <f t="shared" si="7"/>
        <v>0</v>
      </c>
      <c r="FL31" s="181">
        <f t="shared" si="7"/>
        <v>0</v>
      </c>
      <c r="FM31" s="181">
        <f t="shared" si="7"/>
        <v>0</v>
      </c>
    </row>
    <row r="32" spans="1:169" ht="39.75" customHeight="1" thickBot="1" x14ac:dyDescent="0.3">
      <c r="A32" s="192"/>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row>
    <row r="33" spans="2:10" ht="27" thickTop="1" x14ac:dyDescent="0.4">
      <c r="B33" s="216" t="s">
        <v>560</v>
      </c>
      <c r="C33"/>
      <c r="J33" s="191"/>
    </row>
    <row r="34" spans="2:10" ht="45.75" thickBot="1" x14ac:dyDescent="0.3">
      <c r="B34" s="142" t="s">
        <v>567</v>
      </c>
      <c r="C34"/>
      <c r="J34" s="191"/>
    </row>
    <row r="35" spans="2:10" ht="15.75" thickTop="1" x14ac:dyDescent="0.25">
      <c r="B35" s="187" t="s">
        <v>561</v>
      </c>
      <c r="C35"/>
      <c r="J35" s="191"/>
    </row>
    <row r="36" spans="2:10" x14ac:dyDescent="0.2">
      <c r="B36" s="188" t="s">
        <v>562</v>
      </c>
      <c r="C36"/>
      <c r="J36" s="191"/>
    </row>
    <row r="37" spans="2:10" x14ac:dyDescent="0.2">
      <c r="B37" s="189" t="s">
        <v>563</v>
      </c>
      <c r="C37"/>
      <c r="F37" s="191"/>
      <c r="J37" s="191"/>
    </row>
    <row r="38" spans="2:10" x14ac:dyDescent="0.2">
      <c r="B38" s="188" t="s">
        <v>564</v>
      </c>
      <c r="C38"/>
      <c r="F38" s="191"/>
      <c r="J38" s="191"/>
    </row>
    <row r="39" spans="2:10" x14ac:dyDescent="0.2">
      <c r="B39" s="188" t="s">
        <v>565</v>
      </c>
      <c r="C39"/>
      <c r="F39" s="191"/>
      <c r="J39" s="191"/>
    </row>
    <row r="40" spans="2:10" x14ac:dyDescent="0.2">
      <c r="B40" s="189" t="s">
        <v>569</v>
      </c>
      <c r="C40"/>
      <c r="F40" s="214"/>
      <c r="J40" s="191"/>
    </row>
    <row r="41" spans="2:10" x14ac:dyDescent="0.25">
      <c r="B41" s="190"/>
      <c r="C41"/>
      <c r="F41" s="215"/>
      <c r="J41" s="191"/>
    </row>
    <row r="42" spans="2:10" x14ac:dyDescent="0.25">
      <c r="B42" s="190"/>
      <c r="C42"/>
      <c r="F42"/>
      <c r="J42" s="191"/>
    </row>
    <row r="43" spans="2:10" x14ac:dyDescent="0.25">
      <c r="B43" s="190"/>
      <c r="C43"/>
      <c r="F43"/>
      <c r="J43" s="191"/>
    </row>
    <row r="44" spans="2:10" x14ac:dyDescent="0.25">
      <c r="B44" s="190"/>
      <c r="C44"/>
      <c r="F44"/>
      <c r="J44" s="191"/>
    </row>
    <row r="45" spans="2:10" x14ac:dyDescent="0.25">
      <c r="B45" s="190"/>
      <c r="C45"/>
      <c r="F45"/>
      <c r="J45" s="191"/>
    </row>
    <row r="46" spans="2:10" x14ac:dyDescent="0.25">
      <c r="B46" s="190"/>
      <c r="C46"/>
      <c r="F46"/>
      <c r="J46" s="191"/>
    </row>
    <row r="47" spans="2:10" x14ac:dyDescent="0.25">
      <c r="B47" s="190"/>
      <c r="C47"/>
      <c r="F47"/>
      <c r="J47" s="191"/>
    </row>
    <row r="48" spans="2:10" x14ac:dyDescent="0.25">
      <c r="B48" s="190"/>
      <c r="C48"/>
      <c r="F48"/>
      <c r="J48" s="191"/>
    </row>
    <row r="49" spans="2:10" x14ac:dyDescent="0.25">
      <c r="B49" s="190"/>
      <c r="C49"/>
      <c r="F49"/>
      <c r="J49" s="191"/>
    </row>
    <row r="50" spans="2:10" x14ac:dyDescent="0.25">
      <c r="B50" s="190"/>
      <c r="C50"/>
      <c r="F50"/>
      <c r="J50" s="191"/>
    </row>
    <row r="51" spans="2:10" x14ac:dyDescent="0.25">
      <c r="B51" s="190"/>
      <c r="C51"/>
      <c r="F51"/>
      <c r="J51" s="191"/>
    </row>
    <row r="52" spans="2:10" x14ac:dyDescent="0.25">
      <c r="B52" s="190"/>
      <c r="C52"/>
      <c r="F52"/>
      <c r="J52" s="191"/>
    </row>
    <row r="53" spans="2:10" x14ac:dyDescent="0.25">
      <c r="B53" s="190"/>
      <c r="C53"/>
      <c r="F53"/>
      <c r="J53" s="191"/>
    </row>
    <row r="54" spans="2:10" x14ac:dyDescent="0.25">
      <c r="B54" s="190"/>
      <c r="C54"/>
      <c r="F54"/>
      <c r="J54" s="191"/>
    </row>
    <row r="55" spans="2:10" x14ac:dyDescent="0.25">
      <c r="B55" s="190"/>
      <c r="C55"/>
      <c r="F55"/>
      <c r="J55" s="191"/>
    </row>
    <row r="56" spans="2:10" x14ac:dyDescent="0.25">
      <c r="B56" s="190"/>
      <c r="C56"/>
      <c r="F56"/>
      <c r="J56" s="191"/>
    </row>
    <row r="57" spans="2:10" x14ac:dyDescent="0.25">
      <c r="B57" s="190"/>
      <c r="C57"/>
      <c r="F57"/>
      <c r="J57" s="191"/>
    </row>
    <row r="58" spans="2:10" x14ac:dyDescent="0.25">
      <c r="B58" s="190"/>
      <c r="C58"/>
      <c r="F58"/>
      <c r="J58" s="191"/>
    </row>
    <row r="59" spans="2:10" ht="21" x14ac:dyDescent="0.25">
      <c r="B59" s="194" t="e">
        <f>SUM(#REF!)</f>
        <v>#REF!</v>
      </c>
      <c r="C59"/>
      <c r="F59"/>
      <c r="J59" s="191"/>
    </row>
    <row r="60" spans="2:10" ht="30.75" thickBot="1" x14ac:dyDescent="0.3">
      <c r="B60" s="195" t="s">
        <v>566</v>
      </c>
      <c r="C60"/>
      <c r="F60"/>
      <c r="J60" s="191"/>
    </row>
    <row r="61" spans="2:10" ht="15.75" thickTop="1" x14ac:dyDescent="0.25">
      <c r="C61"/>
      <c r="F61"/>
      <c r="J61" s="191"/>
    </row>
    <row r="62" spans="2:10" x14ac:dyDescent="0.25">
      <c r="C62"/>
      <c r="F62"/>
      <c r="J62" s="191"/>
    </row>
    <row r="63" spans="2:10" x14ac:dyDescent="0.25">
      <c r="C63"/>
      <c r="F63"/>
      <c r="J63" s="191"/>
    </row>
    <row r="64" spans="2:10" x14ac:dyDescent="0.25">
      <c r="C64"/>
      <c r="F64"/>
      <c r="J64" s="191"/>
    </row>
    <row r="65" spans="6:10" x14ac:dyDescent="0.25">
      <c r="F65"/>
      <c r="J65" s="191"/>
    </row>
    <row r="66" spans="6:10" x14ac:dyDescent="0.25">
      <c r="F66"/>
      <c r="J66" s="191"/>
    </row>
    <row r="67" spans="6:10" x14ac:dyDescent="0.25">
      <c r="F67"/>
      <c r="J67" s="191"/>
    </row>
    <row r="68" spans="6:10" x14ac:dyDescent="0.25">
      <c r="F68"/>
      <c r="J68" s="191"/>
    </row>
    <row r="69" spans="6:10" x14ac:dyDescent="0.25">
      <c r="F69"/>
      <c r="J69" s="191"/>
    </row>
    <row r="70" spans="6:10" x14ac:dyDescent="0.25">
      <c r="J70" s="191"/>
    </row>
    <row r="71" spans="6:10" x14ac:dyDescent="0.25">
      <c r="J71" s="191"/>
    </row>
    <row r="72" spans="6:10" x14ac:dyDescent="0.25">
      <c r="J72" s="191"/>
    </row>
    <row r="73" spans="6:10" x14ac:dyDescent="0.25">
      <c r="J73" s="191"/>
    </row>
    <row r="74" spans="6:10" x14ac:dyDescent="0.25">
      <c r="J74" s="191"/>
    </row>
    <row r="75" spans="6:10" x14ac:dyDescent="0.25">
      <c r="J75" s="191"/>
    </row>
    <row r="76" spans="6:10" x14ac:dyDescent="0.25">
      <c r="J76" s="191"/>
    </row>
    <row r="77" spans="6:10" x14ac:dyDescent="0.25">
      <c r="J77" s="191"/>
    </row>
    <row r="78" spans="6:10" x14ac:dyDescent="0.25">
      <c r="J78" s="191"/>
    </row>
    <row r="79" spans="6:10" x14ac:dyDescent="0.25">
      <c r="J79" s="191"/>
    </row>
    <row r="80" spans="6:10" x14ac:dyDescent="0.25">
      <c r="J80" s="191"/>
    </row>
    <row r="81" spans="10:10" x14ac:dyDescent="0.25">
      <c r="J81" s="191"/>
    </row>
    <row r="82" spans="10:10" x14ac:dyDescent="0.25">
      <c r="J82" s="191"/>
    </row>
    <row r="83" spans="10:10" x14ac:dyDescent="0.25">
      <c r="J83" s="191"/>
    </row>
    <row r="84" spans="10:10" x14ac:dyDescent="0.25">
      <c r="J84" s="191"/>
    </row>
    <row r="85" spans="10:10" x14ac:dyDescent="0.25">
      <c r="J85" s="191"/>
    </row>
    <row r="86" spans="10:10" x14ac:dyDescent="0.25">
      <c r="J86" s="191"/>
    </row>
    <row r="87" spans="10:10" x14ac:dyDescent="0.25">
      <c r="J87" s="191"/>
    </row>
    <row r="88" spans="10:10" x14ac:dyDescent="0.25">
      <c r="J88" s="191"/>
    </row>
    <row r="89" spans="10:10" x14ac:dyDescent="0.25">
      <c r="J89" s="191"/>
    </row>
    <row r="90" spans="10:10" x14ac:dyDescent="0.25">
      <c r="J90" s="191"/>
    </row>
    <row r="91" spans="10:10" x14ac:dyDescent="0.25">
      <c r="J91" s="191"/>
    </row>
    <row r="92" spans="10:10" x14ac:dyDescent="0.25">
      <c r="J92" s="191"/>
    </row>
    <row r="93" spans="10:10" x14ac:dyDescent="0.25">
      <c r="J93" s="191"/>
    </row>
    <row r="94" spans="10:10" x14ac:dyDescent="0.25">
      <c r="J94" s="191"/>
    </row>
    <row r="95" spans="10:10" x14ac:dyDescent="0.25">
      <c r="J95" s="191"/>
    </row>
    <row r="96" spans="10:10" x14ac:dyDescent="0.25">
      <c r="J96" s="191"/>
    </row>
    <row r="97" spans="10:10" x14ac:dyDescent="0.25">
      <c r="J97" s="191"/>
    </row>
    <row r="98" spans="10:10" x14ac:dyDescent="0.25">
      <c r="J98" s="191"/>
    </row>
    <row r="99" spans="10:10" x14ac:dyDescent="0.25">
      <c r="J99" s="191"/>
    </row>
    <row r="100" spans="10:10" x14ac:dyDescent="0.25">
      <c r="J100" s="191"/>
    </row>
    <row r="101" spans="10:10" x14ac:dyDescent="0.25">
      <c r="J101" s="191"/>
    </row>
    <row r="102" spans="10:10" x14ac:dyDescent="0.25">
      <c r="J102" s="191"/>
    </row>
    <row r="103" spans="10:10" x14ac:dyDescent="0.25">
      <c r="J103" s="191"/>
    </row>
    <row r="104" spans="10:10" x14ac:dyDescent="0.25">
      <c r="J104" s="191"/>
    </row>
    <row r="105" spans="10:10" x14ac:dyDescent="0.25">
      <c r="J105" s="191"/>
    </row>
    <row r="106" spans="10:10" x14ac:dyDescent="0.25">
      <c r="J106" s="191"/>
    </row>
    <row r="107" spans="10:10" x14ac:dyDescent="0.25">
      <c r="J107" s="191"/>
    </row>
    <row r="108" spans="10:10" x14ac:dyDescent="0.25">
      <c r="J108" s="191"/>
    </row>
    <row r="109" spans="10:10" x14ac:dyDescent="0.25">
      <c r="J109" s="191"/>
    </row>
    <row r="110" spans="10:10" x14ac:dyDescent="0.25">
      <c r="J110" s="191"/>
    </row>
    <row r="111" spans="10:10" x14ac:dyDescent="0.25">
      <c r="J111" s="191"/>
    </row>
    <row r="112" spans="10:10" x14ac:dyDescent="0.25">
      <c r="J112" s="191"/>
    </row>
    <row r="113" spans="10:10" x14ac:dyDescent="0.25">
      <c r="J113" s="191"/>
    </row>
    <row r="114" spans="10:10" x14ac:dyDescent="0.25">
      <c r="J114" s="191"/>
    </row>
    <row r="115" spans="10:10" x14ac:dyDescent="0.25">
      <c r="J115" s="191"/>
    </row>
    <row r="116" spans="10:10" x14ac:dyDescent="0.25">
      <c r="J116" s="191"/>
    </row>
    <row r="117" spans="10:10" x14ac:dyDescent="0.25">
      <c r="J117" s="191"/>
    </row>
    <row r="118" spans="10:10" x14ac:dyDescent="0.25">
      <c r="J118" s="191"/>
    </row>
    <row r="119" spans="10:10" x14ac:dyDescent="0.25">
      <c r="J119" s="191"/>
    </row>
    <row r="120" spans="10:10" x14ac:dyDescent="0.25">
      <c r="J120" s="191"/>
    </row>
    <row r="121" spans="10:10" x14ac:dyDescent="0.25">
      <c r="J121" s="191"/>
    </row>
    <row r="122" spans="10:10" x14ac:dyDescent="0.25">
      <c r="J122" s="191"/>
    </row>
    <row r="123" spans="10:10" x14ac:dyDescent="0.25">
      <c r="J123" s="191"/>
    </row>
    <row r="124" spans="10:10" x14ac:dyDescent="0.25">
      <c r="J124" s="191"/>
    </row>
    <row r="125" spans="10:10" x14ac:dyDescent="0.25">
      <c r="J125" s="191"/>
    </row>
    <row r="126" spans="10:10" x14ac:dyDescent="0.25">
      <c r="J126" s="191"/>
    </row>
    <row r="127" spans="10:10" x14ac:dyDescent="0.25">
      <c r="J127" s="191"/>
    </row>
    <row r="128" spans="10:10" x14ac:dyDescent="0.25">
      <c r="J128" s="191"/>
    </row>
    <row r="129" spans="10:10" x14ac:dyDescent="0.25">
      <c r="J129" s="191"/>
    </row>
    <row r="130" spans="10:10" x14ac:dyDescent="0.25">
      <c r="J130" s="191"/>
    </row>
    <row r="131" spans="10:10" x14ac:dyDescent="0.25">
      <c r="J131" s="191"/>
    </row>
    <row r="132" spans="10:10" x14ac:dyDescent="0.25">
      <c r="J132" s="191"/>
    </row>
    <row r="133" spans="10:10" x14ac:dyDescent="0.25">
      <c r="J133" s="191"/>
    </row>
    <row r="134" spans="10:10" x14ac:dyDescent="0.25">
      <c r="J134" s="191"/>
    </row>
    <row r="135" spans="10:10" x14ac:dyDescent="0.25">
      <c r="J135" s="191"/>
    </row>
    <row r="136" spans="10:10" x14ac:dyDescent="0.25">
      <c r="J136" s="191"/>
    </row>
    <row r="137" spans="10:10" x14ac:dyDescent="0.25">
      <c r="J137" s="191"/>
    </row>
    <row r="138" spans="10:10" x14ac:dyDescent="0.25">
      <c r="J138" s="191"/>
    </row>
    <row r="139" spans="10:10" x14ac:dyDescent="0.25">
      <c r="J139" s="191"/>
    </row>
    <row r="140" spans="10:10" x14ac:dyDescent="0.25">
      <c r="J140" s="191"/>
    </row>
    <row r="141" spans="10:10" x14ac:dyDescent="0.25">
      <c r="J141" s="191"/>
    </row>
    <row r="142" spans="10:10" x14ac:dyDescent="0.25">
      <c r="J142" s="191"/>
    </row>
    <row r="143" spans="10:10" x14ac:dyDescent="0.25">
      <c r="J143" s="191"/>
    </row>
    <row r="144" spans="10:10" x14ac:dyDescent="0.25">
      <c r="J144" s="191"/>
    </row>
    <row r="145" spans="10:10" x14ac:dyDescent="0.25">
      <c r="J145" s="191"/>
    </row>
    <row r="146" spans="10:10" x14ac:dyDescent="0.25">
      <c r="J146" s="191"/>
    </row>
    <row r="147" spans="10:10" x14ac:dyDescent="0.25">
      <c r="J147" s="191"/>
    </row>
    <row r="148" spans="10:10" x14ac:dyDescent="0.25">
      <c r="J148" s="191"/>
    </row>
    <row r="149" spans="10:10" x14ac:dyDescent="0.25">
      <c r="J149" s="191"/>
    </row>
    <row r="150" spans="10:10" x14ac:dyDescent="0.25">
      <c r="J150" s="191"/>
    </row>
    <row r="151" spans="10:10" x14ac:dyDescent="0.25">
      <c r="J151" s="191"/>
    </row>
    <row r="152" spans="10:10" x14ac:dyDescent="0.25">
      <c r="J152" s="191"/>
    </row>
    <row r="153" spans="10:10" x14ac:dyDescent="0.25">
      <c r="J153" s="191"/>
    </row>
    <row r="154" spans="10:10" x14ac:dyDescent="0.25">
      <c r="J154" s="191"/>
    </row>
    <row r="155" spans="10:10" x14ac:dyDescent="0.25">
      <c r="J155" s="191"/>
    </row>
    <row r="156" spans="10:10" x14ac:dyDescent="0.25">
      <c r="J156" s="191"/>
    </row>
    <row r="157" spans="10:10" x14ac:dyDescent="0.25">
      <c r="J157" s="191"/>
    </row>
    <row r="158" spans="10:10" x14ac:dyDescent="0.25">
      <c r="J158" s="191"/>
    </row>
    <row r="159" spans="10:10" x14ac:dyDescent="0.25">
      <c r="J159" s="191"/>
    </row>
    <row r="160" spans="10:10" x14ac:dyDescent="0.25">
      <c r="J160" s="191"/>
    </row>
    <row r="161" spans="10:10" x14ac:dyDescent="0.25">
      <c r="J161" s="191"/>
    </row>
    <row r="162" spans="10:10" x14ac:dyDescent="0.25">
      <c r="J162" s="191"/>
    </row>
    <row r="163" spans="10:10" x14ac:dyDescent="0.25">
      <c r="J163" s="191"/>
    </row>
    <row r="164" spans="10:10" x14ac:dyDescent="0.25">
      <c r="J164" s="191"/>
    </row>
    <row r="165" spans="10:10" x14ac:dyDescent="0.25">
      <c r="J165" s="191"/>
    </row>
    <row r="166" spans="10:10" x14ac:dyDescent="0.25">
      <c r="J166" s="191"/>
    </row>
    <row r="167" spans="10:10" x14ac:dyDescent="0.25">
      <c r="J167" s="191"/>
    </row>
    <row r="168" spans="10:10" x14ac:dyDescent="0.25">
      <c r="J168" s="191"/>
    </row>
    <row r="169" spans="10:10" x14ac:dyDescent="0.25">
      <c r="J169" s="191"/>
    </row>
    <row r="170" spans="10:10" x14ac:dyDescent="0.25">
      <c r="J170" s="191"/>
    </row>
    <row r="171" spans="10:10" x14ac:dyDescent="0.25">
      <c r="J171" s="191"/>
    </row>
    <row r="172" spans="10:10" x14ac:dyDescent="0.25">
      <c r="J172" s="191"/>
    </row>
    <row r="173" spans="10:10" x14ac:dyDescent="0.25">
      <c r="J173" s="191"/>
    </row>
    <row r="174" spans="10:10" x14ac:dyDescent="0.25">
      <c r="J174" s="191"/>
    </row>
    <row r="175" spans="10:10" x14ac:dyDescent="0.25">
      <c r="J175" s="191"/>
    </row>
    <row r="176" spans="10:10" x14ac:dyDescent="0.25">
      <c r="J176" s="191"/>
    </row>
    <row r="177" spans="10:10" x14ac:dyDescent="0.25">
      <c r="J177" s="191"/>
    </row>
    <row r="178" spans="10:10" x14ac:dyDescent="0.25">
      <c r="J178" s="191"/>
    </row>
    <row r="179" spans="10:10" x14ac:dyDescent="0.25">
      <c r="J179" s="191"/>
    </row>
    <row r="180" spans="10:10" x14ac:dyDescent="0.25">
      <c r="J180" s="191"/>
    </row>
    <row r="181" spans="10:10" x14ac:dyDescent="0.25">
      <c r="J181" s="191"/>
    </row>
    <row r="182" spans="10:10" x14ac:dyDescent="0.25">
      <c r="J182" s="191"/>
    </row>
    <row r="183" spans="10:10" x14ac:dyDescent="0.25">
      <c r="J183" s="191"/>
    </row>
    <row r="184" spans="10:10" x14ac:dyDescent="0.25">
      <c r="J184" s="191"/>
    </row>
    <row r="185" spans="10:10" x14ac:dyDescent="0.25">
      <c r="J185" s="191"/>
    </row>
    <row r="186" spans="10:10" x14ac:dyDescent="0.25">
      <c r="J186" s="191"/>
    </row>
    <row r="187" spans="10:10" x14ac:dyDescent="0.25">
      <c r="J187" s="191"/>
    </row>
    <row r="188" spans="10:10" x14ac:dyDescent="0.25">
      <c r="J188" s="191"/>
    </row>
    <row r="189" spans="10:10" x14ac:dyDescent="0.25">
      <c r="J189" s="191"/>
    </row>
    <row r="190" spans="10:10" x14ac:dyDescent="0.25">
      <c r="J190" s="191"/>
    </row>
    <row r="191" spans="10:10" x14ac:dyDescent="0.25">
      <c r="J191" s="191"/>
    </row>
    <row r="192" spans="10:10" x14ac:dyDescent="0.25">
      <c r="J192" s="191"/>
    </row>
    <row r="193" spans="10:10" x14ac:dyDescent="0.25">
      <c r="J193" s="191"/>
    </row>
    <row r="194" spans="10:10" x14ac:dyDescent="0.25">
      <c r="J194" s="191"/>
    </row>
    <row r="195" spans="10:10" x14ac:dyDescent="0.25">
      <c r="J195" s="191"/>
    </row>
    <row r="196" spans="10:10" x14ac:dyDescent="0.25">
      <c r="J196" s="191"/>
    </row>
    <row r="197" spans="10:10" x14ac:dyDescent="0.25">
      <c r="J197" s="191"/>
    </row>
    <row r="198" spans="10:10" x14ac:dyDescent="0.25">
      <c r="J198" s="191"/>
    </row>
    <row r="199" spans="10:10" x14ac:dyDescent="0.25">
      <c r="J199" s="191"/>
    </row>
    <row r="200" spans="10:10" x14ac:dyDescent="0.25">
      <c r="J200" s="191"/>
    </row>
    <row r="201" spans="10:10" x14ac:dyDescent="0.25">
      <c r="J201" s="191"/>
    </row>
    <row r="202" spans="10:10" x14ac:dyDescent="0.25">
      <c r="J202" s="191"/>
    </row>
    <row r="203" spans="10:10" x14ac:dyDescent="0.25">
      <c r="J203" s="191"/>
    </row>
    <row r="204" spans="10:10" x14ac:dyDescent="0.25">
      <c r="J204" s="191"/>
    </row>
    <row r="205" spans="10:10" x14ac:dyDescent="0.25">
      <c r="J205" s="191"/>
    </row>
    <row r="206" spans="10:10" x14ac:dyDescent="0.25">
      <c r="J206" s="191"/>
    </row>
    <row r="207" spans="10:10" x14ac:dyDescent="0.25">
      <c r="J207" s="191"/>
    </row>
    <row r="208" spans="10:10" x14ac:dyDescent="0.25">
      <c r="J208" s="191"/>
    </row>
    <row r="209" spans="10:10" x14ac:dyDescent="0.25">
      <c r="J209" s="191"/>
    </row>
    <row r="210" spans="10:10" x14ac:dyDescent="0.25">
      <c r="J210" s="191"/>
    </row>
    <row r="211" spans="10:10" x14ac:dyDescent="0.25">
      <c r="J211" s="191"/>
    </row>
    <row r="212" spans="10:10" x14ac:dyDescent="0.25">
      <c r="J212" s="191"/>
    </row>
    <row r="213" spans="10:10" x14ac:dyDescent="0.25">
      <c r="J213" s="191"/>
    </row>
    <row r="214" spans="10:10" x14ac:dyDescent="0.25">
      <c r="J214" s="191"/>
    </row>
    <row r="215" spans="10:10" x14ac:dyDescent="0.25">
      <c r="J215" s="191"/>
    </row>
    <row r="216" spans="10:10" x14ac:dyDescent="0.25">
      <c r="J216" s="191"/>
    </row>
    <row r="217" spans="10:10" x14ac:dyDescent="0.25">
      <c r="J217" s="191"/>
    </row>
    <row r="218" spans="10:10" x14ac:dyDescent="0.25">
      <c r="J218" s="191"/>
    </row>
    <row r="219" spans="10:10" x14ac:dyDescent="0.25">
      <c r="J219" s="191"/>
    </row>
    <row r="220" spans="10:10" x14ac:dyDescent="0.25">
      <c r="J220" s="191"/>
    </row>
    <row r="221" spans="10:10" x14ac:dyDescent="0.25">
      <c r="J221" s="191"/>
    </row>
    <row r="222" spans="10:10" x14ac:dyDescent="0.25">
      <c r="J222" s="191"/>
    </row>
    <row r="223" spans="10:10" x14ac:dyDescent="0.25">
      <c r="J223" s="191"/>
    </row>
    <row r="224" spans="10:10" x14ac:dyDescent="0.25">
      <c r="J224" s="191"/>
    </row>
    <row r="225" spans="10:10" x14ac:dyDescent="0.25">
      <c r="J225" s="191"/>
    </row>
    <row r="226" spans="10:10" x14ac:dyDescent="0.25">
      <c r="J226" s="191"/>
    </row>
    <row r="227" spans="10:10" x14ac:dyDescent="0.25">
      <c r="J227" s="191"/>
    </row>
    <row r="228" spans="10:10" x14ac:dyDescent="0.25">
      <c r="J228" s="191"/>
    </row>
    <row r="229" spans="10:10" x14ac:dyDescent="0.25">
      <c r="J229" s="191"/>
    </row>
    <row r="230" spans="10:10" x14ac:dyDescent="0.25">
      <c r="J230" s="191"/>
    </row>
    <row r="231" spans="10:10" x14ac:dyDescent="0.25">
      <c r="J231" s="191"/>
    </row>
    <row r="232" spans="10:10" x14ac:dyDescent="0.25">
      <c r="J232" s="191"/>
    </row>
    <row r="233" spans="10:10" x14ac:dyDescent="0.25">
      <c r="J233" s="191"/>
    </row>
    <row r="234" spans="10:10" x14ac:dyDescent="0.25">
      <c r="J234" s="191"/>
    </row>
    <row r="235" spans="10:10" x14ac:dyDescent="0.25">
      <c r="J235" s="191"/>
    </row>
    <row r="236" spans="10:10" x14ac:dyDescent="0.25">
      <c r="J236" s="191"/>
    </row>
    <row r="237" spans="10:10" x14ac:dyDescent="0.25">
      <c r="J237" s="191"/>
    </row>
    <row r="238" spans="10:10" x14ac:dyDescent="0.25">
      <c r="J238" s="191"/>
    </row>
    <row r="239" spans="10:10" x14ac:dyDescent="0.25">
      <c r="J239" s="191"/>
    </row>
    <row r="240" spans="10:10" x14ac:dyDescent="0.25">
      <c r="J240" s="191"/>
    </row>
    <row r="241" spans="10:10" x14ac:dyDescent="0.25">
      <c r="J241" s="191"/>
    </row>
    <row r="242" spans="10:10" x14ac:dyDescent="0.25">
      <c r="J242" s="191"/>
    </row>
    <row r="243" spans="10:10" x14ac:dyDescent="0.25">
      <c r="J243" s="191"/>
    </row>
    <row r="244" spans="10:10" x14ac:dyDescent="0.25">
      <c r="J244" s="191"/>
    </row>
    <row r="245" spans="10:10" x14ac:dyDescent="0.25">
      <c r="J245" s="191"/>
    </row>
    <row r="246" spans="10:10" x14ac:dyDescent="0.25">
      <c r="J246" s="191"/>
    </row>
    <row r="247" spans="10:10" x14ac:dyDescent="0.25">
      <c r="J247" s="191"/>
    </row>
    <row r="248" spans="10:10" x14ac:dyDescent="0.25">
      <c r="J248" s="191"/>
    </row>
    <row r="249" spans="10:10" x14ac:dyDescent="0.25">
      <c r="J249" s="191"/>
    </row>
    <row r="250" spans="10:10" x14ac:dyDescent="0.25">
      <c r="J250" s="191"/>
    </row>
    <row r="251" spans="10:10" x14ac:dyDescent="0.25">
      <c r="J251" s="191"/>
    </row>
    <row r="252" spans="10:10" x14ac:dyDescent="0.25">
      <c r="J252" s="191"/>
    </row>
    <row r="253" spans="10:10" x14ac:dyDescent="0.25">
      <c r="J253" s="191"/>
    </row>
    <row r="254" spans="10:10" x14ac:dyDescent="0.25">
      <c r="J254" s="191"/>
    </row>
    <row r="255" spans="10:10" x14ac:dyDescent="0.25">
      <c r="J255" s="191"/>
    </row>
    <row r="256" spans="10:10" x14ac:dyDescent="0.25">
      <c r="J256" s="191"/>
    </row>
    <row r="257" spans="10:10" x14ac:dyDescent="0.25">
      <c r="J257" s="191"/>
    </row>
    <row r="258" spans="10:10" x14ac:dyDescent="0.25">
      <c r="J258" s="191"/>
    </row>
    <row r="259" spans="10:10" x14ac:dyDescent="0.25">
      <c r="J259" s="191"/>
    </row>
    <row r="260" spans="10:10" x14ac:dyDescent="0.25">
      <c r="J260" s="191"/>
    </row>
    <row r="261" spans="10:10" x14ac:dyDescent="0.25">
      <c r="J261" s="191"/>
    </row>
    <row r="262" spans="10:10" x14ac:dyDescent="0.25">
      <c r="J262" s="191"/>
    </row>
    <row r="263" spans="10:10" x14ac:dyDescent="0.25">
      <c r="J263" s="191"/>
    </row>
    <row r="264" spans="10:10" x14ac:dyDescent="0.25">
      <c r="J264" s="191"/>
    </row>
    <row r="265" spans="10:10" x14ac:dyDescent="0.25">
      <c r="J265" s="191"/>
    </row>
    <row r="266" spans="10:10" x14ac:dyDescent="0.25">
      <c r="J266" s="191"/>
    </row>
    <row r="267" spans="10:10" x14ac:dyDescent="0.25">
      <c r="J267" s="191"/>
    </row>
    <row r="268" spans="10:10" x14ac:dyDescent="0.25">
      <c r="J268" s="191"/>
    </row>
    <row r="269" spans="10:10" x14ac:dyDescent="0.25">
      <c r="J269" s="191"/>
    </row>
    <row r="270" spans="10:10" x14ac:dyDescent="0.25">
      <c r="J270" s="191"/>
    </row>
    <row r="271" spans="10:10" x14ac:dyDescent="0.25">
      <c r="J271" s="191"/>
    </row>
    <row r="272" spans="10:10" x14ac:dyDescent="0.25">
      <c r="J272" s="191"/>
    </row>
    <row r="273" spans="10:10" x14ac:dyDescent="0.25">
      <c r="J273" s="191"/>
    </row>
    <row r="274" spans="10:10" x14ac:dyDescent="0.25">
      <c r="J274" s="191"/>
    </row>
    <row r="275" spans="10:10" x14ac:dyDescent="0.25">
      <c r="J275" s="191"/>
    </row>
    <row r="276" spans="10:10" x14ac:dyDescent="0.25">
      <c r="J276" s="191"/>
    </row>
    <row r="277" spans="10:10" x14ac:dyDescent="0.25">
      <c r="J277" s="191"/>
    </row>
    <row r="278" spans="10:10" x14ac:dyDescent="0.25">
      <c r="J278" s="191"/>
    </row>
    <row r="279" spans="10:10" x14ac:dyDescent="0.25">
      <c r="J279" s="191"/>
    </row>
    <row r="280" spans="10:10" x14ac:dyDescent="0.25">
      <c r="J280" s="191"/>
    </row>
    <row r="281" spans="10:10" x14ac:dyDescent="0.25">
      <c r="J281" s="191"/>
    </row>
    <row r="282" spans="10:10" x14ac:dyDescent="0.25">
      <c r="J282" s="191"/>
    </row>
    <row r="283" spans="10:10" x14ac:dyDescent="0.25">
      <c r="J283" s="191"/>
    </row>
    <row r="284" spans="10:10" x14ac:dyDescent="0.25">
      <c r="J284" s="191"/>
    </row>
    <row r="285" spans="10:10" x14ac:dyDescent="0.25">
      <c r="J285" s="191"/>
    </row>
    <row r="286" spans="10:10" x14ac:dyDescent="0.25">
      <c r="J286" s="191"/>
    </row>
    <row r="287" spans="10:10" x14ac:dyDescent="0.25">
      <c r="J287" s="191"/>
    </row>
    <row r="288" spans="10:10" x14ac:dyDescent="0.25">
      <c r="J288" s="191"/>
    </row>
    <row r="289" spans="10:10" x14ac:dyDescent="0.25">
      <c r="J289" s="191"/>
    </row>
    <row r="290" spans="10:10" x14ac:dyDescent="0.25">
      <c r="J290" s="191"/>
    </row>
    <row r="291" spans="10:10" x14ac:dyDescent="0.25">
      <c r="J291" s="191"/>
    </row>
    <row r="292" spans="10:10" x14ac:dyDescent="0.25">
      <c r="J292" s="191"/>
    </row>
    <row r="293" spans="10:10" x14ac:dyDescent="0.25">
      <c r="J293" s="191"/>
    </row>
    <row r="294" spans="10:10" x14ac:dyDescent="0.25">
      <c r="J294" s="191"/>
    </row>
    <row r="295" spans="10:10" x14ac:dyDescent="0.25">
      <c r="J295" s="191"/>
    </row>
    <row r="296" spans="10:10" x14ac:dyDescent="0.25">
      <c r="J296" s="191"/>
    </row>
    <row r="297" spans="10:10" x14ac:dyDescent="0.25">
      <c r="J297" s="191"/>
    </row>
    <row r="298" spans="10:10" x14ac:dyDescent="0.25">
      <c r="J298" s="191"/>
    </row>
    <row r="299" spans="10:10" x14ac:dyDescent="0.25">
      <c r="J299" s="191"/>
    </row>
    <row r="300" spans="10:10" x14ac:dyDescent="0.25">
      <c r="J300" s="191"/>
    </row>
    <row r="301" spans="10:10" x14ac:dyDescent="0.25">
      <c r="J301" s="191"/>
    </row>
    <row r="302" spans="10:10" x14ac:dyDescent="0.25">
      <c r="J302" s="191"/>
    </row>
    <row r="303" spans="10:10" x14ac:dyDescent="0.25">
      <c r="J303" s="191"/>
    </row>
    <row r="304" spans="10:10" x14ac:dyDescent="0.25">
      <c r="J304" s="191"/>
    </row>
    <row r="305" spans="10:10" x14ac:dyDescent="0.25">
      <c r="J305" s="191"/>
    </row>
    <row r="306" spans="10:10" x14ac:dyDescent="0.25">
      <c r="J306" s="191"/>
    </row>
    <row r="307" spans="10:10" x14ac:dyDescent="0.25">
      <c r="J307" s="191"/>
    </row>
    <row r="308" spans="10:10" x14ac:dyDescent="0.25">
      <c r="J308" s="191"/>
    </row>
    <row r="309" spans="10:10" x14ac:dyDescent="0.25">
      <c r="J309" s="191"/>
    </row>
    <row r="310" spans="10:10" x14ac:dyDescent="0.25">
      <c r="J310" s="191"/>
    </row>
    <row r="311" spans="10:10" x14ac:dyDescent="0.25">
      <c r="J311" s="191"/>
    </row>
    <row r="312" spans="10:10" x14ac:dyDescent="0.25">
      <c r="J312" s="191"/>
    </row>
    <row r="313" spans="10:10" x14ac:dyDescent="0.25">
      <c r="J313" s="191"/>
    </row>
    <row r="314" spans="10:10" x14ac:dyDescent="0.25">
      <c r="J314" s="191"/>
    </row>
    <row r="315" spans="10:10" x14ac:dyDescent="0.25">
      <c r="J315" s="191"/>
    </row>
    <row r="316" spans="10:10" x14ac:dyDescent="0.25">
      <c r="J316" s="191"/>
    </row>
    <row r="317" spans="10:10" x14ac:dyDescent="0.25">
      <c r="J317" s="191"/>
    </row>
    <row r="318" spans="10:10" x14ac:dyDescent="0.25">
      <c r="J318" s="191"/>
    </row>
    <row r="319" spans="10:10" x14ac:dyDescent="0.25">
      <c r="J319" s="191"/>
    </row>
    <row r="320" spans="10:10" x14ac:dyDescent="0.25">
      <c r="J320" s="191"/>
    </row>
    <row r="321" spans="10:10" x14ac:dyDescent="0.25">
      <c r="J321" s="191"/>
    </row>
    <row r="322" spans="10:10" x14ac:dyDescent="0.25">
      <c r="J322" s="191"/>
    </row>
    <row r="323" spans="10:10" x14ac:dyDescent="0.25">
      <c r="J323" s="191"/>
    </row>
    <row r="324" spans="10:10" x14ac:dyDescent="0.25">
      <c r="J324" s="191"/>
    </row>
    <row r="325" spans="10:10" x14ac:dyDescent="0.25">
      <c r="J325" s="191"/>
    </row>
    <row r="326" spans="10:10" x14ac:dyDescent="0.25">
      <c r="J326" s="191"/>
    </row>
    <row r="327" spans="10:10" x14ac:dyDescent="0.25">
      <c r="J327" s="191"/>
    </row>
    <row r="328" spans="10:10" x14ac:dyDescent="0.25">
      <c r="J328" s="191"/>
    </row>
    <row r="329" spans="10:10" x14ac:dyDescent="0.25">
      <c r="J329" s="191"/>
    </row>
    <row r="330" spans="10:10" x14ac:dyDescent="0.25">
      <c r="J330" s="191"/>
    </row>
    <row r="331" spans="10:10" x14ac:dyDescent="0.25">
      <c r="J331" s="191"/>
    </row>
    <row r="332" spans="10:10" x14ac:dyDescent="0.25">
      <c r="J332" s="191"/>
    </row>
    <row r="333" spans="10:10" x14ac:dyDescent="0.25">
      <c r="J333" s="191"/>
    </row>
    <row r="334" spans="10:10" x14ac:dyDescent="0.25">
      <c r="J334" s="191"/>
    </row>
    <row r="335" spans="10:10" x14ac:dyDescent="0.25">
      <c r="J335" s="191"/>
    </row>
    <row r="336" spans="10:10" x14ac:dyDescent="0.25">
      <c r="J336" s="191"/>
    </row>
    <row r="337" spans="10:10" x14ac:dyDescent="0.25">
      <c r="J337" s="191"/>
    </row>
    <row r="338" spans="10:10" x14ac:dyDescent="0.25">
      <c r="J338" s="191"/>
    </row>
    <row r="339" spans="10:10" x14ac:dyDescent="0.25">
      <c r="J339" s="191"/>
    </row>
    <row r="340" spans="10:10" x14ac:dyDescent="0.25">
      <c r="J340" s="191"/>
    </row>
    <row r="341" spans="10:10" x14ac:dyDescent="0.25">
      <c r="J341" s="191"/>
    </row>
    <row r="342" spans="10:10" x14ac:dyDescent="0.25">
      <c r="J342" s="191"/>
    </row>
    <row r="343" spans="10:10" x14ac:dyDescent="0.25">
      <c r="J343" s="191"/>
    </row>
    <row r="344" spans="10:10" x14ac:dyDescent="0.25">
      <c r="J344" s="191"/>
    </row>
  </sheetData>
  <conditionalFormatting sqref="E15 E18:E19 E21:E22 D27 G13:G17 G28:H28 E12 H17:FM20 G21:FM27 H10:FM11 D9:FM9 E7:FM8 G12:FM16">
    <cfRule type="expression" dxfId="649" priority="392">
      <formula xml:space="preserve"> INDIRECT(CHAR(COLUMN()+96) &amp; 4) = TODAY() * NOT(ISBLANK(INDIRECT(CHAR(COLUMN()+96) &amp; ROW())))</formula>
    </cfRule>
    <cfRule type="expression" dxfId="648" priority="393">
      <formula xml:space="preserve"> INDIRECT(CHAR(COLUMN()+96) &amp; 4) = TODAY() * ISBLANK(INDIRECT(CHAR(COLUMN()+96) &amp; ROW()))</formula>
    </cfRule>
  </conditionalFormatting>
  <conditionalFormatting sqref="A4:FM6">
    <cfRule type="timePeriod" dxfId="647" priority="394" timePeriod="today">
      <formula>FLOOR(A4,1)=TODAY()</formula>
    </cfRule>
    <cfRule type="timePeriod" dxfId="646" priority="395" timePeriod="tomorrow">
      <formula>FLOOR(A4,1)=TODAY()+1</formula>
    </cfRule>
    <cfRule type="timePeriod" dxfId="645" priority="396" timePeriod="yesterday">
      <formula>FLOOR(A4,1)=TODAY()-1</formula>
    </cfRule>
  </conditionalFormatting>
  <conditionalFormatting sqref="E15 E18:E19 E21:E22 G13:G17 G28:H28 E12 H17:FM20 G21:FM27 H10:FM11 A7:B30 D27 D9:FM9 E7:FM8 G12:FM16">
    <cfRule type="expression" dxfId="644" priority="389">
      <formula>INDIRECT("A"&amp;3) = INDIRECT("A"&amp;ROW())</formula>
    </cfRule>
  </conditionalFormatting>
  <conditionalFormatting sqref="A2:A3 B2:FM2 A1:FM1">
    <cfRule type="expression" dxfId="643" priority="390">
      <formula xml:space="preserve"> INDIRECT(CHAR(COLUMN()+96) &amp; 4) = TODAY() * ISBLANK(INDIRECT(CHAR(COLUMN()+96) &amp; ROW()))</formula>
    </cfRule>
  </conditionalFormatting>
  <conditionalFormatting sqref="E18:E19 E15 E21:E22 D27 G13:G17 G28:H28 A31:FM31 E12 H17:FM20 G21:FM27 H10:FM11 D9:FM9 E7:FM8 G12:FM16">
    <cfRule type="colorScale" priority="391">
      <colorScale>
        <cfvo type="num" val="0"/>
        <cfvo type="num" val="0.5"/>
        <cfvo type="num" val="1"/>
        <color rgb="FFF8696B"/>
        <color rgb="FFFFEB84"/>
        <color rgb="FF63BE7B"/>
      </colorScale>
    </cfRule>
  </conditionalFormatting>
  <conditionalFormatting sqref="E20">
    <cfRule type="expression" dxfId="642" priority="387">
      <formula xml:space="preserve"> INDIRECT(CHAR(COLUMN()+96) &amp; 4) = TODAY() * NOT(ISBLANK(INDIRECT(CHAR(COLUMN()+96) &amp; ROW())))</formula>
    </cfRule>
    <cfRule type="expression" dxfId="641" priority="388">
      <formula xml:space="preserve"> INDIRECT(CHAR(COLUMN()+96) &amp; 4) = TODAY() * ISBLANK(INDIRECT(CHAR(COLUMN()+96) &amp; ROW()))</formula>
    </cfRule>
  </conditionalFormatting>
  <conditionalFormatting sqref="E20">
    <cfRule type="expression" dxfId="640" priority="385">
      <formula>INDIRECT("A"&amp;3) = INDIRECT("A"&amp;ROW())</formula>
    </cfRule>
  </conditionalFormatting>
  <conditionalFormatting sqref="E20">
    <cfRule type="colorScale" priority="386">
      <colorScale>
        <cfvo type="num" val="0"/>
        <cfvo type="num" val="0.5"/>
        <cfvo type="num" val="1"/>
        <color rgb="FFF8696B"/>
        <color rgb="FFFFEB84"/>
        <color rgb="FF63BE7B"/>
      </colorScale>
    </cfRule>
  </conditionalFormatting>
  <conditionalFormatting sqref="E20">
    <cfRule type="expression" dxfId="639" priority="383">
      <formula xml:space="preserve"> INDIRECT(CHAR(COLUMN()+96) &amp; 4) = TODAY() * NOT(ISBLANK(INDIRECT(CHAR(COLUMN()+96) &amp; ROW())))</formula>
    </cfRule>
    <cfRule type="expression" dxfId="638" priority="384">
      <formula xml:space="preserve"> INDIRECT(CHAR(COLUMN()+96) &amp; 4) = TODAY() * ISBLANK(INDIRECT(CHAR(COLUMN()+96) &amp; ROW()))</formula>
    </cfRule>
  </conditionalFormatting>
  <conditionalFormatting sqref="E20">
    <cfRule type="expression" dxfId="637" priority="381">
      <formula>INDIRECT("A"&amp;3) = INDIRECT("A"&amp;ROW())</formula>
    </cfRule>
  </conditionalFormatting>
  <conditionalFormatting sqref="E20">
    <cfRule type="colorScale" priority="382">
      <colorScale>
        <cfvo type="num" val="0"/>
        <cfvo type="num" val="0.5"/>
        <cfvo type="num" val="1"/>
        <color rgb="FFF8696B"/>
        <color rgb="FFFFEB84"/>
        <color rgb="FF63BE7B"/>
      </colorScale>
    </cfRule>
  </conditionalFormatting>
  <conditionalFormatting sqref="G20">
    <cfRule type="expression" dxfId="636" priority="379">
      <formula xml:space="preserve"> INDIRECT(CHAR(COLUMN()+96) &amp; 4) = TODAY() * NOT(ISBLANK(INDIRECT(CHAR(COLUMN()+96) &amp; ROW())))</formula>
    </cfRule>
    <cfRule type="expression" dxfId="635" priority="380">
      <formula xml:space="preserve"> INDIRECT(CHAR(COLUMN()+96) &amp; 4) = TODAY() * ISBLANK(INDIRECT(CHAR(COLUMN()+96) &amp; ROW()))</formula>
    </cfRule>
  </conditionalFormatting>
  <conditionalFormatting sqref="G20">
    <cfRule type="expression" dxfId="634" priority="377">
      <formula>INDIRECT("A"&amp;3) = INDIRECT("A"&amp;ROW())</formula>
    </cfRule>
  </conditionalFormatting>
  <conditionalFormatting sqref="G20">
    <cfRule type="colorScale" priority="378">
      <colorScale>
        <cfvo type="num" val="0"/>
        <cfvo type="num" val="0.5"/>
        <cfvo type="num" val="1"/>
        <color rgb="FFF8696B"/>
        <color rgb="FFFFEB84"/>
        <color rgb="FF63BE7B"/>
      </colorScale>
    </cfRule>
  </conditionalFormatting>
  <conditionalFormatting sqref="G20">
    <cfRule type="expression" dxfId="633" priority="375">
      <formula xml:space="preserve"> INDIRECT(CHAR(COLUMN()+96) &amp; 4) = TODAY() * NOT(ISBLANK(INDIRECT(CHAR(COLUMN()+96) &amp; ROW())))</formula>
    </cfRule>
    <cfRule type="expression" dxfId="632" priority="376">
      <formula xml:space="preserve"> INDIRECT(CHAR(COLUMN()+96) &amp; 4) = TODAY() * ISBLANK(INDIRECT(CHAR(COLUMN()+96) &amp; ROW()))</formula>
    </cfRule>
  </conditionalFormatting>
  <conditionalFormatting sqref="G20">
    <cfRule type="expression" dxfId="631" priority="373">
      <formula>INDIRECT("A"&amp;3) = INDIRECT("A"&amp;ROW())</formula>
    </cfRule>
  </conditionalFormatting>
  <conditionalFormatting sqref="G20">
    <cfRule type="colorScale" priority="374">
      <colorScale>
        <cfvo type="num" val="0"/>
        <cfvo type="num" val="0.5"/>
        <cfvo type="num" val="1"/>
        <color rgb="FFF8696B"/>
        <color rgb="FFFFEB84"/>
        <color rgb="FF63BE7B"/>
      </colorScale>
    </cfRule>
  </conditionalFormatting>
  <conditionalFormatting sqref="D23:D26">
    <cfRule type="expression" dxfId="630" priority="319">
      <formula xml:space="preserve"> INDIRECT(CHAR(COLUMN()+96) &amp; 4) = TODAY() * NOT(ISBLANK(INDIRECT(CHAR(COLUMN()+96) &amp; ROW())))</formula>
    </cfRule>
    <cfRule type="expression" dxfId="629" priority="320">
      <formula xml:space="preserve"> INDIRECT(CHAR(COLUMN()+96) &amp; 4) = TODAY() * ISBLANK(INDIRECT(CHAR(COLUMN()+96) &amp; ROW()))</formula>
    </cfRule>
  </conditionalFormatting>
  <conditionalFormatting sqref="D23:D26">
    <cfRule type="expression" dxfId="628" priority="317">
      <formula>INDIRECT("A"&amp;3) = INDIRECT("A"&amp;ROW())</formula>
    </cfRule>
  </conditionalFormatting>
  <conditionalFormatting sqref="D23:D26">
    <cfRule type="colorScale" priority="318">
      <colorScale>
        <cfvo type="num" val="0"/>
        <cfvo type="num" val="0.5"/>
        <cfvo type="num" val="1"/>
        <color rgb="FFF8696B"/>
        <color rgb="FFFFEB84"/>
        <color rgb="FF63BE7B"/>
      </colorScale>
    </cfRule>
  </conditionalFormatting>
  <conditionalFormatting sqref="D23:D26">
    <cfRule type="expression" dxfId="627" priority="315">
      <formula xml:space="preserve"> INDIRECT(CHAR(COLUMN()+96) &amp; 4) = TODAY() * NOT(ISBLANK(INDIRECT(CHAR(COLUMN()+96) &amp; ROW())))</formula>
    </cfRule>
    <cfRule type="expression" dxfId="626" priority="316">
      <formula xml:space="preserve"> INDIRECT(CHAR(COLUMN()+96) &amp; 4) = TODAY() * ISBLANK(INDIRECT(CHAR(COLUMN()+96) &amp; ROW()))</formula>
    </cfRule>
  </conditionalFormatting>
  <conditionalFormatting sqref="D23:D26">
    <cfRule type="expression" dxfId="625" priority="313">
      <formula>INDIRECT("A"&amp;3) = INDIRECT("A"&amp;ROW())</formula>
    </cfRule>
  </conditionalFormatting>
  <conditionalFormatting sqref="D23:D26">
    <cfRule type="colorScale" priority="314">
      <colorScale>
        <cfvo type="num" val="0"/>
        <cfvo type="num" val="0.5"/>
        <cfvo type="num" val="1"/>
        <color rgb="FFF8696B"/>
        <color rgb="FFFFEB84"/>
        <color rgb="FF63BE7B"/>
      </colorScale>
    </cfRule>
  </conditionalFormatting>
  <conditionalFormatting sqref="D10:D13">
    <cfRule type="expression" dxfId="624" priority="327">
      <formula xml:space="preserve"> INDIRECT(CHAR(COLUMN()+96) &amp; 4) = TODAY() * NOT(ISBLANK(INDIRECT(CHAR(COLUMN()+96) &amp; ROW())))</formula>
    </cfRule>
    <cfRule type="expression" dxfId="623" priority="328">
      <formula xml:space="preserve"> INDIRECT(CHAR(COLUMN()+96) &amp; 4) = TODAY() * ISBLANK(INDIRECT(CHAR(COLUMN()+96) &amp; ROW()))</formula>
    </cfRule>
  </conditionalFormatting>
  <conditionalFormatting sqref="D10:D13">
    <cfRule type="expression" dxfId="622" priority="325">
      <formula>INDIRECT("A"&amp;3) = INDIRECT("A"&amp;ROW())</formula>
    </cfRule>
  </conditionalFormatting>
  <conditionalFormatting sqref="D10:D13">
    <cfRule type="colorScale" priority="326">
      <colorScale>
        <cfvo type="num" val="0"/>
        <cfvo type="num" val="0.5"/>
        <cfvo type="num" val="1"/>
        <color rgb="FFF8696B"/>
        <color rgb="FFFFEB84"/>
        <color rgb="FF63BE7B"/>
      </colorScale>
    </cfRule>
  </conditionalFormatting>
  <conditionalFormatting sqref="D15">
    <cfRule type="expression" dxfId="621" priority="323">
      <formula xml:space="preserve"> INDIRECT(CHAR(COLUMN()+96) &amp; 4) = TODAY() * NOT(ISBLANK(INDIRECT(CHAR(COLUMN()+96) &amp; ROW())))</formula>
    </cfRule>
    <cfRule type="expression" dxfId="620" priority="324">
      <formula xml:space="preserve"> INDIRECT(CHAR(COLUMN()+96) &amp; 4) = TODAY() * ISBLANK(INDIRECT(CHAR(COLUMN()+96) &amp; ROW()))</formula>
    </cfRule>
  </conditionalFormatting>
  <conditionalFormatting sqref="D15">
    <cfRule type="expression" dxfId="619" priority="321">
      <formula>INDIRECT("A"&amp;3) = INDIRECT("A"&amp;ROW())</formula>
    </cfRule>
  </conditionalFormatting>
  <conditionalFormatting sqref="D15">
    <cfRule type="colorScale" priority="322">
      <colorScale>
        <cfvo type="num" val="0"/>
        <cfvo type="num" val="0.5"/>
        <cfvo type="num" val="1"/>
        <color rgb="FFF8696B"/>
        <color rgb="FFFFEB84"/>
        <color rgb="FF63BE7B"/>
      </colorScale>
    </cfRule>
  </conditionalFormatting>
  <conditionalFormatting sqref="D16">
    <cfRule type="expression" dxfId="618" priority="311">
      <formula xml:space="preserve"> INDIRECT(CHAR(COLUMN()+96) &amp; 4) = TODAY() * NOT(ISBLANK(INDIRECT(CHAR(COLUMN()+96) &amp; ROW())))</formula>
    </cfRule>
    <cfRule type="expression" dxfId="617" priority="312">
      <formula xml:space="preserve"> INDIRECT(CHAR(COLUMN()+96) &amp; 4) = TODAY() * ISBLANK(INDIRECT(CHAR(COLUMN()+96) &amp; ROW()))</formula>
    </cfRule>
  </conditionalFormatting>
  <conditionalFormatting sqref="D16">
    <cfRule type="expression" dxfId="616" priority="309">
      <formula>INDIRECT("A"&amp;3) = INDIRECT("A"&amp;ROW())</formula>
    </cfRule>
  </conditionalFormatting>
  <conditionalFormatting sqref="D16">
    <cfRule type="colorScale" priority="310">
      <colorScale>
        <cfvo type="num" val="0"/>
        <cfvo type="num" val="0.5"/>
        <cfvo type="num" val="1"/>
        <color rgb="FFF8696B"/>
        <color rgb="FFFFEB84"/>
        <color rgb="FF63BE7B"/>
      </colorScale>
    </cfRule>
  </conditionalFormatting>
  <conditionalFormatting sqref="D16">
    <cfRule type="expression" dxfId="615" priority="307">
      <formula xml:space="preserve"> INDIRECT(CHAR(COLUMN()+96) &amp; 4) = TODAY() * NOT(ISBLANK(INDIRECT(CHAR(COLUMN()+96) &amp; ROW())))</formula>
    </cfRule>
    <cfRule type="expression" dxfId="614" priority="308">
      <formula xml:space="preserve"> INDIRECT(CHAR(COLUMN()+96) &amp; 4) = TODAY() * ISBLANK(INDIRECT(CHAR(COLUMN()+96) &amp; ROW()))</formula>
    </cfRule>
  </conditionalFormatting>
  <conditionalFormatting sqref="D16">
    <cfRule type="expression" dxfId="613" priority="305">
      <formula>INDIRECT("A"&amp;3) = INDIRECT("A"&amp;ROW())</formula>
    </cfRule>
  </conditionalFormatting>
  <conditionalFormatting sqref="D16">
    <cfRule type="colorScale" priority="306">
      <colorScale>
        <cfvo type="num" val="0"/>
        <cfvo type="num" val="0.5"/>
        <cfvo type="num" val="1"/>
        <color rgb="FFF8696B"/>
        <color rgb="FFFFEB84"/>
        <color rgb="FF63BE7B"/>
      </colorScale>
    </cfRule>
  </conditionalFormatting>
  <conditionalFormatting sqref="D21">
    <cfRule type="expression" dxfId="612" priority="299">
      <formula xml:space="preserve"> INDIRECT(CHAR(COLUMN()+96) &amp; 4) = TODAY() * NOT(ISBLANK(INDIRECT(CHAR(COLUMN()+96) &amp; ROW())))</formula>
    </cfRule>
    <cfRule type="expression" dxfId="611" priority="300">
      <formula xml:space="preserve"> INDIRECT(CHAR(COLUMN()+96) &amp; 4) = TODAY() * ISBLANK(INDIRECT(CHAR(COLUMN()+96) &amp; ROW()))</formula>
    </cfRule>
  </conditionalFormatting>
  <conditionalFormatting sqref="D21">
    <cfRule type="expression" dxfId="610" priority="297">
      <formula>INDIRECT("A"&amp;3) = INDIRECT("A"&amp;ROW())</formula>
    </cfRule>
  </conditionalFormatting>
  <conditionalFormatting sqref="D21">
    <cfRule type="colorScale" priority="298">
      <colorScale>
        <cfvo type="num" val="0"/>
        <cfvo type="num" val="0.5"/>
        <cfvo type="num" val="1"/>
        <color rgb="FFF8696B"/>
        <color rgb="FFFFEB84"/>
        <color rgb="FF63BE7B"/>
      </colorScale>
    </cfRule>
  </conditionalFormatting>
  <conditionalFormatting sqref="D14:E14 E13">
    <cfRule type="expression" dxfId="609" priority="295">
      <formula xml:space="preserve"> INDIRECT(CHAR(COLUMN()+96) &amp; 4) = TODAY() * NOT(ISBLANK(INDIRECT(CHAR(COLUMN()+96) &amp; ROW())))</formula>
    </cfRule>
    <cfRule type="expression" dxfId="608" priority="296">
      <formula xml:space="preserve"> INDIRECT(CHAR(COLUMN()+96) &amp; 4) = TODAY() * ISBLANK(INDIRECT(CHAR(COLUMN()+96) &amp; ROW()))</formula>
    </cfRule>
  </conditionalFormatting>
  <conditionalFormatting sqref="D14:E14 E13">
    <cfRule type="expression" dxfId="607" priority="293">
      <formula>INDIRECT("A"&amp;3) = INDIRECT("A"&amp;ROW())</formula>
    </cfRule>
  </conditionalFormatting>
  <conditionalFormatting sqref="D14:E14 E13">
    <cfRule type="colorScale" priority="294">
      <colorScale>
        <cfvo type="num" val="0"/>
        <cfvo type="num" val="0.5"/>
        <cfvo type="num" val="1"/>
        <color rgb="FFF8696B"/>
        <color rgb="FFFFEB84"/>
        <color rgb="FF63BE7B"/>
      </colorScale>
    </cfRule>
  </conditionalFormatting>
  <conditionalFormatting sqref="D19:D20">
    <cfRule type="expression" dxfId="606" priority="291">
      <formula xml:space="preserve"> INDIRECT(CHAR(COLUMN()+96) &amp; 4) = TODAY() * NOT(ISBLANK(INDIRECT(CHAR(COLUMN()+96) &amp; ROW())))</formula>
    </cfRule>
    <cfRule type="expression" dxfId="605" priority="292">
      <formula xml:space="preserve"> INDIRECT(CHAR(COLUMN()+96) &amp; 4) = TODAY() * ISBLANK(INDIRECT(CHAR(COLUMN()+96) &amp; ROW()))</formula>
    </cfRule>
  </conditionalFormatting>
  <conditionalFormatting sqref="D19:D20">
    <cfRule type="expression" dxfId="604" priority="289">
      <formula>INDIRECT("A"&amp;3) = INDIRECT("A"&amp;ROW())</formula>
    </cfRule>
  </conditionalFormatting>
  <conditionalFormatting sqref="D19:D20">
    <cfRule type="colorScale" priority="290">
      <colorScale>
        <cfvo type="num" val="0"/>
        <cfvo type="num" val="0.5"/>
        <cfvo type="num" val="1"/>
        <color rgb="FFF8696B"/>
        <color rgb="FFFFEB84"/>
        <color rgb="FF63BE7B"/>
      </colorScale>
    </cfRule>
  </conditionalFormatting>
  <conditionalFormatting sqref="D19:D20">
    <cfRule type="expression" dxfId="603" priority="287">
      <formula xml:space="preserve"> INDIRECT(CHAR(COLUMN()+96) &amp; 4) = TODAY() * NOT(ISBLANK(INDIRECT(CHAR(COLUMN()+96) &amp; ROW())))</formula>
    </cfRule>
    <cfRule type="expression" dxfId="602" priority="288">
      <formula xml:space="preserve"> INDIRECT(CHAR(COLUMN()+96) &amp; 4) = TODAY() * ISBLANK(INDIRECT(CHAR(COLUMN()+96) &amp; ROW()))</formula>
    </cfRule>
  </conditionalFormatting>
  <conditionalFormatting sqref="D19:D20">
    <cfRule type="expression" dxfId="601" priority="285">
      <formula>INDIRECT("A"&amp;3) = INDIRECT("A"&amp;ROW())</formula>
    </cfRule>
  </conditionalFormatting>
  <conditionalFormatting sqref="D19:D20">
    <cfRule type="colorScale" priority="286">
      <colorScale>
        <cfvo type="num" val="0"/>
        <cfvo type="num" val="0.5"/>
        <cfvo type="num" val="1"/>
        <color rgb="FFF8696B"/>
        <color rgb="FFFFEB84"/>
        <color rgb="FF63BE7B"/>
      </colorScale>
    </cfRule>
  </conditionalFormatting>
  <conditionalFormatting sqref="D17:D18">
    <cfRule type="expression" dxfId="600" priority="283">
      <formula xml:space="preserve"> INDIRECT(CHAR(COLUMN()+96) &amp; 4) = TODAY() * NOT(ISBLANK(INDIRECT(CHAR(COLUMN()+96) &amp; ROW())))</formula>
    </cfRule>
    <cfRule type="expression" dxfId="599" priority="284">
      <formula xml:space="preserve"> INDIRECT(CHAR(COLUMN()+96) &amp; 4) = TODAY() * ISBLANK(INDIRECT(CHAR(COLUMN()+96) &amp; ROW()))</formula>
    </cfRule>
  </conditionalFormatting>
  <conditionalFormatting sqref="D17:D18">
    <cfRule type="expression" dxfId="598" priority="281">
      <formula>INDIRECT("A"&amp;3) = INDIRECT("A"&amp;ROW())</formula>
    </cfRule>
  </conditionalFormatting>
  <conditionalFormatting sqref="D17:D18">
    <cfRule type="colorScale" priority="282">
      <colorScale>
        <cfvo type="num" val="0"/>
        <cfvo type="num" val="0.5"/>
        <cfvo type="num" val="1"/>
        <color rgb="FFF8696B"/>
        <color rgb="FFFFEB84"/>
        <color rgb="FF63BE7B"/>
      </colorScale>
    </cfRule>
  </conditionalFormatting>
  <conditionalFormatting sqref="E10:E11">
    <cfRule type="expression" dxfId="597" priority="279">
      <formula xml:space="preserve"> INDIRECT(CHAR(COLUMN()+96) &amp; 4) = TODAY() * NOT(ISBLANK(INDIRECT(CHAR(COLUMN()+96) &amp; ROW())))</formula>
    </cfRule>
    <cfRule type="expression" dxfId="596" priority="280">
      <formula xml:space="preserve"> INDIRECT(CHAR(COLUMN()+96) &amp; 4) = TODAY() * ISBLANK(INDIRECT(CHAR(COLUMN()+96) &amp; ROW()))</formula>
    </cfRule>
  </conditionalFormatting>
  <conditionalFormatting sqref="E10:E11">
    <cfRule type="expression" dxfId="595" priority="277">
      <formula>INDIRECT("A"&amp;3) = INDIRECT("A"&amp;ROW())</formula>
    </cfRule>
  </conditionalFormatting>
  <conditionalFormatting sqref="E10:E11">
    <cfRule type="colorScale" priority="278">
      <colorScale>
        <cfvo type="num" val="0"/>
        <cfvo type="num" val="0.5"/>
        <cfvo type="num" val="1"/>
        <color rgb="FFF8696B"/>
        <color rgb="FFFFEB84"/>
        <color rgb="FF63BE7B"/>
      </colorScale>
    </cfRule>
  </conditionalFormatting>
  <conditionalFormatting sqref="E10:E11">
    <cfRule type="expression" dxfId="594" priority="275">
      <formula xml:space="preserve"> INDIRECT(CHAR(COLUMN()+96) &amp; 4) = TODAY() * NOT(ISBLANK(INDIRECT(CHAR(COLUMN()+96) &amp; ROW())))</formula>
    </cfRule>
    <cfRule type="expression" dxfId="593" priority="276">
      <formula xml:space="preserve"> INDIRECT(CHAR(COLUMN()+96) &amp; 4) = TODAY() * ISBLANK(INDIRECT(CHAR(COLUMN()+96) &amp; ROW()))</formula>
    </cfRule>
  </conditionalFormatting>
  <conditionalFormatting sqref="E10:E11">
    <cfRule type="expression" dxfId="592" priority="273">
      <formula>INDIRECT("A"&amp;3) = INDIRECT("A"&amp;ROW())</formula>
    </cfRule>
  </conditionalFormatting>
  <conditionalFormatting sqref="E10:E11">
    <cfRule type="colorScale" priority="274">
      <colorScale>
        <cfvo type="num" val="0"/>
        <cfvo type="num" val="0.5"/>
        <cfvo type="num" val="1"/>
        <color rgb="FFF8696B"/>
        <color rgb="FFFFEB84"/>
        <color rgb="FF63BE7B"/>
      </colorScale>
    </cfRule>
  </conditionalFormatting>
  <conditionalFormatting sqref="E16:E17">
    <cfRule type="expression" dxfId="591" priority="271">
      <formula xml:space="preserve"> INDIRECT(CHAR(COLUMN()+96) &amp; 4) = TODAY() * NOT(ISBLANK(INDIRECT(CHAR(COLUMN()+96) &amp; ROW())))</formula>
    </cfRule>
    <cfRule type="expression" dxfId="590" priority="272">
      <formula xml:space="preserve"> INDIRECT(CHAR(COLUMN()+96) &amp; 4) = TODAY() * ISBLANK(INDIRECT(CHAR(COLUMN()+96) &amp; ROW()))</formula>
    </cfRule>
  </conditionalFormatting>
  <conditionalFormatting sqref="E16:E17">
    <cfRule type="expression" dxfId="589" priority="269">
      <formula>INDIRECT("A"&amp;3) = INDIRECT("A"&amp;ROW())</formula>
    </cfRule>
  </conditionalFormatting>
  <conditionalFormatting sqref="E16:E17">
    <cfRule type="colorScale" priority="270">
      <colorScale>
        <cfvo type="num" val="0"/>
        <cfvo type="num" val="0.5"/>
        <cfvo type="num" val="1"/>
        <color rgb="FFF8696B"/>
        <color rgb="FFFFEB84"/>
        <color rgb="FF63BE7B"/>
      </colorScale>
    </cfRule>
  </conditionalFormatting>
  <conditionalFormatting sqref="E16:E17">
    <cfRule type="expression" dxfId="588" priority="267">
      <formula xml:space="preserve"> INDIRECT(CHAR(COLUMN()+96) &amp; 4) = TODAY() * NOT(ISBLANK(INDIRECT(CHAR(COLUMN()+96) &amp; ROW())))</formula>
    </cfRule>
    <cfRule type="expression" dxfId="587" priority="268">
      <formula xml:space="preserve"> INDIRECT(CHAR(COLUMN()+96) &amp; 4) = TODAY() * ISBLANK(INDIRECT(CHAR(COLUMN()+96) &amp; ROW()))</formula>
    </cfRule>
  </conditionalFormatting>
  <conditionalFormatting sqref="E16:E17">
    <cfRule type="expression" dxfId="586" priority="265">
      <formula>INDIRECT("A"&amp;3) = INDIRECT("A"&amp;ROW())</formula>
    </cfRule>
  </conditionalFormatting>
  <conditionalFormatting sqref="E16:E17">
    <cfRule type="colorScale" priority="266">
      <colorScale>
        <cfvo type="num" val="0"/>
        <cfvo type="num" val="0.5"/>
        <cfvo type="num" val="1"/>
        <color rgb="FFF8696B"/>
        <color rgb="FFFFEB84"/>
        <color rgb="FF63BE7B"/>
      </colorScale>
    </cfRule>
  </conditionalFormatting>
  <conditionalFormatting sqref="E23:E24">
    <cfRule type="expression" dxfId="585" priority="263">
      <formula xml:space="preserve"> INDIRECT(CHAR(COLUMN()+96) &amp; 4) = TODAY() * NOT(ISBLANK(INDIRECT(CHAR(COLUMN()+96) &amp; ROW())))</formula>
    </cfRule>
    <cfRule type="expression" dxfId="584" priority="264">
      <formula xml:space="preserve"> INDIRECT(CHAR(COLUMN()+96) &amp; 4) = TODAY() * ISBLANK(INDIRECT(CHAR(COLUMN()+96) &amp; ROW()))</formula>
    </cfRule>
  </conditionalFormatting>
  <conditionalFormatting sqref="E23:E24">
    <cfRule type="expression" dxfId="583" priority="261">
      <formula>INDIRECT("A"&amp;3) = INDIRECT("A"&amp;ROW())</formula>
    </cfRule>
  </conditionalFormatting>
  <conditionalFormatting sqref="E23:E24">
    <cfRule type="colorScale" priority="262">
      <colorScale>
        <cfvo type="num" val="0"/>
        <cfvo type="num" val="0.5"/>
        <cfvo type="num" val="1"/>
        <color rgb="FFF8696B"/>
        <color rgb="FFFFEB84"/>
        <color rgb="FF63BE7B"/>
      </colorScale>
    </cfRule>
  </conditionalFormatting>
  <conditionalFormatting sqref="E23:E24">
    <cfRule type="expression" dxfId="582" priority="259">
      <formula xml:space="preserve"> INDIRECT(CHAR(COLUMN()+96) &amp; 4) = TODAY() * NOT(ISBLANK(INDIRECT(CHAR(COLUMN()+96) &amp; ROW())))</formula>
    </cfRule>
    <cfRule type="expression" dxfId="581" priority="260">
      <formula xml:space="preserve"> INDIRECT(CHAR(COLUMN()+96) &amp; 4) = TODAY() * ISBLANK(INDIRECT(CHAR(COLUMN()+96) &amp; ROW()))</formula>
    </cfRule>
  </conditionalFormatting>
  <conditionalFormatting sqref="E23:E24">
    <cfRule type="expression" dxfId="580" priority="257">
      <formula>INDIRECT("A"&amp;3) = INDIRECT("A"&amp;ROW())</formula>
    </cfRule>
  </conditionalFormatting>
  <conditionalFormatting sqref="E23:E24">
    <cfRule type="colorScale" priority="258">
      <colorScale>
        <cfvo type="num" val="0"/>
        <cfvo type="num" val="0.5"/>
        <cfvo type="num" val="1"/>
        <color rgb="FFF8696B"/>
        <color rgb="FFFFEB84"/>
        <color rgb="FF63BE7B"/>
      </colorScale>
    </cfRule>
  </conditionalFormatting>
  <conditionalFormatting sqref="D29:H30 I28:FM30">
    <cfRule type="expression" dxfId="579" priority="255">
      <formula xml:space="preserve"> INDIRECT(CHAR(COLUMN()+96) &amp; 4) = TODAY() * NOT(ISBLANK(INDIRECT(CHAR(COLUMN()+96) &amp; ROW())))</formula>
    </cfRule>
    <cfRule type="expression" dxfId="578" priority="256">
      <formula xml:space="preserve"> INDIRECT(CHAR(COLUMN()+96) &amp; 4) = TODAY() * ISBLANK(INDIRECT(CHAR(COLUMN()+96) &amp; ROW()))</formula>
    </cfRule>
  </conditionalFormatting>
  <conditionalFormatting sqref="D29:H30 I28:FM30">
    <cfRule type="expression" dxfId="577" priority="253">
      <formula>INDIRECT("A"&amp;3) = INDIRECT("A"&amp;ROW())</formula>
    </cfRule>
  </conditionalFormatting>
  <conditionalFormatting sqref="D29:H30 I28:FM30">
    <cfRule type="colorScale" priority="254">
      <colorScale>
        <cfvo type="num" val="0"/>
        <cfvo type="num" val="0.5"/>
        <cfvo type="num" val="1"/>
        <color rgb="FFF8696B"/>
        <color rgb="FFFFEB84"/>
        <color rgb="FF63BE7B"/>
      </colorScale>
    </cfRule>
  </conditionalFormatting>
  <conditionalFormatting sqref="F28">
    <cfRule type="expression" dxfId="576" priority="239">
      <formula xml:space="preserve"> INDIRECT(CHAR(COLUMN()+96) &amp; 4) = TODAY() * NOT(ISBLANK(INDIRECT(CHAR(COLUMN()+96) &amp; ROW())))</formula>
    </cfRule>
    <cfRule type="expression" dxfId="575" priority="240">
      <formula xml:space="preserve"> INDIRECT(CHAR(COLUMN()+96) &amp; 4) = TODAY() * ISBLANK(INDIRECT(CHAR(COLUMN()+96) &amp; ROW()))</formula>
    </cfRule>
  </conditionalFormatting>
  <conditionalFormatting sqref="F28">
    <cfRule type="expression" dxfId="574" priority="237">
      <formula>INDIRECT("A"&amp;3) = INDIRECT("A"&amp;ROW())</formula>
    </cfRule>
  </conditionalFormatting>
  <conditionalFormatting sqref="F28">
    <cfRule type="colorScale" priority="238">
      <colorScale>
        <cfvo type="num" val="0"/>
        <cfvo type="num" val="0.5"/>
        <cfvo type="num" val="1"/>
        <color rgb="FFF8696B"/>
        <color rgb="FFFFEB84"/>
        <color rgb="FF63BE7B"/>
      </colorScale>
    </cfRule>
  </conditionalFormatting>
  <conditionalFormatting sqref="G17:G19">
    <cfRule type="expression" dxfId="573" priority="227">
      <formula xml:space="preserve"> INDIRECT(CHAR(COLUMN()+96) &amp; 4) = TODAY() * NOT(ISBLANK(INDIRECT(CHAR(COLUMN()+96) &amp; ROW())))</formula>
    </cfRule>
    <cfRule type="expression" dxfId="572" priority="228">
      <formula xml:space="preserve"> INDIRECT(CHAR(COLUMN()+96) &amp; 4) = TODAY() * ISBLANK(INDIRECT(CHAR(COLUMN()+96) &amp; ROW()))</formula>
    </cfRule>
  </conditionalFormatting>
  <conditionalFormatting sqref="G17:G19">
    <cfRule type="expression" dxfId="571" priority="225">
      <formula>INDIRECT("A"&amp;3) = INDIRECT("A"&amp;ROW())</formula>
    </cfRule>
  </conditionalFormatting>
  <conditionalFormatting sqref="G17:G19">
    <cfRule type="colorScale" priority="226">
      <colorScale>
        <cfvo type="num" val="0"/>
        <cfvo type="num" val="0.5"/>
        <cfvo type="num" val="1"/>
        <color rgb="FFF8696B"/>
        <color rgb="FFFFEB84"/>
        <color rgb="FF63BE7B"/>
      </colorScale>
    </cfRule>
  </conditionalFormatting>
  <conditionalFormatting sqref="F13:F15">
    <cfRule type="expression" dxfId="570" priority="219">
      <formula xml:space="preserve"> INDIRECT(CHAR(COLUMN()+96) &amp; 4) = TODAY() * NOT(ISBLANK(INDIRECT(CHAR(COLUMN()+96) &amp; ROW())))</formula>
    </cfRule>
    <cfRule type="expression" dxfId="569" priority="220">
      <formula xml:space="preserve"> INDIRECT(CHAR(COLUMN()+96) &amp; 4) = TODAY() * ISBLANK(INDIRECT(CHAR(COLUMN()+96) &amp; ROW()))</formula>
    </cfRule>
  </conditionalFormatting>
  <conditionalFormatting sqref="F13:F15">
    <cfRule type="expression" dxfId="568" priority="217">
      <formula>INDIRECT("A"&amp;3) = INDIRECT("A"&amp;ROW())</formula>
    </cfRule>
  </conditionalFormatting>
  <conditionalFormatting sqref="F13:F15">
    <cfRule type="colorScale" priority="218">
      <colorScale>
        <cfvo type="num" val="0"/>
        <cfvo type="num" val="0.5"/>
        <cfvo type="num" val="1"/>
        <color rgb="FFF8696B"/>
        <color rgb="FFFFEB84"/>
        <color rgb="FF63BE7B"/>
      </colorScale>
    </cfRule>
  </conditionalFormatting>
  <conditionalFormatting sqref="F20">
    <cfRule type="expression" dxfId="567" priority="215">
      <formula xml:space="preserve"> INDIRECT(CHAR(COLUMN()+96) &amp; 4) = TODAY() * NOT(ISBLANK(INDIRECT(CHAR(COLUMN()+96) &amp; ROW())))</formula>
    </cfRule>
    <cfRule type="expression" dxfId="566" priority="216">
      <formula xml:space="preserve"> INDIRECT(CHAR(COLUMN()+96) &amp; 4) = TODAY() * ISBLANK(INDIRECT(CHAR(COLUMN()+96) &amp; ROW()))</formula>
    </cfRule>
  </conditionalFormatting>
  <conditionalFormatting sqref="F20">
    <cfRule type="expression" dxfId="565" priority="213">
      <formula>INDIRECT("A"&amp;3) = INDIRECT("A"&amp;ROW())</formula>
    </cfRule>
  </conditionalFormatting>
  <conditionalFormatting sqref="F20">
    <cfRule type="colorScale" priority="214">
      <colorScale>
        <cfvo type="num" val="0"/>
        <cfvo type="num" val="0.5"/>
        <cfvo type="num" val="1"/>
        <color rgb="FFF8696B"/>
        <color rgb="FFFFEB84"/>
        <color rgb="FF63BE7B"/>
      </colorScale>
    </cfRule>
  </conditionalFormatting>
  <conditionalFormatting sqref="F16:F19">
    <cfRule type="expression" dxfId="564" priority="211">
      <formula xml:space="preserve"> INDIRECT(CHAR(COLUMN()+96) &amp; 4) = TODAY() * NOT(ISBLANK(INDIRECT(CHAR(COLUMN()+96) &amp; ROW())))</formula>
    </cfRule>
    <cfRule type="expression" dxfId="563" priority="212">
      <formula xml:space="preserve"> INDIRECT(CHAR(COLUMN()+96) &amp; 4) = TODAY() * ISBLANK(INDIRECT(CHAR(COLUMN()+96) &amp; ROW()))</formula>
    </cfRule>
  </conditionalFormatting>
  <conditionalFormatting sqref="F16:F19">
    <cfRule type="expression" dxfId="562" priority="209">
      <formula>INDIRECT("A"&amp;3) = INDIRECT("A"&amp;ROW())</formula>
    </cfRule>
  </conditionalFormatting>
  <conditionalFormatting sqref="F16:F19">
    <cfRule type="colorScale" priority="210">
      <colorScale>
        <cfvo type="num" val="0"/>
        <cfvo type="num" val="0.5"/>
        <cfvo type="num" val="1"/>
        <color rgb="FFF8696B"/>
        <color rgb="FFFFEB84"/>
        <color rgb="FF63BE7B"/>
      </colorScale>
    </cfRule>
  </conditionalFormatting>
  <conditionalFormatting sqref="F21:F24">
    <cfRule type="expression" dxfId="561" priority="207">
      <formula xml:space="preserve"> INDIRECT(CHAR(COLUMN()+96) &amp; 4) = TODAY() * NOT(ISBLANK(INDIRECT(CHAR(COLUMN()+96) &amp; ROW())))</formula>
    </cfRule>
    <cfRule type="expression" dxfId="560" priority="208">
      <formula xml:space="preserve"> INDIRECT(CHAR(COLUMN()+96) &amp; 4) = TODAY() * ISBLANK(INDIRECT(CHAR(COLUMN()+96) &amp; ROW()))</formula>
    </cfRule>
  </conditionalFormatting>
  <conditionalFormatting sqref="F21:F24">
    <cfRule type="expression" dxfId="559" priority="205">
      <formula>INDIRECT("A"&amp;3) = INDIRECT("A"&amp;ROW())</formula>
    </cfRule>
  </conditionalFormatting>
  <conditionalFormatting sqref="F21:F24">
    <cfRule type="colorScale" priority="206">
      <colorScale>
        <cfvo type="num" val="0"/>
        <cfvo type="num" val="0.5"/>
        <cfvo type="num" val="1"/>
        <color rgb="FFF8696B"/>
        <color rgb="FFFFEB84"/>
        <color rgb="FF63BE7B"/>
      </colorScale>
    </cfRule>
  </conditionalFormatting>
  <conditionalFormatting sqref="F25">
    <cfRule type="expression" dxfId="558" priority="191">
      <formula xml:space="preserve"> INDIRECT(CHAR(COLUMN()+96) &amp; 4) = TODAY() * NOT(ISBLANK(INDIRECT(CHAR(COLUMN()+96) &amp; ROW())))</formula>
    </cfRule>
    <cfRule type="expression" dxfId="557" priority="192">
      <formula xml:space="preserve"> INDIRECT(CHAR(COLUMN()+96) &amp; 4) = TODAY() * ISBLANK(INDIRECT(CHAR(COLUMN()+96) &amp; ROW()))</formula>
    </cfRule>
  </conditionalFormatting>
  <conditionalFormatting sqref="F25">
    <cfRule type="expression" dxfId="556" priority="189">
      <formula>INDIRECT("A"&amp;3) = INDIRECT("A"&amp;ROW())</formula>
    </cfRule>
  </conditionalFormatting>
  <conditionalFormatting sqref="F25">
    <cfRule type="colorScale" priority="190">
      <colorScale>
        <cfvo type="num" val="0"/>
        <cfvo type="num" val="0.5"/>
        <cfvo type="num" val="1"/>
        <color rgb="FFF8696B"/>
        <color rgb="FFFFEB84"/>
        <color rgb="FF63BE7B"/>
      </colorScale>
    </cfRule>
  </conditionalFormatting>
  <conditionalFormatting sqref="F27">
    <cfRule type="expression" dxfId="555" priority="183">
      <formula xml:space="preserve"> INDIRECT(CHAR(COLUMN()+96) &amp; 4) = TODAY() * NOT(ISBLANK(INDIRECT(CHAR(COLUMN()+96) &amp; ROW())))</formula>
    </cfRule>
    <cfRule type="expression" dxfId="554" priority="184">
      <formula xml:space="preserve"> INDIRECT(CHAR(COLUMN()+96) &amp; 4) = TODAY() * ISBLANK(INDIRECT(CHAR(COLUMN()+96) &amp; ROW()))</formula>
    </cfRule>
  </conditionalFormatting>
  <conditionalFormatting sqref="F27">
    <cfRule type="expression" dxfId="553" priority="181">
      <formula>INDIRECT("A"&amp;3) = INDIRECT("A"&amp;ROW())</formula>
    </cfRule>
  </conditionalFormatting>
  <conditionalFormatting sqref="F27">
    <cfRule type="colorScale" priority="182">
      <colorScale>
        <cfvo type="num" val="0"/>
        <cfvo type="num" val="0.5"/>
        <cfvo type="num" val="1"/>
        <color rgb="FFF8696B"/>
        <color rgb="FFFFEB84"/>
        <color rgb="FF63BE7B"/>
      </colorScale>
    </cfRule>
  </conditionalFormatting>
  <conditionalFormatting sqref="G10:G11">
    <cfRule type="expression" dxfId="552" priority="179">
      <formula xml:space="preserve"> INDIRECT(CHAR(COLUMN()+96) &amp; 4) = TODAY() * NOT(ISBLANK(INDIRECT(CHAR(COLUMN()+96) &amp; ROW())))</formula>
    </cfRule>
    <cfRule type="expression" dxfId="551" priority="180">
      <formula xml:space="preserve"> INDIRECT(CHAR(COLUMN()+96) &amp; 4) = TODAY() * ISBLANK(INDIRECT(CHAR(COLUMN()+96) &amp; ROW()))</formula>
    </cfRule>
  </conditionalFormatting>
  <conditionalFormatting sqref="G10:G11">
    <cfRule type="expression" dxfId="550" priority="177">
      <formula>INDIRECT("A"&amp;3) = INDIRECT("A"&amp;ROW())</formula>
    </cfRule>
  </conditionalFormatting>
  <conditionalFormatting sqref="G10:G11">
    <cfRule type="colorScale" priority="178">
      <colorScale>
        <cfvo type="num" val="0"/>
        <cfvo type="num" val="0.5"/>
        <cfvo type="num" val="1"/>
        <color rgb="FFF8696B"/>
        <color rgb="FFFFEB84"/>
        <color rgb="FF63BE7B"/>
      </colorScale>
    </cfRule>
  </conditionalFormatting>
  <conditionalFormatting sqref="F42">
    <cfRule type="timePeriod" dxfId="549" priority="174" timePeriod="today">
      <formula>FLOOR(F42,1)=TODAY()</formula>
    </cfRule>
    <cfRule type="timePeriod" dxfId="548" priority="175" timePeriod="tomorrow">
      <formula>FLOOR(F42,1)=TODAY()+1</formula>
    </cfRule>
    <cfRule type="timePeriod" dxfId="547" priority="176" timePeriod="yesterday">
      <formula>FLOOR(F42,1)=TODAY()-1</formula>
    </cfRule>
  </conditionalFormatting>
  <conditionalFormatting sqref="C7:C23 C25:C30">
    <cfRule type="expression" dxfId="546" priority="169">
      <formula xml:space="preserve"> INDIRECT(CHAR(COLUMN()+96) &amp; 4) = TODAY() * NOT(ISBLANK(INDIRECT(CHAR(COLUMN()+96) &amp; ROW())))</formula>
    </cfRule>
    <cfRule type="expression" dxfId="545" priority="170">
      <formula xml:space="preserve"> INDIRECT(CHAR(COLUMN()+96) &amp; 4) = TODAY() * ISBLANK(INDIRECT(CHAR(COLUMN()+96) &amp; ROW()))</formula>
    </cfRule>
  </conditionalFormatting>
  <conditionalFormatting sqref="C7:C23 C25:C30">
    <cfRule type="expression" dxfId="544" priority="167">
      <formula>INDIRECT("A"&amp;3) = INDIRECT("A"&amp;ROW())</formula>
    </cfRule>
  </conditionalFormatting>
  <conditionalFormatting sqref="C7:C23 C25:C30">
    <cfRule type="colorScale" priority="168">
      <colorScale>
        <cfvo type="num" val="0"/>
        <cfvo type="num" val="0.5"/>
        <cfvo type="num" val="1"/>
        <color rgb="FFF8696B"/>
        <color rgb="FFFFEB84"/>
        <color rgb="FF63BE7B"/>
      </colorScale>
    </cfRule>
  </conditionalFormatting>
  <conditionalFormatting sqref="C38">
    <cfRule type="timePeriod" dxfId="543" priority="164" timePeriod="today">
      <formula>FLOOR(C38,1)=TODAY()</formula>
    </cfRule>
    <cfRule type="timePeriod" dxfId="542" priority="165" timePeriod="tomorrow">
      <formula>FLOOR(C38,1)=TODAY()+1</formula>
    </cfRule>
    <cfRule type="timePeriod" dxfId="541" priority="166" timePeriod="yesterday">
      <formula>FLOOR(C38,1)=TODAY()-1</formula>
    </cfRule>
  </conditionalFormatting>
  <conditionalFormatting sqref="B34">
    <cfRule type="timePeriod" dxfId="540" priority="161" timePeriod="today">
      <formula>FLOOR(B34,1)=TODAY()</formula>
    </cfRule>
    <cfRule type="timePeriod" dxfId="539" priority="162" timePeriod="tomorrow">
      <formula>FLOOR(B34,1)=TODAY()+1</formula>
    </cfRule>
    <cfRule type="timePeriod" dxfId="538" priority="163" timePeriod="yesterday">
      <formula>FLOOR(B34,1)=TODAY()-1</formula>
    </cfRule>
  </conditionalFormatting>
  <conditionalFormatting sqref="D8">
    <cfRule type="expression" dxfId="537" priority="159">
      <formula xml:space="preserve"> INDIRECT(CHAR(COLUMN()+96) &amp; 4) = TODAY() * NOT(ISBLANK(INDIRECT(CHAR(COLUMN()+96) &amp; ROW())))</formula>
    </cfRule>
    <cfRule type="expression" dxfId="536" priority="160">
      <formula xml:space="preserve"> INDIRECT(CHAR(COLUMN()+96) &amp; 4) = TODAY() * ISBLANK(INDIRECT(CHAR(COLUMN()+96) &amp; ROW()))</formula>
    </cfRule>
  </conditionalFormatting>
  <conditionalFormatting sqref="D8">
    <cfRule type="expression" dxfId="535" priority="157">
      <formula>INDIRECT("A"&amp;3) = INDIRECT("A"&amp;ROW())</formula>
    </cfRule>
  </conditionalFormatting>
  <conditionalFormatting sqref="D8">
    <cfRule type="colorScale" priority="158">
      <colorScale>
        <cfvo type="num" val="0"/>
        <cfvo type="num" val="0.5"/>
        <cfvo type="num" val="1"/>
        <color rgb="FFF8696B"/>
        <color rgb="FFFFEB84"/>
        <color rgb="FF63BE7B"/>
      </colorScale>
    </cfRule>
  </conditionalFormatting>
  <conditionalFormatting sqref="D7">
    <cfRule type="expression" dxfId="534" priority="155">
      <formula xml:space="preserve"> INDIRECT(CHAR(COLUMN()+96) &amp; 4) = TODAY() * NOT(ISBLANK(INDIRECT(CHAR(COLUMN()+96) &amp; ROW())))</formula>
    </cfRule>
    <cfRule type="expression" dxfId="533" priority="156">
      <formula xml:space="preserve"> INDIRECT(CHAR(COLUMN()+96) &amp; 4) = TODAY() * ISBLANK(INDIRECT(CHAR(COLUMN()+96) &amp; ROW()))</formula>
    </cfRule>
  </conditionalFormatting>
  <conditionalFormatting sqref="D7">
    <cfRule type="expression" dxfId="532" priority="153">
      <formula>INDIRECT("A"&amp;3) = INDIRECT("A"&amp;ROW())</formula>
    </cfRule>
  </conditionalFormatting>
  <conditionalFormatting sqref="D7">
    <cfRule type="colorScale" priority="154">
      <colorScale>
        <cfvo type="num" val="0"/>
        <cfvo type="num" val="0.5"/>
        <cfvo type="num" val="1"/>
        <color rgb="FFF8696B"/>
        <color rgb="FFFFEB84"/>
        <color rgb="FF63BE7B"/>
      </colorScale>
    </cfRule>
  </conditionalFormatting>
  <conditionalFormatting sqref="C24">
    <cfRule type="expression" dxfId="531" priority="151">
      <formula xml:space="preserve"> INDIRECT(CHAR(COLUMN()+96) &amp; 4) = TODAY() * NOT(ISBLANK(INDIRECT(CHAR(COLUMN()+96) &amp; ROW())))</formula>
    </cfRule>
    <cfRule type="expression" dxfId="530" priority="152">
      <formula xml:space="preserve"> INDIRECT(CHAR(COLUMN()+96) &amp; 4) = TODAY() * ISBLANK(INDIRECT(CHAR(COLUMN()+96) &amp; ROW()))</formula>
    </cfRule>
  </conditionalFormatting>
  <conditionalFormatting sqref="C24">
    <cfRule type="expression" dxfId="529" priority="149">
      <formula>INDIRECT("A"&amp;3) = INDIRECT("A"&amp;ROW())</formula>
    </cfRule>
  </conditionalFormatting>
  <conditionalFormatting sqref="C24">
    <cfRule type="colorScale" priority="150">
      <colorScale>
        <cfvo type="num" val="0"/>
        <cfvo type="num" val="0.5"/>
        <cfvo type="num" val="1"/>
        <color rgb="FFF8696B"/>
        <color rgb="FFFFEB84"/>
        <color rgb="FF63BE7B"/>
      </colorScale>
    </cfRule>
  </conditionalFormatting>
  <conditionalFormatting sqref="D22">
    <cfRule type="expression" dxfId="528" priority="147">
      <formula xml:space="preserve"> INDIRECT(CHAR(COLUMN()+96) &amp; 4) = TODAY() * NOT(ISBLANK(INDIRECT(CHAR(COLUMN()+96) &amp; ROW())))</formula>
    </cfRule>
    <cfRule type="expression" dxfId="527" priority="148">
      <formula xml:space="preserve"> INDIRECT(CHAR(COLUMN()+96) &amp; 4) = TODAY() * ISBLANK(INDIRECT(CHAR(COLUMN()+96) &amp; ROW()))</formula>
    </cfRule>
  </conditionalFormatting>
  <conditionalFormatting sqref="D22">
    <cfRule type="expression" dxfId="526" priority="145">
      <formula>INDIRECT("A"&amp;3) = INDIRECT("A"&amp;ROW())</formula>
    </cfRule>
  </conditionalFormatting>
  <conditionalFormatting sqref="D22">
    <cfRule type="colorScale" priority="146">
      <colorScale>
        <cfvo type="num" val="0"/>
        <cfvo type="num" val="0.5"/>
        <cfvo type="num" val="1"/>
        <color rgb="FFF8696B"/>
        <color rgb="FFFFEB84"/>
        <color rgb="FF63BE7B"/>
      </colorScale>
    </cfRule>
  </conditionalFormatting>
  <conditionalFormatting sqref="D28">
    <cfRule type="expression" dxfId="525" priority="139">
      <formula xml:space="preserve"> INDIRECT(CHAR(COLUMN()+96) &amp; 4) = TODAY() * NOT(ISBLANK(INDIRECT(CHAR(COLUMN()+96) &amp; ROW())))</formula>
    </cfRule>
    <cfRule type="expression" dxfId="524" priority="140">
      <formula xml:space="preserve"> INDIRECT(CHAR(COLUMN()+96) &amp; 4) = TODAY() * ISBLANK(INDIRECT(CHAR(COLUMN()+96) &amp; ROW()))</formula>
    </cfRule>
  </conditionalFormatting>
  <conditionalFormatting sqref="D28">
    <cfRule type="expression" dxfId="523" priority="137">
      <formula>INDIRECT("A"&amp;3) = INDIRECT("A"&amp;ROW())</formula>
    </cfRule>
  </conditionalFormatting>
  <conditionalFormatting sqref="D28">
    <cfRule type="colorScale" priority="138">
      <colorScale>
        <cfvo type="num" val="0"/>
        <cfvo type="num" val="0.5"/>
        <cfvo type="num" val="1"/>
        <color rgb="FFF8696B"/>
        <color rgb="FFFFEB84"/>
        <color rgb="FF63BE7B"/>
      </colorScale>
    </cfRule>
  </conditionalFormatting>
  <conditionalFormatting sqref="E25">
    <cfRule type="expression" dxfId="522" priority="123">
      <formula xml:space="preserve"> INDIRECT(CHAR(COLUMN()+96) &amp; 4) = TODAY() * NOT(ISBLANK(INDIRECT(CHAR(COLUMN()+96) &amp; ROW())))</formula>
    </cfRule>
    <cfRule type="expression" dxfId="521" priority="124">
      <formula xml:space="preserve"> INDIRECT(CHAR(COLUMN()+96) &amp; 4) = TODAY() * ISBLANK(INDIRECT(CHAR(COLUMN()+96) &amp; ROW()))</formula>
    </cfRule>
  </conditionalFormatting>
  <conditionalFormatting sqref="E25">
    <cfRule type="expression" dxfId="520" priority="121">
      <formula>INDIRECT("A"&amp;3) = INDIRECT("A"&amp;ROW())</formula>
    </cfRule>
  </conditionalFormatting>
  <conditionalFormatting sqref="E25">
    <cfRule type="colorScale" priority="122">
      <colorScale>
        <cfvo type="num" val="0"/>
        <cfvo type="num" val="0.5"/>
        <cfvo type="num" val="1"/>
        <color rgb="FFF8696B"/>
        <color rgb="FFFFEB84"/>
        <color rgb="FF63BE7B"/>
      </colorScale>
    </cfRule>
  </conditionalFormatting>
  <conditionalFormatting sqref="E26">
    <cfRule type="expression" dxfId="519" priority="119">
      <formula xml:space="preserve"> INDIRECT(CHAR(COLUMN()+96) &amp; 4) = TODAY() * NOT(ISBLANK(INDIRECT(CHAR(COLUMN()+96) &amp; ROW())))</formula>
    </cfRule>
    <cfRule type="expression" dxfId="518" priority="120">
      <formula xml:space="preserve"> INDIRECT(CHAR(COLUMN()+96) &amp; 4) = TODAY() * ISBLANK(INDIRECT(CHAR(COLUMN()+96) &amp; ROW()))</formula>
    </cfRule>
  </conditionalFormatting>
  <conditionalFormatting sqref="E26">
    <cfRule type="expression" dxfId="517" priority="117">
      <formula>INDIRECT("A"&amp;3) = INDIRECT("A"&amp;ROW())</formula>
    </cfRule>
  </conditionalFormatting>
  <conditionalFormatting sqref="E26">
    <cfRule type="colorScale" priority="118">
      <colorScale>
        <cfvo type="num" val="0"/>
        <cfvo type="num" val="0.5"/>
        <cfvo type="num" val="1"/>
        <color rgb="FFF8696B"/>
        <color rgb="FFFFEB84"/>
        <color rgb="FF63BE7B"/>
      </colorScale>
    </cfRule>
  </conditionalFormatting>
  <conditionalFormatting sqref="E27">
    <cfRule type="expression" dxfId="516" priority="115">
      <formula xml:space="preserve"> INDIRECT(CHAR(COLUMN()+96) &amp; 4) = TODAY() * NOT(ISBLANK(INDIRECT(CHAR(COLUMN()+96) &amp; ROW())))</formula>
    </cfRule>
    <cfRule type="expression" dxfId="515" priority="116">
      <formula xml:space="preserve"> INDIRECT(CHAR(COLUMN()+96) &amp; 4) = TODAY() * ISBLANK(INDIRECT(CHAR(COLUMN()+96) &amp; ROW()))</formula>
    </cfRule>
  </conditionalFormatting>
  <conditionalFormatting sqref="E27">
    <cfRule type="expression" dxfId="514" priority="113">
      <formula>INDIRECT("A"&amp;3) = INDIRECT("A"&amp;ROW())</formula>
    </cfRule>
  </conditionalFormatting>
  <conditionalFormatting sqref="E27">
    <cfRule type="colorScale" priority="114">
      <colorScale>
        <cfvo type="num" val="0"/>
        <cfvo type="num" val="0.5"/>
        <cfvo type="num" val="1"/>
        <color rgb="FFF8696B"/>
        <color rgb="FFFFEB84"/>
        <color rgb="FF63BE7B"/>
      </colorScale>
    </cfRule>
  </conditionalFormatting>
  <conditionalFormatting sqref="E27">
    <cfRule type="expression" dxfId="513" priority="111">
      <formula xml:space="preserve"> INDIRECT(CHAR(COLUMN()+96) &amp; 4) = TODAY() * NOT(ISBLANK(INDIRECT(CHAR(COLUMN()+96) &amp; ROW())))</formula>
    </cfRule>
    <cfRule type="expression" dxfId="512" priority="112">
      <formula xml:space="preserve"> INDIRECT(CHAR(COLUMN()+96) &amp; 4) = TODAY() * ISBLANK(INDIRECT(CHAR(COLUMN()+96) &amp; ROW()))</formula>
    </cfRule>
  </conditionalFormatting>
  <conditionalFormatting sqref="E27">
    <cfRule type="expression" dxfId="511" priority="109">
      <formula>INDIRECT("A"&amp;3) = INDIRECT("A"&amp;ROW())</formula>
    </cfRule>
  </conditionalFormatting>
  <conditionalFormatting sqref="E27">
    <cfRule type="colorScale" priority="110">
      <colorScale>
        <cfvo type="num" val="0"/>
        <cfvo type="num" val="0.5"/>
        <cfvo type="num" val="1"/>
        <color rgb="FFF8696B"/>
        <color rgb="FFFFEB84"/>
        <color rgb="FF63BE7B"/>
      </colorScale>
    </cfRule>
  </conditionalFormatting>
  <conditionalFormatting sqref="D28">
    <cfRule type="expression" dxfId="510" priority="107">
      <formula xml:space="preserve"> INDIRECT(CHAR(COLUMN()+96) &amp; 4) = TODAY() * NOT(ISBLANK(INDIRECT(CHAR(COLUMN()+96) &amp; ROW())))</formula>
    </cfRule>
    <cfRule type="expression" dxfId="509" priority="108">
      <formula xml:space="preserve"> INDIRECT(CHAR(COLUMN()+96) &amp; 4) = TODAY() * ISBLANK(INDIRECT(CHAR(COLUMN()+96) &amp; ROW()))</formula>
    </cfRule>
  </conditionalFormatting>
  <conditionalFormatting sqref="D28">
    <cfRule type="expression" dxfId="508" priority="105">
      <formula>INDIRECT("A"&amp;3) = INDIRECT("A"&amp;ROW())</formula>
    </cfRule>
  </conditionalFormatting>
  <conditionalFormatting sqref="D28">
    <cfRule type="colorScale" priority="106">
      <colorScale>
        <cfvo type="num" val="0"/>
        <cfvo type="num" val="0.5"/>
        <cfvo type="num" val="1"/>
        <color rgb="FFF8696B"/>
        <color rgb="FFFFEB84"/>
        <color rgb="FF63BE7B"/>
      </colorScale>
    </cfRule>
  </conditionalFormatting>
  <conditionalFormatting sqref="D29">
    <cfRule type="expression" dxfId="507" priority="103">
      <formula xml:space="preserve"> INDIRECT(CHAR(COLUMN()+96) &amp; 4) = TODAY() * NOT(ISBLANK(INDIRECT(CHAR(COLUMN()+96) &amp; ROW())))</formula>
    </cfRule>
    <cfRule type="expression" dxfId="506" priority="104">
      <formula xml:space="preserve"> INDIRECT(CHAR(COLUMN()+96) &amp; 4) = TODAY() * ISBLANK(INDIRECT(CHAR(COLUMN()+96) &amp; ROW()))</formula>
    </cfRule>
  </conditionalFormatting>
  <conditionalFormatting sqref="D29">
    <cfRule type="expression" dxfId="505" priority="101">
      <formula>INDIRECT("A"&amp;3) = INDIRECT("A"&amp;ROW())</formula>
    </cfRule>
  </conditionalFormatting>
  <conditionalFormatting sqref="D29">
    <cfRule type="colorScale" priority="102">
      <colorScale>
        <cfvo type="num" val="0"/>
        <cfvo type="num" val="0.5"/>
        <cfvo type="num" val="1"/>
        <color rgb="FFF8696B"/>
        <color rgb="FFFFEB84"/>
        <color rgb="FF63BE7B"/>
      </colorScale>
    </cfRule>
  </conditionalFormatting>
  <conditionalFormatting sqref="D27">
    <cfRule type="expression" dxfId="504" priority="99">
      <formula xml:space="preserve"> INDIRECT(CHAR(COLUMN()+96) &amp; 4) = TODAY() * NOT(ISBLANK(INDIRECT(CHAR(COLUMN()+96) &amp; ROW())))</formula>
    </cfRule>
    <cfRule type="expression" dxfId="503" priority="100">
      <formula xml:space="preserve"> INDIRECT(CHAR(COLUMN()+96) &amp; 4) = TODAY() * ISBLANK(INDIRECT(CHAR(COLUMN()+96) &amp; ROW()))</formula>
    </cfRule>
  </conditionalFormatting>
  <conditionalFormatting sqref="D27">
    <cfRule type="expression" dxfId="502" priority="97">
      <formula>INDIRECT("A"&amp;3) = INDIRECT("A"&amp;ROW())</formula>
    </cfRule>
  </conditionalFormatting>
  <conditionalFormatting sqref="D27">
    <cfRule type="colorScale" priority="98">
      <colorScale>
        <cfvo type="num" val="0"/>
        <cfvo type="num" val="0.5"/>
        <cfvo type="num" val="1"/>
        <color rgb="FFF8696B"/>
        <color rgb="FFFFEB84"/>
        <color rgb="FF63BE7B"/>
      </colorScale>
    </cfRule>
  </conditionalFormatting>
  <conditionalFormatting sqref="E28">
    <cfRule type="expression" dxfId="501" priority="95">
      <formula xml:space="preserve"> INDIRECT(CHAR(COLUMN()+96) &amp; 4) = TODAY() * NOT(ISBLANK(INDIRECT(CHAR(COLUMN()+96) &amp; ROW())))</formula>
    </cfRule>
    <cfRule type="expression" dxfId="500" priority="96">
      <formula xml:space="preserve"> INDIRECT(CHAR(COLUMN()+96) &amp; 4) = TODAY() * ISBLANK(INDIRECT(CHAR(COLUMN()+96) &amp; ROW()))</formula>
    </cfRule>
  </conditionalFormatting>
  <conditionalFormatting sqref="E28">
    <cfRule type="expression" dxfId="499" priority="93">
      <formula>INDIRECT("A"&amp;3) = INDIRECT("A"&amp;ROW())</formula>
    </cfRule>
  </conditionalFormatting>
  <conditionalFormatting sqref="E28">
    <cfRule type="colorScale" priority="94">
      <colorScale>
        <cfvo type="num" val="0"/>
        <cfvo type="num" val="0.5"/>
        <cfvo type="num" val="1"/>
        <color rgb="FFF8696B"/>
        <color rgb="FFFFEB84"/>
        <color rgb="FF63BE7B"/>
      </colorScale>
    </cfRule>
  </conditionalFormatting>
  <conditionalFormatting sqref="E28">
    <cfRule type="expression" dxfId="498" priority="91">
      <formula xml:space="preserve"> INDIRECT(CHAR(COLUMN()+96) &amp; 4) = TODAY() * NOT(ISBLANK(INDIRECT(CHAR(COLUMN()+96) &amp; ROW())))</formula>
    </cfRule>
    <cfRule type="expression" dxfId="497" priority="92">
      <formula xml:space="preserve"> INDIRECT(CHAR(COLUMN()+96) &amp; 4) = TODAY() * ISBLANK(INDIRECT(CHAR(COLUMN()+96) &amp; ROW()))</formula>
    </cfRule>
  </conditionalFormatting>
  <conditionalFormatting sqref="E28">
    <cfRule type="expression" dxfId="496" priority="89">
      <formula>INDIRECT("A"&amp;3) = INDIRECT("A"&amp;ROW())</formula>
    </cfRule>
  </conditionalFormatting>
  <conditionalFormatting sqref="E28">
    <cfRule type="colorScale" priority="90">
      <colorScale>
        <cfvo type="num" val="0"/>
        <cfvo type="num" val="0.5"/>
        <cfvo type="num" val="1"/>
        <color rgb="FFF8696B"/>
        <color rgb="FFFFEB84"/>
        <color rgb="FF63BE7B"/>
      </colorScale>
    </cfRule>
  </conditionalFormatting>
  <conditionalFormatting sqref="F26">
    <cfRule type="expression" dxfId="495" priority="87">
      <formula xml:space="preserve"> INDIRECT(CHAR(COLUMN()+96) &amp; 4) = TODAY() * NOT(ISBLANK(INDIRECT(CHAR(COLUMN()+96) &amp; ROW())))</formula>
    </cfRule>
    <cfRule type="expression" dxfId="494" priority="88">
      <formula xml:space="preserve"> INDIRECT(CHAR(COLUMN()+96) &amp; 4) = TODAY() * ISBLANK(INDIRECT(CHAR(COLUMN()+96) &amp; ROW()))</formula>
    </cfRule>
  </conditionalFormatting>
  <conditionalFormatting sqref="F26">
    <cfRule type="expression" dxfId="493" priority="85">
      <formula>INDIRECT("A"&amp;3) = INDIRECT("A"&amp;ROW())</formula>
    </cfRule>
  </conditionalFormatting>
  <conditionalFormatting sqref="F26">
    <cfRule type="colorScale" priority="86">
      <colorScale>
        <cfvo type="num" val="0"/>
        <cfvo type="num" val="0.5"/>
        <cfvo type="num" val="1"/>
        <color rgb="FFF8696B"/>
        <color rgb="FFFFEB84"/>
        <color rgb="FF63BE7B"/>
      </colorScale>
    </cfRule>
  </conditionalFormatting>
  <conditionalFormatting sqref="F26">
    <cfRule type="expression" dxfId="492" priority="83">
      <formula xml:space="preserve"> INDIRECT(CHAR(COLUMN()+96) &amp; 4) = TODAY() * NOT(ISBLANK(INDIRECT(CHAR(COLUMN()+96) &amp; ROW())))</formula>
    </cfRule>
    <cfRule type="expression" dxfId="491" priority="84">
      <formula xml:space="preserve"> INDIRECT(CHAR(COLUMN()+96) &amp; 4) = TODAY() * ISBLANK(INDIRECT(CHAR(COLUMN()+96) &amp; ROW()))</formula>
    </cfRule>
  </conditionalFormatting>
  <conditionalFormatting sqref="F26">
    <cfRule type="expression" dxfId="490" priority="81">
      <formula>INDIRECT("A"&amp;3) = INDIRECT("A"&amp;ROW())</formula>
    </cfRule>
  </conditionalFormatting>
  <conditionalFormatting sqref="F26">
    <cfRule type="colorScale" priority="82">
      <colorScale>
        <cfvo type="num" val="0"/>
        <cfvo type="num" val="0.5"/>
        <cfvo type="num" val="1"/>
        <color rgb="FFF8696B"/>
        <color rgb="FFFFEB84"/>
        <color rgb="FF63BE7B"/>
      </colorScale>
    </cfRule>
  </conditionalFormatting>
  <conditionalFormatting sqref="E25">
    <cfRule type="expression" dxfId="489" priority="79">
      <formula xml:space="preserve"> INDIRECT(CHAR(COLUMN()+96) &amp; 4) = TODAY() * NOT(ISBLANK(INDIRECT(CHAR(COLUMN()+96) &amp; ROW())))</formula>
    </cfRule>
    <cfRule type="expression" dxfId="488" priority="80">
      <formula xml:space="preserve"> INDIRECT(CHAR(COLUMN()+96) &amp; 4) = TODAY() * ISBLANK(INDIRECT(CHAR(COLUMN()+96) &amp; ROW()))</formula>
    </cfRule>
  </conditionalFormatting>
  <conditionalFormatting sqref="E25">
    <cfRule type="expression" dxfId="487" priority="77">
      <formula>INDIRECT("A"&amp;3) = INDIRECT("A"&amp;ROW())</formula>
    </cfRule>
  </conditionalFormatting>
  <conditionalFormatting sqref="E25">
    <cfRule type="colorScale" priority="78">
      <colorScale>
        <cfvo type="num" val="0"/>
        <cfvo type="num" val="0.5"/>
        <cfvo type="num" val="1"/>
        <color rgb="FFF8696B"/>
        <color rgb="FFFFEB84"/>
        <color rgb="FF63BE7B"/>
      </colorScale>
    </cfRule>
  </conditionalFormatting>
  <conditionalFormatting sqref="E25">
    <cfRule type="expression" dxfId="486" priority="75">
      <formula xml:space="preserve"> INDIRECT(CHAR(COLUMN()+96) &amp; 4) = TODAY() * NOT(ISBLANK(INDIRECT(CHAR(COLUMN()+96) &amp; ROW())))</formula>
    </cfRule>
    <cfRule type="expression" dxfId="485" priority="76">
      <formula xml:space="preserve"> INDIRECT(CHAR(COLUMN()+96) &amp; 4) = TODAY() * ISBLANK(INDIRECT(CHAR(COLUMN()+96) &amp; ROW()))</formula>
    </cfRule>
  </conditionalFormatting>
  <conditionalFormatting sqref="E25">
    <cfRule type="expression" dxfId="484" priority="73">
      <formula>INDIRECT("A"&amp;3) = INDIRECT("A"&amp;ROW())</formula>
    </cfRule>
  </conditionalFormatting>
  <conditionalFormatting sqref="E25">
    <cfRule type="colorScale" priority="74">
      <colorScale>
        <cfvo type="num" val="0"/>
        <cfvo type="num" val="0.5"/>
        <cfvo type="num" val="1"/>
        <color rgb="FFF8696B"/>
        <color rgb="FFFFEB84"/>
        <color rgb="FF63BE7B"/>
      </colorScale>
    </cfRule>
  </conditionalFormatting>
  <conditionalFormatting sqref="E26">
    <cfRule type="expression" dxfId="483" priority="71">
      <formula xml:space="preserve"> INDIRECT(CHAR(COLUMN()+96) &amp; 4) = TODAY() * NOT(ISBLANK(INDIRECT(CHAR(COLUMN()+96) &amp; ROW())))</formula>
    </cfRule>
    <cfRule type="expression" dxfId="482" priority="72">
      <formula xml:space="preserve"> INDIRECT(CHAR(COLUMN()+96) &amp; 4) = TODAY() * ISBLANK(INDIRECT(CHAR(COLUMN()+96) &amp; ROW()))</formula>
    </cfRule>
  </conditionalFormatting>
  <conditionalFormatting sqref="E26">
    <cfRule type="expression" dxfId="481" priority="69">
      <formula>INDIRECT("A"&amp;3) = INDIRECT("A"&amp;ROW())</formula>
    </cfRule>
  </conditionalFormatting>
  <conditionalFormatting sqref="E26">
    <cfRule type="colorScale" priority="70">
      <colorScale>
        <cfvo type="num" val="0"/>
        <cfvo type="num" val="0.5"/>
        <cfvo type="num" val="1"/>
        <color rgb="FFF8696B"/>
        <color rgb="FFFFEB84"/>
        <color rgb="FF63BE7B"/>
      </colorScale>
    </cfRule>
  </conditionalFormatting>
  <conditionalFormatting sqref="E27">
    <cfRule type="expression" dxfId="480" priority="67">
      <formula xml:space="preserve"> INDIRECT(CHAR(COLUMN()+96) &amp; 4) = TODAY() * NOT(ISBLANK(INDIRECT(CHAR(COLUMN()+96) &amp; ROW())))</formula>
    </cfRule>
    <cfRule type="expression" dxfId="479" priority="68">
      <formula xml:space="preserve"> INDIRECT(CHAR(COLUMN()+96) &amp; 4) = TODAY() * ISBLANK(INDIRECT(CHAR(COLUMN()+96) &amp; ROW()))</formula>
    </cfRule>
  </conditionalFormatting>
  <conditionalFormatting sqref="E27">
    <cfRule type="expression" dxfId="478" priority="65">
      <formula>INDIRECT("A"&amp;3) = INDIRECT("A"&amp;ROW())</formula>
    </cfRule>
  </conditionalFormatting>
  <conditionalFormatting sqref="E27">
    <cfRule type="colorScale" priority="66">
      <colorScale>
        <cfvo type="num" val="0"/>
        <cfvo type="num" val="0.5"/>
        <cfvo type="num" val="1"/>
        <color rgb="FFF8696B"/>
        <color rgb="FFFFEB84"/>
        <color rgb="FF63BE7B"/>
      </colorScale>
    </cfRule>
  </conditionalFormatting>
  <conditionalFormatting sqref="E28">
    <cfRule type="expression" dxfId="477" priority="63">
      <formula xml:space="preserve"> INDIRECT(CHAR(COLUMN()+96) &amp; 4) = TODAY() * NOT(ISBLANK(INDIRECT(CHAR(COLUMN()+96) &amp; ROW())))</formula>
    </cfRule>
    <cfRule type="expression" dxfId="476" priority="64">
      <formula xml:space="preserve"> INDIRECT(CHAR(COLUMN()+96) &amp; 4) = TODAY() * ISBLANK(INDIRECT(CHAR(COLUMN()+96) &amp; ROW()))</formula>
    </cfRule>
  </conditionalFormatting>
  <conditionalFormatting sqref="E28">
    <cfRule type="expression" dxfId="475" priority="61">
      <formula>INDIRECT("A"&amp;3) = INDIRECT("A"&amp;ROW())</formula>
    </cfRule>
  </conditionalFormatting>
  <conditionalFormatting sqref="E28">
    <cfRule type="colorScale" priority="62">
      <colorScale>
        <cfvo type="num" val="0"/>
        <cfvo type="num" val="0.5"/>
        <cfvo type="num" val="1"/>
        <color rgb="FFF8696B"/>
        <color rgb="FFFFEB84"/>
        <color rgb="FF63BE7B"/>
      </colorScale>
    </cfRule>
  </conditionalFormatting>
  <conditionalFormatting sqref="E28">
    <cfRule type="expression" dxfId="474" priority="59">
      <formula xml:space="preserve"> INDIRECT(CHAR(COLUMN()+96) &amp; 4) = TODAY() * NOT(ISBLANK(INDIRECT(CHAR(COLUMN()+96) &amp; ROW())))</formula>
    </cfRule>
    <cfRule type="expression" dxfId="473" priority="60">
      <formula xml:space="preserve"> INDIRECT(CHAR(COLUMN()+96) &amp; 4) = TODAY() * ISBLANK(INDIRECT(CHAR(COLUMN()+96) &amp; ROW()))</formula>
    </cfRule>
  </conditionalFormatting>
  <conditionalFormatting sqref="E28">
    <cfRule type="expression" dxfId="472" priority="57">
      <formula>INDIRECT("A"&amp;3) = INDIRECT("A"&amp;ROW())</formula>
    </cfRule>
  </conditionalFormatting>
  <conditionalFormatting sqref="E28">
    <cfRule type="colorScale" priority="58">
      <colorScale>
        <cfvo type="num" val="0"/>
        <cfvo type="num" val="0.5"/>
        <cfvo type="num" val="1"/>
        <color rgb="FFF8696B"/>
        <color rgb="FFFFEB84"/>
        <color rgb="FF63BE7B"/>
      </colorScale>
    </cfRule>
  </conditionalFormatting>
  <conditionalFormatting sqref="F10:F12">
    <cfRule type="expression" dxfId="471" priority="55">
      <formula xml:space="preserve"> INDIRECT(CHAR(COLUMN()+96) &amp; 4) = TODAY() * NOT(ISBLANK(INDIRECT(CHAR(COLUMN()+96) &amp; ROW())))</formula>
    </cfRule>
    <cfRule type="expression" dxfId="470" priority="56">
      <formula xml:space="preserve"> INDIRECT(CHAR(COLUMN()+96) &amp; 4) = TODAY() * ISBLANK(INDIRECT(CHAR(COLUMN()+96) &amp; ROW()))</formula>
    </cfRule>
  </conditionalFormatting>
  <conditionalFormatting sqref="F10:F12">
    <cfRule type="expression" dxfId="469" priority="53">
      <formula>INDIRECT("A"&amp;3) = INDIRECT("A"&amp;ROW())</formula>
    </cfRule>
  </conditionalFormatting>
  <conditionalFormatting sqref="F10:F12">
    <cfRule type="colorScale" priority="54">
      <colorScale>
        <cfvo type="num" val="0"/>
        <cfvo type="num" val="0.5"/>
        <cfvo type="num" val="1"/>
        <color rgb="FFF8696B"/>
        <color rgb="FFFFEB84"/>
        <color rgb="FF63BE7B"/>
      </colorScale>
    </cfRule>
  </conditionalFormatting>
  <conditionalFormatting sqref="F10:F12">
    <cfRule type="expression" dxfId="468" priority="51">
      <formula xml:space="preserve"> INDIRECT(CHAR(COLUMN()+96) &amp; 4) = TODAY() * NOT(ISBLANK(INDIRECT(CHAR(COLUMN()+96) &amp; ROW())))</formula>
    </cfRule>
    <cfRule type="expression" dxfId="467" priority="52">
      <formula xml:space="preserve"> INDIRECT(CHAR(COLUMN()+96) &amp; 4) = TODAY() * ISBLANK(INDIRECT(CHAR(COLUMN()+96) &amp; ROW()))</formula>
    </cfRule>
  </conditionalFormatting>
  <conditionalFormatting sqref="F10:F12">
    <cfRule type="expression" dxfId="466" priority="49">
      <formula>INDIRECT("A"&amp;3) = INDIRECT("A"&amp;ROW())</formula>
    </cfRule>
  </conditionalFormatting>
  <conditionalFormatting sqref="F10:F12">
    <cfRule type="colorScale" priority="50">
      <colorScale>
        <cfvo type="num" val="0"/>
        <cfvo type="num" val="0.5"/>
        <cfvo type="num" val="1"/>
        <color rgb="FFF8696B"/>
        <color rgb="FFFFEB84"/>
        <color rgb="FF63BE7B"/>
      </colorScale>
    </cfRule>
  </conditionalFormatting>
  <conditionalFormatting sqref="E26">
    <cfRule type="expression" dxfId="35" priority="47">
      <formula xml:space="preserve"> INDIRECT(CHAR(COLUMN()+96) &amp; 4) = TODAY() * NOT(ISBLANK(INDIRECT(CHAR(COLUMN()+96) &amp; ROW())))</formula>
    </cfRule>
    <cfRule type="expression" dxfId="34" priority="48">
      <formula xml:space="preserve"> INDIRECT(CHAR(COLUMN()+96) &amp; 4) = TODAY() * ISBLANK(INDIRECT(CHAR(COLUMN()+96) &amp; ROW()))</formula>
    </cfRule>
  </conditionalFormatting>
  <conditionalFormatting sqref="E26">
    <cfRule type="expression" dxfId="33" priority="45">
      <formula>INDIRECT("A"&amp;3) = INDIRECT("A"&amp;ROW())</formula>
    </cfRule>
  </conditionalFormatting>
  <conditionalFormatting sqref="E26">
    <cfRule type="colorScale" priority="46">
      <colorScale>
        <cfvo type="num" val="0"/>
        <cfvo type="num" val="0.5"/>
        <cfvo type="num" val="1"/>
        <color rgb="FFF8696B"/>
        <color rgb="FFFFEB84"/>
        <color rgb="FF63BE7B"/>
      </colorScale>
    </cfRule>
  </conditionalFormatting>
  <conditionalFormatting sqref="E27">
    <cfRule type="expression" dxfId="32" priority="43">
      <formula xml:space="preserve"> INDIRECT(CHAR(COLUMN()+96) &amp; 4) = TODAY() * NOT(ISBLANK(INDIRECT(CHAR(COLUMN()+96) &amp; ROW())))</formula>
    </cfRule>
    <cfRule type="expression" dxfId="31" priority="44">
      <formula xml:space="preserve"> INDIRECT(CHAR(COLUMN()+96) &amp; 4) = TODAY() * ISBLANK(INDIRECT(CHAR(COLUMN()+96) &amp; ROW()))</formula>
    </cfRule>
  </conditionalFormatting>
  <conditionalFormatting sqref="E27">
    <cfRule type="expression" dxfId="30" priority="41">
      <formula>INDIRECT("A"&amp;3) = INDIRECT("A"&amp;ROW())</formula>
    </cfRule>
  </conditionalFormatting>
  <conditionalFormatting sqref="E27">
    <cfRule type="colorScale" priority="42">
      <colorScale>
        <cfvo type="num" val="0"/>
        <cfvo type="num" val="0.5"/>
        <cfvo type="num" val="1"/>
        <color rgb="FFF8696B"/>
        <color rgb="FFFFEB84"/>
        <color rgb="FF63BE7B"/>
      </colorScale>
    </cfRule>
  </conditionalFormatting>
  <conditionalFormatting sqref="E28">
    <cfRule type="expression" dxfId="29" priority="39">
      <formula xml:space="preserve"> INDIRECT(CHAR(COLUMN()+96) &amp; 4) = TODAY() * NOT(ISBLANK(INDIRECT(CHAR(COLUMN()+96) &amp; ROW())))</formula>
    </cfRule>
    <cfRule type="expression" dxfId="28" priority="40">
      <formula xml:space="preserve"> INDIRECT(CHAR(COLUMN()+96) &amp; 4) = TODAY() * ISBLANK(INDIRECT(CHAR(COLUMN()+96) &amp; ROW()))</formula>
    </cfRule>
  </conditionalFormatting>
  <conditionalFormatting sqref="E28">
    <cfRule type="expression" dxfId="27" priority="37">
      <formula>INDIRECT("A"&amp;3) = INDIRECT("A"&amp;ROW())</formula>
    </cfRule>
  </conditionalFormatting>
  <conditionalFormatting sqref="E28">
    <cfRule type="colorScale" priority="38">
      <colorScale>
        <cfvo type="num" val="0"/>
        <cfvo type="num" val="0.5"/>
        <cfvo type="num" val="1"/>
        <color rgb="FFF8696B"/>
        <color rgb="FFFFEB84"/>
        <color rgb="FF63BE7B"/>
      </colorScale>
    </cfRule>
  </conditionalFormatting>
  <conditionalFormatting sqref="E28">
    <cfRule type="expression" dxfId="26" priority="35">
      <formula xml:space="preserve"> INDIRECT(CHAR(COLUMN()+96) &amp; 4) = TODAY() * NOT(ISBLANK(INDIRECT(CHAR(COLUMN()+96) &amp; ROW())))</formula>
    </cfRule>
    <cfRule type="expression" dxfId="25" priority="36">
      <formula xml:space="preserve"> INDIRECT(CHAR(COLUMN()+96) &amp; 4) = TODAY() * ISBLANK(INDIRECT(CHAR(COLUMN()+96) &amp; ROW()))</formula>
    </cfRule>
  </conditionalFormatting>
  <conditionalFormatting sqref="E28">
    <cfRule type="expression" dxfId="24" priority="33">
      <formula>INDIRECT("A"&amp;3) = INDIRECT("A"&amp;ROW())</formula>
    </cfRule>
  </conditionalFormatting>
  <conditionalFormatting sqref="E28">
    <cfRule type="colorScale" priority="34">
      <colorScale>
        <cfvo type="num" val="0"/>
        <cfvo type="num" val="0.5"/>
        <cfvo type="num" val="1"/>
        <color rgb="FFF8696B"/>
        <color rgb="FFFFEB84"/>
        <color rgb="FF63BE7B"/>
      </colorScale>
    </cfRule>
  </conditionalFormatting>
  <conditionalFormatting sqref="E29">
    <cfRule type="expression" dxfId="23" priority="31">
      <formula xml:space="preserve"> INDIRECT(CHAR(COLUMN()+96) &amp; 4) = TODAY() * NOT(ISBLANK(INDIRECT(CHAR(COLUMN()+96) &amp; ROW())))</formula>
    </cfRule>
    <cfRule type="expression" dxfId="22" priority="32">
      <formula xml:space="preserve"> INDIRECT(CHAR(COLUMN()+96) &amp; 4) = TODAY() * ISBLANK(INDIRECT(CHAR(COLUMN()+96) &amp; ROW()))</formula>
    </cfRule>
  </conditionalFormatting>
  <conditionalFormatting sqref="E29">
    <cfRule type="expression" dxfId="21" priority="29">
      <formula>INDIRECT("A"&amp;3) = INDIRECT("A"&amp;ROW())</formula>
    </cfRule>
  </conditionalFormatting>
  <conditionalFormatting sqref="E29">
    <cfRule type="colorScale" priority="30">
      <colorScale>
        <cfvo type="num" val="0"/>
        <cfvo type="num" val="0.5"/>
        <cfvo type="num" val="1"/>
        <color rgb="FFF8696B"/>
        <color rgb="FFFFEB84"/>
        <color rgb="FF63BE7B"/>
      </colorScale>
    </cfRule>
  </conditionalFormatting>
  <conditionalFormatting sqref="E29">
    <cfRule type="expression" dxfId="20" priority="27">
      <formula xml:space="preserve"> INDIRECT(CHAR(COLUMN()+96) &amp; 4) = TODAY() * NOT(ISBLANK(INDIRECT(CHAR(COLUMN()+96) &amp; ROW())))</formula>
    </cfRule>
    <cfRule type="expression" dxfId="19" priority="28">
      <formula xml:space="preserve"> INDIRECT(CHAR(COLUMN()+96) &amp; 4) = TODAY() * ISBLANK(INDIRECT(CHAR(COLUMN()+96) &amp; ROW()))</formula>
    </cfRule>
  </conditionalFormatting>
  <conditionalFormatting sqref="E29">
    <cfRule type="expression" dxfId="18" priority="25">
      <formula>INDIRECT("A"&amp;3) = INDIRECT("A"&amp;ROW())</formula>
    </cfRule>
  </conditionalFormatting>
  <conditionalFormatting sqref="E29">
    <cfRule type="colorScale" priority="26">
      <colorScale>
        <cfvo type="num" val="0"/>
        <cfvo type="num" val="0.5"/>
        <cfvo type="num" val="1"/>
        <color rgb="FFF8696B"/>
        <color rgb="FFFFEB84"/>
        <color rgb="FF63BE7B"/>
      </colorScale>
    </cfRule>
  </conditionalFormatting>
  <conditionalFormatting sqref="E26">
    <cfRule type="expression" dxfId="17" priority="23">
      <formula xml:space="preserve"> INDIRECT(CHAR(COLUMN()+96) &amp; 4) = TODAY() * NOT(ISBLANK(INDIRECT(CHAR(COLUMN()+96) &amp; ROW())))</formula>
    </cfRule>
    <cfRule type="expression" dxfId="16" priority="24">
      <formula xml:space="preserve"> INDIRECT(CHAR(COLUMN()+96) &amp; 4) = TODAY() * ISBLANK(INDIRECT(CHAR(COLUMN()+96) &amp; ROW()))</formula>
    </cfRule>
  </conditionalFormatting>
  <conditionalFormatting sqref="E26">
    <cfRule type="expression" dxfId="15" priority="21">
      <formula>INDIRECT("A"&amp;3) = INDIRECT("A"&amp;ROW())</formula>
    </cfRule>
  </conditionalFormatting>
  <conditionalFormatting sqref="E26">
    <cfRule type="colorScale" priority="22">
      <colorScale>
        <cfvo type="num" val="0"/>
        <cfvo type="num" val="0.5"/>
        <cfvo type="num" val="1"/>
        <color rgb="FFF8696B"/>
        <color rgb="FFFFEB84"/>
        <color rgb="FF63BE7B"/>
      </colorScale>
    </cfRule>
  </conditionalFormatting>
  <conditionalFormatting sqref="E26">
    <cfRule type="expression" dxfId="14" priority="19">
      <formula xml:space="preserve"> INDIRECT(CHAR(COLUMN()+96) &amp; 4) = TODAY() * NOT(ISBLANK(INDIRECT(CHAR(COLUMN()+96) &amp; ROW())))</formula>
    </cfRule>
    <cfRule type="expression" dxfId="13" priority="20">
      <formula xml:space="preserve"> INDIRECT(CHAR(COLUMN()+96) &amp; 4) = TODAY() * ISBLANK(INDIRECT(CHAR(COLUMN()+96) &amp; ROW()))</formula>
    </cfRule>
  </conditionalFormatting>
  <conditionalFormatting sqref="E26">
    <cfRule type="expression" dxfId="12" priority="17">
      <formula>INDIRECT("A"&amp;3) = INDIRECT("A"&amp;ROW())</formula>
    </cfRule>
  </conditionalFormatting>
  <conditionalFormatting sqref="E26">
    <cfRule type="colorScale" priority="18">
      <colorScale>
        <cfvo type="num" val="0"/>
        <cfvo type="num" val="0.5"/>
        <cfvo type="num" val="1"/>
        <color rgb="FFF8696B"/>
        <color rgb="FFFFEB84"/>
        <color rgb="FF63BE7B"/>
      </colorScale>
    </cfRule>
  </conditionalFormatting>
  <conditionalFormatting sqref="E27">
    <cfRule type="expression" dxfId="11" priority="15">
      <formula xml:space="preserve"> INDIRECT(CHAR(COLUMN()+96) &amp; 4) = TODAY() * NOT(ISBLANK(INDIRECT(CHAR(COLUMN()+96) &amp; ROW())))</formula>
    </cfRule>
    <cfRule type="expression" dxfId="10" priority="16">
      <formula xml:space="preserve"> INDIRECT(CHAR(COLUMN()+96) &amp; 4) = TODAY() * ISBLANK(INDIRECT(CHAR(COLUMN()+96) &amp; ROW()))</formula>
    </cfRule>
  </conditionalFormatting>
  <conditionalFormatting sqref="E27">
    <cfRule type="expression" dxfId="9" priority="13">
      <formula>INDIRECT("A"&amp;3) = INDIRECT("A"&amp;ROW())</formula>
    </cfRule>
  </conditionalFormatting>
  <conditionalFormatting sqref="E27">
    <cfRule type="colorScale" priority="14">
      <colorScale>
        <cfvo type="num" val="0"/>
        <cfvo type="num" val="0.5"/>
        <cfvo type="num" val="1"/>
        <color rgb="FFF8696B"/>
        <color rgb="FFFFEB84"/>
        <color rgb="FF63BE7B"/>
      </colorScale>
    </cfRule>
  </conditionalFormatting>
  <conditionalFormatting sqref="E28">
    <cfRule type="expression" dxfId="8" priority="11">
      <formula xml:space="preserve"> INDIRECT(CHAR(COLUMN()+96) &amp; 4) = TODAY() * NOT(ISBLANK(INDIRECT(CHAR(COLUMN()+96) &amp; ROW())))</formula>
    </cfRule>
    <cfRule type="expression" dxfId="7" priority="12">
      <formula xml:space="preserve"> INDIRECT(CHAR(COLUMN()+96) &amp; 4) = TODAY() * ISBLANK(INDIRECT(CHAR(COLUMN()+96) &amp; ROW()))</formula>
    </cfRule>
  </conditionalFormatting>
  <conditionalFormatting sqref="E28">
    <cfRule type="expression" dxfId="6" priority="9">
      <formula>INDIRECT("A"&amp;3) = INDIRECT("A"&amp;ROW())</formula>
    </cfRule>
  </conditionalFormatting>
  <conditionalFormatting sqref="E28">
    <cfRule type="colorScale" priority="10">
      <colorScale>
        <cfvo type="num" val="0"/>
        <cfvo type="num" val="0.5"/>
        <cfvo type="num" val="1"/>
        <color rgb="FFF8696B"/>
        <color rgb="FFFFEB84"/>
        <color rgb="FF63BE7B"/>
      </colorScale>
    </cfRule>
  </conditionalFormatting>
  <conditionalFormatting sqref="E29">
    <cfRule type="expression" dxfId="5" priority="7">
      <formula xml:space="preserve"> INDIRECT(CHAR(COLUMN()+96) &amp; 4) = TODAY() * NOT(ISBLANK(INDIRECT(CHAR(COLUMN()+96) &amp; ROW())))</formula>
    </cfRule>
    <cfRule type="expression" dxfId="4" priority="8">
      <formula xml:space="preserve"> INDIRECT(CHAR(COLUMN()+96) &amp; 4) = TODAY() * ISBLANK(INDIRECT(CHAR(COLUMN()+96) &amp; ROW()))</formula>
    </cfRule>
  </conditionalFormatting>
  <conditionalFormatting sqref="E29">
    <cfRule type="expression" dxfId="3" priority="5">
      <formula>INDIRECT("A"&amp;3) = INDIRECT("A"&amp;ROW())</formula>
    </cfRule>
  </conditionalFormatting>
  <conditionalFormatting sqref="E29">
    <cfRule type="colorScale" priority="6">
      <colorScale>
        <cfvo type="num" val="0"/>
        <cfvo type="num" val="0.5"/>
        <cfvo type="num" val="1"/>
        <color rgb="FFF8696B"/>
        <color rgb="FFFFEB84"/>
        <color rgb="FF63BE7B"/>
      </colorScale>
    </cfRule>
  </conditionalFormatting>
  <conditionalFormatting sqref="E29">
    <cfRule type="expression" dxfId="2" priority="3">
      <formula xml:space="preserve"> INDIRECT(CHAR(COLUMN()+96) &amp; 4) = TODAY() * NOT(ISBLANK(INDIRECT(CHAR(COLUMN()+96) &amp; ROW())))</formula>
    </cfRule>
    <cfRule type="expression" dxfId="1" priority="4">
      <formula xml:space="preserve"> INDIRECT(CHAR(COLUMN()+96) &amp; 4) = TODAY() * ISBLANK(INDIRECT(CHAR(COLUMN()+96) &amp; ROW()))</formula>
    </cfRule>
  </conditionalFormatting>
  <conditionalFormatting sqref="E29">
    <cfRule type="expression" dxfId="0" priority="1">
      <formula>INDIRECT("A"&amp;3) = INDIRECT("A"&amp;ROW())</formula>
    </cfRule>
  </conditionalFormatting>
  <conditionalFormatting sqref="E29">
    <cfRule type="colorScale" priority="2">
      <colorScale>
        <cfvo type="num" val="0"/>
        <cfvo type="num" val="0.5"/>
        <cfvo type="num" val="1"/>
        <color rgb="FFF8696B"/>
        <color rgb="FFFFEB84"/>
        <color rgb="FF63BE7B"/>
      </colorScale>
    </cfRule>
  </conditionalFormatting>
  <hyperlinks>
    <hyperlink ref="F23" r:id="rId1"/>
  </hyperlinks>
  <pageMargins left="0.7" right="0.7" top="0.75" bottom="0.75" header="0.3" footer="0.3"/>
  <pageSetup paperSize="9" orientation="portrait" horizontalDpi="4294967293"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J457"/>
  <sheetViews>
    <sheetView topLeftCell="E211" zoomScale="85" zoomScaleNormal="85" workbookViewId="0">
      <selection activeCell="G211" sqref="G211"/>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SUM(F9:F533)</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248</v>
      </c>
      <c r="D31" s="85" t="s">
        <v>250</v>
      </c>
      <c r="E31" s="85" t="s">
        <v>249</v>
      </c>
      <c r="F31" s="90">
        <v>16</v>
      </c>
      <c r="G31" s="91"/>
      <c r="H31" s="91"/>
      <c r="I31" s="91"/>
      <c r="J31" s="92"/>
    </row>
    <row r="32" spans="1:10" ht="162.75" customHeight="1" x14ac:dyDescent="0.25">
      <c r="A32" s="42">
        <v>24</v>
      </c>
      <c r="B32" s="79">
        <v>43156</v>
      </c>
      <c r="C32" s="89" t="s">
        <v>251</v>
      </c>
      <c r="D32" s="85" t="s">
        <v>253</v>
      </c>
      <c r="E32" s="85" t="s">
        <v>252</v>
      </c>
      <c r="F32" s="90"/>
      <c r="G32" s="91"/>
      <c r="H32" s="91"/>
      <c r="I32" s="91"/>
      <c r="J32" s="92"/>
    </row>
    <row r="33" spans="1:10" ht="108" x14ac:dyDescent="0.25">
      <c r="A33" s="42">
        <v>25</v>
      </c>
      <c r="B33" s="79">
        <v>43157</v>
      </c>
      <c r="C33" s="89"/>
      <c r="D33" s="85" t="s">
        <v>262</v>
      </c>
      <c r="E33" s="85"/>
      <c r="F33" s="90"/>
      <c r="G33" s="91"/>
      <c r="H33" s="91"/>
      <c r="I33" s="91"/>
      <c r="J33" s="92"/>
    </row>
    <row r="34" spans="1:10" ht="161.25" customHeight="1" x14ac:dyDescent="0.25">
      <c r="A34" s="42">
        <v>26</v>
      </c>
      <c r="B34" s="79">
        <v>43158</v>
      </c>
      <c r="C34" s="89"/>
      <c r="D34" s="85" t="s">
        <v>266</v>
      </c>
      <c r="E34" s="85" t="s">
        <v>267</v>
      </c>
      <c r="F34" s="90"/>
      <c r="G34" s="91"/>
      <c r="H34" s="91"/>
      <c r="I34" s="91"/>
      <c r="J34" s="92"/>
    </row>
    <row r="35" spans="1:10" ht="129" customHeight="1" x14ac:dyDescent="0.25">
      <c r="A35" s="42">
        <v>27</v>
      </c>
      <c r="B35" s="79">
        <v>43159</v>
      </c>
      <c r="C35" s="89"/>
      <c r="D35" s="85" t="s">
        <v>268</v>
      </c>
      <c r="E35" s="85" t="s">
        <v>269</v>
      </c>
      <c r="F35" s="90"/>
      <c r="G35" s="91"/>
      <c r="H35" s="91"/>
      <c r="I35" s="91"/>
      <c r="J35" s="92"/>
    </row>
    <row r="36" spans="1:10" ht="171.2" customHeight="1" x14ac:dyDescent="0.25">
      <c r="A36" s="42">
        <v>28</v>
      </c>
      <c r="B36" s="79">
        <v>43160</v>
      </c>
      <c r="C36" s="89"/>
      <c r="D36" s="85" t="s">
        <v>271</v>
      </c>
      <c r="E36" s="85" t="s">
        <v>270</v>
      </c>
      <c r="F36" s="90"/>
      <c r="G36" s="91"/>
      <c r="H36" s="91"/>
      <c r="I36" s="91"/>
      <c r="J36" s="92"/>
    </row>
    <row r="37" spans="1:10" ht="36" x14ac:dyDescent="0.25">
      <c r="A37" s="42">
        <v>29</v>
      </c>
      <c r="B37" s="79">
        <v>43161</v>
      </c>
      <c r="C37" s="89"/>
      <c r="D37" s="85" t="s">
        <v>272</v>
      </c>
      <c r="E37" s="85"/>
      <c r="F37" s="90"/>
      <c r="G37" s="91"/>
      <c r="H37" s="91"/>
      <c r="I37" s="91"/>
      <c r="J37" s="92"/>
    </row>
    <row r="38" spans="1:10" ht="114" customHeight="1" x14ac:dyDescent="0.25">
      <c r="A38" s="42">
        <v>30</v>
      </c>
      <c r="B38" s="79">
        <v>43162</v>
      </c>
      <c r="C38" s="89" t="s">
        <v>275</v>
      </c>
      <c r="D38" s="85" t="s">
        <v>273</v>
      </c>
      <c r="E38" s="94" t="s">
        <v>274</v>
      </c>
      <c r="F38" s="90"/>
      <c r="G38" s="91"/>
      <c r="H38" s="91"/>
      <c r="I38" s="91"/>
      <c r="J38" s="92"/>
    </row>
    <row r="39" spans="1:10" ht="189.95" customHeight="1" x14ac:dyDescent="0.25">
      <c r="A39" s="42">
        <v>31</v>
      </c>
      <c r="B39" s="79">
        <v>43163</v>
      </c>
      <c r="C39" s="89"/>
      <c r="D39" s="85" t="s">
        <v>276</v>
      </c>
      <c r="E39" s="94" t="s">
        <v>277</v>
      </c>
      <c r="F39" s="90"/>
      <c r="G39" s="91"/>
      <c r="H39" s="91"/>
      <c r="I39" s="91"/>
      <c r="J39" s="92"/>
    </row>
    <row r="40" spans="1:10" ht="209.45" customHeight="1" x14ac:dyDescent="0.25">
      <c r="A40" s="42">
        <v>32</v>
      </c>
      <c r="B40" s="79">
        <v>43164</v>
      </c>
      <c r="C40" s="89"/>
      <c r="D40" s="85" t="s">
        <v>278</v>
      </c>
      <c r="E40" s="94" t="s">
        <v>277</v>
      </c>
      <c r="F40" s="90"/>
      <c r="G40" s="91"/>
      <c r="H40" s="91"/>
      <c r="I40" s="91"/>
      <c r="J40" s="92"/>
    </row>
    <row r="41" spans="1:10" ht="123.75" customHeight="1" x14ac:dyDescent="0.25">
      <c r="A41" s="42">
        <v>33</v>
      </c>
      <c r="B41" s="79">
        <v>43165</v>
      </c>
      <c r="C41" s="89"/>
      <c r="D41" s="85" t="s">
        <v>300</v>
      </c>
      <c r="E41" s="94" t="s">
        <v>277</v>
      </c>
      <c r="F41" s="90"/>
      <c r="G41" s="91"/>
      <c r="H41" s="91"/>
      <c r="I41" s="91"/>
      <c r="J41" s="92"/>
    </row>
    <row r="42" spans="1:10" ht="60" customHeight="1" x14ac:dyDescent="0.25">
      <c r="A42" s="42">
        <v>34</v>
      </c>
      <c r="B42" s="79">
        <v>43166</v>
      </c>
      <c r="C42" s="89"/>
      <c r="D42" s="85" t="s">
        <v>301</v>
      </c>
      <c r="E42" s="94" t="s">
        <v>277</v>
      </c>
      <c r="F42" s="90"/>
      <c r="G42" s="91"/>
      <c r="H42" s="91"/>
      <c r="I42" s="91"/>
      <c r="J42" s="92"/>
    </row>
    <row r="43" spans="1:10" x14ac:dyDescent="0.25">
      <c r="A43" s="42">
        <v>35</v>
      </c>
      <c r="B43" s="79">
        <v>43167</v>
      </c>
      <c r="C43" s="89"/>
      <c r="D43" s="85" t="s">
        <v>306</v>
      </c>
      <c r="E43" s="94" t="s">
        <v>277</v>
      </c>
      <c r="F43" s="90"/>
      <c r="G43" s="91"/>
      <c r="H43" s="91"/>
      <c r="I43" s="91"/>
      <c r="J43" s="92"/>
    </row>
    <row r="44" spans="1:10" ht="85.5" customHeight="1" x14ac:dyDescent="0.25">
      <c r="A44" s="42">
        <v>36</v>
      </c>
      <c r="B44" s="79">
        <v>43168</v>
      </c>
      <c r="C44" s="89"/>
      <c r="D44" s="85" t="s">
        <v>307</v>
      </c>
      <c r="E44" s="94" t="s">
        <v>277</v>
      </c>
      <c r="F44" s="90"/>
      <c r="G44" s="91"/>
      <c r="H44" s="91"/>
      <c r="I44" s="91"/>
      <c r="J44" s="92"/>
    </row>
    <row r="45" spans="1:10" ht="120" x14ac:dyDescent="0.25">
      <c r="A45" s="42">
        <v>37</v>
      </c>
      <c r="B45" s="79">
        <v>43169</v>
      </c>
      <c r="C45" s="89"/>
      <c r="D45" s="85" t="s">
        <v>309</v>
      </c>
      <c r="E45" s="94" t="s">
        <v>277</v>
      </c>
      <c r="F45" s="90"/>
      <c r="G45" s="91"/>
      <c r="H45" s="91"/>
      <c r="I45" s="91"/>
      <c r="J45" s="92"/>
    </row>
    <row r="46" spans="1:10" ht="85.5" customHeight="1" x14ac:dyDescent="0.25">
      <c r="A46" s="42">
        <v>38</v>
      </c>
      <c r="B46" s="79">
        <v>43170</v>
      </c>
      <c r="C46" s="89"/>
      <c r="D46" s="85" t="s">
        <v>310</v>
      </c>
      <c r="E46" s="94" t="s">
        <v>311</v>
      </c>
      <c r="F46" s="90"/>
      <c r="G46" s="91"/>
      <c r="H46" s="91"/>
      <c r="I46" s="91"/>
      <c r="J46" s="92"/>
    </row>
    <row r="47" spans="1:10" ht="102.2" customHeight="1" x14ac:dyDescent="0.25">
      <c r="A47" s="42">
        <v>39</v>
      </c>
      <c r="B47" s="79">
        <v>43171</v>
      </c>
      <c r="C47" s="89"/>
      <c r="D47" s="85" t="s">
        <v>312</v>
      </c>
      <c r="E47" s="85"/>
      <c r="F47" s="90"/>
      <c r="G47" s="91"/>
      <c r="H47" s="91"/>
      <c r="I47" s="91"/>
      <c r="J47" s="92"/>
    </row>
    <row r="48" spans="1:10" ht="183" customHeight="1" x14ac:dyDescent="0.25">
      <c r="A48" s="42">
        <v>40</v>
      </c>
      <c r="B48" s="79">
        <v>43172</v>
      </c>
      <c r="C48" s="89"/>
      <c r="D48" s="85" t="s">
        <v>315</v>
      </c>
      <c r="E48" s="85" t="s">
        <v>313</v>
      </c>
      <c r="F48" s="90"/>
      <c r="G48" s="91"/>
      <c r="H48" s="91"/>
      <c r="I48" s="91"/>
      <c r="J48" s="92"/>
    </row>
    <row r="49" spans="1:10" ht="69" customHeight="1" x14ac:dyDescent="0.25">
      <c r="A49" s="42">
        <v>41</v>
      </c>
      <c r="B49" s="79">
        <v>43173</v>
      </c>
      <c r="C49" s="89"/>
      <c r="D49" s="85" t="s">
        <v>316</v>
      </c>
      <c r="E49" s="85"/>
      <c r="F49" s="90"/>
      <c r="G49" s="91"/>
      <c r="H49" s="91"/>
      <c r="I49" s="91"/>
      <c r="J49" s="92"/>
    </row>
    <row r="50" spans="1:10" s="150" customFormat="1" ht="174.75" customHeight="1" x14ac:dyDescent="0.25">
      <c r="A50" s="42">
        <v>42</v>
      </c>
      <c r="B50" s="151">
        <v>43174</v>
      </c>
      <c r="C50" s="152"/>
      <c r="D50" s="153" t="s">
        <v>317</v>
      </c>
      <c r="E50" s="157" t="s">
        <v>389</v>
      </c>
      <c r="F50" s="154"/>
      <c r="G50" s="155"/>
      <c r="H50" s="155"/>
      <c r="I50" s="155"/>
      <c r="J50" s="156"/>
    </row>
    <row r="51" spans="1:10" ht="108" customHeight="1" x14ac:dyDescent="0.25">
      <c r="A51" s="42">
        <v>43</v>
      </c>
      <c r="B51" s="79">
        <v>43175</v>
      </c>
      <c r="C51" s="89"/>
      <c r="D51" s="85" t="s">
        <v>318</v>
      </c>
      <c r="E51" s="85"/>
      <c r="F51" s="90"/>
      <c r="G51" s="91"/>
      <c r="H51" s="91"/>
      <c r="I51" s="91"/>
      <c r="J51" s="92"/>
    </row>
    <row r="52" spans="1:10" ht="120.2" customHeight="1" x14ac:dyDescent="0.25">
      <c r="A52" s="42">
        <v>44</v>
      </c>
      <c r="B52" s="79">
        <v>43176</v>
      </c>
      <c r="C52" s="89"/>
      <c r="D52" s="85" t="s">
        <v>319</v>
      </c>
      <c r="E52" s="85"/>
      <c r="F52" s="90"/>
      <c r="G52" s="91"/>
      <c r="H52" s="91"/>
      <c r="I52" s="91"/>
      <c r="J52" s="92"/>
    </row>
    <row r="53" spans="1:10" ht="139.5" customHeight="1" x14ac:dyDescent="0.25">
      <c r="A53" s="42">
        <v>45</v>
      </c>
      <c r="B53" s="79">
        <v>43177</v>
      </c>
      <c r="C53" s="89"/>
      <c r="D53" s="85" t="s">
        <v>320</v>
      </c>
      <c r="E53" s="85"/>
      <c r="F53" s="90"/>
      <c r="G53" s="91"/>
      <c r="H53" s="91"/>
      <c r="I53" s="91"/>
      <c r="J53" s="92"/>
    </row>
    <row r="54" spans="1:10" ht="24" x14ac:dyDescent="0.25">
      <c r="A54" s="42">
        <v>46</v>
      </c>
      <c r="B54" s="79">
        <v>43178</v>
      </c>
      <c r="C54" s="89"/>
      <c r="D54" s="85" t="s">
        <v>321</v>
      </c>
      <c r="E54" s="85"/>
      <c r="F54" s="90"/>
      <c r="G54" s="91"/>
      <c r="H54" s="91"/>
      <c r="I54" s="91"/>
      <c r="J54" s="92"/>
    </row>
    <row r="55" spans="1:10" ht="132" x14ac:dyDescent="0.25">
      <c r="A55" s="42">
        <v>47</v>
      </c>
      <c r="B55" s="79">
        <v>43179</v>
      </c>
      <c r="C55" s="89"/>
      <c r="D55" s="85" t="s">
        <v>322</v>
      </c>
      <c r="E55" s="85" t="s">
        <v>323</v>
      </c>
      <c r="F55" s="90"/>
      <c r="G55" s="91"/>
      <c r="H55" s="91"/>
      <c r="I55" s="91"/>
      <c r="J55" s="92"/>
    </row>
    <row r="56" spans="1:10" ht="227.45" customHeight="1" x14ac:dyDescent="0.25">
      <c r="A56" s="42">
        <v>48</v>
      </c>
      <c r="B56" s="79">
        <v>43180</v>
      </c>
      <c r="C56" s="89"/>
      <c r="D56" s="85" t="s">
        <v>324</v>
      </c>
      <c r="E56" s="85" t="s">
        <v>325</v>
      </c>
      <c r="F56" s="90"/>
      <c r="G56" s="91"/>
      <c r="H56" s="91"/>
      <c r="I56" s="91"/>
      <c r="J56" s="92"/>
    </row>
    <row r="57" spans="1:10" ht="151.5" customHeight="1" x14ac:dyDescent="0.25">
      <c r="A57" s="42">
        <v>49</v>
      </c>
      <c r="B57" s="79">
        <v>43181</v>
      </c>
      <c r="C57" s="89"/>
      <c r="D57" s="85" t="s">
        <v>326</v>
      </c>
      <c r="E57" s="85" t="s">
        <v>327</v>
      </c>
      <c r="F57" s="90"/>
      <c r="G57" s="91"/>
      <c r="H57" s="91"/>
      <c r="I57" s="91"/>
      <c r="J57" s="92"/>
    </row>
    <row r="58" spans="1:10" ht="409.5" customHeight="1" x14ac:dyDescent="0.25">
      <c r="A58" s="42">
        <v>50</v>
      </c>
      <c r="B58" s="79">
        <v>43182</v>
      </c>
      <c r="C58" s="89"/>
      <c r="D58" s="85" t="s">
        <v>328</v>
      </c>
      <c r="E58" s="85" t="s">
        <v>329</v>
      </c>
      <c r="F58" s="90"/>
      <c r="G58" s="91"/>
      <c r="H58" s="91"/>
      <c r="I58" s="91"/>
      <c r="J58" s="92"/>
    </row>
    <row r="59" spans="1:10" ht="146.25" customHeight="1" x14ac:dyDescent="0.25">
      <c r="A59" s="42">
        <v>51</v>
      </c>
      <c r="B59" s="79">
        <v>43183</v>
      </c>
      <c r="C59" s="89"/>
      <c r="D59" s="85" t="s">
        <v>330</v>
      </c>
      <c r="E59" s="85" t="s">
        <v>331</v>
      </c>
      <c r="F59" s="90"/>
      <c r="G59" s="91"/>
      <c r="H59" s="91"/>
      <c r="I59" s="91"/>
      <c r="J59" s="92"/>
    </row>
    <row r="60" spans="1:10" ht="147.75" customHeight="1" x14ac:dyDescent="0.25">
      <c r="A60" s="42">
        <v>52</v>
      </c>
      <c r="B60" s="79">
        <v>43184</v>
      </c>
      <c r="C60" s="89"/>
      <c r="D60" s="85" t="s">
        <v>340</v>
      </c>
      <c r="E60" s="85" t="s">
        <v>332</v>
      </c>
      <c r="F60" s="90"/>
      <c r="G60" s="91"/>
      <c r="H60" s="91"/>
      <c r="I60" s="91"/>
      <c r="J60" s="92"/>
    </row>
    <row r="61" spans="1:10" ht="63.2" customHeight="1" x14ac:dyDescent="0.25">
      <c r="A61" s="42">
        <v>53</v>
      </c>
      <c r="B61" s="79">
        <v>43185</v>
      </c>
      <c r="C61" s="89"/>
      <c r="D61" s="85" t="s">
        <v>333</v>
      </c>
      <c r="E61" s="85"/>
      <c r="F61" s="90"/>
      <c r="G61" s="91"/>
      <c r="H61" s="91"/>
      <c r="I61" s="91"/>
      <c r="J61" s="92"/>
    </row>
    <row r="62" spans="1:10" x14ac:dyDescent="0.25">
      <c r="A62" s="42">
        <v>54</v>
      </c>
      <c r="B62" s="79">
        <v>43186</v>
      </c>
      <c r="C62" s="146"/>
      <c r="D62" s="147"/>
      <c r="E62" s="147"/>
      <c r="F62" s="148"/>
      <c r="G62" s="91"/>
      <c r="H62" s="91"/>
      <c r="I62" s="91"/>
      <c r="J62" s="92"/>
    </row>
    <row r="63" spans="1:10" x14ac:dyDescent="0.25">
      <c r="A63" s="42">
        <v>55</v>
      </c>
      <c r="B63" s="79">
        <v>43187</v>
      </c>
      <c r="C63" s="146"/>
      <c r="D63" s="147" t="s">
        <v>342</v>
      </c>
      <c r="E63" s="147"/>
      <c r="F63" s="148"/>
      <c r="G63" s="91"/>
      <c r="H63" s="91"/>
      <c r="I63" s="91"/>
      <c r="J63" s="92"/>
    </row>
    <row r="64" spans="1:10" x14ac:dyDescent="0.25">
      <c r="A64" s="42">
        <v>56</v>
      </c>
      <c r="B64" s="79">
        <v>43188</v>
      </c>
      <c r="C64" s="146"/>
      <c r="D64" s="147"/>
      <c r="E64" s="147"/>
      <c r="F64" s="148"/>
      <c r="G64" s="91"/>
      <c r="H64" s="91"/>
      <c r="I64" s="91"/>
      <c r="J64" s="92"/>
    </row>
    <row r="65" spans="1:10" ht="204" customHeight="1" x14ac:dyDescent="0.25">
      <c r="A65" s="42">
        <v>57</v>
      </c>
      <c r="B65" s="79">
        <v>43189</v>
      </c>
      <c r="C65" s="89"/>
      <c r="D65" s="85" t="s">
        <v>334</v>
      </c>
      <c r="E65" s="85"/>
      <c r="F65" s="90"/>
      <c r="G65" s="91"/>
      <c r="H65" s="91"/>
      <c r="I65" s="91"/>
      <c r="J65" s="92"/>
    </row>
    <row r="66" spans="1:10" ht="181.5" customHeight="1" x14ac:dyDescent="0.25">
      <c r="A66" s="42">
        <v>58</v>
      </c>
      <c r="B66" s="79">
        <v>43190</v>
      </c>
      <c r="C66" s="89" t="s">
        <v>337</v>
      </c>
      <c r="D66" s="85" t="s">
        <v>335</v>
      </c>
      <c r="E66" s="85" t="s">
        <v>336</v>
      </c>
      <c r="F66" s="90"/>
      <c r="G66" s="91"/>
      <c r="H66" s="91"/>
      <c r="I66" s="91"/>
      <c r="J66" s="92"/>
    </row>
    <row r="67" spans="1:10" ht="299.45" customHeight="1" x14ac:dyDescent="0.25">
      <c r="A67" s="42">
        <v>59</v>
      </c>
      <c r="B67" s="79">
        <v>43191</v>
      </c>
      <c r="C67" s="89" t="s">
        <v>338</v>
      </c>
      <c r="D67" s="85" t="s">
        <v>339</v>
      </c>
      <c r="E67" s="85" t="s">
        <v>341</v>
      </c>
      <c r="F67" s="90"/>
      <c r="G67" s="91"/>
      <c r="H67" s="91"/>
      <c r="I67" s="91"/>
      <c r="J67" s="92"/>
    </row>
    <row r="68" spans="1:10" ht="24" x14ac:dyDescent="0.25">
      <c r="A68" s="42">
        <v>60</v>
      </c>
      <c r="B68" s="79">
        <v>43192</v>
      </c>
      <c r="C68" s="89"/>
      <c r="D68" s="85" t="s">
        <v>343</v>
      </c>
      <c r="E68" s="85"/>
      <c r="F68" s="90"/>
      <c r="G68" s="91"/>
      <c r="H68" s="91"/>
      <c r="I68" s="91"/>
      <c r="J68" s="92"/>
    </row>
    <row r="69" spans="1:10" ht="201.75" customHeight="1" x14ac:dyDescent="0.25">
      <c r="A69" s="42">
        <v>61</v>
      </c>
      <c r="B69" s="79">
        <v>43193</v>
      </c>
      <c r="C69" s="89" t="s">
        <v>346</v>
      </c>
      <c r="D69" s="85" t="s">
        <v>344</v>
      </c>
      <c r="E69" s="85" t="s">
        <v>345</v>
      </c>
      <c r="F69" s="90"/>
      <c r="G69" s="91"/>
      <c r="H69" s="91"/>
      <c r="I69" s="91"/>
      <c r="J69" s="92"/>
    </row>
    <row r="70" spans="1:10" ht="96" x14ac:dyDescent="0.25">
      <c r="A70" s="42">
        <v>62</v>
      </c>
      <c r="B70" s="79">
        <v>43194</v>
      </c>
      <c r="C70" s="89"/>
      <c r="D70" s="85"/>
      <c r="E70" s="85" t="s">
        <v>347</v>
      </c>
      <c r="F70" s="90"/>
      <c r="G70" s="91"/>
      <c r="H70" s="91"/>
      <c r="I70" s="91"/>
      <c r="J70" s="92"/>
    </row>
    <row r="71" spans="1:10" ht="48" x14ac:dyDescent="0.25">
      <c r="A71" s="42">
        <v>63</v>
      </c>
      <c r="B71" s="79">
        <v>43195</v>
      </c>
      <c r="C71" s="89"/>
      <c r="D71" s="85" t="s">
        <v>348</v>
      </c>
      <c r="E71" s="85"/>
      <c r="F71" s="90"/>
      <c r="G71" s="91"/>
      <c r="H71" s="91"/>
      <c r="I71" s="91"/>
      <c r="J71" s="92"/>
    </row>
    <row r="72" spans="1:10" ht="24" x14ac:dyDescent="0.25">
      <c r="A72" s="42">
        <v>64</v>
      </c>
      <c r="B72" s="79">
        <v>43196</v>
      </c>
      <c r="C72" s="89"/>
      <c r="D72" s="85" t="s">
        <v>349</v>
      </c>
      <c r="E72" s="85"/>
      <c r="F72" s="90"/>
      <c r="G72" s="91"/>
      <c r="H72" s="91"/>
      <c r="I72" s="91"/>
      <c r="J72" s="92"/>
    </row>
    <row r="73" spans="1:10" ht="36" x14ac:dyDescent="0.25">
      <c r="A73" s="42">
        <v>65</v>
      </c>
      <c r="B73" s="79">
        <v>43197</v>
      </c>
      <c r="C73" s="89"/>
      <c r="D73" s="85" t="s">
        <v>350</v>
      </c>
      <c r="E73" s="85"/>
      <c r="F73" s="90"/>
      <c r="G73" s="91"/>
      <c r="H73" s="91"/>
      <c r="I73" s="91"/>
      <c r="J73" s="92"/>
    </row>
    <row r="74" spans="1:10" ht="96" x14ac:dyDescent="0.25">
      <c r="A74" s="42">
        <v>66</v>
      </c>
      <c r="B74" s="79">
        <v>43198</v>
      </c>
      <c r="C74" s="89"/>
      <c r="D74" s="85" t="s">
        <v>351</v>
      </c>
      <c r="E74" s="85"/>
      <c r="F74" s="90"/>
      <c r="G74" s="91"/>
      <c r="H74" s="91"/>
      <c r="I74" s="91"/>
      <c r="J74" s="92"/>
    </row>
    <row r="75" spans="1:10" ht="408" x14ac:dyDescent="0.25">
      <c r="A75" s="42">
        <v>67</v>
      </c>
      <c r="B75" s="79">
        <v>43199</v>
      </c>
      <c r="C75" s="89" t="s">
        <v>352</v>
      </c>
      <c r="D75" s="85" t="s">
        <v>353</v>
      </c>
      <c r="E75" s="85" t="s">
        <v>354</v>
      </c>
      <c r="F75" s="90"/>
      <c r="G75" s="91"/>
      <c r="H75" s="91"/>
      <c r="I75" s="91"/>
      <c r="J75" s="92"/>
    </row>
    <row r="76" spans="1:10" ht="48" x14ac:dyDescent="0.25">
      <c r="A76" s="42">
        <v>68</v>
      </c>
      <c r="B76" s="79">
        <v>43200</v>
      </c>
      <c r="C76" s="89"/>
      <c r="D76" s="85" t="s">
        <v>355</v>
      </c>
      <c r="E76" s="85"/>
      <c r="F76" s="90"/>
      <c r="G76" s="91"/>
      <c r="H76" s="91"/>
      <c r="I76" s="91"/>
      <c r="J76" s="92"/>
    </row>
    <row r="77" spans="1:10" ht="132" x14ac:dyDescent="0.25">
      <c r="A77" s="42">
        <v>69</v>
      </c>
      <c r="B77" s="79">
        <v>43201</v>
      </c>
      <c r="C77" s="89"/>
      <c r="D77" s="85" t="s">
        <v>356</v>
      </c>
      <c r="E77" s="85" t="s">
        <v>357</v>
      </c>
      <c r="F77" s="90"/>
      <c r="G77" s="91"/>
      <c r="H77" s="91"/>
      <c r="I77" s="91"/>
      <c r="J77" s="92"/>
    </row>
    <row r="78" spans="1:10" ht="72" x14ac:dyDescent="0.25">
      <c r="A78" s="42">
        <v>70</v>
      </c>
      <c r="B78" s="79">
        <v>43202</v>
      </c>
      <c r="C78" s="89"/>
      <c r="D78" s="85" t="s">
        <v>358</v>
      </c>
      <c r="E78" s="85" t="s">
        <v>359</v>
      </c>
      <c r="F78" s="90"/>
      <c r="G78" s="91"/>
      <c r="H78" s="91"/>
      <c r="I78" s="91"/>
      <c r="J78" s="92"/>
    </row>
    <row r="79" spans="1:10" x14ac:dyDescent="0.25">
      <c r="A79" s="42">
        <v>71</v>
      </c>
      <c r="B79" s="79">
        <v>43203</v>
      </c>
      <c r="C79" s="89"/>
      <c r="D79" s="85"/>
      <c r="E79" s="85" t="s">
        <v>360</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361</v>
      </c>
      <c r="F81" s="90"/>
      <c r="G81" s="91"/>
      <c r="H81" s="91"/>
      <c r="I81" s="91"/>
      <c r="J81" s="92"/>
    </row>
    <row r="82" spans="1:10" ht="24" x14ac:dyDescent="0.25">
      <c r="A82" s="42">
        <v>74</v>
      </c>
      <c r="B82" s="79">
        <v>43206</v>
      </c>
      <c r="C82" s="89"/>
      <c r="D82" s="85"/>
      <c r="E82" s="85" t="s">
        <v>362</v>
      </c>
      <c r="F82" s="90"/>
      <c r="G82" s="91"/>
      <c r="H82" s="91"/>
      <c r="I82" s="91"/>
      <c r="J82" s="92"/>
    </row>
    <row r="83" spans="1:10" ht="162.6" customHeight="1" x14ac:dyDescent="0.25">
      <c r="A83" s="42">
        <v>75</v>
      </c>
      <c r="B83" s="79">
        <v>43207</v>
      </c>
      <c r="C83" s="89" t="s">
        <v>367</v>
      </c>
      <c r="D83" s="85" t="s">
        <v>365</v>
      </c>
      <c r="E83" s="85"/>
      <c r="F83" s="90"/>
      <c r="G83" s="91"/>
      <c r="H83" s="91"/>
      <c r="I83" s="91"/>
      <c r="J83" s="92"/>
    </row>
    <row r="84" spans="1:10" x14ac:dyDescent="0.25">
      <c r="A84" s="42">
        <v>76</v>
      </c>
      <c r="B84" s="79">
        <v>43208</v>
      </c>
      <c r="C84" s="89"/>
      <c r="D84" s="85" t="s">
        <v>372</v>
      </c>
      <c r="E84" s="85"/>
      <c r="F84" s="90"/>
      <c r="G84" s="91"/>
      <c r="H84" s="91"/>
      <c r="I84" s="91"/>
      <c r="J84" s="92"/>
    </row>
    <row r="85" spans="1:10" ht="96" x14ac:dyDescent="0.25">
      <c r="A85" s="42">
        <v>77</v>
      </c>
      <c r="B85" s="79">
        <v>43209</v>
      </c>
      <c r="C85" s="89" t="s">
        <v>374</v>
      </c>
      <c r="D85" s="85" t="s">
        <v>376</v>
      </c>
      <c r="E85" s="85" t="s">
        <v>375</v>
      </c>
      <c r="F85" s="90"/>
      <c r="G85" s="91"/>
      <c r="H85" s="91"/>
      <c r="I85" s="91"/>
      <c r="J85" s="92"/>
    </row>
    <row r="86" spans="1:10" ht="144" x14ac:dyDescent="0.25">
      <c r="A86" s="42">
        <v>78</v>
      </c>
      <c r="B86" s="79">
        <v>43210</v>
      </c>
      <c r="C86" s="89" t="s">
        <v>379</v>
      </c>
      <c r="D86" s="85" t="s">
        <v>377</v>
      </c>
      <c r="E86" s="85" t="s">
        <v>378</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49" t="s">
        <v>380</v>
      </c>
      <c r="F89" s="90"/>
      <c r="G89" s="91"/>
      <c r="H89" s="91"/>
      <c r="I89" s="91"/>
      <c r="J89" s="92"/>
    </row>
    <row r="90" spans="1:10" ht="409.5" x14ac:dyDescent="0.25">
      <c r="A90" s="42">
        <v>82</v>
      </c>
      <c r="B90" s="79">
        <v>43214</v>
      </c>
      <c r="C90" s="89" t="s">
        <v>382</v>
      </c>
      <c r="D90" s="85" t="s">
        <v>381</v>
      </c>
      <c r="E90" s="85" t="s">
        <v>383</v>
      </c>
      <c r="F90" s="90"/>
      <c r="G90" s="91"/>
      <c r="H90" s="91"/>
      <c r="I90" s="91"/>
      <c r="J90" s="92"/>
    </row>
    <row r="91" spans="1:10" ht="36" x14ac:dyDescent="0.25">
      <c r="A91" s="42">
        <v>83</v>
      </c>
      <c r="B91" s="79">
        <v>43215</v>
      </c>
      <c r="C91" s="89"/>
      <c r="D91" s="85"/>
      <c r="E91" s="85" t="s">
        <v>384</v>
      </c>
      <c r="F91" s="90"/>
      <c r="G91" s="91"/>
      <c r="H91" s="91"/>
      <c r="I91" s="91"/>
      <c r="J91" s="92"/>
    </row>
    <row r="92" spans="1:10" ht="74.25" customHeight="1" x14ac:dyDescent="0.25">
      <c r="A92" s="42">
        <v>84</v>
      </c>
      <c r="B92" s="79">
        <v>43216</v>
      </c>
      <c r="C92" s="89" t="s">
        <v>387</v>
      </c>
      <c r="D92" s="85" t="s">
        <v>386</v>
      </c>
      <c r="E92" s="85" t="s">
        <v>385</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388</v>
      </c>
      <c r="E94" s="85"/>
      <c r="F94" s="90"/>
      <c r="G94" s="91"/>
      <c r="H94" s="91"/>
      <c r="I94" s="91"/>
      <c r="J94" s="92"/>
    </row>
    <row r="95" spans="1:10" ht="144" x14ac:dyDescent="0.25">
      <c r="A95" s="42">
        <v>87</v>
      </c>
      <c r="B95" s="79">
        <v>43219</v>
      </c>
      <c r="C95" s="89"/>
      <c r="D95" s="85" t="s">
        <v>390</v>
      </c>
      <c r="E95" s="85" t="s">
        <v>391</v>
      </c>
      <c r="F95" s="90"/>
      <c r="G95" s="91"/>
      <c r="H95" s="91"/>
      <c r="I95" s="91"/>
      <c r="J95" s="92"/>
    </row>
    <row r="96" spans="1:10" ht="60" x14ac:dyDescent="0.25">
      <c r="A96" s="42">
        <v>88</v>
      </c>
      <c r="B96" s="79">
        <v>43220</v>
      </c>
      <c r="C96" s="89"/>
      <c r="D96" s="85" t="s">
        <v>392</v>
      </c>
      <c r="E96" s="85"/>
      <c r="F96" s="90"/>
      <c r="G96" s="91"/>
      <c r="H96" s="91"/>
      <c r="I96" s="91"/>
      <c r="J96" s="92"/>
    </row>
    <row r="97" spans="1:10" ht="48" x14ac:dyDescent="0.25">
      <c r="A97" s="42">
        <v>89</v>
      </c>
      <c r="B97" s="79">
        <v>43221</v>
      </c>
      <c r="C97" s="89"/>
      <c r="D97" s="85" t="s">
        <v>393</v>
      </c>
      <c r="E97" s="158" t="s">
        <v>394</v>
      </c>
      <c r="F97" s="90"/>
      <c r="G97" s="91"/>
      <c r="H97" s="91"/>
      <c r="I97" s="91"/>
      <c r="J97" s="92"/>
    </row>
    <row r="98" spans="1:10" ht="36" x14ac:dyDescent="0.25">
      <c r="A98" s="42">
        <v>90</v>
      </c>
      <c r="B98" s="79">
        <v>43222</v>
      </c>
      <c r="C98" s="89"/>
      <c r="D98" s="85" t="s">
        <v>395</v>
      </c>
      <c r="E98" s="85" t="s">
        <v>396</v>
      </c>
      <c r="F98" s="90"/>
      <c r="G98" s="91"/>
      <c r="H98" s="91"/>
      <c r="I98" s="91"/>
      <c r="J98" s="92"/>
    </row>
    <row r="99" spans="1:10" x14ac:dyDescent="0.25">
      <c r="A99" s="42">
        <v>91</v>
      </c>
      <c r="B99" s="79">
        <v>43223</v>
      </c>
      <c r="C99" s="89"/>
      <c r="D99" s="85" t="s">
        <v>397</v>
      </c>
      <c r="E99" s="85"/>
      <c r="F99" s="90"/>
      <c r="G99" s="91"/>
      <c r="H99" s="91"/>
      <c r="I99" s="91"/>
      <c r="J99" s="92"/>
    </row>
    <row r="100" spans="1:10" ht="36" x14ac:dyDescent="0.25">
      <c r="A100" s="42">
        <v>92</v>
      </c>
      <c r="B100" s="79">
        <v>43224</v>
      </c>
      <c r="C100" s="89"/>
      <c r="D100" s="85" t="s">
        <v>398</v>
      </c>
      <c r="E100" s="85"/>
      <c r="F100" s="90"/>
      <c r="G100" s="91"/>
      <c r="H100" s="91"/>
      <c r="I100" s="91"/>
      <c r="J100" s="92"/>
    </row>
    <row r="101" spans="1:10" ht="36" x14ac:dyDescent="0.25">
      <c r="A101" s="42">
        <v>93</v>
      </c>
      <c r="B101" s="79">
        <v>43225</v>
      </c>
      <c r="C101" s="89"/>
      <c r="D101" s="85" t="s">
        <v>399</v>
      </c>
      <c r="E101" s="85"/>
      <c r="F101" s="90"/>
      <c r="G101" s="91"/>
      <c r="H101" s="91"/>
      <c r="I101" s="91"/>
      <c r="J101" s="92"/>
    </row>
    <row r="102" spans="1:10" ht="240" x14ac:dyDescent="0.25">
      <c r="A102" s="42">
        <v>94</v>
      </c>
      <c r="B102" s="79">
        <v>43226</v>
      </c>
      <c r="C102" s="89" t="s">
        <v>402</v>
      </c>
      <c r="D102" s="85" t="s">
        <v>400</v>
      </c>
      <c r="E102" s="85" t="s">
        <v>401</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404</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405</v>
      </c>
      <c r="E108" s="85" t="s">
        <v>406</v>
      </c>
      <c r="F108" s="90"/>
      <c r="G108" s="91"/>
      <c r="H108" s="91"/>
      <c r="I108" s="91"/>
      <c r="J108" s="92"/>
    </row>
    <row r="109" spans="1:10" ht="240" x14ac:dyDescent="0.25">
      <c r="A109" s="42">
        <v>101</v>
      </c>
      <c r="B109" s="79">
        <v>43233</v>
      </c>
      <c r="C109" s="89" t="s">
        <v>408</v>
      </c>
      <c r="D109" s="85" t="s">
        <v>407</v>
      </c>
      <c r="E109" s="85" t="s">
        <v>409</v>
      </c>
      <c r="F109" s="90"/>
      <c r="G109" s="91"/>
      <c r="H109" s="91"/>
      <c r="I109" s="91"/>
      <c r="J109" s="92"/>
    </row>
    <row r="110" spans="1:10" ht="36" x14ac:dyDescent="0.25">
      <c r="A110" s="42">
        <v>102</v>
      </c>
      <c r="B110" s="79">
        <v>43234</v>
      </c>
      <c r="C110" s="89"/>
      <c r="D110" s="85" t="s">
        <v>410</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412</v>
      </c>
      <c r="D112" s="85" t="s">
        <v>411</v>
      </c>
      <c r="E112" s="85"/>
      <c r="F112" s="90"/>
      <c r="G112" s="91"/>
      <c r="H112" s="91"/>
      <c r="I112" s="91"/>
      <c r="J112" s="92"/>
    </row>
    <row r="113" spans="1:10" ht="72" x14ac:dyDescent="0.25">
      <c r="A113" s="42">
        <v>105</v>
      </c>
      <c r="B113" s="79">
        <v>43237</v>
      </c>
      <c r="C113" s="89"/>
      <c r="D113" s="85" t="s">
        <v>413</v>
      </c>
      <c r="E113" s="85" t="s">
        <v>414</v>
      </c>
      <c r="F113" s="90"/>
      <c r="G113" s="91"/>
      <c r="H113" s="91"/>
      <c r="I113" s="91"/>
      <c r="J113" s="92"/>
    </row>
    <row r="114" spans="1:10" ht="144" x14ac:dyDescent="0.25">
      <c r="A114" s="42">
        <v>106</v>
      </c>
      <c r="B114" s="79">
        <v>43238</v>
      </c>
      <c r="C114" s="89" t="s">
        <v>416</v>
      </c>
      <c r="D114" s="85" t="s">
        <v>415</v>
      </c>
      <c r="E114" s="85" t="s">
        <v>417</v>
      </c>
      <c r="F114" s="90" t="s">
        <v>418</v>
      </c>
      <c r="G114" s="91"/>
      <c r="H114" s="91"/>
      <c r="I114" s="91"/>
      <c r="J114" s="92"/>
    </row>
    <row r="115" spans="1:10" ht="132" x14ac:dyDescent="0.25">
      <c r="A115" s="42">
        <v>107</v>
      </c>
      <c r="B115" s="79">
        <v>43239</v>
      </c>
      <c r="C115" s="89"/>
      <c r="D115" s="85" t="s">
        <v>419</v>
      </c>
      <c r="E115" s="85" t="s">
        <v>420</v>
      </c>
      <c r="F115" s="90"/>
      <c r="G115" s="91"/>
      <c r="H115" s="91"/>
      <c r="I115" s="91"/>
      <c r="J115" s="92"/>
    </row>
    <row r="116" spans="1:10" ht="409.5" customHeight="1" x14ac:dyDescent="0.25">
      <c r="A116" s="42">
        <v>108</v>
      </c>
      <c r="B116" s="79">
        <v>43240</v>
      </c>
      <c r="C116" s="89" t="s">
        <v>423</v>
      </c>
      <c r="D116" s="85" t="s">
        <v>422</v>
      </c>
      <c r="E116" s="85" t="s">
        <v>421</v>
      </c>
      <c r="F116" s="90"/>
      <c r="G116" s="91"/>
      <c r="H116" s="91"/>
      <c r="I116" s="91"/>
      <c r="J116" s="92"/>
    </row>
    <row r="117" spans="1:10" x14ac:dyDescent="0.25">
      <c r="A117" s="42">
        <v>109</v>
      </c>
      <c r="B117" s="79">
        <v>43241</v>
      </c>
      <c r="C117" s="89"/>
      <c r="D117" s="85" t="s">
        <v>424</v>
      </c>
      <c r="E117" s="85"/>
      <c r="F117" s="90"/>
      <c r="G117" s="91"/>
      <c r="H117" s="91"/>
      <c r="I117" s="91"/>
      <c r="J117" s="92"/>
    </row>
    <row r="118" spans="1:10" ht="60" x14ac:dyDescent="0.25">
      <c r="A118" s="42">
        <v>110</v>
      </c>
      <c r="B118" s="79">
        <v>43242</v>
      </c>
      <c r="C118" s="89"/>
      <c r="D118" s="85" t="s">
        <v>425</v>
      </c>
      <c r="E118" s="85"/>
      <c r="F118" s="90"/>
      <c r="G118" s="91"/>
      <c r="H118" s="91"/>
      <c r="I118" s="91"/>
      <c r="J118" s="92"/>
    </row>
    <row r="119" spans="1:10" ht="24" x14ac:dyDescent="0.25">
      <c r="A119" s="42">
        <v>111</v>
      </c>
      <c r="B119" s="79">
        <v>43243</v>
      </c>
      <c r="C119" s="89"/>
      <c r="D119" s="85" t="s">
        <v>426</v>
      </c>
      <c r="E119" s="85" t="s">
        <v>427</v>
      </c>
      <c r="F119" s="90"/>
      <c r="G119" s="91"/>
      <c r="H119" s="91"/>
      <c r="I119" s="91"/>
      <c r="J119" s="92"/>
    </row>
    <row r="120" spans="1:10" ht="36" x14ac:dyDescent="0.25">
      <c r="A120" s="42">
        <v>112</v>
      </c>
      <c r="B120" s="79">
        <v>43244</v>
      </c>
      <c r="C120" s="89"/>
      <c r="D120" s="85"/>
      <c r="E120" s="85" t="s">
        <v>428</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431</v>
      </c>
      <c r="D122" s="85" t="s">
        <v>430</v>
      </c>
      <c r="E122" s="85" t="s">
        <v>429</v>
      </c>
      <c r="F122" s="90"/>
      <c r="G122" s="91"/>
      <c r="H122" s="91"/>
      <c r="I122" s="91"/>
      <c r="J122" s="92"/>
    </row>
    <row r="123" spans="1:10" ht="24" x14ac:dyDescent="0.25">
      <c r="A123" s="42">
        <v>115</v>
      </c>
      <c r="B123" s="79">
        <v>43247</v>
      </c>
      <c r="C123" s="89" t="s">
        <v>432</v>
      </c>
      <c r="D123" s="85" t="s">
        <v>433</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434</v>
      </c>
      <c r="E125" s="85" t="s">
        <v>435</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436</v>
      </c>
      <c r="D127" s="85" t="s">
        <v>437</v>
      </c>
      <c r="E127" s="85"/>
      <c r="F127" s="90"/>
      <c r="G127" s="91"/>
      <c r="H127" s="91"/>
      <c r="I127" s="91"/>
      <c r="J127" s="92"/>
    </row>
    <row r="128" spans="1:10" x14ac:dyDescent="0.25">
      <c r="A128" s="42">
        <v>120</v>
      </c>
      <c r="B128" s="79">
        <v>43252</v>
      </c>
      <c r="C128" s="89"/>
      <c r="D128" s="85"/>
      <c r="E128" s="85"/>
      <c r="F128" s="90"/>
      <c r="G128" s="91"/>
      <c r="H128" s="91"/>
      <c r="I128" s="91"/>
      <c r="J128" s="92"/>
    </row>
    <row r="129" spans="1:10" ht="84" x14ac:dyDescent="0.25">
      <c r="A129" s="42">
        <v>121</v>
      </c>
      <c r="B129" s="79">
        <v>43253</v>
      </c>
      <c r="C129" s="89" t="s">
        <v>439</v>
      </c>
      <c r="D129" s="85" t="s">
        <v>438</v>
      </c>
      <c r="E129" s="85" t="s">
        <v>440</v>
      </c>
      <c r="F129" s="90"/>
      <c r="G129" s="91"/>
      <c r="H129" s="91"/>
      <c r="I129" s="91"/>
      <c r="J129" s="92"/>
    </row>
    <row r="130" spans="1:10" ht="72" x14ac:dyDescent="0.25">
      <c r="A130" s="42">
        <v>122</v>
      </c>
      <c r="B130" s="79">
        <v>43254</v>
      </c>
      <c r="C130" s="89" t="s">
        <v>442</v>
      </c>
      <c r="D130" s="85" t="s">
        <v>441</v>
      </c>
      <c r="E130" s="85" t="s">
        <v>443</v>
      </c>
      <c r="F130" s="90"/>
      <c r="G130" s="91"/>
      <c r="H130" s="91"/>
      <c r="I130" s="91"/>
      <c r="J130" s="92"/>
    </row>
    <row r="131" spans="1:10" ht="36" x14ac:dyDescent="0.25">
      <c r="A131" s="42">
        <v>123</v>
      </c>
      <c r="B131" s="79">
        <v>43255</v>
      </c>
      <c r="C131" s="89"/>
      <c r="D131" s="85" t="s">
        <v>444</v>
      </c>
      <c r="E131" s="85"/>
      <c r="F131" s="90"/>
      <c r="G131" s="91"/>
      <c r="H131" s="91"/>
      <c r="I131" s="91"/>
      <c r="J131" s="92"/>
    </row>
    <row r="132" spans="1:10" ht="36" x14ac:dyDescent="0.25">
      <c r="A132" s="42">
        <v>124</v>
      </c>
      <c r="B132" s="79">
        <v>43256</v>
      </c>
      <c r="C132" s="89" t="s">
        <v>445</v>
      </c>
      <c r="D132" s="85" t="s">
        <v>446</v>
      </c>
      <c r="E132" s="85" t="s">
        <v>447</v>
      </c>
      <c r="F132" s="90"/>
      <c r="G132" s="91"/>
      <c r="H132" s="91"/>
      <c r="I132" s="91"/>
      <c r="J132" s="92"/>
    </row>
    <row r="133" spans="1:10" ht="24" x14ac:dyDescent="0.25">
      <c r="A133" s="42">
        <v>125</v>
      </c>
      <c r="B133" s="79">
        <v>43257</v>
      </c>
      <c r="C133" s="89"/>
      <c r="D133" s="85" t="s">
        <v>449</v>
      </c>
      <c r="E133" s="85" t="s">
        <v>448</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450</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452</v>
      </c>
      <c r="D137" s="94" t="s">
        <v>451</v>
      </c>
      <c r="E137" s="85" t="s">
        <v>453</v>
      </c>
      <c r="F137" s="90"/>
      <c r="G137" s="91"/>
      <c r="H137" s="91"/>
      <c r="I137" s="91"/>
      <c r="J137" s="92"/>
    </row>
    <row r="138" spans="1:10" ht="120" x14ac:dyDescent="0.25">
      <c r="A138" s="42">
        <v>130</v>
      </c>
      <c r="B138" s="79">
        <v>43262</v>
      </c>
      <c r="C138" s="89" t="s">
        <v>455</v>
      </c>
      <c r="D138" s="85" t="s">
        <v>454</v>
      </c>
      <c r="E138" s="94" t="s">
        <v>456</v>
      </c>
      <c r="F138" s="90"/>
      <c r="G138" s="91"/>
      <c r="H138" s="91"/>
      <c r="I138" s="91"/>
      <c r="J138" s="92"/>
    </row>
    <row r="139" spans="1:10" ht="48" x14ac:dyDescent="0.25">
      <c r="A139" s="42">
        <v>131</v>
      </c>
      <c r="B139" s="79">
        <v>43263</v>
      </c>
      <c r="C139" s="89"/>
      <c r="D139" s="85" t="s">
        <v>457</v>
      </c>
      <c r="E139" s="85"/>
      <c r="F139" s="90"/>
      <c r="G139" s="91"/>
      <c r="H139" s="91"/>
      <c r="I139" s="91"/>
      <c r="J139" s="92"/>
    </row>
    <row r="140" spans="1:10" x14ac:dyDescent="0.25">
      <c r="A140" s="42">
        <v>132</v>
      </c>
      <c r="B140" s="79">
        <v>43264</v>
      </c>
      <c r="C140" s="89"/>
      <c r="D140" s="85" t="s">
        <v>459</v>
      </c>
      <c r="E140" s="85"/>
      <c r="F140" s="90"/>
      <c r="G140" s="91"/>
      <c r="H140" s="91"/>
      <c r="I140" s="91"/>
      <c r="J140" s="92"/>
    </row>
    <row r="141" spans="1:10" x14ac:dyDescent="0.25">
      <c r="A141" s="42">
        <v>133</v>
      </c>
      <c r="B141" s="79">
        <v>43265</v>
      </c>
      <c r="C141" s="89"/>
      <c r="D141" s="85" t="s">
        <v>460</v>
      </c>
      <c r="E141" s="85"/>
      <c r="F141" s="90"/>
      <c r="G141" s="91"/>
      <c r="H141" s="91"/>
      <c r="I141" s="91"/>
      <c r="J141" s="92"/>
    </row>
    <row r="142" spans="1:10" ht="132" x14ac:dyDescent="0.25">
      <c r="A142" s="42">
        <v>134</v>
      </c>
      <c r="B142" s="79">
        <v>43266</v>
      </c>
      <c r="C142" s="89" t="s">
        <v>458</v>
      </c>
      <c r="D142" s="85" t="s">
        <v>461</v>
      </c>
      <c r="E142" s="85"/>
      <c r="F142" s="90"/>
      <c r="G142" s="91"/>
      <c r="H142" s="91"/>
      <c r="I142" s="91"/>
      <c r="J142" s="92"/>
    </row>
    <row r="143" spans="1:10" ht="156" x14ac:dyDescent="0.25">
      <c r="A143" s="42">
        <v>135</v>
      </c>
      <c r="B143" s="79">
        <v>43267</v>
      </c>
      <c r="C143" s="89" t="s">
        <v>465</v>
      </c>
      <c r="D143" s="94" t="s">
        <v>464</v>
      </c>
      <c r="E143" s="149" t="s">
        <v>463</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468</v>
      </c>
      <c r="D145" s="85" t="s">
        <v>466</v>
      </c>
      <c r="E145" s="85" t="s">
        <v>467</v>
      </c>
      <c r="F145" s="90"/>
      <c r="G145" s="91"/>
      <c r="H145" s="91"/>
      <c r="I145" s="91"/>
      <c r="J145" s="92"/>
    </row>
    <row r="146" spans="1:10" ht="120" x14ac:dyDescent="0.25">
      <c r="A146" s="42">
        <v>138</v>
      </c>
      <c r="B146" s="79">
        <v>43270</v>
      </c>
      <c r="C146" s="89" t="s">
        <v>471</v>
      </c>
      <c r="D146" s="85" t="s">
        <v>470</v>
      </c>
      <c r="E146" s="94" t="s">
        <v>469</v>
      </c>
      <c r="F146" s="90"/>
      <c r="G146" s="91"/>
      <c r="H146" s="91"/>
      <c r="I146" s="91"/>
      <c r="J146" s="92"/>
    </row>
    <row r="147" spans="1:10" x14ac:dyDescent="0.25">
      <c r="A147" s="42">
        <v>139</v>
      </c>
      <c r="B147" s="79">
        <v>43271</v>
      </c>
      <c r="C147" s="89" t="s">
        <v>475</v>
      </c>
      <c r="D147" s="85"/>
      <c r="E147" s="85"/>
      <c r="F147" s="90"/>
      <c r="G147" s="91"/>
      <c r="H147" s="91"/>
      <c r="I147" s="91"/>
      <c r="J147" s="92"/>
    </row>
    <row r="148" spans="1:10" ht="24" x14ac:dyDescent="0.25">
      <c r="A148" s="42">
        <v>140</v>
      </c>
      <c r="B148" s="79">
        <v>43272</v>
      </c>
      <c r="C148" s="89" t="s">
        <v>475</v>
      </c>
      <c r="D148" s="85" t="s">
        <v>476</v>
      </c>
      <c r="E148" s="85" t="s">
        <v>477</v>
      </c>
      <c r="F148" s="90"/>
      <c r="G148" s="91"/>
      <c r="H148" s="91"/>
      <c r="I148" s="91"/>
      <c r="J148" s="92"/>
    </row>
    <row r="149" spans="1:10" x14ac:dyDescent="0.25">
      <c r="A149" s="42">
        <v>141</v>
      </c>
      <c r="B149" s="79">
        <v>43273</v>
      </c>
      <c r="C149" s="89" t="s">
        <v>478</v>
      </c>
      <c r="D149" s="85"/>
      <c r="E149" s="85"/>
      <c r="F149" s="90"/>
      <c r="G149" s="91"/>
      <c r="H149" s="91"/>
      <c r="I149" s="91"/>
      <c r="J149" s="92"/>
    </row>
    <row r="150" spans="1:10" ht="108" x14ac:dyDescent="0.25">
      <c r="A150" s="42">
        <v>142</v>
      </c>
      <c r="B150" s="79">
        <v>43274</v>
      </c>
      <c r="C150" s="89" t="s">
        <v>478</v>
      </c>
      <c r="D150" s="85" t="s">
        <v>479</v>
      </c>
      <c r="E150" s="85" t="s">
        <v>480</v>
      </c>
      <c r="F150" s="90"/>
      <c r="G150" s="91"/>
      <c r="H150" s="91"/>
      <c r="I150" s="91"/>
      <c r="J150" s="92"/>
    </row>
    <row r="151" spans="1:10" ht="60" x14ac:dyDescent="0.25">
      <c r="A151" s="42">
        <v>143</v>
      </c>
      <c r="B151" s="79">
        <v>43275</v>
      </c>
      <c r="C151" s="89" t="s">
        <v>481</v>
      </c>
      <c r="D151" s="85" t="s">
        <v>482</v>
      </c>
      <c r="E151" s="85"/>
      <c r="F151" s="90"/>
      <c r="G151" s="91"/>
      <c r="H151" s="91"/>
      <c r="I151" s="91"/>
      <c r="J151" s="92"/>
    </row>
    <row r="152" spans="1:10" ht="24" x14ac:dyDescent="0.25">
      <c r="A152" s="42">
        <v>144</v>
      </c>
      <c r="B152" s="79">
        <v>43276</v>
      </c>
      <c r="C152" s="93" t="s">
        <v>483</v>
      </c>
      <c r="D152" s="85"/>
      <c r="E152" s="85"/>
      <c r="F152" s="90"/>
      <c r="G152" s="91"/>
      <c r="H152" s="91"/>
      <c r="I152" s="91"/>
      <c r="J152" s="92"/>
    </row>
    <row r="153" spans="1:10" ht="60" x14ac:dyDescent="0.25">
      <c r="A153" s="42">
        <v>145</v>
      </c>
      <c r="B153" s="79">
        <v>43277</v>
      </c>
      <c r="C153" s="89" t="s">
        <v>484</v>
      </c>
      <c r="D153" s="85" t="s">
        <v>485</v>
      </c>
      <c r="E153" s="85"/>
      <c r="F153" s="90"/>
      <c r="G153" s="91"/>
      <c r="H153" s="91"/>
      <c r="I153" s="91"/>
      <c r="J153" s="92"/>
    </row>
    <row r="154" spans="1:10" x14ac:dyDescent="0.25">
      <c r="A154" s="42">
        <v>146</v>
      </c>
      <c r="B154" s="79">
        <v>43278</v>
      </c>
      <c r="C154" s="89"/>
      <c r="D154" s="85"/>
      <c r="E154" s="85"/>
      <c r="F154" s="90"/>
      <c r="G154" s="91"/>
      <c r="H154" s="91"/>
      <c r="I154" s="91"/>
      <c r="J154" s="92"/>
    </row>
    <row r="155" spans="1:10" ht="132" x14ac:dyDescent="0.25">
      <c r="A155" s="42">
        <v>147</v>
      </c>
      <c r="B155" s="79">
        <v>43279</v>
      </c>
      <c r="C155" s="89" t="s">
        <v>488</v>
      </c>
      <c r="D155" s="85" t="s">
        <v>486</v>
      </c>
      <c r="E155" s="85" t="s">
        <v>487</v>
      </c>
      <c r="F155" s="90"/>
      <c r="G155" s="91"/>
      <c r="H155" s="91"/>
      <c r="I155" s="91"/>
      <c r="J155" s="92"/>
    </row>
    <row r="156" spans="1:10" ht="84" x14ac:dyDescent="0.25">
      <c r="A156" s="42">
        <v>148</v>
      </c>
      <c r="B156" s="79">
        <v>43280</v>
      </c>
      <c r="C156" s="89" t="s">
        <v>489</v>
      </c>
      <c r="D156" s="85" t="s">
        <v>490</v>
      </c>
      <c r="E156" s="85" t="s">
        <v>491</v>
      </c>
      <c r="F156" s="90"/>
      <c r="G156" s="91"/>
      <c r="H156" s="91"/>
      <c r="I156" s="91"/>
      <c r="J156" s="92"/>
    </row>
    <row r="157" spans="1:10" x14ac:dyDescent="0.25">
      <c r="A157" s="42">
        <v>149</v>
      </c>
      <c r="B157" s="79">
        <v>43281</v>
      </c>
      <c r="C157" s="85" t="s">
        <v>492</v>
      </c>
      <c r="D157" s="85" t="s">
        <v>493</v>
      </c>
      <c r="E157" s="85" t="s">
        <v>494</v>
      </c>
      <c r="F157" s="90"/>
      <c r="G157" s="91"/>
      <c r="H157" s="91"/>
      <c r="I157" s="91"/>
      <c r="J157" s="92"/>
    </row>
    <row r="158" spans="1:10" ht="192" x14ac:dyDescent="0.25">
      <c r="A158" s="42">
        <v>150</v>
      </c>
      <c r="B158" s="79">
        <v>43282</v>
      </c>
      <c r="C158" s="89" t="s">
        <v>496</v>
      </c>
      <c r="D158" s="85" t="s">
        <v>497</v>
      </c>
      <c r="E158" s="85" t="s">
        <v>495</v>
      </c>
      <c r="F158" s="90"/>
      <c r="G158" s="91"/>
      <c r="H158" s="91"/>
      <c r="I158" s="91"/>
      <c r="J158" s="92"/>
    </row>
    <row r="159" spans="1:10" ht="64.5" customHeight="1" x14ac:dyDescent="0.25">
      <c r="A159" s="42">
        <v>151</v>
      </c>
      <c r="B159" s="79">
        <v>43283</v>
      </c>
      <c r="C159" s="89" t="s">
        <v>499</v>
      </c>
      <c r="D159" s="85" t="s">
        <v>498</v>
      </c>
      <c r="E159" s="85"/>
      <c r="F159" s="90"/>
      <c r="G159" s="91"/>
      <c r="H159" s="91"/>
      <c r="I159" s="91"/>
      <c r="J159" s="92"/>
    </row>
    <row r="160" spans="1:10" ht="144" x14ac:dyDescent="0.25">
      <c r="A160" s="42">
        <v>152</v>
      </c>
      <c r="B160" s="79">
        <v>43284</v>
      </c>
      <c r="C160" s="89" t="s">
        <v>502</v>
      </c>
      <c r="D160" s="85" t="s">
        <v>500</v>
      </c>
      <c r="E160" s="85" t="s">
        <v>501</v>
      </c>
      <c r="F160" s="90"/>
      <c r="G160" s="91"/>
      <c r="H160" s="91"/>
      <c r="I160" s="91"/>
      <c r="J160" s="92"/>
    </row>
    <row r="161" spans="1:10" ht="96" x14ac:dyDescent="0.25">
      <c r="A161" s="42">
        <v>153</v>
      </c>
      <c r="B161" s="79">
        <v>43285</v>
      </c>
      <c r="C161" s="89" t="s">
        <v>504</v>
      </c>
      <c r="D161" s="85" t="s">
        <v>505</v>
      </c>
      <c r="E161" s="85" t="s">
        <v>503</v>
      </c>
      <c r="F161" s="90"/>
      <c r="G161" s="91"/>
      <c r="H161" s="91"/>
      <c r="I161" s="91"/>
      <c r="J161" s="92"/>
    </row>
    <row r="162" spans="1:10" ht="72" customHeight="1" x14ac:dyDescent="0.25">
      <c r="A162" s="42">
        <v>154</v>
      </c>
      <c r="B162" s="79">
        <v>43286</v>
      </c>
      <c r="C162" s="89" t="s">
        <v>506</v>
      </c>
      <c r="D162" s="147" t="s">
        <v>507</v>
      </c>
      <c r="E162" s="85"/>
      <c r="F162" s="90"/>
      <c r="G162" s="91"/>
      <c r="H162" s="91"/>
      <c r="I162" s="91"/>
      <c r="J162" s="92"/>
    </row>
    <row r="163" spans="1:10" ht="48" x14ac:dyDescent="0.25">
      <c r="A163" s="42">
        <v>155</v>
      </c>
      <c r="B163" s="79">
        <v>43287</v>
      </c>
      <c r="C163" s="89" t="s">
        <v>508</v>
      </c>
      <c r="D163" s="85" t="s">
        <v>510</v>
      </c>
      <c r="E163" s="85" t="s">
        <v>509</v>
      </c>
      <c r="F163" s="90"/>
      <c r="G163" s="91"/>
      <c r="H163" s="91"/>
      <c r="I163" s="91"/>
      <c r="J163" s="92"/>
    </row>
    <row r="164" spans="1:10" ht="276" x14ac:dyDescent="0.25">
      <c r="A164" s="42">
        <v>156</v>
      </c>
      <c r="B164" s="79">
        <v>43288</v>
      </c>
      <c r="C164" s="89" t="s">
        <v>513</v>
      </c>
      <c r="D164" s="85" t="s">
        <v>512</v>
      </c>
      <c r="E164" s="85" t="s">
        <v>511</v>
      </c>
      <c r="F164" s="90"/>
      <c r="G164" s="91"/>
      <c r="H164" s="91"/>
      <c r="I164" s="91"/>
      <c r="J164" s="92"/>
    </row>
    <row r="165" spans="1:10" ht="119.25" customHeight="1" x14ac:dyDescent="0.25">
      <c r="A165" s="42">
        <v>157</v>
      </c>
      <c r="B165" s="79">
        <v>43289</v>
      </c>
      <c r="C165" s="89" t="s">
        <v>514</v>
      </c>
      <c r="D165" s="85" t="s">
        <v>515</v>
      </c>
      <c r="E165" s="85" t="s">
        <v>516</v>
      </c>
      <c r="F165" s="90"/>
      <c r="G165" s="91"/>
      <c r="H165" s="91"/>
      <c r="I165" s="91"/>
      <c r="J165" s="92"/>
    </row>
    <row r="166" spans="1:10" ht="96" x14ac:dyDescent="0.25">
      <c r="A166" s="42">
        <v>158</v>
      </c>
      <c r="B166" s="79">
        <v>43290</v>
      </c>
      <c r="C166" s="89" t="s">
        <v>517</v>
      </c>
      <c r="D166" s="85" t="s">
        <v>519</v>
      </c>
      <c r="E166" s="85" t="s">
        <v>518</v>
      </c>
      <c r="F166" s="90"/>
      <c r="G166" s="91"/>
      <c r="H166" s="91"/>
      <c r="I166" s="91"/>
      <c r="J166" s="92"/>
    </row>
    <row r="167" spans="1:10" ht="169.5" customHeight="1" x14ac:dyDescent="0.25">
      <c r="B167" s="79">
        <v>43290</v>
      </c>
      <c r="C167" s="89" t="s">
        <v>520</v>
      </c>
      <c r="D167" s="85" t="s">
        <v>522</v>
      </c>
      <c r="E167" s="85" t="s">
        <v>521</v>
      </c>
      <c r="F167" s="90"/>
      <c r="G167" s="91"/>
      <c r="H167" s="91"/>
      <c r="I167" s="91"/>
      <c r="J167" s="92"/>
    </row>
    <row r="168" spans="1:10" ht="156" x14ac:dyDescent="0.25">
      <c r="A168" s="42">
        <v>159</v>
      </c>
      <c r="B168" s="79">
        <v>43291</v>
      </c>
      <c r="C168" s="89" t="s">
        <v>523</v>
      </c>
      <c r="D168" s="85" t="s">
        <v>524</v>
      </c>
      <c r="E168" s="85" t="s">
        <v>525</v>
      </c>
      <c r="F168" s="90"/>
      <c r="G168" s="91"/>
      <c r="H168" s="91"/>
      <c r="I168" s="91"/>
      <c r="J168" s="92"/>
    </row>
    <row r="169" spans="1:10" ht="129.75" customHeight="1" x14ac:dyDescent="0.25">
      <c r="B169" s="79">
        <v>43291</v>
      </c>
      <c r="C169" s="89" t="s">
        <v>528</v>
      </c>
      <c r="D169" s="85" t="s">
        <v>526</v>
      </c>
      <c r="E169" s="85" t="s">
        <v>527</v>
      </c>
      <c r="F169" s="90"/>
      <c r="G169" s="91"/>
      <c r="H169" s="91"/>
      <c r="I169" s="91"/>
      <c r="J169" s="92"/>
    </row>
    <row r="170" spans="1:10" ht="168" x14ac:dyDescent="0.25">
      <c r="A170" s="42">
        <v>160</v>
      </c>
      <c r="B170" s="79">
        <v>43292</v>
      </c>
      <c r="C170" s="89" t="s">
        <v>529</v>
      </c>
      <c r="D170" s="85" t="s">
        <v>530</v>
      </c>
      <c r="E170" s="85" t="s">
        <v>531</v>
      </c>
      <c r="F170" s="90"/>
      <c r="G170" s="91"/>
      <c r="H170" s="91"/>
      <c r="I170" s="91"/>
      <c r="J170" s="92"/>
    </row>
    <row r="171" spans="1:10" ht="276" x14ac:dyDescent="0.25">
      <c r="A171" s="42">
        <v>161</v>
      </c>
      <c r="B171" s="79">
        <v>43293</v>
      </c>
      <c r="C171" s="89" t="s">
        <v>554</v>
      </c>
      <c r="D171" s="85" t="s">
        <v>552</v>
      </c>
      <c r="E171" s="85" t="s">
        <v>553</v>
      </c>
      <c r="F171" s="90"/>
      <c r="G171" s="91"/>
      <c r="H171" s="91"/>
      <c r="I171" s="91"/>
      <c r="J171" s="92"/>
    </row>
    <row r="172" spans="1:10" ht="72" x14ac:dyDescent="0.25">
      <c r="A172" s="42">
        <v>162</v>
      </c>
      <c r="B172" s="79">
        <v>43294</v>
      </c>
      <c r="C172" s="89" t="s">
        <v>555</v>
      </c>
      <c r="D172" s="85" t="s">
        <v>556</v>
      </c>
      <c r="E172" s="85" t="s">
        <v>557</v>
      </c>
      <c r="F172" s="90"/>
      <c r="G172" s="91"/>
      <c r="H172" s="91"/>
      <c r="I172" s="91"/>
      <c r="J172" s="92"/>
    </row>
    <row r="173" spans="1:10" ht="48" x14ac:dyDescent="0.25">
      <c r="A173" s="42">
        <v>163</v>
      </c>
      <c r="B173" s="79">
        <v>43295</v>
      </c>
      <c r="C173" s="89" t="s">
        <v>558</v>
      </c>
      <c r="D173" s="85" t="s">
        <v>559</v>
      </c>
      <c r="E173" s="85"/>
      <c r="F173" s="90"/>
      <c r="G173" s="91"/>
      <c r="H173" s="91"/>
      <c r="I173" s="91"/>
      <c r="J173" s="92"/>
    </row>
    <row r="174" spans="1:10" ht="60" x14ac:dyDescent="0.25">
      <c r="A174" s="42">
        <v>164</v>
      </c>
      <c r="B174" s="79">
        <v>43296</v>
      </c>
      <c r="C174" s="89"/>
      <c r="D174" s="85" t="s">
        <v>570</v>
      </c>
      <c r="E174" s="85" t="s">
        <v>571</v>
      </c>
      <c r="F174" s="90"/>
      <c r="G174" s="91"/>
      <c r="H174" s="91"/>
      <c r="I174" s="91"/>
      <c r="J174" s="92"/>
    </row>
    <row r="175" spans="1:10" x14ac:dyDescent="0.25">
      <c r="A175" s="42">
        <v>165</v>
      </c>
      <c r="B175" s="79">
        <v>43297</v>
      </c>
      <c r="C175" s="89"/>
      <c r="D175" s="85" t="s">
        <v>570</v>
      </c>
      <c r="E175" s="85"/>
      <c r="F175" s="90"/>
      <c r="G175" s="91"/>
      <c r="H175" s="91"/>
      <c r="I175" s="91"/>
      <c r="J175" s="92"/>
    </row>
    <row r="176" spans="1:10" ht="156" x14ac:dyDescent="0.25">
      <c r="A176" s="42">
        <v>166</v>
      </c>
      <c r="B176" s="79">
        <v>43298</v>
      </c>
      <c r="C176" s="199" t="s">
        <v>574</v>
      </c>
      <c r="D176" s="85" t="s">
        <v>570</v>
      </c>
      <c r="E176" s="200" t="s">
        <v>575</v>
      </c>
      <c r="F176" s="201"/>
      <c r="G176" s="91"/>
      <c r="H176" s="91"/>
      <c r="I176" s="91"/>
      <c r="J176" s="92"/>
    </row>
    <row r="177" spans="1:10" ht="36" x14ac:dyDescent="0.25">
      <c r="A177" s="42">
        <v>167</v>
      </c>
      <c r="B177" s="79">
        <v>43299</v>
      </c>
      <c r="C177" s="89" t="s">
        <v>576</v>
      </c>
      <c r="D177" s="85"/>
      <c r="E177" s="85"/>
      <c r="F177" s="90"/>
      <c r="G177" s="91"/>
      <c r="H177" s="91"/>
      <c r="I177" s="91"/>
      <c r="J177" s="92"/>
    </row>
    <row r="178" spans="1:10" x14ac:dyDescent="0.25">
      <c r="A178" s="42">
        <v>168</v>
      </c>
      <c r="B178" s="79">
        <v>43300</v>
      </c>
      <c r="C178" s="89" t="s">
        <v>577</v>
      </c>
      <c r="D178" s="85"/>
      <c r="E178" s="85"/>
      <c r="F178" s="90"/>
      <c r="G178" s="91"/>
      <c r="H178" s="91"/>
      <c r="I178" s="91"/>
      <c r="J178" s="92"/>
    </row>
    <row r="179" spans="1:10" x14ac:dyDescent="0.25">
      <c r="A179" s="42">
        <v>169</v>
      </c>
      <c r="B179" s="79">
        <v>43301</v>
      </c>
      <c r="C179" s="89"/>
      <c r="D179" s="85"/>
      <c r="E179" s="85"/>
      <c r="F179" s="90"/>
      <c r="G179" s="91"/>
      <c r="H179" s="91"/>
      <c r="I179" s="91"/>
      <c r="J179" s="92"/>
    </row>
    <row r="180" spans="1:10" ht="60" x14ac:dyDescent="0.25">
      <c r="A180" s="42">
        <v>170</v>
      </c>
      <c r="B180" s="79">
        <v>43302</v>
      </c>
      <c r="C180" s="89" t="s">
        <v>578</v>
      </c>
      <c r="D180" s="85" t="s">
        <v>579</v>
      </c>
      <c r="E180" s="85"/>
      <c r="F180" s="90"/>
      <c r="G180" s="91"/>
      <c r="H180" s="91"/>
      <c r="I180" s="91"/>
      <c r="J180" s="92"/>
    </row>
    <row r="181" spans="1:10" ht="204" x14ac:dyDescent="0.25">
      <c r="A181" s="42">
        <v>171</v>
      </c>
      <c r="B181" s="79">
        <v>43303</v>
      </c>
      <c r="C181" s="89" t="s">
        <v>584</v>
      </c>
      <c r="D181" s="85" t="s">
        <v>586</v>
      </c>
      <c r="E181" s="85" t="s">
        <v>585</v>
      </c>
      <c r="F181" s="90"/>
      <c r="G181" s="91"/>
      <c r="H181" s="91"/>
      <c r="I181" s="91"/>
      <c r="J181" s="92"/>
    </row>
    <row r="182" spans="1:10" x14ac:dyDescent="0.25">
      <c r="A182" s="42">
        <v>172</v>
      </c>
      <c r="B182" s="79">
        <v>43304</v>
      </c>
      <c r="C182" s="89"/>
      <c r="D182" s="85"/>
      <c r="E182" s="85"/>
      <c r="F182" s="90"/>
      <c r="G182" s="91"/>
      <c r="H182" s="91"/>
      <c r="I182" s="91"/>
      <c r="J182" s="92"/>
    </row>
    <row r="183" spans="1:10" ht="96" x14ac:dyDescent="0.25">
      <c r="A183" s="42">
        <v>173</v>
      </c>
      <c r="B183" s="79">
        <v>43305</v>
      </c>
      <c r="C183" s="89"/>
      <c r="D183" s="85" t="s">
        <v>587</v>
      </c>
      <c r="E183" s="85"/>
      <c r="F183" s="90"/>
      <c r="G183" s="91"/>
      <c r="H183" s="91"/>
      <c r="I183" s="91"/>
      <c r="J183" s="92"/>
    </row>
    <row r="184" spans="1:10" x14ac:dyDescent="0.25">
      <c r="A184" s="42">
        <v>174</v>
      </c>
      <c r="B184" s="79">
        <v>43306</v>
      </c>
      <c r="C184" s="89"/>
      <c r="D184" s="85"/>
      <c r="E184" s="85"/>
      <c r="F184" s="90"/>
      <c r="G184" s="91"/>
      <c r="H184" s="91"/>
      <c r="I184" s="91"/>
      <c r="J184" s="92"/>
    </row>
    <row r="185" spans="1:10" x14ac:dyDescent="0.25">
      <c r="A185" s="42">
        <v>175</v>
      </c>
      <c r="B185" s="79">
        <v>43307</v>
      </c>
      <c r="C185" s="89"/>
      <c r="D185" s="85"/>
      <c r="E185" s="85"/>
      <c r="F185" s="90"/>
      <c r="G185" s="91"/>
      <c r="H185" s="91"/>
      <c r="I185" s="91"/>
      <c r="J185" s="92"/>
    </row>
    <row r="186" spans="1:10" ht="228" x14ac:dyDescent="0.25">
      <c r="A186" s="42">
        <v>176</v>
      </c>
      <c r="B186" s="79">
        <v>43308</v>
      </c>
      <c r="C186" s="89" t="s">
        <v>588</v>
      </c>
      <c r="D186" s="85" t="s">
        <v>590</v>
      </c>
      <c r="E186" s="85" t="s">
        <v>589</v>
      </c>
      <c r="F186" s="90"/>
      <c r="G186" s="91"/>
      <c r="H186" s="91"/>
      <c r="I186" s="91"/>
      <c r="J186" s="92"/>
    </row>
    <row r="187" spans="1:10" x14ac:dyDescent="0.25">
      <c r="A187" s="42">
        <v>177</v>
      </c>
      <c r="B187" s="79">
        <v>43309</v>
      </c>
      <c r="C187" s="89"/>
      <c r="D187" s="85"/>
      <c r="E187" s="85"/>
      <c r="F187" s="90"/>
      <c r="G187" s="91"/>
      <c r="H187" s="91"/>
      <c r="I187" s="91"/>
      <c r="J187" s="92"/>
    </row>
    <row r="188" spans="1:10" ht="60" x14ac:dyDescent="0.25">
      <c r="A188" s="42">
        <v>178</v>
      </c>
      <c r="B188" s="79">
        <v>43310</v>
      </c>
      <c r="C188" s="89"/>
      <c r="D188" s="85" t="s">
        <v>591</v>
      </c>
      <c r="E188" s="85"/>
      <c r="F188" s="90"/>
      <c r="G188" s="91"/>
      <c r="H188" s="91"/>
      <c r="I188" s="91"/>
      <c r="J188" s="92"/>
    </row>
    <row r="189" spans="1:10" ht="36" x14ac:dyDescent="0.25">
      <c r="A189" s="42">
        <v>179</v>
      </c>
      <c r="B189" s="79">
        <v>43311</v>
      </c>
      <c r="C189" s="89" t="s">
        <v>593</v>
      </c>
      <c r="D189" s="85" t="s">
        <v>592</v>
      </c>
      <c r="E189" s="85"/>
      <c r="F189" s="90"/>
      <c r="G189" s="91"/>
      <c r="H189" s="91"/>
      <c r="I189" s="91"/>
      <c r="J189" s="92"/>
    </row>
    <row r="190" spans="1:10" ht="84" x14ac:dyDescent="0.25">
      <c r="A190" s="42">
        <v>180</v>
      </c>
      <c r="B190" s="79">
        <v>43312</v>
      </c>
      <c r="C190" s="89" t="s">
        <v>594</v>
      </c>
      <c r="D190" s="85" t="s">
        <v>595</v>
      </c>
      <c r="E190" s="85" t="s">
        <v>596</v>
      </c>
      <c r="F190" s="90"/>
      <c r="G190" s="91"/>
      <c r="H190" s="91"/>
      <c r="I190" s="91"/>
      <c r="J190" s="92"/>
    </row>
    <row r="191" spans="1:10" ht="156" x14ac:dyDescent="0.25">
      <c r="A191" s="42">
        <v>181</v>
      </c>
      <c r="B191" s="79">
        <v>43313</v>
      </c>
      <c r="C191" s="89" t="s">
        <v>598</v>
      </c>
      <c r="D191" s="85" t="s">
        <v>597</v>
      </c>
      <c r="E191" s="85" t="s">
        <v>599</v>
      </c>
      <c r="F191" s="90"/>
      <c r="G191" s="91"/>
      <c r="H191" s="91"/>
      <c r="I191" s="91"/>
      <c r="J191" s="92"/>
    </row>
    <row r="192" spans="1:10" ht="24" x14ac:dyDescent="0.25">
      <c r="A192" s="42">
        <v>182</v>
      </c>
      <c r="B192" s="79">
        <v>43314</v>
      </c>
      <c r="C192" s="89"/>
      <c r="D192" s="85" t="s">
        <v>600</v>
      </c>
      <c r="E192" s="85"/>
      <c r="F192" s="90"/>
      <c r="G192" s="91"/>
      <c r="H192" s="91"/>
      <c r="I192" s="91"/>
      <c r="J192" s="92"/>
    </row>
    <row r="193" spans="1:10" ht="107.25" customHeight="1" x14ac:dyDescent="0.25">
      <c r="A193" s="42">
        <v>183</v>
      </c>
      <c r="B193" s="79">
        <v>43315</v>
      </c>
      <c r="C193" s="89" t="s">
        <v>601</v>
      </c>
      <c r="D193" s="85" t="s">
        <v>602</v>
      </c>
      <c r="E193" s="85"/>
      <c r="F193" s="90"/>
      <c r="G193" s="91"/>
      <c r="H193" s="91"/>
      <c r="I193" s="91"/>
      <c r="J193" s="92"/>
    </row>
    <row r="194" spans="1:10" x14ac:dyDescent="0.25">
      <c r="A194" s="42">
        <v>184</v>
      </c>
      <c r="B194" s="79">
        <v>43316</v>
      </c>
      <c r="C194" s="89"/>
      <c r="D194" s="85" t="s">
        <v>603</v>
      </c>
      <c r="E194" s="85"/>
      <c r="F194" s="90"/>
      <c r="G194" s="91"/>
      <c r="H194" s="91"/>
      <c r="I194" s="91"/>
      <c r="J194" s="92"/>
    </row>
    <row r="195" spans="1:10" ht="24" x14ac:dyDescent="0.25">
      <c r="A195" s="42">
        <v>185</v>
      </c>
      <c r="B195" s="79">
        <v>43317</v>
      </c>
      <c r="C195" s="89" t="s">
        <v>604</v>
      </c>
      <c r="D195" s="85" t="s">
        <v>605</v>
      </c>
      <c r="E195" s="85" t="s">
        <v>607</v>
      </c>
      <c r="F195" s="90"/>
      <c r="G195" s="91"/>
      <c r="H195" s="91"/>
      <c r="I195" s="91"/>
      <c r="J195" s="92"/>
    </row>
    <row r="196" spans="1:10" x14ac:dyDescent="0.25">
      <c r="A196" s="42">
        <v>186</v>
      </c>
      <c r="B196" s="79">
        <v>43318</v>
      </c>
      <c r="C196" s="89"/>
      <c r="D196" s="85" t="s">
        <v>606</v>
      </c>
      <c r="E196" s="85"/>
      <c r="F196" s="90"/>
      <c r="G196" s="91"/>
      <c r="H196" s="91"/>
      <c r="I196" s="91"/>
      <c r="J196" s="92"/>
    </row>
    <row r="197" spans="1:10" x14ac:dyDescent="0.25">
      <c r="A197" s="42">
        <v>187</v>
      </c>
      <c r="B197" s="79">
        <v>43319</v>
      </c>
      <c r="C197" s="89"/>
      <c r="D197" s="85" t="s">
        <v>606</v>
      </c>
      <c r="E197" s="85"/>
      <c r="F197" s="90"/>
      <c r="G197" s="91"/>
      <c r="H197" s="91"/>
      <c r="I197" s="91"/>
      <c r="J197" s="92"/>
    </row>
    <row r="198" spans="1:10" ht="48" x14ac:dyDescent="0.25">
      <c r="A198" s="42">
        <v>188</v>
      </c>
      <c r="B198" s="79">
        <v>43320</v>
      </c>
      <c r="C198" s="89" t="s">
        <v>609</v>
      </c>
      <c r="D198" s="85"/>
      <c r="E198" s="85"/>
      <c r="F198" s="90"/>
      <c r="G198" s="91"/>
      <c r="H198" s="91"/>
      <c r="I198" s="91"/>
      <c r="J198" s="92"/>
    </row>
    <row r="199" spans="1:10" ht="36" x14ac:dyDescent="0.25">
      <c r="A199" s="42">
        <v>189</v>
      </c>
      <c r="B199" s="79">
        <v>43321</v>
      </c>
      <c r="C199" s="89" t="s">
        <v>610</v>
      </c>
      <c r="D199" s="85" t="s">
        <v>611</v>
      </c>
      <c r="E199" s="85"/>
      <c r="F199" s="90"/>
      <c r="G199" s="91"/>
      <c r="H199" s="91"/>
      <c r="I199" s="91"/>
      <c r="J199" s="92"/>
    </row>
    <row r="200" spans="1:10" ht="48" x14ac:dyDescent="0.25">
      <c r="A200" s="42">
        <v>190</v>
      </c>
      <c r="B200" s="79">
        <v>43322</v>
      </c>
      <c r="C200" s="89"/>
      <c r="D200" s="85" t="s">
        <v>612</v>
      </c>
      <c r="E200" s="85"/>
      <c r="F200" s="90"/>
      <c r="G200" s="91"/>
      <c r="H200" s="91"/>
      <c r="I200" s="91"/>
      <c r="J200" s="92"/>
    </row>
    <row r="201" spans="1:10" ht="36" x14ac:dyDescent="0.25">
      <c r="A201" s="42">
        <v>191</v>
      </c>
      <c r="B201" s="79">
        <v>43323</v>
      </c>
      <c r="C201" s="89" t="s">
        <v>613</v>
      </c>
      <c r="D201" s="85"/>
      <c r="E201" s="85"/>
      <c r="F201" s="90"/>
      <c r="G201" s="91"/>
      <c r="H201" s="91"/>
      <c r="I201" s="91"/>
      <c r="J201" s="92"/>
    </row>
    <row r="202" spans="1:10" x14ac:dyDescent="0.25">
      <c r="A202" s="42">
        <v>192</v>
      </c>
      <c r="B202" s="79">
        <v>43324</v>
      </c>
      <c r="C202" s="89"/>
      <c r="D202" s="85"/>
      <c r="E202" s="85"/>
      <c r="F202" s="90"/>
      <c r="G202" s="91"/>
      <c r="H202" s="91"/>
      <c r="I202" s="91"/>
      <c r="J202" s="92"/>
    </row>
    <row r="203" spans="1:10" x14ac:dyDescent="0.25">
      <c r="A203" s="42">
        <v>193</v>
      </c>
      <c r="B203" s="79">
        <v>43325</v>
      </c>
      <c r="C203" s="89"/>
      <c r="D203" s="85"/>
      <c r="E203" s="85"/>
      <c r="F203" s="90"/>
      <c r="G203" s="91"/>
      <c r="H203" s="91"/>
      <c r="I203" s="91"/>
      <c r="J203" s="92"/>
    </row>
    <row r="204" spans="1:10" ht="36" x14ac:dyDescent="0.25">
      <c r="A204" s="42">
        <v>194</v>
      </c>
      <c r="B204" s="79">
        <v>43326</v>
      </c>
      <c r="C204" s="89" t="s">
        <v>616</v>
      </c>
      <c r="D204" s="85" t="s">
        <v>617</v>
      </c>
      <c r="E204" s="85"/>
      <c r="F204" s="90"/>
      <c r="G204" s="91"/>
      <c r="H204" s="91"/>
      <c r="I204" s="91"/>
      <c r="J204" s="92"/>
    </row>
    <row r="205" spans="1:10" ht="108" x14ac:dyDescent="0.25">
      <c r="A205" s="42">
        <v>195</v>
      </c>
      <c r="B205" s="79">
        <v>43327</v>
      </c>
      <c r="C205" s="89" t="s">
        <v>619</v>
      </c>
      <c r="D205" s="85" t="s">
        <v>620</v>
      </c>
      <c r="E205" s="85" t="s">
        <v>622</v>
      </c>
      <c r="F205" s="90"/>
      <c r="G205" s="91"/>
      <c r="H205" s="91"/>
      <c r="I205" s="91"/>
      <c r="J205" s="92"/>
    </row>
    <row r="206" spans="1:10" ht="96" x14ac:dyDescent="0.25">
      <c r="A206" s="42">
        <v>196</v>
      </c>
      <c r="B206" s="79">
        <v>43328</v>
      </c>
      <c r="C206" s="89"/>
      <c r="D206" s="85" t="s">
        <v>626</v>
      </c>
      <c r="E206" s="85" t="s">
        <v>628</v>
      </c>
      <c r="F206" s="90"/>
      <c r="G206" s="91"/>
      <c r="H206" s="91"/>
      <c r="I206" s="91"/>
      <c r="J206" s="92"/>
    </row>
    <row r="207" spans="1:10" ht="132" x14ac:dyDescent="0.25">
      <c r="A207" s="42">
        <v>197</v>
      </c>
      <c r="B207" s="79">
        <v>43329</v>
      </c>
      <c r="C207" s="89" t="s">
        <v>635</v>
      </c>
      <c r="D207" s="85" t="s">
        <v>634</v>
      </c>
      <c r="E207" s="85" t="s">
        <v>640</v>
      </c>
      <c r="F207" s="207" t="s">
        <v>641</v>
      </c>
      <c r="G207" s="91"/>
      <c r="H207" s="91"/>
      <c r="I207" s="91"/>
      <c r="J207" s="92"/>
    </row>
    <row r="208" spans="1:10" ht="108" x14ac:dyDescent="0.25">
      <c r="A208" s="42">
        <v>198</v>
      </c>
      <c r="B208" s="79">
        <v>43330</v>
      </c>
      <c r="C208" s="89" t="s">
        <v>645</v>
      </c>
      <c r="D208" s="85" t="s">
        <v>653</v>
      </c>
      <c r="E208" s="85"/>
      <c r="F208" s="90"/>
      <c r="G208" s="91"/>
      <c r="H208" s="91"/>
      <c r="I208" s="91"/>
      <c r="J208" s="92"/>
    </row>
    <row r="209" spans="1:10" ht="60" x14ac:dyDescent="0.25">
      <c r="A209" s="42">
        <v>199</v>
      </c>
      <c r="B209" s="79">
        <v>43331</v>
      </c>
      <c r="C209" s="89"/>
      <c r="D209" s="85" t="s">
        <v>667</v>
      </c>
      <c r="E209" s="85"/>
      <c r="F209" s="90"/>
      <c r="G209" s="91"/>
      <c r="H209" s="91"/>
      <c r="I209" s="91"/>
      <c r="J209" s="92"/>
    </row>
    <row r="210" spans="1:10" ht="108" x14ac:dyDescent="0.25">
      <c r="A210" s="42">
        <v>200</v>
      </c>
      <c r="B210" s="79">
        <v>43332</v>
      </c>
      <c r="C210" s="89" t="s">
        <v>671</v>
      </c>
      <c r="D210" s="85"/>
      <c r="E210" s="85"/>
      <c r="F210" s="90"/>
      <c r="G210" s="91"/>
      <c r="H210" s="91"/>
      <c r="I210" s="91"/>
      <c r="J210" s="92"/>
    </row>
    <row r="211" spans="1:10" ht="264" x14ac:dyDescent="0.25">
      <c r="A211" s="42">
        <v>201</v>
      </c>
      <c r="B211" s="79">
        <v>43333</v>
      </c>
      <c r="C211" s="89" t="s">
        <v>680</v>
      </c>
      <c r="D211" s="85" t="s">
        <v>677</v>
      </c>
      <c r="E211" s="89" t="s">
        <v>681</v>
      </c>
      <c r="F211" s="219" t="s">
        <v>682</v>
      </c>
      <c r="G211" s="91"/>
      <c r="H211" s="91"/>
      <c r="I211" s="91"/>
      <c r="J211" s="92"/>
    </row>
    <row r="212" spans="1:10" x14ac:dyDescent="0.25">
      <c r="A212" s="42">
        <v>202</v>
      </c>
      <c r="B212" s="79">
        <v>43334</v>
      </c>
      <c r="C212" s="89"/>
      <c r="D212" s="85"/>
      <c r="E212" s="85"/>
      <c r="F212" s="90"/>
      <c r="G212" s="91"/>
      <c r="H212" s="91"/>
      <c r="I212" s="91"/>
      <c r="J212" s="92"/>
    </row>
    <row r="213" spans="1:10" x14ac:dyDescent="0.25">
      <c r="A213" s="42">
        <v>203</v>
      </c>
      <c r="B213" s="79">
        <v>43335</v>
      </c>
      <c r="C213" s="89"/>
      <c r="D213" s="85"/>
      <c r="E213" s="85"/>
      <c r="F213" s="90"/>
      <c r="G213" s="91"/>
      <c r="H213" s="91"/>
      <c r="I213" s="91"/>
      <c r="J213" s="92"/>
    </row>
    <row r="214" spans="1:10" x14ac:dyDescent="0.25">
      <c r="A214" s="42">
        <v>204</v>
      </c>
      <c r="B214" s="79">
        <v>43336</v>
      </c>
      <c r="C214" s="89"/>
      <c r="D214" s="85"/>
      <c r="E214" s="85"/>
      <c r="F214" s="90"/>
      <c r="G214" s="91"/>
      <c r="H214" s="91"/>
      <c r="I214" s="91"/>
      <c r="J214" s="92"/>
    </row>
    <row r="215" spans="1:10" x14ac:dyDescent="0.25">
      <c r="A215" s="42">
        <v>205</v>
      </c>
      <c r="B215" s="79">
        <v>43337</v>
      </c>
      <c r="C215" s="89"/>
      <c r="D215" s="85"/>
      <c r="E215" s="85"/>
      <c r="F215" s="90"/>
      <c r="G215" s="91"/>
      <c r="H215" s="91"/>
      <c r="I215" s="91"/>
      <c r="J215" s="92"/>
    </row>
    <row r="216" spans="1:10" x14ac:dyDescent="0.25">
      <c r="A216" s="42">
        <v>206</v>
      </c>
      <c r="B216" s="79">
        <v>43338</v>
      </c>
      <c r="C216" s="89"/>
      <c r="D216" s="85"/>
      <c r="E216" s="85"/>
      <c r="F216" s="90"/>
      <c r="G216" s="91"/>
      <c r="H216" s="91"/>
      <c r="I216" s="91"/>
      <c r="J216" s="92"/>
    </row>
    <row r="217" spans="1:10" x14ac:dyDescent="0.25">
      <c r="A217" s="42">
        <v>207</v>
      </c>
      <c r="B217" s="79">
        <v>43339</v>
      </c>
      <c r="C217" s="89"/>
      <c r="D217" s="85"/>
      <c r="E217" s="85"/>
      <c r="F217" s="90"/>
      <c r="G217" s="91"/>
      <c r="H217" s="91"/>
      <c r="I217" s="91"/>
      <c r="J217" s="92"/>
    </row>
    <row r="218" spans="1:10" x14ac:dyDescent="0.25">
      <c r="A218" s="42">
        <v>208</v>
      </c>
      <c r="B218" s="79">
        <v>43340</v>
      </c>
      <c r="C218" s="89"/>
      <c r="D218" s="85"/>
      <c r="E218" s="85"/>
      <c r="F218" s="90"/>
      <c r="G218" s="91"/>
      <c r="H218" s="91"/>
      <c r="I218" s="91"/>
      <c r="J218" s="92"/>
    </row>
    <row r="219" spans="1:10" x14ac:dyDescent="0.25">
      <c r="A219" s="42">
        <v>209</v>
      </c>
      <c r="B219" s="79">
        <v>43341</v>
      </c>
      <c r="C219" s="89"/>
      <c r="D219" s="85"/>
      <c r="E219" s="85"/>
      <c r="F219" s="90"/>
      <c r="G219" s="91"/>
      <c r="H219" s="91"/>
      <c r="I219" s="91"/>
      <c r="J219" s="92"/>
    </row>
    <row r="220" spans="1:10" x14ac:dyDescent="0.25">
      <c r="A220" s="42">
        <v>210</v>
      </c>
      <c r="B220" s="79">
        <v>43342</v>
      </c>
      <c r="C220" s="89"/>
      <c r="D220" s="85"/>
      <c r="E220" s="85"/>
      <c r="F220" s="90"/>
      <c r="G220" s="91"/>
      <c r="H220" s="91"/>
      <c r="I220" s="91"/>
      <c r="J220" s="92"/>
    </row>
    <row r="221" spans="1:10" x14ac:dyDescent="0.25">
      <c r="A221" s="42">
        <v>211</v>
      </c>
      <c r="B221" s="79">
        <v>43343</v>
      </c>
      <c r="C221" s="89"/>
      <c r="D221" s="85"/>
      <c r="E221" s="85"/>
      <c r="F221" s="90"/>
      <c r="G221" s="91"/>
      <c r="H221" s="91"/>
      <c r="I221" s="91"/>
      <c r="J221" s="92"/>
    </row>
    <row r="222" spans="1:10" x14ac:dyDescent="0.25">
      <c r="A222" s="42">
        <v>212</v>
      </c>
      <c r="B222" s="79">
        <v>43344</v>
      </c>
      <c r="C222" s="89"/>
      <c r="D222" s="85"/>
      <c r="E222" s="85"/>
      <c r="F222" s="90"/>
      <c r="G222" s="91"/>
      <c r="H222" s="91"/>
      <c r="I222" s="91"/>
      <c r="J222" s="92"/>
    </row>
    <row r="223" spans="1:10" x14ac:dyDescent="0.25">
      <c r="A223" s="42">
        <v>213</v>
      </c>
      <c r="B223" s="79">
        <v>43345</v>
      </c>
      <c r="C223" s="89"/>
      <c r="D223" s="85"/>
      <c r="E223" s="85"/>
      <c r="F223" s="90"/>
      <c r="G223" s="91"/>
      <c r="H223" s="91"/>
      <c r="I223" s="91"/>
      <c r="J223" s="92"/>
    </row>
    <row r="224" spans="1:10" x14ac:dyDescent="0.25">
      <c r="A224" s="42">
        <v>214</v>
      </c>
      <c r="B224" s="79">
        <v>43346</v>
      </c>
      <c r="C224" s="89"/>
      <c r="D224" s="85"/>
      <c r="E224" s="85"/>
      <c r="F224" s="90"/>
      <c r="G224" s="91"/>
      <c r="H224" s="91"/>
      <c r="I224" s="91"/>
      <c r="J224" s="92"/>
    </row>
    <row r="225" spans="1:10" x14ac:dyDescent="0.25">
      <c r="A225" s="42">
        <v>215</v>
      </c>
      <c r="B225" s="79">
        <v>43347</v>
      </c>
      <c r="C225" s="89"/>
      <c r="D225" s="85"/>
      <c r="E225" s="85"/>
      <c r="F225" s="90"/>
      <c r="G225" s="91"/>
      <c r="H225" s="91"/>
      <c r="I225" s="91"/>
      <c r="J225" s="92"/>
    </row>
    <row r="226" spans="1:10" x14ac:dyDescent="0.25">
      <c r="A226" s="42">
        <v>216</v>
      </c>
      <c r="B226" s="79">
        <v>43348</v>
      </c>
      <c r="C226" s="89"/>
      <c r="D226" s="85"/>
      <c r="E226" s="85"/>
      <c r="F226" s="90"/>
      <c r="G226" s="91"/>
      <c r="H226" s="91"/>
      <c r="I226" s="91"/>
      <c r="J226" s="92"/>
    </row>
    <row r="227" spans="1:10" x14ac:dyDescent="0.25">
      <c r="A227" s="42">
        <v>217</v>
      </c>
      <c r="B227" s="79">
        <v>43349</v>
      </c>
      <c r="C227" s="89"/>
      <c r="D227" s="85"/>
      <c r="E227" s="85"/>
      <c r="F227" s="90"/>
      <c r="G227" s="91"/>
      <c r="H227" s="91"/>
      <c r="I227" s="91"/>
      <c r="J227" s="92"/>
    </row>
    <row r="228" spans="1:10" x14ac:dyDescent="0.25">
      <c r="A228" s="42">
        <v>218</v>
      </c>
      <c r="B228" s="79">
        <v>43350</v>
      </c>
      <c r="C228" s="89"/>
      <c r="D228" s="85"/>
      <c r="E228" s="85"/>
      <c r="F228" s="90"/>
      <c r="G228" s="91"/>
      <c r="H228" s="91"/>
      <c r="I228" s="91"/>
      <c r="J228" s="92"/>
    </row>
    <row r="229" spans="1:10" x14ac:dyDescent="0.25">
      <c r="A229" s="42">
        <v>219</v>
      </c>
      <c r="B229" s="79">
        <v>43351</v>
      </c>
      <c r="C229" s="89"/>
      <c r="D229" s="85"/>
      <c r="E229" s="85"/>
      <c r="F229" s="90"/>
      <c r="G229" s="91"/>
      <c r="H229" s="91"/>
      <c r="I229" s="91"/>
      <c r="J229" s="92"/>
    </row>
    <row r="230" spans="1:10" x14ac:dyDescent="0.25">
      <c r="A230" s="42">
        <v>220</v>
      </c>
      <c r="B230" s="79">
        <v>43352</v>
      </c>
      <c r="C230" s="89"/>
      <c r="D230" s="85"/>
      <c r="E230" s="85"/>
      <c r="F230" s="90"/>
      <c r="G230" s="91"/>
      <c r="H230" s="91"/>
      <c r="I230" s="91"/>
      <c r="J230" s="92"/>
    </row>
    <row r="231" spans="1:10" x14ac:dyDescent="0.25">
      <c r="A231" s="42">
        <v>221</v>
      </c>
      <c r="B231" s="79">
        <v>43353</v>
      </c>
      <c r="C231" s="89"/>
      <c r="D231" s="85"/>
      <c r="E231" s="85"/>
      <c r="F231" s="90"/>
      <c r="G231" s="91"/>
      <c r="H231" s="91"/>
      <c r="I231" s="91"/>
      <c r="J231" s="92"/>
    </row>
    <row r="232" spans="1:10" x14ac:dyDescent="0.25">
      <c r="A232" s="42">
        <v>222</v>
      </c>
      <c r="B232" s="79">
        <v>43354</v>
      </c>
      <c r="C232" s="89"/>
      <c r="D232" s="85"/>
      <c r="E232" s="85"/>
      <c r="F232" s="90"/>
      <c r="G232" s="91"/>
      <c r="H232" s="91"/>
      <c r="I232" s="91"/>
      <c r="J232" s="92"/>
    </row>
    <row r="233" spans="1:10" x14ac:dyDescent="0.25">
      <c r="A233" s="42">
        <v>223</v>
      </c>
      <c r="B233" s="79">
        <v>43355</v>
      </c>
      <c r="C233" s="89"/>
      <c r="D233" s="85"/>
      <c r="E233" s="85"/>
      <c r="F233" s="90"/>
      <c r="G233" s="91"/>
      <c r="H233" s="91"/>
      <c r="I233" s="91"/>
      <c r="J233" s="92"/>
    </row>
    <row r="234" spans="1:10" x14ac:dyDescent="0.25">
      <c r="A234" s="42">
        <v>224</v>
      </c>
      <c r="B234" s="79">
        <v>43356</v>
      </c>
      <c r="C234" s="89"/>
      <c r="D234" s="85"/>
      <c r="E234" s="85"/>
      <c r="F234" s="90"/>
      <c r="G234" s="91"/>
      <c r="H234" s="91"/>
      <c r="I234" s="91"/>
      <c r="J234" s="92"/>
    </row>
    <row r="235" spans="1:10" x14ac:dyDescent="0.25">
      <c r="A235" s="42">
        <v>225</v>
      </c>
      <c r="B235" s="79">
        <v>43357</v>
      </c>
      <c r="C235" s="89"/>
      <c r="D235" s="85"/>
      <c r="E235" s="85"/>
      <c r="F235" s="90"/>
      <c r="G235" s="91"/>
      <c r="H235" s="91"/>
      <c r="I235" s="91"/>
      <c r="J235" s="92"/>
    </row>
    <row r="236" spans="1:10" x14ac:dyDescent="0.25">
      <c r="A236" s="42">
        <v>226</v>
      </c>
      <c r="B236" s="79">
        <v>43358</v>
      </c>
      <c r="C236" s="89"/>
      <c r="D236" s="85"/>
      <c r="E236" s="85"/>
      <c r="F236" s="90"/>
      <c r="G236" s="91"/>
      <c r="H236" s="91"/>
      <c r="I236" s="91"/>
      <c r="J236" s="92"/>
    </row>
    <row r="237" spans="1:10" x14ac:dyDescent="0.25">
      <c r="A237" s="42">
        <v>227</v>
      </c>
      <c r="B237" s="79">
        <v>43359</v>
      </c>
      <c r="C237" s="89"/>
      <c r="D237" s="85"/>
      <c r="E237" s="85"/>
      <c r="F237" s="90"/>
      <c r="G237" s="91"/>
      <c r="H237" s="91"/>
      <c r="I237" s="91"/>
      <c r="J237" s="92"/>
    </row>
    <row r="238" spans="1:10" x14ac:dyDescent="0.25">
      <c r="A238" s="42">
        <v>228</v>
      </c>
      <c r="B238" s="79">
        <v>43360</v>
      </c>
      <c r="C238" s="89"/>
      <c r="D238" s="85"/>
      <c r="E238" s="85"/>
      <c r="F238" s="90"/>
      <c r="G238" s="91"/>
      <c r="H238" s="91"/>
      <c r="I238" s="91"/>
      <c r="J238" s="92"/>
    </row>
    <row r="239" spans="1:10" x14ac:dyDescent="0.25">
      <c r="A239" s="42">
        <v>229</v>
      </c>
      <c r="B239" s="79">
        <v>43361</v>
      </c>
      <c r="C239" s="89"/>
      <c r="D239" s="85"/>
      <c r="E239" s="85"/>
      <c r="F239" s="90"/>
      <c r="G239" s="91"/>
      <c r="H239" s="91"/>
      <c r="I239" s="91"/>
      <c r="J239" s="92"/>
    </row>
    <row r="240" spans="1:10" x14ac:dyDescent="0.25">
      <c r="A240" s="42">
        <v>230</v>
      </c>
      <c r="B240" s="79">
        <v>43362</v>
      </c>
      <c r="C240" s="89"/>
      <c r="D240" s="85"/>
      <c r="E240" s="85"/>
      <c r="F240" s="90"/>
      <c r="G240" s="91"/>
      <c r="H240" s="91"/>
      <c r="I240" s="91"/>
      <c r="J240" s="92"/>
    </row>
    <row r="241" spans="1:10" x14ac:dyDescent="0.25">
      <c r="A241" s="42">
        <v>231</v>
      </c>
      <c r="B241" s="79">
        <v>43363</v>
      </c>
      <c r="C241" s="89"/>
      <c r="D241" s="85"/>
      <c r="E241" s="85"/>
      <c r="F241" s="90"/>
      <c r="G241" s="91"/>
      <c r="H241" s="91"/>
      <c r="I241" s="91"/>
      <c r="J241" s="92"/>
    </row>
    <row r="242" spans="1:10" x14ac:dyDescent="0.25">
      <c r="A242" s="42">
        <v>232</v>
      </c>
      <c r="B242" s="79">
        <v>43364</v>
      </c>
      <c r="C242" s="89"/>
      <c r="D242" s="85"/>
      <c r="E242" s="85"/>
      <c r="F242" s="90"/>
      <c r="G242" s="91"/>
      <c r="H242" s="91"/>
      <c r="I242" s="91"/>
      <c r="J242" s="92"/>
    </row>
    <row r="243" spans="1:10" x14ac:dyDescent="0.25">
      <c r="A243" s="42">
        <v>233</v>
      </c>
      <c r="B243" s="79">
        <v>43365</v>
      </c>
      <c r="C243" s="89"/>
      <c r="D243" s="85"/>
      <c r="E243" s="85"/>
      <c r="F243" s="90"/>
      <c r="G243" s="91"/>
      <c r="H243" s="91"/>
      <c r="I243" s="91"/>
      <c r="J243" s="92"/>
    </row>
    <row r="244" spans="1:10" x14ac:dyDescent="0.25">
      <c r="A244" s="42">
        <v>234</v>
      </c>
      <c r="B244" s="79">
        <v>43366</v>
      </c>
      <c r="C244" s="89"/>
      <c r="D244" s="85"/>
      <c r="E244" s="85"/>
      <c r="F244" s="90"/>
      <c r="G244" s="91"/>
      <c r="H244" s="91"/>
      <c r="I244" s="91"/>
      <c r="J244" s="92"/>
    </row>
    <row r="245" spans="1:10" x14ac:dyDescent="0.25">
      <c r="A245" s="42">
        <v>235</v>
      </c>
      <c r="B245" s="79">
        <v>43367</v>
      </c>
      <c r="C245" s="89"/>
      <c r="D245" s="85"/>
      <c r="E245" s="85"/>
      <c r="F245" s="90"/>
      <c r="G245" s="91"/>
      <c r="H245" s="91"/>
      <c r="I245" s="91"/>
      <c r="J245" s="92"/>
    </row>
    <row r="246" spans="1:10" x14ac:dyDescent="0.25">
      <c r="A246" s="42">
        <v>236</v>
      </c>
      <c r="B246" s="79">
        <v>43368</v>
      </c>
      <c r="C246" s="89"/>
      <c r="D246" s="85"/>
      <c r="E246" s="85"/>
      <c r="F246" s="90"/>
      <c r="G246" s="91"/>
      <c r="H246" s="91"/>
      <c r="I246" s="91"/>
      <c r="J246" s="92"/>
    </row>
    <row r="247" spans="1:10" x14ac:dyDescent="0.25">
      <c r="A247" s="42">
        <v>237</v>
      </c>
      <c r="B247" s="79">
        <v>43369</v>
      </c>
      <c r="C247" s="89"/>
      <c r="D247" s="85"/>
      <c r="E247" s="85"/>
      <c r="F247" s="90"/>
      <c r="G247" s="91"/>
      <c r="H247" s="91"/>
      <c r="I247" s="91"/>
      <c r="J247" s="92"/>
    </row>
    <row r="248" spans="1:10" x14ac:dyDescent="0.25">
      <c r="A248" s="42">
        <v>238</v>
      </c>
      <c r="B248" s="79">
        <v>43370</v>
      </c>
      <c r="C248" s="89"/>
      <c r="D248" s="85"/>
      <c r="E248" s="85"/>
      <c r="F248" s="90"/>
      <c r="G248" s="91"/>
      <c r="H248" s="91"/>
      <c r="I248" s="91"/>
      <c r="J248" s="92"/>
    </row>
    <row r="249" spans="1:10" x14ac:dyDescent="0.25">
      <c r="A249" s="42">
        <v>239</v>
      </c>
      <c r="B249" s="79">
        <v>43371</v>
      </c>
      <c r="C249" s="89"/>
      <c r="D249" s="85"/>
      <c r="E249" s="85"/>
      <c r="F249" s="90"/>
      <c r="G249" s="91"/>
      <c r="H249" s="91"/>
      <c r="I249" s="91"/>
      <c r="J249" s="92"/>
    </row>
    <row r="250" spans="1:10" x14ac:dyDescent="0.25">
      <c r="A250" s="42">
        <v>240</v>
      </c>
      <c r="B250" s="79">
        <v>43372</v>
      </c>
      <c r="C250" s="89"/>
      <c r="D250" s="85"/>
      <c r="E250" s="85"/>
      <c r="F250" s="90"/>
      <c r="G250" s="91"/>
      <c r="H250" s="91"/>
      <c r="I250" s="91"/>
      <c r="J250" s="92"/>
    </row>
    <row r="251" spans="1:10" x14ac:dyDescent="0.25">
      <c r="A251" s="42">
        <v>241</v>
      </c>
      <c r="B251" s="79">
        <v>43373</v>
      </c>
      <c r="C251" s="89"/>
      <c r="D251" s="85"/>
      <c r="E251" s="85"/>
      <c r="F251" s="90"/>
      <c r="G251" s="91"/>
      <c r="H251" s="91"/>
      <c r="I251" s="91"/>
      <c r="J251" s="92"/>
    </row>
    <row r="252" spans="1:10" x14ac:dyDescent="0.25">
      <c r="A252" s="42">
        <v>242</v>
      </c>
      <c r="B252" s="79">
        <v>43374</v>
      </c>
      <c r="C252" s="89"/>
      <c r="D252" s="85"/>
      <c r="E252" s="85"/>
      <c r="F252" s="90"/>
      <c r="G252" s="91"/>
      <c r="H252" s="91"/>
      <c r="I252" s="91"/>
      <c r="J252" s="92"/>
    </row>
    <row r="253" spans="1:10" x14ac:dyDescent="0.25">
      <c r="A253" s="42">
        <v>243</v>
      </c>
      <c r="B253" s="79">
        <v>43375</v>
      </c>
      <c r="C253" s="89"/>
      <c r="D253" s="85"/>
      <c r="E253" s="85"/>
      <c r="F253" s="90"/>
      <c r="G253" s="91"/>
      <c r="H253" s="91"/>
      <c r="I253" s="91"/>
      <c r="J253" s="92"/>
    </row>
    <row r="254" spans="1:10" x14ac:dyDescent="0.25">
      <c r="A254" s="42">
        <v>244</v>
      </c>
      <c r="B254" s="79">
        <v>43376</v>
      </c>
      <c r="C254" s="89"/>
      <c r="D254" s="85"/>
      <c r="E254" s="85"/>
      <c r="F254" s="90"/>
      <c r="G254" s="91"/>
      <c r="H254" s="91"/>
      <c r="I254" s="91"/>
      <c r="J254" s="92"/>
    </row>
    <row r="255" spans="1:10" x14ac:dyDescent="0.25">
      <c r="A255" s="42">
        <v>245</v>
      </c>
      <c r="B255" s="79">
        <v>43377</v>
      </c>
      <c r="C255" s="89"/>
      <c r="D255" s="85"/>
      <c r="E255" s="85"/>
      <c r="F255" s="90"/>
      <c r="G255" s="91"/>
      <c r="H255" s="91"/>
      <c r="I255" s="91"/>
      <c r="J255" s="92"/>
    </row>
    <row r="256" spans="1:10" x14ac:dyDescent="0.25">
      <c r="A256" s="42">
        <v>246</v>
      </c>
      <c r="B256" s="79">
        <v>43378</v>
      </c>
      <c r="C256" s="89"/>
      <c r="D256" s="85"/>
      <c r="E256" s="85"/>
      <c r="F256" s="90"/>
      <c r="G256" s="91"/>
      <c r="H256" s="91"/>
      <c r="I256" s="91"/>
      <c r="J256" s="92"/>
    </row>
    <row r="257" spans="1:10" x14ac:dyDescent="0.25">
      <c r="A257" s="42">
        <v>247</v>
      </c>
      <c r="B257" s="79">
        <v>43379</v>
      </c>
      <c r="C257" s="89"/>
      <c r="D257" s="85"/>
      <c r="E257" s="85"/>
      <c r="F257" s="90"/>
      <c r="G257" s="91"/>
      <c r="H257" s="91"/>
      <c r="I257" s="91"/>
      <c r="J257" s="92"/>
    </row>
    <row r="258" spans="1:10" x14ac:dyDescent="0.25">
      <c r="A258" s="42">
        <v>248</v>
      </c>
      <c r="B258" s="79">
        <v>43380</v>
      </c>
      <c r="C258" s="89"/>
      <c r="D258" s="85"/>
      <c r="E258" s="85"/>
      <c r="F258" s="90"/>
      <c r="G258" s="91"/>
      <c r="H258" s="91"/>
      <c r="I258" s="91"/>
      <c r="J258" s="92"/>
    </row>
    <row r="259" spans="1:10" x14ac:dyDescent="0.25">
      <c r="A259" s="42">
        <v>249</v>
      </c>
      <c r="B259" s="79">
        <v>43381</v>
      </c>
      <c r="C259" s="89"/>
      <c r="D259" s="85"/>
      <c r="E259" s="85"/>
      <c r="F259" s="90"/>
      <c r="G259" s="91"/>
      <c r="H259" s="91"/>
      <c r="I259" s="91"/>
      <c r="J259" s="92"/>
    </row>
    <row r="260" spans="1:10" x14ac:dyDescent="0.25">
      <c r="A260" s="42">
        <v>250</v>
      </c>
      <c r="B260" s="79">
        <v>43382</v>
      </c>
      <c r="C260" s="89"/>
      <c r="D260" s="85"/>
      <c r="E260" s="85"/>
      <c r="F260" s="90"/>
      <c r="G260" s="91"/>
      <c r="H260" s="91"/>
      <c r="I260" s="91"/>
      <c r="J260" s="92"/>
    </row>
    <row r="261" spans="1:10" x14ac:dyDescent="0.25">
      <c r="A261" s="42">
        <v>251</v>
      </c>
      <c r="B261" s="79">
        <v>43383</v>
      </c>
      <c r="C261" s="89"/>
      <c r="D261" s="85"/>
      <c r="E261" s="85"/>
      <c r="F261" s="90"/>
      <c r="G261" s="91"/>
      <c r="H261" s="91"/>
      <c r="I261" s="91"/>
      <c r="J261" s="92"/>
    </row>
    <row r="262" spans="1:10" x14ac:dyDescent="0.25">
      <c r="A262" s="42">
        <v>252</v>
      </c>
      <c r="B262" s="79">
        <v>43384</v>
      </c>
      <c r="C262" s="89"/>
      <c r="D262" s="85"/>
      <c r="E262" s="85"/>
      <c r="F262" s="90"/>
      <c r="G262" s="91"/>
      <c r="H262" s="91"/>
      <c r="I262" s="91"/>
      <c r="J262" s="92"/>
    </row>
    <row r="263" spans="1:10" x14ac:dyDescent="0.25">
      <c r="A263" s="42">
        <v>253</v>
      </c>
      <c r="B263" s="79">
        <v>43385</v>
      </c>
      <c r="C263" s="89"/>
      <c r="D263" s="85"/>
      <c r="E263" s="85"/>
      <c r="F263" s="90"/>
      <c r="G263" s="91"/>
      <c r="H263" s="91"/>
      <c r="I263" s="91"/>
      <c r="J263" s="92"/>
    </row>
    <row r="264" spans="1:10" x14ac:dyDescent="0.25">
      <c r="A264" s="42">
        <v>254</v>
      </c>
      <c r="B264" s="79">
        <v>43386</v>
      </c>
      <c r="C264" s="89"/>
      <c r="D264" s="85"/>
      <c r="E264" s="85"/>
      <c r="F264" s="90"/>
      <c r="G264" s="91"/>
      <c r="H264" s="91"/>
      <c r="I264" s="91"/>
      <c r="J264" s="92"/>
    </row>
    <row r="265" spans="1:10" x14ac:dyDescent="0.25">
      <c r="A265" s="42">
        <v>255</v>
      </c>
      <c r="B265" s="79">
        <v>43387</v>
      </c>
      <c r="C265" s="89"/>
      <c r="D265" s="85"/>
      <c r="E265" s="85"/>
      <c r="F265" s="90"/>
      <c r="G265" s="91"/>
      <c r="H265" s="91"/>
      <c r="I265" s="91"/>
      <c r="J265" s="92"/>
    </row>
    <row r="266" spans="1:10" x14ac:dyDescent="0.25">
      <c r="A266" s="42">
        <v>256</v>
      </c>
      <c r="B266" s="79">
        <v>43388</v>
      </c>
      <c r="C266" s="89"/>
      <c r="D266" s="85"/>
      <c r="E266" s="85"/>
      <c r="F266" s="90"/>
      <c r="G266" s="91"/>
      <c r="H266" s="91"/>
      <c r="I266" s="91"/>
      <c r="J266" s="92"/>
    </row>
    <row r="267" spans="1:10" x14ac:dyDescent="0.25">
      <c r="A267" s="42">
        <v>257</v>
      </c>
      <c r="B267" s="79">
        <v>43389</v>
      </c>
      <c r="C267" s="89"/>
      <c r="D267" s="85"/>
      <c r="E267" s="85"/>
      <c r="F267" s="90"/>
      <c r="G267" s="91"/>
      <c r="H267" s="91"/>
      <c r="I267" s="91"/>
      <c r="J267" s="92"/>
    </row>
    <row r="268" spans="1:10" x14ac:dyDescent="0.25">
      <c r="A268" s="42">
        <v>258</v>
      </c>
      <c r="B268" s="79">
        <v>43390</v>
      </c>
      <c r="C268" s="89"/>
      <c r="D268" s="85"/>
      <c r="E268" s="85"/>
      <c r="F268" s="90"/>
      <c r="G268" s="91"/>
      <c r="H268" s="91"/>
      <c r="I268" s="91"/>
      <c r="J268" s="92"/>
    </row>
    <row r="269" spans="1:10" x14ac:dyDescent="0.25">
      <c r="A269" s="42">
        <v>259</v>
      </c>
      <c r="B269" s="79">
        <v>43391</v>
      </c>
      <c r="C269" s="89"/>
      <c r="D269" s="85"/>
      <c r="E269" s="85"/>
      <c r="F269" s="90"/>
      <c r="G269" s="91"/>
      <c r="H269" s="91"/>
      <c r="I269" s="91"/>
      <c r="J269" s="92"/>
    </row>
    <row r="270" spans="1:10" x14ac:dyDescent="0.25">
      <c r="A270" s="42">
        <v>260</v>
      </c>
      <c r="B270" s="79">
        <v>43392</v>
      </c>
      <c r="C270" s="89"/>
      <c r="D270" s="85"/>
      <c r="E270" s="85"/>
      <c r="F270" s="90"/>
      <c r="G270" s="91"/>
      <c r="H270" s="91"/>
      <c r="I270" s="91"/>
      <c r="J270" s="92"/>
    </row>
    <row r="271" spans="1:10" x14ac:dyDescent="0.25">
      <c r="A271" s="42">
        <v>261</v>
      </c>
      <c r="B271" s="79">
        <v>43393</v>
      </c>
      <c r="C271" s="89"/>
      <c r="D271" s="85"/>
      <c r="E271" s="85"/>
      <c r="F271" s="90"/>
      <c r="G271" s="91"/>
      <c r="H271" s="91"/>
      <c r="I271" s="91"/>
      <c r="J271" s="92"/>
    </row>
    <row r="272" spans="1:10" x14ac:dyDescent="0.25">
      <c r="A272" s="42">
        <v>262</v>
      </c>
      <c r="B272" s="79">
        <v>43394</v>
      </c>
      <c r="C272" s="89"/>
      <c r="D272" s="85"/>
      <c r="E272" s="85"/>
      <c r="F272" s="90"/>
      <c r="G272" s="91"/>
      <c r="H272" s="91"/>
      <c r="I272" s="91"/>
      <c r="J272" s="92"/>
    </row>
    <row r="273" spans="1:10" x14ac:dyDescent="0.25">
      <c r="A273" s="42">
        <v>263</v>
      </c>
      <c r="B273" s="79">
        <v>43395</v>
      </c>
      <c r="C273" s="89"/>
      <c r="D273" s="85"/>
      <c r="E273" s="85"/>
      <c r="F273" s="90"/>
      <c r="G273" s="91"/>
      <c r="H273" s="91"/>
      <c r="I273" s="91"/>
      <c r="J273" s="92"/>
    </row>
    <row r="274" spans="1:10" x14ac:dyDescent="0.25">
      <c r="A274" s="42">
        <v>264</v>
      </c>
      <c r="B274" s="79">
        <v>43396</v>
      </c>
      <c r="C274" s="89"/>
      <c r="D274" s="85"/>
      <c r="E274" s="85"/>
      <c r="F274" s="90"/>
      <c r="G274" s="91"/>
      <c r="H274" s="91"/>
      <c r="I274" s="91"/>
      <c r="J274" s="92"/>
    </row>
    <row r="275" spans="1:10" x14ac:dyDescent="0.25">
      <c r="A275" s="42">
        <v>265</v>
      </c>
      <c r="B275" s="79">
        <v>43397</v>
      </c>
      <c r="C275" s="89"/>
      <c r="D275" s="85"/>
      <c r="E275" s="85"/>
      <c r="F275" s="90"/>
      <c r="G275" s="91"/>
      <c r="H275" s="91"/>
      <c r="I275" s="91"/>
      <c r="J275" s="92"/>
    </row>
    <row r="276" spans="1:10" x14ac:dyDescent="0.25">
      <c r="A276" s="42">
        <v>266</v>
      </c>
      <c r="B276" s="79">
        <v>43398</v>
      </c>
      <c r="C276" s="89"/>
      <c r="D276" s="85"/>
      <c r="E276" s="85"/>
      <c r="F276" s="90"/>
      <c r="G276" s="91"/>
      <c r="H276" s="91"/>
      <c r="I276" s="91"/>
      <c r="J276" s="92"/>
    </row>
    <row r="277" spans="1:10" x14ac:dyDescent="0.25">
      <c r="A277" s="42">
        <v>267</v>
      </c>
      <c r="B277" s="79">
        <v>43399</v>
      </c>
      <c r="C277" s="89"/>
      <c r="D277" s="85"/>
      <c r="E277" s="85"/>
      <c r="F277" s="90"/>
      <c r="G277" s="91"/>
      <c r="H277" s="91"/>
      <c r="I277" s="91"/>
      <c r="J277" s="92"/>
    </row>
    <row r="278" spans="1:10" x14ac:dyDescent="0.25">
      <c r="A278" s="42">
        <v>268</v>
      </c>
      <c r="B278" s="79">
        <v>43400</v>
      </c>
      <c r="C278" s="89"/>
      <c r="D278" s="85"/>
      <c r="E278" s="85"/>
      <c r="F278" s="90"/>
      <c r="G278" s="91"/>
      <c r="H278" s="91"/>
      <c r="I278" s="91"/>
      <c r="J278" s="92"/>
    </row>
    <row r="279" spans="1:10" x14ac:dyDescent="0.25">
      <c r="A279" s="42">
        <v>269</v>
      </c>
      <c r="B279" s="79">
        <v>43401</v>
      </c>
      <c r="C279" s="89"/>
      <c r="D279" s="85"/>
      <c r="E279" s="85"/>
      <c r="F279" s="90"/>
      <c r="G279" s="91"/>
      <c r="H279" s="91"/>
      <c r="I279" s="91"/>
      <c r="J279" s="92"/>
    </row>
    <row r="280" spans="1:10" x14ac:dyDescent="0.25">
      <c r="A280" s="42">
        <v>270</v>
      </c>
      <c r="B280" s="79">
        <v>43402</v>
      </c>
      <c r="C280" s="89"/>
      <c r="D280" s="85"/>
      <c r="E280" s="85"/>
      <c r="F280" s="90"/>
      <c r="G280" s="91"/>
      <c r="H280" s="91"/>
      <c r="I280" s="91"/>
      <c r="J280" s="92"/>
    </row>
    <row r="281" spans="1:10" x14ac:dyDescent="0.25">
      <c r="A281" s="42">
        <v>271</v>
      </c>
      <c r="B281" s="79">
        <v>43403</v>
      </c>
      <c r="C281" s="89"/>
      <c r="D281" s="85"/>
      <c r="E281" s="85"/>
      <c r="F281" s="90"/>
      <c r="G281" s="91"/>
      <c r="H281" s="91"/>
      <c r="I281" s="91"/>
      <c r="J281" s="92"/>
    </row>
    <row r="282" spans="1:10" x14ac:dyDescent="0.25">
      <c r="A282" s="42">
        <v>272</v>
      </c>
      <c r="B282" s="79">
        <v>43404</v>
      </c>
      <c r="C282" s="89"/>
      <c r="D282" s="85"/>
      <c r="E282" s="85"/>
      <c r="F282" s="90"/>
      <c r="G282" s="91"/>
      <c r="H282" s="91"/>
      <c r="I282" s="91"/>
      <c r="J282" s="92"/>
    </row>
    <row r="283" spans="1:10" x14ac:dyDescent="0.25">
      <c r="A283" s="42">
        <v>273</v>
      </c>
      <c r="B283" s="79">
        <v>43405</v>
      </c>
      <c r="C283" s="89"/>
      <c r="D283" s="85"/>
      <c r="E283" s="85"/>
      <c r="F283" s="90"/>
      <c r="G283" s="91"/>
      <c r="H283" s="91"/>
      <c r="I283" s="91"/>
      <c r="J283" s="92"/>
    </row>
    <row r="284" spans="1:10" x14ac:dyDescent="0.25">
      <c r="A284" s="42">
        <v>274</v>
      </c>
      <c r="B284" s="79">
        <v>43406</v>
      </c>
      <c r="C284" s="89"/>
      <c r="D284" s="85"/>
      <c r="E284" s="85"/>
      <c r="F284" s="90"/>
      <c r="G284" s="91"/>
      <c r="H284" s="91"/>
      <c r="I284" s="91"/>
      <c r="J284" s="92"/>
    </row>
    <row r="285" spans="1:10" x14ac:dyDescent="0.25">
      <c r="A285" s="42">
        <v>275</v>
      </c>
      <c r="B285" s="79">
        <v>43407</v>
      </c>
      <c r="C285" s="89"/>
      <c r="D285" s="85"/>
      <c r="E285" s="85"/>
      <c r="F285" s="90"/>
      <c r="G285" s="91"/>
      <c r="H285" s="91"/>
      <c r="I285" s="91"/>
      <c r="J285" s="92"/>
    </row>
    <row r="286" spans="1:10" x14ac:dyDescent="0.25">
      <c r="A286" s="42">
        <v>276</v>
      </c>
      <c r="B286" s="79">
        <v>43408</v>
      </c>
      <c r="C286" s="89"/>
      <c r="D286" s="85"/>
      <c r="E286" s="85"/>
      <c r="F286" s="90"/>
      <c r="G286" s="91"/>
      <c r="H286" s="91"/>
      <c r="I286" s="91"/>
      <c r="J286" s="92"/>
    </row>
    <row r="287" spans="1:10" x14ac:dyDescent="0.25">
      <c r="A287" s="42">
        <v>277</v>
      </c>
      <c r="B287" s="79">
        <v>43409</v>
      </c>
      <c r="C287" s="89"/>
      <c r="D287" s="85"/>
      <c r="E287" s="85"/>
      <c r="F287" s="90"/>
      <c r="G287" s="91"/>
      <c r="H287" s="91"/>
      <c r="I287" s="91"/>
      <c r="J287" s="92"/>
    </row>
    <row r="288" spans="1:10" x14ac:dyDescent="0.25">
      <c r="A288" s="42">
        <v>278</v>
      </c>
      <c r="B288" s="79">
        <v>43410</v>
      </c>
      <c r="C288" s="89"/>
      <c r="D288" s="85"/>
      <c r="E288" s="85"/>
      <c r="F288" s="90"/>
      <c r="G288" s="91"/>
      <c r="H288" s="91"/>
      <c r="I288" s="91"/>
      <c r="J288" s="92"/>
    </row>
    <row r="289" spans="1:10" x14ac:dyDescent="0.25">
      <c r="A289" s="42">
        <v>279</v>
      </c>
      <c r="B289" s="79">
        <v>43411</v>
      </c>
      <c r="C289" s="89"/>
      <c r="D289" s="85"/>
      <c r="E289" s="85"/>
      <c r="F289" s="90"/>
      <c r="G289" s="91"/>
      <c r="H289" s="91"/>
      <c r="I289" s="91"/>
      <c r="J289" s="92"/>
    </row>
    <row r="290" spans="1:10" x14ac:dyDescent="0.25">
      <c r="A290" s="42">
        <v>280</v>
      </c>
      <c r="B290" s="79">
        <v>43412</v>
      </c>
      <c r="C290" s="89"/>
      <c r="D290" s="85"/>
      <c r="E290" s="85"/>
      <c r="F290" s="90"/>
      <c r="G290" s="91"/>
      <c r="H290" s="91"/>
      <c r="I290" s="91"/>
      <c r="J290" s="92"/>
    </row>
    <row r="291" spans="1:10" x14ac:dyDescent="0.25">
      <c r="A291" s="42">
        <v>281</v>
      </c>
      <c r="B291" s="79">
        <v>43413</v>
      </c>
      <c r="C291" s="89"/>
      <c r="D291" s="85"/>
      <c r="E291" s="85"/>
      <c r="F291" s="90"/>
      <c r="G291" s="91"/>
      <c r="H291" s="91"/>
      <c r="I291" s="91"/>
      <c r="J291" s="92"/>
    </row>
    <row r="292" spans="1:10" x14ac:dyDescent="0.25">
      <c r="A292" s="42">
        <v>282</v>
      </c>
      <c r="B292" s="79">
        <v>43414</v>
      </c>
      <c r="C292" s="89"/>
      <c r="D292" s="85"/>
      <c r="E292" s="85"/>
      <c r="F292" s="90"/>
      <c r="G292" s="91"/>
      <c r="H292" s="91"/>
      <c r="I292" s="91"/>
      <c r="J292" s="92"/>
    </row>
    <row r="293" spans="1:10" x14ac:dyDescent="0.25">
      <c r="A293" s="42">
        <v>283</v>
      </c>
      <c r="B293" s="79">
        <v>43415</v>
      </c>
      <c r="C293" s="89"/>
      <c r="D293" s="85"/>
      <c r="E293" s="85"/>
      <c r="F293" s="90"/>
      <c r="G293" s="91"/>
      <c r="H293" s="91"/>
      <c r="I293" s="91"/>
      <c r="J293" s="92"/>
    </row>
    <row r="294" spans="1:10" x14ac:dyDescent="0.25">
      <c r="A294" s="42">
        <v>284</v>
      </c>
      <c r="B294" s="79">
        <v>43416</v>
      </c>
      <c r="C294" s="89"/>
      <c r="D294" s="85"/>
      <c r="E294" s="85"/>
      <c r="F294" s="90"/>
      <c r="G294" s="91"/>
      <c r="H294" s="91"/>
      <c r="I294" s="91"/>
      <c r="J294" s="92"/>
    </row>
    <row r="295" spans="1:10" x14ac:dyDescent="0.25">
      <c r="A295" s="42">
        <v>285</v>
      </c>
      <c r="B295" s="79">
        <v>43417</v>
      </c>
      <c r="C295" s="89"/>
      <c r="D295" s="85"/>
      <c r="E295" s="85"/>
      <c r="F295" s="90"/>
      <c r="G295" s="91"/>
      <c r="H295" s="91"/>
      <c r="I295" s="91"/>
      <c r="J295" s="92"/>
    </row>
    <row r="296" spans="1:10" x14ac:dyDescent="0.25">
      <c r="A296" s="42">
        <v>286</v>
      </c>
      <c r="B296" s="79">
        <v>43418</v>
      </c>
      <c r="C296" s="89"/>
      <c r="D296" s="85"/>
      <c r="E296" s="85"/>
      <c r="F296" s="90"/>
      <c r="G296" s="91"/>
      <c r="H296" s="91"/>
      <c r="I296" s="91"/>
      <c r="J296" s="92"/>
    </row>
    <row r="297" spans="1:10" x14ac:dyDescent="0.25">
      <c r="A297" s="42">
        <v>287</v>
      </c>
      <c r="B297" s="79">
        <v>43419</v>
      </c>
      <c r="C297" s="89"/>
      <c r="D297" s="85"/>
      <c r="E297" s="85"/>
      <c r="F297" s="90"/>
      <c r="G297" s="91"/>
      <c r="H297" s="91"/>
      <c r="I297" s="91"/>
      <c r="J297" s="92"/>
    </row>
    <row r="298" spans="1:10" x14ac:dyDescent="0.25">
      <c r="A298" s="42">
        <v>288</v>
      </c>
      <c r="B298" s="79">
        <v>43420</v>
      </c>
      <c r="C298" s="89"/>
      <c r="D298" s="85"/>
      <c r="E298" s="85"/>
      <c r="F298" s="90"/>
      <c r="G298" s="91"/>
      <c r="H298" s="91"/>
      <c r="I298" s="91"/>
      <c r="J298" s="92"/>
    </row>
    <row r="299" spans="1:10" x14ac:dyDescent="0.25">
      <c r="A299" s="42">
        <v>289</v>
      </c>
      <c r="B299" s="79">
        <v>43421</v>
      </c>
      <c r="C299" s="89"/>
      <c r="D299" s="85"/>
      <c r="E299" s="85"/>
      <c r="F299" s="90"/>
      <c r="G299" s="91"/>
      <c r="H299" s="91"/>
      <c r="I299" s="91"/>
      <c r="J299" s="92"/>
    </row>
    <row r="300" spans="1:10" x14ac:dyDescent="0.25">
      <c r="A300" s="42">
        <v>290</v>
      </c>
      <c r="B300" s="79">
        <v>43422</v>
      </c>
      <c r="C300" s="89"/>
      <c r="D300" s="85"/>
      <c r="E300" s="85"/>
      <c r="F300" s="90"/>
      <c r="G300" s="91"/>
      <c r="H300" s="91"/>
      <c r="I300" s="91"/>
      <c r="J300" s="92"/>
    </row>
    <row r="301" spans="1:10" x14ac:dyDescent="0.25">
      <c r="A301" s="42">
        <v>291</v>
      </c>
      <c r="B301" s="79">
        <v>43423</v>
      </c>
      <c r="C301" s="89"/>
      <c r="D301" s="85"/>
      <c r="E301" s="85"/>
      <c r="F301" s="90"/>
      <c r="G301" s="91"/>
      <c r="H301" s="91"/>
      <c r="I301" s="91"/>
      <c r="J301" s="92"/>
    </row>
    <row r="302" spans="1:10" x14ac:dyDescent="0.25">
      <c r="A302" s="42">
        <v>292</v>
      </c>
      <c r="B302" s="79">
        <v>43424</v>
      </c>
      <c r="C302" s="89"/>
      <c r="D302" s="85"/>
      <c r="E302" s="85"/>
      <c r="F302" s="90"/>
      <c r="G302" s="91"/>
      <c r="H302" s="91"/>
      <c r="I302" s="91"/>
      <c r="J302" s="92"/>
    </row>
    <row r="303" spans="1:10" x14ac:dyDescent="0.25">
      <c r="A303" s="42">
        <v>293</v>
      </c>
      <c r="B303" s="79">
        <v>43425</v>
      </c>
      <c r="C303" s="89"/>
      <c r="D303" s="85"/>
      <c r="E303" s="85"/>
      <c r="F303" s="90"/>
      <c r="G303" s="91"/>
      <c r="H303" s="91"/>
      <c r="I303" s="91"/>
      <c r="J303" s="92"/>
    </row>
    <row r="304" spans="1:10" x14ac:dyDescent="0.25">
      <c r="A304" s="42">
        <v>294</v>
      </c>
      <c r="B304" s="79">
        <v>43426</v>
      </c>
      <c r="C304" s="89"/>
      <c r="D304" s="85"/>
      <c r="E304" s="85"/>
      <c r="F304" s="90"/>
      <c r="G304" s="91"/>
      <c r="H304" s="91"/>
      <c r="I304" s="91"/>
      <c r="J304" s="92"/>
    </row>
    <row r="305" spans="1:10" x14ac:dyDescent="0.25">
      <c r="A305" s="42">
        <v>295</v>
      </c>
      <c r="B305" s="79">
        <v>43427</v>
      </c>
      <c r="C305" s="89"/>
      <c r="D305" s="85"/>
      <c r="E305" s="85"/>
      <c r="F305" s="90"/>
      <c r="G305" s="91"/>
      <c r="H305" s="91"/>
      <c r="I305" s="91"/>
      <c r="J305" s="92"/>
    </row>
    <row r="306" spans="1:10" x14ac:dyDescent="0.25">
      <c r="A306" s="42">
        <v>296</v>
      </c>
      <c r="B306" s="79">
        <v>43428</v>
      </c>
      <c r="C306" s="89"/>
      <c r="D306" s="85"/>
      <c r="E306" s="85"/>
      <c r="F306" s="90"/>
      <c r="G306" s="91"/>
      <c r="H306" s="91"/>
      <c r="I306" s="91"/>
      <c r="J306" s="92"/>
    </row>
    <row r="307" spans="1:10" x14ac:dyDescent="0.25">
      <c r="A307" s="42">
        <v>297</v>
      </c>
      <c r="B307" s="79">
        <v>43429</v>
      </c>
      <c r="C307" s="89"/>
      <c r="D307" s="85"/>
      <c r="E307" s="85"/>
      <c r="F307" s="90"/>
      <c r="G307" s="91"/>
      <c r="H307" s="91"/>
      <c r="I307" s="91"/>
      <c r="J307" s="92"/>
    </row>
    <row r="308" spans="1:10" x14ac:dyDescent="0.25">
      <c r="A308" s="42">
        <v>298</v>
      </c>
      <c r="B308" s="79">
        <v>43430</v>
      </c>
      <c r="C308" s="89"/>
      <c r="D308" s="85"/>
      <c r="E308" s="85"/>
      <c r="F308" s="90"/>
      <c r="G308" s="91"/>
      <c r="H308" s="91"/>
      <c r="I308" s="91"/>
      <c r="J308" s="92"/>
    </row>
    <row r="309" spans="1:10" x14ac:dyDescent="0.25">
      <c r="A309" s="42">
        <v>299</v>
      </c>
      <c r="B309" s="79">
        <v>43431</v>
      </c>
      <c r="C309" s="89"/>
      <c r="D309" s="85"/>
      <c r="E309" s="85"/>
      <c r="F309" s="90"/>
      <c r="G309" s="91"/>
      <c r="H309" s="91"/>
      <c r="I309" s="91"/>
      <c r="J309" s="92"/>
    </row>
    <row r="310" spans="1:10" x14ac:dyDescent="0.25">
      <c r="A310" s="42">
        <v>300</v>
      </c>
      <c r="B310" s="79">
        <v>43432</v>
      </c>
      <c r="C310" s="89"/>
      <c r="D310" s="85"/>
      <c r="E310" s="85"/>
      <c r="F310" s="90"/>
      <c r="G310" s="91"/>
      <c r="H310" s="91"/>
      <c r="I310" s="91"/>
      <c r="J310" s="92"/>
    </row>
    <row r="311" spans="1:10" x14ac:dyDescent="0.25">
      <c r="A311" s="42">
        <v>301</v>
      </c>
      <c r="B311" s="79">
        <v>43433</v>
      </c>
      <c r="C311" s="89"/>
      <c r="D311" s="85"/>
      <c r="E311" s="85"/>
      <c r="F311" s="90"/>
      <c r="G311" s="91"/>
      <c r="H311" s="91"/>
      <c r="I311" s="91"/>
      <c r="J311" s="92"/>
    </row>
    <row r="312" spans="1:10" x14ac:dyDescent="0.25">
      <c r="A312" s="42">
        <v>302</v>
      </c>
      <c r="B312" s="79">
        <v>43434</v>
      </c>
      <c r="C312" s="89"/>
      <c r="D312" s="85"/>
      <c r="E312" s="85"/>
      <c r="F312" s="90"/>
      <c r="G312" s="91"/>
      <c r="H312" s="91"/>
      <c r="I312" s="91"/>
      <c r="J312" s="92"/>
    </row>
    <row r="313" spans="1:10" x14ac:dyDescent="0.25">
      <c r="A313" s="42">
        <v>303</v>
      </c>
      <c r="B313" s="79">
        <v>43435</v>
      </c>
      <c r="C313" s="89"/>
      <c r="D313" s="85"/>
      <c r="E313" s="85"/>
      <c r="F313" s="90"/>
      <c r="G313" s="91"/>
      <c r="H313" s="91"/>
      <c r="I313" s="91"/>
      <c r="J313" s="92"/>
    </row>
    <row r="314" spans="1:10" x14ac:dyDescent="0.25">
      <c r="A314" s="42">
        <v>304</v>
      </c>
      <c r="B314" s="79">
        <v>43436</v>
      </c>
      <c r="C314" s="89"/>
      <c r="D314" s="85"/>
      <c r="E314" s="85"/>
      <c r="F314" s="90"/>
      <c r="G314" s="91"/>
      <c r="H314" s="91"/>
      <c r="I314" s="91"/>
      <c r="J314" s="92"/>
    </row>
    <row r="315" spans="1:10" x14ac:dyDescent="0.25">
      <c r="A315" s="42">
        <v>305</v>
      </c>
      <c r="B315" s="79">
        <v>43437</v>
      </c>
      <c r="C315" s="89"/>
      <c r="D315" s="85"/>
      <c r="E315" s="85"/>
      <c r="F315" s="90"/>
      <c r="G315" s="91"/>
      <c r="H315" s="91"/>
      <c r="I315" s="91"/>
      <c r="J315" s="92"/>
    </row>
    <row r="316" spans="1:10" x14ac:dyDescent="0.25">
      <c r="A316" s="42">
        <v>306</v>
      </c>
      <c r="B316" s="79">
        <v>43438</v>
      </c>
      <c r="C316" s="89"/>
      <c r="D316" s="85"/>
      <c r="E316" s="85"/>
      <c r="F316" s="90"/>
      <c r="G316" s="91"/>
      <c r="H316" s="91"/>
      <c r="I316" s="91"/>
      <c r="J316" s="92"/>
    </row>
    <row r="317" spans="1:10" x14ac:dyDescent="0.25">
      <c r="A317" s="42">
        <v>307</v>
      </c>
      <c r="B317" s="79">
        <v>43439</v>
      </c>
      <c r="C317" s="89"/>
      <c r="D317" s="85"/>
      <c r="E317" s="85"/>
      <c r="F317" s="90"/>
      <c r="G317" s="91"/>
      <c r="H317" s="91"/>
      <c r="I317" s="91"/>
      <c r="J317" s="92"/>
    </row>
    <row r="318" spans="1:10" x14ac:dyDescent="0.25">
      <c r="A318" s="42">
        <v>308</v>
      </c>
      <c r="B318" s="79">
        <v>43440</v>
      </c>
      <c r="C318" s="89"/>
      <c r="D318" s="85"/>
      <c r="E318" s="85"/>
      <c r="F318" s="90"/>
      <c r="G318" s="91"/>
      <c r="H318" s="91"/>
      <c r="I318" s="91"/>
      <c r="J318" s="92"/>
    </row>
    <row r="319" spans="1:10" x14ac:dyDescent="0.25">
      <c r="A319" s="42">
        <v>309</v>
      </c>
      <c r="B319" s="79">
        <v>43441</v>
      </c>
      <c r="C319" s="89"/>
      <c r="D319" s="85"/>
      <c r="E319" s="85"/>
      <c r="F319" s="90"/>
      <c r="G319" s="91"/>
      <c r="H319" s="91"/>
      <c r="I319" s="91"/>
      <c r="J319" s="92"/>
    </row>
    <row r="320" spans="1:10" x14ac:dyDescent="0.25">
      <c r="A320" s="42">
        <v>310</v>
      </c>
      <c r="B320" s="79">
        <v>43442</v>
      </c>
      <c r="C320" s="89"/>
      <c r="D320" s="85"/>
      <c r="E320" s="85"/>
      <c r="F320" s="90"/>
      <c r="G320" s="91"/>
      <c r="H320" s="91"/>
      <c r="I320" s="91"/>
      <c r="J320" s="92"/>
    </row>
    <row r="321" spans="1:10" x14ac:dyDescent="0.25">
      <c r="A321" s="42">
        <v>311</v>
      </c>
      <c r="B321" s="79">
        <v>43443</v>
      </c>
      <c r="C321" s="89"/>
      <c r="D321" s="85"/>
      <c r="E321" s="85"/>
      <c r="F321" s="90"/>
      <c r="G321" s="91"/>
      <c r="H321" s="91"/>
      <c r="I321" s="91"/>
      <c r="J321" s="92"/>
    </row>
    <row r="322" spans="1:10" x14ac:dyDescent="0.25">
      <c r="A322" s="42">
        <v>312</v>
      </c>
      <c r="B322" s="79">
        <v>43444</v>
      </c>
      <c r="C322" s="89"/>
      <c r="D322" s="85"/>
      <c r="E322" s="85"/>
      <c r="F322" s="90"/>
      <c r="G322" s="91"/>
      <c r="H322" s="91"/>
      <c r="I322" s="91"/>
      <c r="J322" s="92"/>
    </row>
    <row r="323" spans="1:10" x14ac:dyDescent="0.25">
      <c r="A323" s="42">
        <v>313</v>
      </c>
      <c r="B323" s="79">
        <v>43445</v>
      </c>
      <c r="C323" s="89"/>
      <c r="D323" s="85"/>
      <c r="E323" s="85"/>
      <c r="F323" s="90"/>
      <c r="G323" s="91"/>
      <c r="H323" s="91"/>
      <c r="I323" s="91"/>
      <c r="J323" s="92"/>
    </row>
    <row r="324" spans="1:10" x14ac:dyDescent="0.25">
      <c r="A324" s="42">
        <v>314</v>
      </c>
      <c r="B324" s="79">
        <v>43446</v>
      </c>
      <c r="C324" s="89"/>
      <c r="D324" s="85"/>
      <c r="E324" s="85"/>
      <c r="F324" s="90"/>
      <c r="G324" s="91"/>
      <c r="H324" s="91"/>
      <c r="I324" s="91"/>
      <c r="J324" s="92"/>
    </row>
    <row r="325" spans="1:10" x14ac:dyDescent="0.25">
      <c r="A325" s="42">
        <v>315</v>
      </c>
      <c r="B325" s="79">
        <v>43447</v>
      </c>
      <c r="C325" s="89"/>
      <c r="D325" s="85"/>
      <c r="E325" s="85"/>
      <c r="F325" s="90"/>
      <c r="G325" s="91"/>
      <c r="H325" s="91"/>
      <c r="I325" s="91"/>
      <c r="J325" s="92"/>
    </row>
    <row r="326" spans="1:10" x14ac:dyDescent="0.25">
      <c r="A326" s="42">
        <v>316</v>
      </c>
      <c r="B326" s="79">
        <v>43448</v>
      </c>
      <c r="C326" s="89"/>
      <c r="D326" s="85"/>
      <c r="E326" s="85"/>
      <c r="F326" s="90"/>
      <c r="G326" s="91"/>
      <c r="H326" s="91"/>
      <c r="I326" s="91"/>
      <c r="J326" s="92"/>
    </row>
    <row r="327" spans="1:10" x14ac:dyDescent="0.25">
      <c r="A327" s="42">
        <v>317</v>
      </c>
      <c r="B327" s="79">
        <v>43449</v>
      </c>
      <c r="C327" s="89"/>
      <c r="D327" s="85"/>
      <c r="E327" s="85"/>
      <c r="F327" s="90"/>
      <c r="G327" s="91"/>
      <c r="H327" s="91"/>
      <c r="I327" s="91"/>
      <c r="J327" s="92"/>
    </row>
    <row r="328" spans="1:10" x14ac:dyDescent="0.25">
      <c r="A328" s="42">
        <v>318</v>
      </c>
      <c r="B328" s="79">
        <v>43450</v>
      </c>
      <c r="C328" s="89"/>
      <c r="D328" s="85"/>
      <c r="E328" s="85"/>
      <c r="F328" s="90"/>
      <c r="G328" s="91"/>
      <c r="H328" s="91"/>
      <c r="I328" s="91"/>
      <c r="J328" s="92"/>
    </row>
    <row r="329" spans="1:10" x14ac:dyDescent="0.25">
      <c r="A329" s="42">
        <v>319</v>
      </c>
      <c r="B329" s="79">
        <v>43451</v>
      </c>
      <c r="C329" s="89"/>
      <c r="D329" s="85"/>
      <c r="E329" s="85"/>
      <c r="F329" s="90"/>
      <c r="G329" s="91"/>
      <c r="H329" s="91"/>
      <c r="I329" s="91"/>
      <c r="J329" s="92"/>
    </row>
    <row r="330" spans="1:10" x14ac:dyDescent="0.25">
      <c r="A330" s="42">
        <v>320</v>
      </c>
      <c r="B330" s="79">
        <v>43452</v>
      </c>
      <c r="C330" s="89"/>
      <c r="D330" s="85"/>
      <c r="E330" s="85"/>
      <c r="F330" s="90"/>
      <c r="G330" s="91"/>
      <c r="H330" s="91"/>
      <c r="I330" s="91"/>
      <c r="J330" s="92"/>
    </row>
    <row r="331" spans="1:10" x14ac:dyDescent="0.25">
      <c r="A331" s="42">
        <v>321</v>
      </c>
      <c r="B331" s="79">
        <v>43453</v>
      </c>
      <c r="C331" s="89"/>
      <c r="D331" s="85"/>
      <c r="E331" s="85"/>
      <c r="F331" s="90"/>
      <c r="G331" s="91"/>
      <c r="H331" s="91"/>
      <c r="I331" s="91"/>
      <c r="J331" s="92"/>
    </row>
    <row r="332" spans="1:10" x14ac:dyDescent="0.25">
      <c r="A332" s="42">
        <v>322</v>
      </c>
      <c r="B332" s="79">
        <v>43454</v>
      </c>
      <c r="C332" s="89"/>
      <c r="D332" s="85"/>
      <c r="E332" s="85"/>
      <c r="F332" s="90"/>
      <c r="G332" s="91"/>
      <c r="H332" s="91"/>
      <c r="I332" s="91"/>
      <c r="J332" s="92"/>
    </row>
    <row r="333" spans="1:10" x14ac:dyDescent="0.25">
      <c r="A333" s="42">
        <v>323</v>
      </c>
      <c r="B333" s="79">
        <v>43455</v>
      </c>
      <c r="C333" s="89"/>
      <c r="D333" s="85"/>
      <c r="E333" s="85"/>
      <c r="F333" s="90"/>
      <c r="G333" s="91"/>
      <c r="H333" s="91"/>
      <c r="I333" s="91"/>
      <c r="J333" s="92"/>
    </row>
    <row r="334" spans="1:10" x14ac:dyDescent="0.25">
      <c r="A334" s="42">
        <v>324</v>
      </c>
      <c r="B334" s="79">
        <v>43456</v>
      </c>
      <c r="C334" s="89"/>
      <c r="D334" s="85"/>
      <c r="E334" s="85"/>
      <c r="F334" s="90"/>
      <c r="G334" s="91"/>
      <c r="H334" s="91"/>
      <c r="I334" s="91"/>
      <c r="J334" s="92"/>
    </row>
    <row r="335" spans="1:10" x14ac:dyDescent="0.25">
      <c r="A335" s="42">
        <v>325</v>
      </c>
      <c r="B335" s="79">
        <v>43457</v>
      </c>
      <c r="C335" s="89"/>
      <c r="D335" s="85"/>
      <c r="E335" s="85"/>
      <c r="F335" s="90"/>
      <c r="G335" s="91"/>
      <c r="H335" s="91"/>
      <c r="I335" s="91"/>
      <c r="J335" s="92"/>
    </row>
    <row r="336" spans="1:10" x14ac:dyDescent="0.25">
      <c r="A336" s="42">
        <v>326</v>
      </c>
      <c r="B336" s="79">
        <v>43458</v>
      </c>
      <c r="C336" s="89"/>
      <c r="D336" s="85"/>
      <c r="E336" s="85"/>
      <c r="F336" s="90"/>
      <c r="G336" s="91"/>
      <c r="H336" s="91"/>
      <c r="I336" s="91"/>
      <c r="J336" s="92"/>
    </row>
    <row r="337" spans="1:10" x14ac:dyDescent="0.25">
      <c r="A337" s="42">
        <v>327</v>
      </c>
      <c r="B337" s="79">
        <v>43459</v>
      </c>
      <c r="C337" s="89"/>
      <c r="D337" s="85"/>
      <c r="E337" s="85"/>
      <c r="F337" s="90"/>
      <c r="G337" s="91"/>
      <c r="H337" s="91"/>
      <c r="I337" s="91"/>
      <c r="J337" s="92"/>
    </row>
    <row r="338" spans="1:10" x14ac:dyDescent="0.25">
      <c r="A338" s="42">
        <v>328</v>
      </c>
      <c r="B338" s="79">
        <v>43460</v>
      </c>
      <c r="C338" s="89"/>
      <c r="D338" s="85"/>
      <c r="E338" s="85"/>
      <c r="F338" s="90"/>
      <c r="G338" s="91"/>
      <c r="H338" s="91"/>
      <c r="I338" s="91"/>
      <c r="J338" s="92"/>
    </row>
    <row r="339" spans="1:10" x14ac:dyDescent="0.25">
      <c r="A339" s="42">
        <v>329</v>
      </c>
      <c r="B339" s="79">
        <v>43461</v>
      </c>
      <c r="C339" s="89"/>
      <c r="D339" s="85"/>
      <c r="E339" s="85"/>
      <c r="F339" s="90"/>
      <c r="G339" s="91"/>
      <c r="H339" s="91"/>
      <c r="I339" s="91"/>
      <c r="J339" s="92"/>
    </row>
    <row r="340" spans="1:10" x14ac:dyDescent="0.25">
      <c r="A340" s="42">
        <v>330</v>
      </c>
      <c r="B340" s="79">
        <v>43462</v>
      </c>
      <c r="C340" s="89"/>
      <c r="D340" s="85"/>
      <c r="E340" s="85"/>
      <c r="F340" s="90"/>
      <c r="G340" s="91"/>
      <c r="H340" s="91"/>
      <c r="I340" s="91"/>
      <c r="J340" s="92"/>
    </row>
    <row r="341" spans="1:10" x14ac:dyDescent="0.25">
      <c r="A341" s="42">
        <v>331</v>
      </c>
      <c r="B341" s="79">
        <v>43463</v>
      </c>
      <c r="C341" s="89"/>
      <c r="D341" s="85"/>
      <c r="E341" s="85"/>
      <c r="F341" s="90"/>
      <c r="G341" s="91"/>
      <c r="H341" s="91"/>
      <c r="I341" s="91"/>
      <c r="J341" s="92"/>
    </row>
    <row r="342" spans="1:10" x14ac:dyDescent="0.25">
      <c r="A342" s="42">
        <v>332</v>
      </c>
      <c r="B342" s="79">
        <v>43464</v>
      </c>
      <c r="C342" s="89"/>
      <c r="D342" s="85"/>
      <c r="E342" s="85"/>
      <c r="F342" s="90"/>
      <c r="G342" s="91"/>
      <c r="H342" s="91"/>
      <c r="I342" s="91"/>
      <c r="J342" s="92"/>
    </row>
    <row r="343" spans="1:10" x14ac:dyDescent="0.25">
      <c r="A343" s="42">
        <v>333</v>
      </c>
      <c r="B343" s="79">
        <v>43465</v>
      </c>
      <c r="C343" s="89"/>
      <c r="D343" s="85"/>
      <c r="E343" s="85"/>
      <c r="F343" s="90"/>
      <c r="G343" s="91"/>
      <c r="H343" s="91"/>
      <c r="I343" s="91"/>
      <c r="J343" s="92"/>
    </row>
    <row r="344" spans="1:10" x14ac:dyDescent="0.25">
      <c r="A344" s="42">
        <v>334</v>
      </c>
      <c r="B344" s="79">
        <v>43466</v>
      </c>
      <c r="C344" s="89"/>
      <c r="D344" s="85"/>
      <c r="E344" s="85"/>
      <c r="F344" s="90"/>
      <c r="G344" s="91"/>
      <c r="H344" s="91"/>
      <c r="I344" s="91"/>
      <c r="J344" s="92"/>
    </row>
    <row r="345" spans="1:10" x14ac:dyDescent="0.25">
      <c r="A345" s="42">
        <v>335</v>
      </c>
      <c r="B345" s="79">
        <v>43467</v>
      </c>
      <c r="C345" s="89"/>
      <c r="D345" s="85"/>
      <c r="E345" s="85"/>
      <c r="F345" s="90"/>
      <c r="G345" s="91"/>
      <c r="H345" s="91"/>
      <c r="I345" s="91"/>
      <c r="J345" s="92"/>
    </row>
    <row r="346" spans="1:10" x14ac:dyDescent="0.25">
      <c r="A346" s="42">
        <v>336</v>
      </c>
      <c r="B346" s="79">
        <v>43468</v>
      </c>
      <c r="C346" s="89"/>
      <c r="D346" s="85"/>
      <c r="E346" s="85"/>
      <c r="F346" s="90"/>
      <c r="G346" s="91"/>
      <c r="H346" s="91"/>
      <c r="I346" s="91"/>
      <c r="J346" s="92"/>
    </row>
    <row r="347" spans="1:10" x14ac:dyDescent="0.25">
      <c r="A347" s="42">
        <v>337</v>
      </c>
      <c r="B347" s="79">
        <v>43469</v>
      </c>
      <c r="C347" s="89"/>
      <c r="D347" s="85"/>
      <c r="E347" s="85"/>
      <c r="F347" s="90"/>
      <c r="G347" s="91"/>
      <c r="H347" s="91"/>
      <c r="I347" s="91"/>
      <c r="J347" s="92"/>
    </row>
    <row r="348" spans="1:10" x14ac:dyDescent="0.25">
      <c r="A348" s="42">
        <v>338</v>
      </c>
      <c r="B348" s="79">
        <v>43470</v>
      </c>
      <c r="C348" s="89"/>
      <c r="D348" s="85"/>
      <c r="E348" s="85"/>
      <c r="F348" s="90"/>
      <c r="G348" s="91"/>
      <c r="H348" s="91"/>
      <c r="I348" s="91"/>
      <c r="J348" s="92"/>
    </row>
    <row r="349" spans="1:10" x14ac:dyDescent="0.25">
      <c r="A349" s="42">
        <v>339</v>
      </c>
      <c r="B349" s="79">
        <v>43471</v>
      </c>
      <c r="C349" s="89"/>
      <c r="D349" s="85"/>
      <c r="E349" s="85"/>
      <c r="F349" s="90"/>
      <c r="G349" s="91"/>
      <c r="H349" s="91"/>
      <c r="I349" s="91"/>
      <c r="J349" s="92"/>
    </row>
    <row r="350" spans="1:10" x14ac:dyDescent="0.25">
      <c r="A350" s="42">
        <v>340</v>
      </c>
      <c r="B350" s="79">
        <v>43472</v>
      </c>
      <c r="C350" s="89"/>
      <c r="D350" s="85"/>
      <c r="E350" s="85"/>
      <c r="F350" s="90"/>
      <c r="G350" s="91"/>
      <c r="H350" s="91"/>
      <c r="I350" s="91"/>
      <c r="J350" s="92"/>
    </row>
    <row r="351" spans="1:10" x14ac:dyDescent="0.25">
      <c r="A351" s="42">
        <v>341</v>
      </c>
      <c r="B351" s="79">
        <v>43473</v>
      </c>
      <c r="C351" s="89"/>
      <c r="D351" s="85"/>
      <c r="E351" s="85"/>
      <c r="F351" s="90"/>
      <c r="G351" s="91"/>
      <c r="H351" s="91"/>
      <c r="I351" s="91"/>
      <c r="J351" s="92"/>
    </row>
    <row r="352" spans="1:10" x14ac:dyDescent="0.25">
      <c r="A352" s="42">
        <v>342</v>
      </c>
      <c r="B352" s="79">
        <v>43474</v>
      </c>
      <c r="C352" s="89"/>
      <c r="D352" s="85"/>
      <c r="E352" s="85"/>
      <c r="F352" s="90"/>
      <c r="G352" s="91"/>
      <c r="H352" s="91"/>
      <c r="I352" s="91"/>
      <c r="J352" s="92"/>
    </row>
    <row r="353" spans="1:10" x14ac:dyDescent="0.25">
      <c r="A353" s="42">
        <v>343</v>
      </c>
      <c r="B353" s="79">
        <v>43475</v>
      </c>
      <c r="C353" s="89"/>
      <c r="D353" s="85"/>
      <c r="E353" s="85"/>
      <c r="F353" s="90"/>
      <c r="G353" s="91"/>
      <c r="H353" s="91"/>
      <c r="I353" s="91"/>
      <c r="J353" s="92"/>
    </row>
    <row r="354" spans="1:10" x14ac:dyDescent="0.25">
      <c r="A354" s="42">
        <v>344</v>
      </c>
      <c r="B354" s="79">
        <v>43476</v>
      </c>
      <c r="C354" s="89"/>
      <c r="D354" s="85"/>
      <c r="E354" s="85"/>
      <c r="F354" s="90"/>
      <c r="G354" s="91"/>
      <c r="H354" s="91"/>
      <c r="I354" s="91"/>
      <c r="J354" s="92"/>
    </row>
    <row r="355" spans="1:10" x14ac:dyDescent="0.25">
      <c r="A355" s="42">
        <v>345</v>
      </c>
      <c r="B355" s="79">
        <v>43477</v>
      </c>
      <c r="C355" s="89"/>
      <c r="D355" s="85"/>
      <c r="E355" s="85"/>
      <c r="F355" s="90"/>
      <c r="G355" s="91"/>
      <c r="H355" s="91"/>
      <c r="I355" s="91"/>
      <c r="J355" s="92"/>
    </row>
    <row r="356" spans="1:10" x14ac:dyDescent="0.25">
      <c r="A356" s="42">
        <v>346</v>
      </c>
      <c r="B356" s="79">
        <v>43478</v>
      </c>
      <c r="C356" s="89"/>
      <c r="D356" s="85"/>
      <c r="E356" s="85"/>
      <c r="F356" s="90"/>
      <c r="G356" s="91"/>
      <c r="H356" s="91"/>
      <c r="I356" s="91"/>
      <c r="J356" s="92"/>
    </row>
    <row r="357" spans="1:10" x14ac:dyDescent="0.25">
      <c r="A357" s="42">
        <v>347</v>
      </c>
      <c r="B357" s="79">
        <v>43479</v>
      </c>
      <c r="C357" s="89"/>
      <c r="D357" s="85"/>
      <c r="E357" s="85"/>
      <c r="F357" s="90"/>
      <c r="G357" s="91"/>
      <c r="H357" s="91"/>
      <c r="I357" s="91"/>
      <c r="J357" s="92"/>
    </row>
    <row r="358" spans="1:10" x14ac:dyDescent="0.25">
      <c r="A358" s="42">
        <v>348</v>
      </c>
      <c r="B358" s="79">
        <v>43480</v>
      </c>
      <c r="C358" s="89"/>
      <c r="D358" s="85"/>
      <c r="E358" s="85"/>
      <c r="F358" s="90"/>
      <c r="G358" s="91"/>
      <c r="H358" s="91"/>
      <c r="I358" s="91"/>
      <c r="J358" s="92"/>
    </row>
    <row r="359" spans="1:10" x14ac:dyDescent="0.25">
      <c r="A359" s="42">
        <v>349</v>
      </c>
      <c r="B359" s="79">
        <v>43481</v>
      </c>
      <c r="C359" s="89"/>
      <c r="D359" s="85"/>
      <c r="E359" s="85"/>
      <c r="F359" s="90"/>
      <c r="G359" s="91"/>
      <c r="H359" s="91"/>
      <c r="I359" s="91"/>
      <c r="J359" s="92"/>
    </row>
    <row r="360" spans="1:10" x14ac:dyDescent="0.25">
      <c r="A360" s="42">
        <v>350</v>
      </c>
      <c r="B360" s="79">
        <v>43482</v>
      </c>
      <c r="C360" s="89"/>
      <c r="D360" s="85"/>
      <c r="E360" s="85"/>
      <c r="F360" s="90"/>
      <c r="G360" s="91"/>
      <c r="H360" s="91"/>
      <c r="I360" s="91"/>
      <c r="J360" s="92"/>
    </row>
    <row r="361" spans="1:10" x14ac:dyDescent="0.25">
      <c r="A361" s="42">
        <v>351</v>
      </c>
      <c r="B361" s="79">
        <v>43483</v>
      </c>
      <c r="C361" s="89"/>
      <c r="D361" s="85"/>
      <c r="E361" s="85"/>
      <c r="F361" s="90"/>
      <c r="G361" s="91"/>
      <c r="H361" s="91"/>
      <c r="I361" s="91"/>
      <c r="J361" s="92"/>
    </row>
    <row r="362" spans="1:10" x14ac:dyDescent="0.25">
      <c r="A362" s="42">
        <v>352</v>
      </c>
      <c r="B362" s="79">
        <v>43484</v>
      </c>
      <c r="C362" s="89"/>
      <c r="D362" s="85"/>
      <c r="E362" s="85"/>
      <c r="F362" s="90"/>
      <c r="G362" s="91"/>
      <c r="H362" s="91"/>
      <c r="I362" s="91"/>
      <c r="J362" s="92"/>
    </row>
    <row r="363" spans="1:10" x14ac:dyDescent="0.25">
      <c r="A363" s="42">
        <v>353</v>
      </c>
      <c r="B363" s="79">
        <v>43485</v>
      </c>
      <c r="C363" s="89"/>
      <c r="D363" s="85"/>
      <c r="E363" s="85"/>
      <c r="F363" s="90"/>
      <c r="G363" s="91"/>
      <c r="H363" s="91"/>
      <c r="I363" s="91"/>
      <c r="J363" s="92"/>
    </row>
    <row r="364" spans="1:10" x14ac:dyDescent="0.25">
      <c r="A364" s="42">
        <v>354</v>
      </c>
      <c r="B364" s="79">
        <v>43486</v>
      </c>
      <c r="C364" s="89"/>
      <c r="D364" s="85"/>
      <c r="E364" s="85"/>
      <c r="F364" s="90"/>
      <c r="G364" s="91"/>
      <c r="H364" s="91"/>
      <c r="I364" s="91"/>
      <c r="J364" s="92"/>
    </row>
    <row r="365" spans="1:10" x14ac:dyDescent="0.25">
      <c r="A365" s="42">
        <v>355</v>
      </c>
      <c r="B365" s="79">
        <v>43487</v>
      </c>
      <c r="C365" s="89"/>
      <c r="D365" s="85"/>
      <c r="E365" s="85"/>
      <c r="F365" s="90"/>
      <c r="G365" s="91"/>
      <c r="H365" s="91"/>
      <c r="I365" s="91"/>
      <c r="J365" s="92"/>
    </row>
    <row r="366" spans="1:10" x14ac:dyDescent="0.25">
      <c r="A366" s="42">
        <v>356</v>
      </c>
      <c r="B366" s="79">
        <v>43488</v>
      </c>
      <c r="C366" s="89"/>
      <c r="D366" s="85"/>
      <c r="E366" s="85"/>
      <c r="F366" s="90"/>
      <c r="G366" s="91"/>
      <c r="H366" s="91"/>
      <c r="I366" s="91"/>
      <c r="J366" s="92"/>
    </row>
    <row r="367" spans="1:10" x14ac:dyDescent="0.25">
      <c r="A367" s="42">
        <v>357</v>
      </c>
      <c r="B367" s="79">
        <v>43489</v>
      </c>
      <c r="C367" s="89"/>
      <c r="D367" s="85"/>
      <c r="E367" s="85"/>
      <c r="F367" s="90"/>
      <c r="G367" s="91"/>
      <c r="H367" s="91"/>
      <c r="I367" s="91"/>
      <c r="J367" s="92"/>
    </row>
    <row r="368" spans="1:10" x14ac:dyDescent="0.25">
      <c r="A368" s="42">
        <v>358</v>
      </c>
      <c r="B368" s="79">
        <v>43490</v>
      </c>
      <c r="C368" s="89"/>
      <c r="D368" s="85"/>
      <c r="E368" s="85"/>
      <c r="F368" s="90"/>
      <c r="G368" s="91"/>
      <c r="H368" s="91"/>
      <c r="I368" s="91"/>
      <c r="J368" s="92"/>
    </row>
    <row r="369" spans="1:10" x14ac:dyDescent="0.25">
      <c r="A369" s="42">
        <v>359</v>
      </c>
      <c r="B369" s="79">
        <v>43491</v>
      </c>
      <c r="C369" s="89"/>
      <c r="D369" s="85"/>
      <c r="E369" s="85"/>
      <c r="F369" s="90"/>
      <c r="G369" s="91"/>
      <c r="H369" s="91"/>
      <c r="I369" s="91"/>
      <c r="J369" s="92"/>
    </row>
    <row r="370" spans="1:10" x14ac:dyDescent="0.25">
      <c r="A370" s="42">
        <v>360</v>
      </c>
      <c r="B370" s="79">
        <v>43492</v>
      </c>
      <c r="C370" s="89"/>
      <c r="D370" s="85"/>
      <c r="E370" s="85"/>
      <c r="F370" s="90"/>
      <c r="G370" s="91"/>
      <c r="H370" s="91"/>
      <c r="I370" s="91"/>
      <c r="J370" s="92"/>
    </row>
    <row r="371" spans="1:10" x14ac:dyDescent="0.25">
      <c r="A371" s="42">
        <v>361</v>
      </c>
      <c r="B371" s="79">
        <v>43493</v>
      </c>
      <c r="C371" s="89"/>
      <c r="D371" s="85"/>
      <c r="E371" s="85"/>
      <c r="F371" s="90"/>
      <c r="G371" s="91"/>
      <c r="H371" s="91"/>
      <c r="I371" s="91"/>
      <c r="J371" s="92"/>
    </row>
    <row r="372" spans="1:10" x14ac:dyDescent="0.25">
      <c r="A372" s="42">
        <v>362</v>
      </c>
      <c r="B372" s="79">
        <v>43494</v>
      </c>
      <c r="C372" s="89"/>
      <c r="D372" s="85"/>
      <c r="E372" s="85"/>
      <c r="F372" s="90"/>
      <c r="G372" s="91"/>
      <c r="H372" s="91"/>
      <c r="I372" s="91"/>
      <c r="J372" s="92"/>
    </row>
    <row r="373" spans="1:10" x14ac:dyDescent="0.25">
      <c r="A373" s="42">
        <v>363</v>
      </c>
      <c r="B373" s="79">
        <v>43495</v>
      </c>
      <c r="C373" s="89"/>
      <c r="D373" s="85"/>
      <c r="E373" s="85"/>
      <c r="F373" s="90"/>
      <c r="G373" s="91"/>
      <c r="H373" s="91"/>
      <c r="I373" s="91"/>
      <c r="J373" s="92"/>
    </row>
    <row r="374" spans="1:10" x14ac:dyDescent="0.25">
      <c r="A374" s="42">
        <v>364</v>
      </c>
      <c r="B374" s="79">
        <v>43496</v>
      </c>
      <c r="C374" s="89"/>
      <c r="D374" s="85"/>
      <c r="E374" s="85"/>
      <c r="F374" s="90"/>
      <c r="G374" s="91"/>
      <c r="H374" s="91"/>
      <c r="I374" s="91"/>
      <c r="J374" s="92"/>
    </row>
    <row r="375" spans="1:10" x14ac:dyDescent="0.25">
      <c r="A375" s="42">
        <v>365</v>
      </c>
      <c r="B375" s="79">
        <v>43497</v>
      </c>
      <c r="C375" s="89"/>
      <c r="D375" s="85"/>
      <c r="E375" s="85"/>
      <c r="F375" s="90"/>
      <c r="G375" s="91"/>
      <c r="H375" s="91"/>
      <c r="I375" s="91"/>
      <c r="J375" s="92"/>
    </row>
    <row r="376" spans="1:10" x14ac:dyDescent="0.25">
      <c r="A376" s="42">
        <v>366</v>
      </c>
      <c r="B376" s="79">
        <v>43498</v>
      </c>
      <c r="C376" s="89"/>
      <c r="D376" s="85"/>
      <c r="E376" s="85"/>
      <c r="F376" s="90"/>
      <c r="G376" s="91"/>
      <c r="H376" s="91"/>
      <c r="I376" s="91"/>
      <c r="J376" s="92"/>
    </row>
    <row r="377" spans="1:10" x14ac:dyDescent="0.25">
      <c r="A377" s="42">
        <v>367</v>
      </c>
      <c r="B377" s="79">
        <v>43499</v>
      </c>
      <c r="C377" s="89"/>
      <c r="D377" s="85"/>
      <c r="E377" s="85"/>
      <c r="F377" s="90"/>
      <c r="G377" s="91"/>
      <c r="H377" s="91"/>
      <c r="I377" s="91"/>
      <c r="J377" s="92"/>
    </row>
    <row r="378" spans="1:10" x14ac:dyDescent="0.25">
      <c r="A378" s="42">
        <v>368</v>
      </c>
      <c r="B378" s="79">
        <v>43500</v>
      </c>
      <c r="C378" s="89"/>
      <c r="D378" s="85"/>
      <c r="E378" s="85"/>
      <c r="F378" s="90"/>
      <c r="G378" s="91"/>
      <c r="H378" s="91"/>
      <c r="I378" s="91"/>
      <c r="J378" s="92"/>
    </row>
    <row r="379" spans="1:10" x14ac:dyDescent="0.25">
      <c r="A379" s="42">
        <v>369</v>
      </c>
      <c r="B379" s="79">
        <v>43501</v>
      </c>
      <c r="C379" s="89"/>
      <c r="D379" s="85"/>
      <c r="E379" s="85"/>
      <c r="F379" s="90"/>
      <c r="G379" s="91"/>
      <c r="H379" s="91"/>
      <c r="I379" s="91"/>
      <c r="J379" s="92"/>
    </row>
    <row r="380" spans="1:10" x14ac:dyDescent="0.25">
      <c r="A380" s="42">
        <v>370</v>
      </c>
      <c r="B380" s="79">
        <v>43502</v>
      </c>
      <c r="C380" s="89"/>
      <c r="D380" s="85"/>
      <c r="E380" s="85"/>
      <c r="F380" s="90"/>
      <c r="G380" s="91"/>
      <c r="H380" s="91"/>
      <c r="I380" s="91"/>
      <c r="J380" s="92"/>
    </row>
    <row r="381" spans="1:10" x14ac:dyDescent="0.25">
      <c r="A381" s="42">
        <v>371</v>
      </c>
      <c r="B381" s="79">
        <v>43503</v>
      </c>
      <c r="C381" s="89"/>
      <c r="D381" s="85"/>
      <c r="E381" s="85"/>
      <c r="F381" s="90"/>
      <c r="G381" s="91"/>
      <c r="H381" s="91"/>
      <c r="I381" s="91"/>
      <c r="J381" s="92"/>
    </row>
    <row r="382" spans="1:10" x14ac:dyDescent="0.25">
      <c r="A382" s="42">
        <v>372</v>
      </c>
      <c r="B382" s="79">
        <v>43504</v>
      </c>
      <c r="C382" s="89"/>
      <c r="D382" s="85"/>
      <c r="E382" s="85"/>
      <c r="F382" s="90"/>
      <c r="G382" s="91"/>
      <c r="H382" s="91"/>
      <c r="I382" s="91"/>
      <c r="J382" s="92"/>
    </row>
    <row r="383" spans="1:10" x14ac:dyDescent="0.25">
      <c r="A383" s="42">
        <v>373</v>
      </c>
      <c r="B383" s="79">
        <v>43505</v>
      </c>
      <c r="C383" s="89"/>
      <c r="D383" s="85"/>
      <c r="E383" s="85"/>
      <c r="F383" s="90"/>
      <c r="G383" s="91"/>
      <c r="H383" s="91"/>
      <c r="I383" s="91"/>
      <c r="J383" s="92"/>
    </row>
    <row r="384" spans="1:10" x14ac:dyDescent="0.25">
      <c r="A384" s="42">
        <v>374</v>
      </c>
      <c r="B384" s="79">
        <v>43506</v>
      </c>
      <c r="C384" s="89"/>
      <c r="D384" s="85"/>
      <c r="E384" s="85"/>
      <c r="F384" s="90"/>
      <c r="G384" s="91"/>
      <c r="H384" s="91"/>
      <c r="I384" s="91"/>
      <c r="J384" s="92"/>
    </row>
    <row r="385" spans="1:10" x14ac:dyDescent="0.25">
      <c r="A385" s="42">
        <v>375</v>
      </c>
      <c r="B385" s="79">
        <v>43507</v>
      </c>
      <c r="C385" s="89"/>
      <c r="D385" s="85"/>
      <c r="E385" s="85"/>
      <c r="F385" s="90"/>
      <c r="G385" s="91"/>
      <c r="H385" s="91"/>
      <c r="I385" s="91"/>
      <c r="J385" s="92"/>
    </row>
    <row r="386" spans="1:10" x14ac:dyDescent="0.25">
      <c r="A386" s="42">
        <v>376</v>
      </c>
      <c r="B386" s="79">
        <v>43508</v>
      </c>
      <c r="C386" s="89"/>
      <c r="D386" s="85"/>
      <c r="E386" s="85"/>
      <c r="F386" s="90"/>
      <c r="G386" s="91"/>
      <c r="H386" s="91"/>
      <c r="I386" s="91"/>
      <c r="J386" s="92"/>
    </row>
    <row r="387" spans="1:10" x14ac:dyDescent="0.25">
      <c r="A387" s="42">
        <v>377</v>
      </c>
      <c r="B387" s="79">
        <v>43509</v>
      </c>
      <c r="C387" s="89"/>
      <c r="D387" s="85"/>
      <c r="E387" s="85"/>
      <c r="F387" s="90"/>
      <c r="G387" s="91"/>
      <c r="H387" s="91"/>
      <c r="I387" s="91"/>
      <c r="J387" s="92"/>
    </row>
    <row r="388" spans="1:10" x14ac:dyDescent="0.25">
      <c r="A388" s="42">
        <v>378</v>
      </c>
      <c r="B388" s="79">
        <v>43510</v>
      </c>
      <c r="C388" s="89"/>
      <c r="D388" s="85"/>
      <c r="E388" s="85"/>
      <c r="F388" s="90"/>
      <c r="G388" s="91"/>
      <c r="H388" s="91"/>
      <c r="I388" s="91"/>
      <c r="J388" s="92"/>
    </row>
    <row r="389" spans="1:10" x14ac:dyDescent="0.25">
      <c r="A389" s="42">
        <v>379</v>
      </c>
      <c r="B389" s="79">
        <v>43511</v>
      </c>
      <c r="C389" s="89"/>
      <c r="D389" s="85"/>
      <c r="E389" s="85"/>
      <c r="F389" s="90"/>
      <c r="G389" s="91"/>
      <c r="H389" s="91"/>
      <c r="I389" s="91"/>
      <c r="J389" s="92"/>
    </row>
    <row r="390" spans="1:10" x14ac:dyDescent="0.25">
      <c r="A390" s="42">
        <v>380</v>
      </c>
      <c r="B390" s="79">
        <v>43512</v>
      </c>
      <c r="C390" s="89"/>
      <c r="D390" s="85"/>
      <c r="E390" s="85"/>
      <c r="F390" s="90"/>
      <c r="G390" s="91"/>
      <c r="H390" s="91"/>
      <c r="I390" s="91"/>
      <c r="J390" s="92"/>
    </row>
    <row r="391" spans="1:10" x14ac:dyDescent="0.25">
      <c r="A391" s="42">
        <v>381</v>
      </c>
      <c r="B391" s="79">
        <v>43513</v>
      </c>
      <c r="C391" s="89"/>
      <c r="D391" s="85"/>
      <c r="E391" s="85"/>
      <c r="F391" s="90"/>
      <c r="G391" s="91"/>
      <c r="H391" s="91"/>
      <c r="I391" s="91"/>
      <c r="J391" s="92"/>
    </row>
    <row r="392" spans="1:10" x14ac:dyDescent="0.25">
      <c r="A392" s="42">
        <v>382</v>
      </c>
      <c r="B392" s="79">
        <v>43514</v>
      </c>
      <c r="C392" s="89"/>
      <c r="D392" s="85"/>
      <c r="E392" s="85"/>
      <c r="F392" s="90"/>
      <c r="G392" s="91"/>
      <c r="H392" s="91"/>
      <c r="I392" s="91"/>
      <c r="J392" s="92"/>
    </row>
    <row r="393" spans="1:10" x14ac:dyDescent="0.25">
      <c r="A393" s="42">
        <v>383</v>
      </c>
      <c r="B393" s="79">
        <v>43515</v>
      </c>
      <c r="C393" s="89"/>
      <c r="D393" s="85"/>
      <c r="E393" s="85"/>
      <c r="F393" s="90"/>
      <c r="G393" s="91"/>
      <c r="H393" s="91"/>
      <c r="I393" s="91"/>
      <c r="J393" s="92"/>
    </row>
    <row r="394" spans="1:10" x14ac:dyDescent="0.25">
      <c r="A394" s="42">
        <v>384</v>
      </c>
      <c r="B394" s="79">
        <v>43516</v>
      </c>
      <c r="C394" s="89"/>
      <c r="D394" s="85"/>
      <c r="E394" s="85"/>
      <c r="F394" s="90"/>
      <c r="G394" s="91"/>
      <c r="H394" s="91"/>
      <c r="I394" s="91"/>
      <c r="J394" s="92"/>
    </row>
    <row r="395" spans="1:10" x14ac:dyDescent="0.25">
      <c r="A395" s="42">
        <v>385</v>
      </c>
      <c r="B395" s="79">
        <v>43517</v>
      </c>
      <c r="C395" s="89"/>
      <c r="D395" s="85"/>
      <c r="E395" s="85"/>
      <c r="F395" s="90"/>
      <c r="G395" s="91"/>
      <c r="H395" s="91"/>
      <c r="I395" s="91"/>
      <c r="J395" s="92"/>
    </row>
    <row r="396" spans="1:10" x14ac:dyDescent="0.25">
      <c r="A396" s="42">
        <v>386</v>
      </c>
      <c r="B396" s="79">
        <v>43518</v>
      </c>
      <c r="C396" s="89"/>
      <c r="D396" s="85"/>
      <c r="E396" s="85"/>
      <c r="F396" s="90"/>
      <c r="G396" s="91"/>
      <c r="H396" s="91"/>
      <c r="I396" s="91"/>
      <c r="J396" s="92"/>
    </row>
    <row r="397" spans="1:10" x14ac:dyDescent="0.25">
      <c r="A397" s="42">
        <v>387</v>
      </c>
      <c r="B397" s="79">
        <v>43519</v>
      </c>
      <c r="C397" s="89"/>
      <c r="D397" s="85"/>
      <c r="E397" s="85"/>
      <c r="F397" s="90"/>
      <c r="G397" s="91"/>
      <c r="H397" s="91"/>
      <c r="I397" s="91"/>
      <c r="J397" s="92"/>
    </row>
    <row r="398" spans="1:10" x14ac:dyDescent="0.25">
      <c r="A398" s="42">
        <v>388</v>
      </c>
      <c r="B398" s="79">
        <v>43520</v>
      </c>
      <c r="C398" s="89"/>
      <c r="D398" s="85"/>
      <c r="E398" s="85"/>
      <c r="F398" s="90"/>
      <c r="G398" s="91"/>
      <c r="H398" s="91"/>
      <c r="I398" s="91"/>
      <c r="J398" s="92"/>
    </row>
    <row r="399" spans="1:10" x14ac:dyDescent="0.25">
      <c r="A399" s="42">
        <v>389</v>
      </c>
      <c r="B399" s="79">
        <v>43521</v>
      </c>
      <c r="C399" s="89"/>
      <c r="D399" s="85"/>
      <c r="E399" s="85"/>
      <c r="F399" s="90"/>
      <c r="G399" s="91"/>
      <c r="H399" s="91"/>
      <c r="I399" s="91"/>
      <c r="J399" s="92"/>
    </row>
    <row r="400" spans="1:10" x14ac:dyDescent="0.25">
      <c r="A400" s="42">
        <v>390</v>
      </c>
      <c r="B400" s="79">
        <v>43522</v>
      </c>
      <c r="C400" s="89"/>
      <c r="D400" s="85"/>
      <c r="E400" s="85"/>
      <c r="F400" s="90"/>
      <c r="G400" s="91"/>
      <c r="H400" s="91"/>
      <c r="I400" s="91"/>
      <c r="J400" s="92"/>
    </row>
    <row r="401" spans="1:10" x14ac:dyDescent="0.25">
      <c r="A401" s="42">
        <v>391</v>
      </c>
      <c r="B401" s="79">
        <v>43523</v>
      </c>
      <c r="C401" s="89"/>
      <c r="D401" s="85"/>
      <c r="E401" s="85"/>
      <c r="F401" s="90"/>
      <c r="G401" s="91"/>
      <c r="H401" s="91"/>
      <c r="I401" s="91"/>
      <c r="J401" s="92"/>
    </row>
    <row r="402" spans="1:10" x14ac:dyDescent="0.25">
      <c r="A402" s="42">
        <v>392</v>
      </c>
      <c r="B402" s="79">
        <v>43524</v>
      </c>
      <c r="C402" s="89"/>
      <c r="D402" s="85"/>
      <c r="E402" s="85"/>
      <c r="F402" s="90"/>
      <c r="G402" s="91"/>
      <c r="H402" s="91"/>
      <c r="I402" s="91"/>
      <c r="J402" s="92"/>
    </row>
    <row r="403" spans="1:10" x14ac:dyDescent="0.25">
      <c r="A403" s="42">
        <v>393</v>
      </c>
      <c r="B403" s="79">
        <v>43525</v>
      </c>
      <c r="C403" s="89"/>
      <c r="D403" s="85"/>
      <c r="E403" s="85"/>
      <c r="F403" s="90"/>
      <c r="G403" s="91"/>
      <c r="H403" s="91"/>
      <c r="I403" s="91"/>
      <c r="J403" s="92"/>
    </row>
    <row r="404" spans="1:10" x14ac:dyDescent="0.25">
      <c r="A404" s="42">
        <v>394</v>
      </c>
      <c r="B404" s="79">
        <v>43526</v>
      </c>
      <c r="C404" s="89"/>
      <c r="D404" s="85"/>
      <c r="E404" s="85"/>
      <c r="F404" s="90"/>
      <c r="G404" s="91"/>
      <c r="H404" s="91"/>
      <c r="I404" s="91"/>
      <c r="J404" s="92"/>
    </row>
    <row r="405" spans="1:10" x14ac:dyDescent="0.25">
      <c r="A405" s="42">
        <v>395</v>
      </c>
      <c r="B405" s="79">
        <v>43527</v>
      </c>
      <c r="C405" s="89"/>
      <c r="D405" s="85"/>
      <c r="E405" s="85"/>
      <c r="F405" s="90"/>
      <c r="G405" s="91"/>
      <c r="H405" s="91"/>
      <c r="I405" s="91"/>
      <c r="J405" s="92"/>
    </row>
    <row r="406" spans="1:10" x14ac:dyDescent="0.25">
      <c r="A406" s="42">
        <v>396</v>
      </c>
      <c r="B406" s="79">
        <v>43528</v>
      </c>
      <c r="C406" s="89"/>
      <c r="D406" s="85"/>
      <c r="E406" s="85"/>
      <c r="F406" s="90"/>
      <c r="G406" s="91"/>
      <c r="H406" s="91"/>
      <c r="I406" s="91"/>
      <c r="J406" s="92"/>
    </row>
    <row r="407" spans="1:10" x14ac:dyDescent="0.25">
      <c r="A407" s="42">
        <v>397</v>
      </c>
      <c r="B407" s="79">
        <v>43529</v>
      </c>
      <c r="C407" s="89"/>
      <c r="D407" s="85"/>
      <c r="E407" s="85"/>
      <c r="F407" s="90"/>
      <c r="G407" s="91"/>
      <c r="H407" s="91"/>
      <c r="I407" s="91"/>
      <c r="J407" s="92"/>
    </row>
    <row r="408" spans="1:10" x14ac:dyDescent="0.25">
      <c r="A408" s="42">
        <v>398</v>
      </c>
      <c r="B408" s="79">
        <v>43530</v>
      </c>
      <c r="C408" s="89"/>
      <c r="D408" s="85"/>
      <c r="E408" s="85"/>
      <c r="F408" s="90"/>
      <c r="G408" s="91"/>
      <c r="H408" s="91"/>
      <c r="I408" s="91"/>
      <c r="J408" s="92"/>
    </row>
    <row r="409" spans="1:10" x14ac:dyDescent="0.25">
      <c r="A409" s="42">
        <v>399</v>
      </c>
      <c r="B409" s="79">
        <v>43531</v>
      </c>
      <c r="C409" s="89"/>
      <c r="D409" s="85"/>
      <c r="E409" s="85"/>
      <c r="F409" s="90"/>
      <c r="G409" s="91"/>
      <c r="H409" s="91"/>
      <c r="I409" s="91"/>
      <c r="J409" s="92"/>
    </row>
    <row r="410" spans="1:10" x14ac:dyDescent="0.25">
      <c r="A410" s="42">
        <v>400</v>
      </c>
      <c r="B410" s="79">
        <v>43532</v>
      </c>
      <c r="C410" s="89"/>
      <c r="D410" s="85"/>
      <c r="E410" s="85"/>
      <c r="F410" s="90"/>
      <c r="G410" s="91"/>
      <c r="H410" s="91"/>
      <c r="I410" s="91"/>
      <c r="J410" s="92"/>
    </row>
    <row r="411" spans="1:10" x14ac:dyDescent="0.25">
      <c r="A411" s="42">
        <v>401</v>
      </c>
      <c r="B411" s="79">
        <v>43533</v>
      </c>
      <c r="C411" s="89"/>
      <c r="D411" s="85"/>
      <c r="E411" s="85"/>
      <c r="F411" s="90"/>
      <c r="G411" s="91"/>
      <c r="H411" s="91"/>
      <c r="I411" s="91"/>
      <c r="J411" s="92"/>
    </row>
    <row r="412" spans="1:10" x14ac:dyDescent="0.25">
      <c r="A412" s="42">
        <v>402</v>
      </c>
      <c r="B412" s="79">
        <v>43534</v>
      </c>
      <c r="C412" s="89"/>
      <c r="D412" s="85"/>
      <c r="E412" s="85"/>
      <c r="F412" s="90"/>
      <c r="G412" s="91"/>
      <c r="H412" s="91"/>
      <c r="I412" s="91"/>
      <c r="J412" s="92"/>
    </row>
    <row r="413" spans="1:10" x14ac:dyDescent="0.25">
      <c r="A413" s="42">
        <v>403</v>
      </c>
      <c r="B413" s="79">
        <v>43535</v>
      </c>
      <c r="C413" s="89"/>
      <c r="D413" s="85"/>
      <c r="E413" s="85"/>
      <c r="F413" s="90"/>
      <c r="G413" s="91"/>
      <c r="H413" s="91"/>
      <c r="I413" s="91"/>
      <c r="J413" s="92"/>
    </row>
    <row r="414" spans="1:10" x14ac:dyDescent="0.25">
      <c r="A414" s="42">
        <v>404</v>
      </c>
      <c r="B414" s="79">
        <v>43536</v>
      </c>
      <c r="C414" s="89"/>
      <c r="D414" s="85"/>
      <c r="E414" s="85"/>
      <c r="F414" s="90"/>
      <c r="G414" s="91"/>
      <c r="H414" s="91"/>
      <c r="I414" s="91"/>
      <c r="J414" s="92"/>
    </row>
    <row r="415" spans="1:10" x14ac:dyDescent="0.25">
      <c r="A415" s="42">
        <v>405</v>
      </c>
      <c r="B415" s="79">
        <v>43537</v>
      </c>
      <c r="C415" s="89"/>
      <c r="D415" s="85"/>
      <c r="E415" s="85"/>
      <c r="F415" s="90"/>
      <c r="G415" s="91"/>
      <c r="H415" s="91"/>
      <c r="I415" s="91"/>
      <c r="J415" s="92"/>
    </row>
    <row r="416" spans="1:10" x14ac:dyDescent="0.25">
      <c r="A416" s="42">
        <v>406</v>
      </c>
      <c r="B416" s="79">
        <v>43538</v>
      </c>
      <c r="C416" s="89"/>
      <c r="D416" s="85"/>
      <c r="E416" s="85"/>
      <c r="F416" s="90"/>
      <c r="G416" s="91"/>
      <c r="H416" s="91"/>
      <c r="I416" s="91"/>
      <c r="J416" s="92"/>
    </row>
    <row r="417" spans="1:10" x14ac:dyDescent="0.25">
      <c r="A417" s="42">
        <v>407</v>
      </c>
      <c r="B417" s="79">
        <v>43539</v>
      </c>
      <c r="C417" s="89"/>
      <c r="D417" s="85"/>
      <c r="E417" s="85"/>
      <c r="F417" s="90"/>
      <c r="G417" s="91"/>
      <c r="H417" s="91"/>
      <c r="I417" s="91"/>
      <c r="J417" s="92"/>
    </row>
    <row r="418" spans="1:10" x14ac:dyDescent="0.25">
      <c r="A418" s="42">
        <v>408</v>
      </c>
      <c r="B418" s="79">
        <v>43540</v>
      </c>
      <c r="C418" s="89"/>
      <c r="D418" s="85"/>
      <c r="E418" s="85"/>
      <c r="F418" s="90"/>
      <c r="G418" s="91"/>
      <c r="H418" s="91"/>
      <c r="I418" s="91"/>
      <c r="J418" s="92"/>
    </row>
    <row r="419" spans="1:10" x14ac:dyDescent="0.25">
      <c r="A419" s="42">
        <v>409</v>
      </c>
      <c r="B419" s="79">
        <v>43541</v>
      </c>
      <c r="C419" s="89"/>
      <c r="D419" s="85"/>
      <c r="E419" s="85"/>
      <c r="F419" s="90"/>
      <c r="G419" s="91"/>
      <c r="H419" s="91"/>
      <c r="I419" s="91"/>
      <c r="J419" s="92"/>
    </row>
    <row r="420" spans="1:10" x14ac:dyDescent="0.25">
      <c r="A420" s="42">
        <v>410</v>
      </c>
      <c r="B420" s="79">
        <v>43542</v>
      </c>
      <c r="C420" s="89"/>
      <c r="D420" s="85"/>
      <c r="E420" s="85"/>
      <c r="F420" s="90"/>
      <c r="G420" s="91"/>
      <c r="H420" s="91"/>
      <c r="I420" s="91"/>
      <c r="J420" s="92"/>
    </row>
    <row r="421" spans="1:10" x14ac:dyDescent="0.25">
      <c r="A421" s="42">
        <v>411</v>
      </c>
      <c r="B421" s="79">
        <v>43543</v>
      </c>
      <c r="C421" s="89"/>
      <c r="D421" s="85"/>
      <c r="E421" s="85"/>
      <c r="F421" s="90"/>
      <c r="G421" s="91"/>
      <c r="H421" s="91"/>
      <c r="I421" s="91"/>
      <c r="J421" s="92"/>
    </row>
    <row r="422" spans="1:10" x14ac:dyDescent="0.25">
      <c r="A422" s="42">
        <v>412</v>
      </c>
      <c r="B422" s="79">
        <v>43544</v>
      </c>
      <c r="C422" s="89"/>
      <c r="D422" s="85"/>
      <c r="E422" s="85"/>
      <c r="F422" s="90"/>
      <c r="G422" s="91"/>
      <c r="H422" s="91"/>
      <c r="I422" s="91"/>
      <c r="J422" s="92"/>
    </row>
    <row r="423" spans="1:10" x14ac:dyDescent="0.25">
      <c r="A423" s="42">
        <v>413</v>
      </c>
      <c r="B423" s="79">
        <v>43545</v>
      </c>
      <c r="C423" s="89"/>
      <c r="D423" s="85"/>
      <c r="E423" s="85"/>
      <c r="F423" s="90"/>
      <c r="G423" s="91"/>
      <c r="H423" s="91"/>
      <c r="I423" s="91"/>
      <c r="J423" s="92"/>
    </row>
    <row r="424" spans="1:10" x14ac:dyDescent="0.25">
      <c r="A424" s="42">
        <v>414</v>
      </c>
      <c r="B424" s="79">
        <v>43546</v>
      </c>
      <c r="C424" s="89"/>
      <c r="D424" s="85"/>
      <c r="E424" s="85"/>
      <c r="F424" s="90"/>
      <c r="G424" s="91"/>
      <c r="H424" s="91"/>
      <c r="I424" s="91"/>
      <c r="J424" s="92"/>
    </row>
    <row r="425" spans="1:10" x14ac:dyDescent="0.25">
      <c r="A425" s="42">
        <v>415</v>
      </c>
      <c r="B425" s="79">
        <v>43547</v>
      </c>
      <c r="C425" s="89"/>
      <c r="D425" s="85"/>
      <c r="E425" s="85"/>
      <c r="F425" s="90"/>
      <c r="G425" s="91"/>
      <c r="H425" s="91"/>
      <c r="I425" s="91"/>
      <c r="J425" s="92"/>
    </row>
    <row r="426" spans="1:10" x14ac:dyDescent="0.25">
      <c r="A426" s="42">
        <v>416</v>
      </c>
      <c r="B426" s="79">
        <v>43548</v>
      </c>
      <c r="C426" s="89"/>
      <c r="D426" s="85"/>
      <c r="E426" s="85"/>
      <c r="F426" s="90"/>
      <c r="G426" s="91"/>
      <c r="H426" s="91"/>
      <c r="I426" s="91"/>
      <c r="J426" s="92"/>
    </row>
    <row r="427" spans="1:10" x14ac:dyDescent="0.25">
      <c r="A427" s="42">
        <v>417</v>
      </c>
      <c r="B427" s="79">
        <v>43549</v>
      </c>
      <c r="C427" s="89"/>
      <c r="D427" s="85"/>
      <c r="E427" s="85"/>
      <c r="F427" s="90"/>
      <c r="G427" s="91"/>
      <c r="H427" s="91"/>
      <c r="I427" s="91"/>
      <c r="J427" s="92"/>
    </row>
    <row r="428" spans="1:10" x14ac:dyDescent="0.25">
      <c r="A428" s="42">
        <v>418</v>
      </c>
      <c r="B428" s="79">
        <v>43550</v>
      </c>
      <c r="C428" s="89"/>
      <c r="D428" s="85"/>
      <c r="E428" s="85"/>
      <c r="F428" s="90"/>
      <c r="G428" s="91"/>
      <c r="H428" s="91"/>
      <c r="I428" s="91"/>
      <c r="J428" s="92"/>
    </row>
    <row r="429" spans="1:10" x14ac:dyDescent="0.25">
      <c r="A429" s="42">
        <v>419</v>
      </c>
      <c r="B429" s="79">
        <v>43551</v>
      </c>
      <c r="C429" s="89"/>
      <c r="D429" s="85"/>
      <c r="E429" s="85"/>
      <c r="F429" s="90"/>
      <c r="G429" s="91"/>
      <c r="H429" s="91"/>
      <c r="I429" s="91"/>
      <c r="J429" s="92"/>
    </row>
    <row r="430" spans="1:10" x14ac:dyDescent="0.25">
      <c r="A430" s="42">
        <v>420</v>
      </c>
      <c r="B430" s="79">
        <v>43552</v>
      </c>
      <c r="C430" s="89"/>
      <c r="D430" s="85"/>
      <c r="E430" s="85"/>
      <c r="F430" s="90"/>
      <c r="G430" s="91"/>
      <c r="H430" s="91"/>
      <c r="I430" s="91"/>
      <c r="J430" s="92"/>
    </row>
    <row r="431" spans="1:10" x14ac:dyDescent="0.25">
      <c r="A431" s="42">
        <v>421</v>
      </c>
      <c r="B431" s="79">
        <v>43553</v>
      </c>
      <c r="C431" s="89"/>
      <c r="D431" s="85"/>
      <c r="E431" s="85"/>
      <c r="F431" s="90"/>
      <c r="G431" s="91"/>
      <c r="H431" s="91"/>
      <c r="I431" s="91"/>
      <c r="J431" s="92"/>
    </row>
    <row r="432" spans="1:10" x14ac:dyDescent="0.25">
      <c r="A432" s="42">
        <v>422</v>
      </c>
      <c r="B432" s="79">
        <v>43554</v>
      </c>
      <c r="C432" s="89"/>
      <c r="D432" s="85"/>
      <c r="E432" s="85"/>
      <c r="F432" s="90"/>
      <c r="G432" s="91"/>
      <c r="H432" s="91"/>
      <c r="I432" s="91"/>
      <c r="J432" s="92"/>
    </row>
    <row r="433" spans="1:10" x14ac:dyDescent="0.25">
      <c r="A433" s="42">
        <v>423</v>
      </c>
      <c r="B433" s="79">
        <v>43555</v>
      </c>
      <c r="C433" s="89"/>
      <c r="D433" s="85"/>
      <c r="E433" s="85"/>
      <c r="F433" s="90"/>
      <c r="G433" s="91"/>
      <c r="H433" s="91"/>
      <c r="I433" s="91"/>
      <c r="J433" s="92"/>
    </row>
    <row r="434" spans="1:10" x14ac:dyDescent="0.25">
      <c r="A434" s="42">
        <v>424</v>
      </c>
      <c r="B434" s="79">
        <v>43556</v>
      </c>
      <c r="C434" s="89"/>
      <c r="D434" s="85"/>
      <c r="E434" s="85"/>
      <c r="F434" s="90"/>
      <c r="G434" s="91"/>
      <c r="H434" s="91"/>
      <c r="I434" s="91"/>
      <c r="J434" s="92"/>
    </row>
    <row r="435" spans="1:10" x14ac:dyDescent="0.25">
      <c r="A435" s="42">
        <v>425</v>
      </c>
      <c r="B435" s="79">
        <v>43557</v>
      </c>
      <c r="C435" s="89"/>
      <c r="D435" s="85"/>
      <c r="E435" s="85"/>
      <c r="F435" s="90"/>
      <c r="G435" s="91"/>
      <c r="H435" s="91"/>
      <c r="I435" s="91"/>
      <c r="J435" s="92"/>
    </row>
    <row r="436" spans="1:10" x14ac:dyDescent="0.25">
      <c r="A436" s="42">
        <v>426</v>
      </c>
      <c r="B436" s="79">
        <v>43558</v>
      </c>
      <c r="C436" s="89"/>
      <c r="D436" s="85"/>
      <c r="E436" s="85"/>
      <c r="F436" s="90"/>
      <c r="G436" s="91"/>
      <c r="H436" s="91"/>
      <c r="I436" s="91"/>
      <c r="J436" s="92"/>
    </row>
    <row r="437" spans="1:10" x14ac:dyDescent="0.25">
      <c r="A437" s="42">
        <v>427</v>
      </c>
      <c r="B437" s="79">
        <v>43559</v>
      </c>
      <c r="C437" s="89"/>
      <c r="D437" s="85"/>
      <c r="E437" s="85"/>
      <c r="F437" s="90"/>
      <c r="G437" s="91"/>
      <c r="H437" s="91"/>
      <c r="I437" s="91"/>
      <c r="J437" s="92"/>
    </row>
    <row r="438" spans="1:10" x14ac:dyDescent="0.25">
      <c r="A438" s="42">
        <v>428</v>
      </c>
      <c r="B438" s="79">
        <v>43560</v>
      </c>
      <c r="C438" s="89"/>
      <c r="D438" s="85"/>
      <c r="E438" s="85"/>
      <c r="F438" s="90"/>
      <c r="G438" s="91"/>
      <c r="H438" s="91"/>
      <c r="I438" s="91"/>
      <c r="J438" s="92"/>
    </row>
    <row r="439" spans="1:10" x14ac:dyDescent="0.25">
      <c r="A439" s="42">
        <v>429</v>
      </c>
      <c r="B439" s="79">
        <v>43561</v>
      </c>
      <c r="C439" s="89"/>
      <c r="D439" s="85"/>
      <c r="E439" s="85"/>
      <c r="F439" s="90"/>
      <c r="G439" s="91"/>
      <c r="H439" s="91"/>
      <c r="I439" s="91"/>
      <c r="J439" s="92"/>
    </row>
    <row r="440" spans="1:10" x14ac:dyDescent="0.25">
      <c r="A440" s="42">
        <v>430</v>
      </c>
      <c r="B440" s="79">
        <v>43562</v>
      </c>
      <c r="C440" s="89"/>
      <c r="D440" s="85"/>
      <c r="E440" s="85"/>
      <c r="F440" s="90"/>
      <c r="G440" s="91"/>
      <c r="H440" s="91"/>
      <c r="I440" s="91"/>
      <c r="J440" s="92"/>
    </row>
    <row r="441" spans="1:10" x14ac:dyDescent="0.25">
      <c r="A441" s="42">
        <v>431</v>
      </c>
      <c r="B441" s="79">
        <v>43563</v>
      </c>
      <c r="C441" s="89"/>
      <c r="D441" s="85"/>
      <c r="E441" s="85"/>
      <c r="F441" s="90"/>
      <c r="G441" s="91"/>
      <c r="H441" s="91"/>
      <c r="I441" s="91"/>
      <c r="J441" s="92"/>
    </row>
    <row r="442" spans="1:10" x14ac:dyDescent="0.25">
      <c r="A442" s="42">
        <v>432</v>
      </c>
      <c r="B442" s="79">
        <v>43564</v>
      </c>
      <c r="C442" s="89"/>
      <c r="D442" s="85"/>
      <c r="E442" s="85"/>
      <c r="F442" s="90"/>
      <c r="G442" s="91"/>
      <c r="H442" s="91"/>
      <c r="I442" s="91"/>
      <c r="J442" s="92"/>
    </row>
    <row r="443" spans="1:10" x14ac:dyDescent="0.25">
      <c r="A443" s="42">
        <v>433</v>
      </c>
      <c r="B443" s="79">
        <v>43565</v>
      </c>
      <c r="C443" s="89"/>
      <c r="D443" s="85"/>
      <c r="E443" s="85"/>
      <c r="F443" s="90"/>
      <c r="G443" s="91"/>
      <c r="H443" s="91"/>
      <c r="I443" s="91"/>
      <c r="J443" s="92"/>
    </row>
    <row r="444" spans="1:10" x14ac:dyDescent="0.25">
      <c r="A444" s="42">
        <v>434</v>
      </c>
      <c r="B444" s="79">
        <v>43566</v>
      </c>
      <c r="C444" s="89"/>
      <c r="D444" s="85"/>
      <c r="E444" s="85"/>
      <c r="F444" s="90"/>
      <c r="G444" s="91"/>
      <c r="H444" s="91"/>
      <c r="I444" s="91"/>
      <c r="J444" s="92"/>
    </row>
    <row r="445" spans="1:10" x14ac:dyDescent="0.25">
      <c r="A445" s="42">
        <v>435</v>
      </c>
      <c r="B445" s="79">
        <v>43567</v>
      </c>
      <c r="C445" s="89"/>
      <c r="D445" s="85"/>
      <c r="E445" s="85"/>
      <c r="F445" s="90"/>
      <c r="G445" s="91"/>
      <c r="H445" s="91"/>
      <c r="I445" s="91"/>
      <c r="J445" s="92"/>
    </row>
    <row r="446" spans="1:10" x14ac:dyDescent="0.25">
      <c r="A446" s="42">
        <v>436</v>
      </c>
      <c r="B446" s="79">
        <v>43568</v>
      </c>
      <c r="C446" s="89"/>
      <c r="D446" s="85"/>
      <c r="E446" s="85"/>
      <c r="F446" s="90"/>
      <c r="G446" s="91"/>
      <c r="H446" s="91"/>
      <c r="I446" s="91"/>
      <c r="J446" s="92"/>
    </row>
    <row r="447" spans="1:10" x14ac:dyDescent="0.25">
      <c r="A447" s="42">
        <v>437</v>
      </c>
      <c r="B447" s="79">
        <v>43569</v>
      </c>
      <c r="C447" s="89"/>
      <c r="D447" s="85"/>
      <c r="E447" s="85"/>
      <c r="F447" s="90"/>
      <c r="G447" s="91"/>
      <c r="H447" s="91"/>
      <c r="I447" s="91"/>
      <c r="J447" s="92"/>
    </row>
    <row r="448" spans="1:10" x14ac:dyDescent="0.25">
      <c r="A448" s="42">
        <v>438</v>
      </c>
      <c r="B448" s="79">
        <v>43570</v>
      </c>
      <c r="C448" s="89"/>
      <c r="D448" s="85"/>
      <c r="E448" s="85"/>
      <c r="F448" s="90"/>
      <c r="G448" s="91"/>
      <c r="H448" s="91"/>
      <c r="I448" s="91"/>
      <c r="J448" s="92"/>
    </row>
    <row r="449" spans="1:10" x14ac:dyDescent="0.25">
      <c r="A449" s="42">
        <v>439</v>
      </c>
      <c r="B449" s="79">
        <v>43571</v>
      </c>
      <c r="C449" s="89"/>
      <c r="D449" s="85"/>
      <c r="E449" s="85"/>
      <c r="F449" s="90"/>
      <c r="G449" s="91"/>
      <c r="H449" s="91"/>
      <c r="I449" s="91"/>
      <c r="J449" s="92"/>
    </row>
    <row r="450" spans="1:10" x14ac:dyDescent="0.25">
      <c r="A450" s="42">
        <v>440</v>
      </c>
      <c r="B450" s="79">
        <v>43572</v>
      </c>
      <c r="C450" s="89"/>
      <c r="D450" s="85"/>
      <c r="E450" s="85"/>
      <c r="F450" s="90"/>
      <c r="G450" s="91"/>
      <c r="H450" s="91"/>
      <c r="I450" s="91"/>
      <c r="J450" s="92"/>
    </row>
    <row r="451" spans="1:10" x14ac:dyDescent="0.25">
      <c r="A451" s="42">
        <v>441</v>
      </c>
      <c r="B451" s="79">
        <v>43573</v>
      </c>
      <c r="C451" s="89"/>
      <c r="D451" s="85"/>
      <c r="E451" s="85"/>
      <c r="F451" s="90"/>
      <c r="G451" s="91"/>
      <c r="H451" s="91"/>
      <c r="I451" s="91"/>
      <c r="J451" s="92"/>
    </row>
    <row r="452" spans="1:10" x14ac:dyDescent="0.25">
      <c r="A452" s="42">
        <v>442</v>
      </c>
      <c r="B452" s="79">
        <v>43574</v>
      </c>
      <c r="C452" s="89"/>
      <c r="D452" s="85"/>
      <c r="E452" s="85"/>
      <c r="F452" s="90"/>
      <c r="G452" s="91"/>
      <c r="H452" s="91"/>
      <c r="I452" s="91"/>
      <c r="J452" s="92"/>
    </row>
    <row r="453" spans="1:10" x14ac:dyDescent="0.25">
      <c r="A453" s="42">
        <v>443</v>
      </c>
      <c r="B453" s="79">
        <v>43575</v>
      </c>
      <c r="C453" s="89"/>
      <c r="D453" s="85"/>
      <c r="E453" s="85"/>
      <c r="F453" s="90"/>
      <c r="G453" s="91"/>
      <c r="H453" s="91"/>
      <c r="I453" s="91"/>
      <c r="J453" s="92"/>
    </row>
    <row r="454" spans="1:10" x14ac:dyDescent="0.25">
      <c r="A454" s="42">
        <v>444</v>
      </c>
      <c r="B454" s="79">
        <v>43576</v>
      </c>
      <c r="C454" s="89"/>
      <c r="D454" s="85"/>
      <c r="E454" s="85"/>
      <c r="F454" s="90"/>
      <c r="G454" s="91"/>
      <c r="H454" s="91"/>
      <c r="I454" s="91"/>
      <c r="J454" s="92"/>
    </row>
    <row r="455" spans="1:10" x14ac:dyDescent="0.25">
      <c r="A455" s="42">
        <v>445</v>
      </c>
      <c r="B455" s="79">
        <v>43577</v>
      </c>
      <c r="C455" s="89"/>
      <c r="D455" s="85"/>
      <c r="E455" s="85"/>
      <c r="F455" s="90"/>
      <c r="G455" s="91"/>
      <c r="H455" s="91"/>
      <c r="I455" s="91"/>
      <c r="J455" s="92"/>
    </row>
    <row r="456" spans="1:10" x14ac:dyDescent="0.25">
      <c r="A456" s="42">
        <v>446</v>
      </c>
      <c r="B456" s="79">
        <v>43578</v>
      </c>
      <c r="C456" s="89"/>
      <c r="D456" s="85"/>
      <c r="E456" s="85"/>
      <c r="F456" s="90"/>
      <c r="G456" s="91"/>
      <c r="H456" s="91"/>
      <c r="I456" s="91"/>
      <c r="J456" s="92"/>
    </row>
    <row r="457" spans="1:10" x14ac:dyDescent="0.25">
      <c r="A457" s="42">
        <v>447</v>
      </c>
      <c r="B457" s="79">
        <v>43579</v>
      </c>
      <c r="C457" s="89"/>
      <c r="D457" s="85"/>
      <c r="E457" s="85"/>
      <c r="F457" s="90"/>
      <c r="G457" s="91"/>
      <c r="H457" s="91"/>
      <c r="I457" s="91"/>
      <c r="J45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57">
    <cfRule type="expression" dxfId="465" priority="6">
      <formula>INDIRECT("B"&amp;ROW())=TODAY()</formula>
    </cfRule>
  </conditionalFormatting>
  <conditionalFormatting sqref="B9:B457">
    <cfRule type="timePeriod" dxfId="464"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L25"/>
  <sheetViews>
    <sheetView topLeftCell="A22" zoomScale="65" workbookViewId="0">
      <selection activeCell="C18" sqref="C18:D18"/>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43333</v>
      </c>
      <c r="B1" s="68"/>
    </row>
    <row r="2" spans="1:12" s="96" customFormat="1" ht="33.75" customHeight="1" x14ac:dyDescent="0.25">
      <c r="A2" s="95">
        <f ca="1">NOW()</f>
        <v>43333.726772685186</v>
      </c>
      <c r="B2" s="95"/>
      <c r="E2" s="97" t="s">
        <v>255</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279</v>
      </c>
      <c r="D7" s="133"/>
      <c r="E7" s="133"/>
      <c r="F7" s="133"/>
      <c r="G7" s="133"/>
      <c r="H7" s="133"/>
      <c r="I7" s="133" t="s">
        <v>52</v>
      </c>
      <c r="J7" s="132"/>
    </row>
    <row r="8" spans="1:12" x14ac:dyDescent="0.25">
      <c r="C8" s="132"/>
      <c r="D8" s="134" t="s">
        <v>280</v>
      </c>
      <c r="E8" s="134"/>
      <c r="F8" s="134"/>
      <c r="G8" s="134"/>
      <c r="H8" s="134" t="s">
        <v>281</v>
      </c>
      <c r="I8" s="132"/>
      <c r="J8" s="132"/>
    </row>
    <row r="9" spans="1:12" x14ac:dyDescent="0.25">
      <c r="C9" s="132"/>
      <c r="D9" s="132"/>
      <c r="E9" s="133" t="s">
        <v>282</v>
      </c>
      <c r="F9" s="133"/>
      <c r="G9" s="133" t="s">
        <v>283</v>
      </c>
      <c r="H9" s="132"/>
      <c r="I9" s="132"/>
      <c r="J9" s="132"/>
    </row>
    <row r="10" spans="1:12" x14ac:dyDescent="0.25">
      <c r="C10" s="132"/>
      <c r="D10" s="132"/>
      <c r="E10" s="132"/>
      <c r="F10" s="134"/>
      <c r="G10" s="132"/>
      <c r="H10" s="132"/>
      <c r="I10" s="132"/>
      <c r="J10" s="132"/>
    </row>
    <row r="11" spans="1:12" x14ac:dyDescent="0.25">
      <c r="C11" s="132"/>
      <c r="D11" s="132"/>
      <c r="E11" s="132"/>
      <c r="F11" s="134" t="s">
        <v>284</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290</v>
      </c>
      <c r="D15" s="76" t="s">
        <v>9</v>
      </c>
      <c r="E15" s="76" t="s">
        <v>285</v>
      </c>
      <c r="F15" s="131" t="s">
        <v>287</v>
      </c>
      <c r="G15" s="76" t="s">
        <v>295</v>
      </c>
    </row>
    <row r="16" spans="1:12" ht="58.5" customHeight="1" x14ac:dyDescent="0.25">
      <c r="C16" s="76" t="s">
        <v>302</v>
      </c>
      <c r="D16" s="77" t="s">
        <v>303</v>
      </c>
      <c r="E16" s="135">
        <v>0</v>
      </c>
      <c r="F16" s="136"/>
      <c r="G16" s="136"/>
    </row>
    <row r="17" spans="3:7" ht="58.5" customHeight="1" x14ac:dyDescent="0.25">
      <c r="C17" s="131" t="s">
        <v>304</v>
      </c>
      <c r="D17" s="77" t="s">
        <v>305</v>
      </c>
      <c r="E17" s="138">
        <v>0.1</v>
      </c>
      <c r="F17" s="136"/>
      <c r="G17" s="136"/>
    </row>
    <row r="18" spans="3:7" ht="136.69999999999999" customHeight="1" x14ac:dyDescent="0.25">
      <c r="C18" s="76" t="s">
        <v>279</v>
      </c>
      <c r="D18" s="77" t="s">
        <v>286</v>
      </c>
      <c r="E18" s="135">
        <v>0.1</v>
      </c>
      <c r="F18" s="136">
        <v>43226</v>
      </c>
      <c r="G18" s="136"/>
    </row>
    <row r="19" spans="3:7" ht="39" customHeight="1" x14ac:dyDescent="0.25">
      <c r="C19" s="76" t="s">
        <v>280</v>
      </c>
      <c r="D19" s="77" t="s">
        <v>288</v>
      </c>
      <c r="E19" s="135">
        <v>0.05</v>
      </c>
    </row>
    <row r="20" spans="3:7" ht="47.45" customHeight="1" x14ac:dyDescent="0.25">
      <c r="C20" s="76" t="s">
        <v>282</v>
      </c>
      <c r="D20" s="77" t="s">
        <v>289</v>
      </c>
      <c r="E20" s="135">
        <v>0.01</v>
      </c>
    </row>
    <row r="21" spans="3:7" ht="105" customHeight="1" x14ac:dyDescent="0.25">
      <c r="C21" s="76" t="s">
        <v>283</v>
      </c>
      <c r="D21" s="77" t="s">
        <v>291</v>
      </c>
      <c r="E21" s="135">
        <v>1.4999999999999999E-2</v>
      </c>
    </row>
    <row r="22" spans="3:7" ht="64.7" customHeight="1" x14ac:dyDescent="0.25">
      <c r="C22" s="76" t="s">
        <v>52</v>
      </c>
      <c r="D22" s="77" t="s">
        <v>292</v>
      </c>
      <c r="E22" s="135">
        <v>0.1</v>
      </c>
      <c r="F22" s="136">
        <v>43261</v>
      </c>
      <c r="G22" s="136"/>
    </row>
    <row r="23" spans="3:7" ht="84.2" customHeight="1" x14ac:dyDescent="0.25">
      <c r="C23" s="76" t="s">
        <v>293</v>
      </c>
      <c r="D23" s="77" t="s">
        <v>294</v>
      </c>
      <c r="E23" s="135">
        <v>0.02</v>
      </c>
      <c r="F23" s="137">
        <v>43558</v>
      </c>
      <c r="G23" s="137"/>
    </row>
    <row r="24" spans="3:7" ht="119.45" customHeight="1" x14ac:dyDescent="0.25">
      <c r="C24" s="131" t="s">
        <v>296</v>
      </c>
      <c r="D24" s="76" t="s">
        <v>298</v>
      </c>
      <c r="E24" s="135">
        <v>0.2</v>
      </c>
    </row>
    <row r="25" spans="3:7" ht="117.2" customHeight="1" x14ac:dyDescent="0.25">
      <c r="C25" s="131" t="s">
        <v>297</v>
      </c>
      <c r="D25" s="76" t="s">
        <v>299</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N28"/>
  <sheetViews>
    <sheetView topLeftCell="E1" zoomScale="103" zoomScaleNormal="100" workbookViewId="0">
      <selection activeCell="C16" sqref="C16"/>
    </sheetView>
  </sheetViews>
  <sheetFormatPr defaultRowHeight="15" x14ac:dyDescent="0.25"/>
  <cols>
    <col min="1" max="1" width="9.140625" style="65"/>
    <col min="2" max="2" width="16" style="1" customWidth="1"/>
    <col min="3" max="4" width="32.42578125" style="1" customWidth="1"/>
    <col min="5" max="5" width="13.140625" style="111" customWidth="1"/>
    <col min="6" max="7" width="30.42578125" style="1" customWidth="1"/>
    <col min="8" max="8" width="10.42578125" style="111" customWidth="1"/>
    <col min="9" max="9" width="23.7109375" style="1" customWidth="1"/>
    <col min="10" max="10" width="10.42578125" style="111" customWidth="1"/>
    <col min="11" max="11" width="23.5703125" style="1" customWidth="1"/>
    <col min="12" max="12" width="10.42578125" style="111" customWidth="1"/>
    <col min="13" max="13" width="28.7109375" style="1" customWidth="1"/>
    <col min="14" max="14" width="9.140625" style="111" customWidth="1"/>
    <col min="15" max="16384" width="9.140625" style="1"/>
  </cols>
  <sheetData>
    <row r="1" spans="2:14" s="65" customFormat="1" x14ac:dyDescent="0.25">
      <c r="E1" s="171"/>
      <c r="H1" s="171"/>
      <c r="I1" s="167"/>
      <c r="J1" s="171"/>
      <c r="L1" s="171"/>
      <c r="N1" s="171"/>
    </row>
    <row r="2" spans="2:14" s="65" customFormat="1" x14ac:dyDescent="0.25">
      <c r="E2" s="171"/>
      <c r="H2" s="171"/>
      <c r="I2" s="167"/>
      <c r="J2" s="171"/>
      <c r="L2" s="171"/>
      <c r="N2" s="171"/>
    </row>
    <row r="3" spans="2:14" s="172" customFormat="1" ht="3" customHeight="1" x14ac:dyDescent="0.25">
      <c r="E3" s="173"/>
      <c r="H3" s="173"/>
      <c r="J3" s="173"/>
      <c r="L3" s="173"/>
      <c r="N3" s="173"/>
    </row>
    <row r="4" spans="2:14" ht="20.25" customHeight="1" x14ac:dyDescent="0.25">
      <c r="B4" s="1" t="s">
        <v>265</v>
      </c>
      <c r="C4" s="1" t="s">
        <v>532</v>
      </c>
      <c r="D4" s="1" t="s">
        <v>537</v>
      </c>
      <c r="E4" s="111" t="s">
        <v>472</v>
      </c>
      <c r="F4" s="1" t="s">
        <v>533</v>
      </c>
      <c r="G4" s="1" t="s">
        <v>537</v>
      </c>
      <c r="H4" s="111" t="s">
        <v>472</v>
      </c>
      <c r="I4" s="1" t="s">
        <v>534</v>
      </c>
      <c r="J4" s="111" t="s">
        <v>472</v>
      </c>
      <c r="K4" s="1" t="s">
        <v>535</v>
      </c>
      <c r="L4" s="111" t="s">
        <v>472</v>
      </c>
      <c r="M4" s="1" t="s">
        <v>536</v>
      </c>
      <c r="N4" s="111" t="s">
        <v>472</v>
      </c>
    </row>
    <row r="5" spans="2:14" s="172" customFormat="1" ht="2.25" customHeight="1" x14ac:dyDescent="0.25">
      <c r="E5" s="173"/>
      <c r="H5" s="173"/>
      <c r="J5" s="173"/>
      <c r="L5" s="173"/>
      <c r="N5" s="173"/>
    </row>
    <row r="6" spans="2:14" ht="45" x14ac:dyDescent="0.25">
      <c r="C6" s="164" t="s">
        <v>538</v>
      </c>
      <c r="D6" s="164" t="s">
        <v>539</v>
      </c>
      <c r="E6" s="182">
        <v>0</v>
      </c>
      <c r="F6" s="164" t="s">
        <v>542</v>
      </c>
      <c r="G6" s="164"/>
      <c r="H6" s="182"/>
      <c r="I6" s="164"/>
      <c r="J6" s="182"/>
      <c r="K6" s="164"/>
      <c r="L6" s="182"/>
      <c r="M6" s="165"/>
    </row>
    <row r="7" spans="2:14" ht="45" x14ac:dyDescent="0.25">
      <c r="C7" s="164" t="s">
        <v>540</v>
      </c>
      <c r="D7" s="164" t="s">
        <v>541</v>
      </c>
      <c r="E7" s="182">
        <v>0</v>
      </c>
      <c r="F7" s="164" t="s">
        <v>543</v>
      </c>
      <c r="G7" s="164"/>
      <c r="H7" s="182"/>
      <c r="I7" s="165"/>
      <c r="J7" s="182"/>
      <c r="K7" s="165"/>
      <c r="L7" s="182"/>
      <c r="M7" s="165"/>
    </row>
    <row r="8" spans="2:14" x14ac:dyDescent="0.25">
      <c r="C8" s="165"/>
      <c r="D8" s="165"/>
      <c r="E8" s="182"/>
      <c r="F8" s="164" t="s">
        <v>544</v>
      </c>
      <c r="G8" s="164"/>
      <c r="H8" s="182"/>
      <c r="I8" s="164"/>
      <c r="J8" s="182"/>
      <c r="K8" s="165"/>
      <c r="L8" s="182"/>
      <c r="M8" s="165"/>
    </row>
    <row r="9" spans="2:14" x14ac:dyDescent="0.25">
      <c r="C9" s="164"/>
      <c r="D9" s="164"/>
      <c r="E9" s="182"/>
      <c r="F9" s="165" t="s">
        <v>545</v>
      </c>
      <c r="G9" s="165"/>
      <c r="H9" s="182"/>
      <c r="I9" s="166"/>
      <c r="J9" s="182"/>
      <c r="K9" s="165"/>
      <c r="L9" s="182"/>
      <c r="M9" s="165"/>
    </row>
    <row r="10" spans="2:14" x14ac:dyDescent="0.25">
      <c r="C10" s="166"/>
      <c r="D10" s="166"/>
      <c r="E10" s="182"/>
      <c r="F10" s="165" t="s">
        <v>546</v>
      </c>
      <c r="G10" s="165"/>
      <c r="H10" s="182"/>
      <c r="I10" s="165"/>
      <c r="J10" s="182"/>
      <c r="K10" s="164"/>
      <c r="L10" s="182"/>
      <c r="M10" s="106"/>
    </row>
    <row r="11" spans="2:14" x14ac:dyDescent="0.25">
      <c r="C11" s="165"/>
      <c r="D11" s="165"/>
      <c r="E11" s="182"/>
      <c r="F11" s="165" t="s">
        <v>547</v>
      </c>
      <c r="G11" s="165"/>
      <c r="H11" s="182"/>
      <c r="I11" s="165"/>
      <c r="J11" s="182"/>
      <c r="K11" s="164"/>
      <c r="L11" s="182"/>
      <c r="M11" s="106"/>
    </row>
    <row r="12" spans="2:14" x14ac:dyDescent="0.25">
      <c r="C12" s="165"/>
      <c r="D12" s="165"/>
      <c r="E12" s="182"/>
      <c r="F12" s="165"/>
      <c r="G12" s="165"/>
      <c r="H12" s="182"/>
      <c r="I12" s="164"/>
      <c r="J12" s="182"/>
      <c r="K12" s="106"/>
      <c r="L12" s="182"/>
      <c r="M12" s="106"/>
    </row>
    <row r="13" spans="2:14" x14ac:dyDescent="0.25">
      <c r="C13" s="166"/>
      <c r="D13" s="166"/>
      <c r="E13" s="182"/>
      <c r="F13" s="164" t="s">
        <v>548</v>
      </c>
      <c r="G13" s="164"/>
      <c r="H13" s="182"/>
      <c r="I13" s="166"/>
      <c r="J13" s="182"/>
      <c r="K13" s="106"/>
      <c r="L13" s="182"/>
      <c r="M13" s="106"/>
    </row>
    <row r="14" spans="2:14" x14ac:dyDescent="0.25">
      <c r="C14" s="164"/>
      <c r="D14" s="164"/>
      <c r="E14" s="182"/>
      <c r="F14" s="165" t="s">
        <v>549</v>
      </c>
      <c r="G14" s="165"/>
      <c r="H14" s="182"/>
      <c r="I14" s="166"/>
      <c r="J14" s="182"/>
      <c r="K14" s="106"/>
      <c r="L14" s="182"/>
      <c r="M14" s="106"/>
    </row>
    <row r="15" spans="2:14" x14ac:dyDescent="0.25">
      <c r="C15" s="165"/>
      <c r="D15" s="165"/>
      <c r="E15" s="182"/>
      <c r="F15" s="164"/>
      <c r="G15" s="164"/>
      <c r="H15" s="182"/>
      <c r="I15" s="165"/>
      <c r="J15" s="182"/>
      <c r="K15" s="106"/>
      <c r="L15" s="182"/>
      <c r="M15" s="106"/>
    </row>
    <row r="16" spans="2:14" x14ac:dyDescent="0.25">
      <c r="C16" s="165"/>
      <c r="D16" s="165"/>
      <c r="E16" s="182"/>
      <c r="F16" s="165" t="s">
        <v>550</v>
      </c>
      <c r="G16" s="165"/>
      <c r="H16" s="182"/>
      <c r="I16" s="165"/>
      <c r="J16" s="182"/>
      <c r="K16" s="106"/>
      <c r="L16" s="182"/>
      <c r="M16" s="106"/>
    </row>
    <row r="17" spans="2:14" x14ac:dyDescent="0.25">
      <c r="C17" s="166"/>
      <c r="D17" s="166"/>
      <c r="E17" s="182"/>
      <c r="F17" s="165"/>
      <c r="G17" s="165"/>
      <c r="H17" s="182"/>
      <c r="I17" s="165"/>
      <c r="J17" s="182"/>
      <c r="K17" s="106"/>
      <c r="L17" s="182"/>
      <c r="M17" s="106"/>
    </row>
    <row r="18" spans="2:14" x14ac:dyDescent="0.25">
      <c r="C18" s="165"/>
      <c r="D18" s="165"/>
      <c r="E18" s="182"/>
      <c r="F18" s="165" t="s">
        <v>551</v>
      </c>
      <c r="G18" s="165"/>
      <c r="H18" s="182"/>
      <c r="I18" s="165"/>
      <c r="J18" s="182"/>
      <c r="K18" s="106"/>
      <c r="L18" s="182"/>
      <c r="M18" s="106"/>
    </row>
    <row r="19" spans="2:14" x14ac:dyDescent="0.25">
      <c r="C19" s="165"/>
      <c r="D19" s="165"/>
      <c r="E19" s="182"/>
      <c r="F19" s="106"/>
      <c r="G19" s="106"/>
      <c r="H19" s="106"/>
      <c r="I19" s="166"/>
      <c r="J19" s="182"/>
      <c r="K19" s="106"/>
      <c r="L19" s="106"/>
      <c r="M19" s="106"/>
      <c r="N19" s="1"/>
    </row>
    <row r="20" spans="2:14" x14ac:dyDescent="0.25">
      <c r="C20" s="166"/>
      <c r="D20" s="166"/>
      <c r="E20" s="182"/>
      <c r="F20" s="106"/>
      <c r="G20" s="106"/>
      <c r="H20" s="106"/>
      <c r="I20" s="165"/>
      <c r="J20" s="182"/>
      <c r="K20" s="106"/>
      <c r="L20" s="182"/>
      <c r="M20" s="106"/>
    </row>
    <row r="21" spans="2:14" x14ac:dyDescent="0.25">
      <c r="C21" s="166"/>
      <c r="D21" s="166"/>
      <c r="E21" s="182"/>
      <c r="F21" s="106"/>
      <c r="G21" s="106"/>
      <c r="H21" s="106"/>
      <c r="I21" s="106"/>
      <c r="J21" s="106"/>
      <c r="K21" s="106"/>
      <c r="L21" s="182"/>
      <c r="M21" s="106"/>
    </row>
    <row r="22" spans="2:14" x14ac:dyDescent="0.25">
      <c r="C22" s="166"/>
      <c r="D22" s="166"/>
      <c r="E22" s="182"/>
      <c r="F22" s="106"/>
      <c r="G22" s="106"/>
      <c r="H22" s="182"/>
      <c r="I22" s="106"/>
      <c r="J22" s="182"/>
      <c r="K22" s="106"/>
      <c r="L22" s="182"/>
      <c r="M22" s="106"/>
    </row>
    <row r="23" spans="2:14" s="174" customFormat="1" ht="7.5" customHeight="1" x14ac:dyDescent="0.25">
      <c r="E23" s="175"/>
      <c r="H23" s="175"/>
      <c r="J23" s="175"/>
      <c r="L23" s="175"/>
      <c r="N23" s="175"/>
    </row>
    <row r="24" spans="2:14" x14ac:dyDescent="0.25">
      <c r="E24" s="111">
        <f>AVERAGE(E6:E23)</f>
        <v>0</v>
      </c>
      <c r="H24" s="111" t="e">
        <f>AVERAGE(H6:H23)</f>
        <v>#DIV/0!</v>
      </c>
      <c r="J24" s="111" t="e">
        <f>AVERAGE(J6:J23)</f>
        <v>#DIV/0!</v>
      </c>
      <c r="K24" s="1" t="s">
        <v>473</v>
      </c>
      <c r="L24" s="111" t="e">
        <f>AVERAGE(L6:L23)</f>
        <v>#DIV/0!</v>
      </c>
    </row>
    <row r="25" spans="2:14" s="176" customFormat="1" ht="62.25" customHeight="1" x14ac:dyDescent="0.25">
      <c r="B25" s="176" t="s">
        <v>474</v>
      </c>
      <c r="C25" s="178"/>
      <c r="D25" s="178"/>
      <c r="E25" s="176" t="s">
        <v>474</v>
      </c>
      <c r="F25" s="178"/>
      <c r="G25" s="178"/>
      <c r="H25" s="176" t="s">
        <v>474</v>
      </c>
      <c r="I25" s="178"/>
      <c r="J25" s="176" t="s">
        <v>474</v>
      </c>
      <c r="K25" s="178"/>
      <c r="L25" s="176" t="s">
        <v>474</v>
      </c>
      <c r="M25" s="178"/>
      <c r="N25" s="177"/>
    </row>
    <row r="27" spans="2:14" x14ac:dyDescent="0.25">
      <c r="C27" s="179"/>
      <c r="D27" s="179"/>
      <c r="F27" s="179"/>
      <c r="G27" s="179"/>
      <c r="I27" s="179"/>
      <c r="K27" s="179"/>
      <c r="M27" s="179"/>
    </row>
    <row r="28" spans="2:14" x14ac:dyDescent="0.25">
      <c r="C28" s="64"/>
      <c r="D28" s="64"/>
    </row>
  </sheetData>
  <conditionalFormatting sqref="J26:J1048576 E26:E1048576 E1:E23 H26:H1048576 L26:L1048576 N25:N1048576 H22:H23 J22:J23 H1:H17 L1:L12 N1:N12 L20:L23 L14:L18 N20:N23 N14:N18 J1:J20">
    <cfRule type="colorScale" priority="8">
      <colorScale>
        <cfvo type="num" val="0"/>
        <cfvo type="num" val="0.5"/>
        <cfvo type="num" val="1"/>
        <color rgb="FFF8696B"/>
        <color rgb="FFFFEB84"/>
        <color rgb="FF63BE7B"/>
      </colorScale>
    </cfRule>
  </conditionalFormatting>
  <conditionalFormatting sqref="L13">
    <cfRule type="colorScale" priority="6">
      <colorScale>
        <cfvo type="num" val="0"/>
        <cfvo type="num" val="0.5"/>
        <cfvo type="num" val="1"/>
        <color rgb="FFF8696B"/>
        <color rgb="FFFFEB84"/>
        <color rgb="FF63BE7B"/>
      </colorScale>
    </cfRule>
  </conditionalFormatting>
  <conditionalFormatting sqref="N13">
    <cfRule type="colorScale" priority="5">
      <colorScale>
        <cfvo type="num" val="0"/>
        <cfvo type="num" val="0.5"/>
        <cfvo type="num" val="1"/>
        <color rgb="FFF8696B"/>
        <color rgb="FFFFEB84"/>
        <color rgb="FF63BE7B"/>
      </colorScale>
    </cfRule>
  </conditionalFormatting>
  <conditionalFormatting sqref="E24">
    <cfRule type="colorScale" priority="4">
      <colorScale>
        <cfvo type="num" val="0"/>
        <cfvo type="num" val="0.5"/>
        <cfvo type="num" val="1"/>
        <color rgb="FFF8696B"/>
        <color rgb="FFFFEB84"/>
        <color rgb="FF63BE7B"/>
      </colorScale>
    </cfRule>
  </conditionalFormatting>
  <conditionalFormatting sqref="H24">
    <cfRule type="colorScale" priority="3">
      <colorScale>
        <cfvo type="num" val="0"/>
        <cfvo type="num" val="0.5"/>
        <cfvo type="num" val="1"/>
        <color rgb="FFF8696B"/>
        <color rgb="FFFFEB84"/>
        <color rgb="FF63BE7B"/>
      </colorScale>
    </cfRule>
  </conditionalFormatting>
  <conditionalFormatting sqref="J24 L24 N24">
    <cfRule type="colorScale" priority="2">
      <colorScale>
        <cfvo type="num" val="0"/>
        <cfvo type="num" val="0.5"/>
        <cfvo type="num" val="1"/>
        <color rgb="FFF8696B"/>
        <color rgb="FFFFEB84"/>
        <color rgb="FF63BE7B"/>
      </colorScale>
    </cfRule>
  </conditionalFormatting>
  <conditionalFormatting sqref="H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T11"/>
  <sheetViews>
    <sheetView zoomScale="79" zoomScaleNormal="96" zoomScalePageLayoutView="96" workbookViewId="0">
      <selection activeCell="E6" sqref="E6"/>
    </sheetView>
  </sheetViews>
  <sheetFormatPr defaultColWidth="8.85546875" defaultRowHeight="15" x14ac:dyDescent="0.25"/>
  <cols>
    <col min="1" max="1" width="12.7109375" style="65" customWidth="1"/>
    <col min="2" max="2" width="9.5703125" style="106" customWidth="1"/>
    <col min="3" max="3" width="20.7109375" style="106" customWidth="1"/>
    <col min="4" max="4" width="18.140625" style="1" customWidth="1"/>
    <col min="5" max="5" width="74"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43333</v>
      </c>
      <c r="B1" s="68"/>
      <c r="C1" s="68"/>
    </row>
    <row r="2" spans="1:46" s="96" customFormat="1" ht="26.25" customHeight="1" x14ac:dyDescent="0.25">
      <c r="A2" s="95">
        <f ca="1">NOW()</f>
        <v>43333.726772685186</v>
      </c>
      <c r="B2" s="95"/>
      <c r="C2" s="95" t="s">
        <v>371</v>
      </c>
      <c r="F2" s="97" t="s">
        <v>255</v>
      </c>
      <c r="G2" s="97"/>
      <c r="J2" s="97"/>
      <c r="K2" s="97"/>
      <c r="L2" s="97"/>
      <c r="M2" s="97"/>
      <c r="N2" s="97"/>
    </row>
    <row r="3" spans="1:46" s="110" customFormat="1" x14ac:dyDescent="0.25">
      <c r="A3" s="116"/>
      <c r="B3" s="127" t="s">
        <v>259</v>
      </c>
      <c r="H3" s="115"/>
      <c r="I3" s="115"/>
    </row>
    <row r="4" spans="1:46" s="109" customFormat="1" x14ac:dyDescent="0.25">
      <c r="A4" s="107"/>
      <c r="B4" s="108" t="s">
        <v>40</v>
      </c>
      <c r="C4" s="108" t="s">
        <v>370</v>
      </c>
      <c r="D4" s="109" t="s">
        <v>21</v>
      </c>
      <c r="E4" s="109" t="s">
        <v>263</v>
      </c>
      <c r="F4" s="109" t="s">
        <v>265</v>
      </c>
      <c r="G4" s="109" t="s">
        <v>257</v>
      </c>
      <c r="H4" s="109" t="s">
        <v>256</v>
      </c>
      <c r="I4" s="109" t="s">
        <v>260</v>
      </c>
      <c r="J4" s="109" t="s">
        <v>258</v>
      </c>
      <c r="K4" s="109" t="s">
        <v>264</v>
      </c>
    </row>
    <row r="5" spans="1:46" ht="67.5" customHeight="1" x14ac:dyDescent="0.25">
      <c r="B5" s="106">
        <v>20</v>
      </c>
      <c r="C5" s="106" t="s">
        <v>403</v>
      </c>
      <c r="D5" s="2" t="s">
        <v>363</v>
      </c>
      <c r="E5" s="1" t="s">
        <v>573</v>
      </c>
      <c r="F5" s="129"/>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364</v>
      </c>
      <c r="F6" s="129"/>
      <c r="G6" s="123"/>
      <c r="H6" s="111"/>
      <c r="I6" s="51"/>
      <c r="K6" s="113"/>
    </row>
    <row r="7" spans="1:46" ht="61.7" customHeight="1" x14ac:dyDescent="0.25">
      <c r="B7" s="106">
        <v>0</v>
      </c>
      <c r="D7" s="2" t="s">
        <v>366</v>
      </c>
      <c r="F7" s="128"/>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368</v>
      </c>
      <c r="F8" s="128"/>
      <c r="G8" s="2"/>
      <c r="H8" s="111"/>
      <c r="I8" s="51"/>
      <c r="K8" s="114"/>
    </row>
    <row r="9" spans="1:46" ht="106.5" customHeight="1" x14ac:dyDescent="0.25">
      <c r="B9" s="106">
        <v>0</v>
      </c>
      <c r="D9" s="117" t="s">
        <v>369</v>
      </c>
      <c r="E9" s="1" t="s">
        <v>572</v>
      </c>
      <c r="F9" s="128"/>
      <c r="G9" s="145"/>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373</v>
      </c>
      <c r="F10" s="112"/>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261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U59"/>
  <sheetViews>
    <sheetView topLeftCell="A17" zoomScaleNormal="100" workbookViewId="0">
      <selection activeCell="F8" sqref="F8:F31"/>
    </sheetView>
  </sheetViews>
  <sheetFormatPr defaultColWidth="8.85546875" defaultRowHeight="15" x14ac:dyDescent="0.25"/>
  <cols>
    <col min="1" max="1" width="27.28515625" style="66" customWidth="1"/>
    <col min="2" max="2" width="25.5703125" style="69" bestFit="1" customWidth="1"/>
    <col min="3" max="226" width="20.7109375" style="73" customWidth="1"/>
    <col min="227" max="16384" width="8.85546875" style="73"/>
  </cols>
  <sheetData>
    <row r="1" spans="1:177" s="67" customFormat="1" x14ac:dyDescent="0.25">
      <c r="A1" s="68">
        <f ca="1">TODAY()</f>
        <v>43333</v>
      </c>
    </row>
    <row r="2" spans="1:177" s="96" customFormat="1" ht="66.75" customHeight="1" x14ac:dyDescent="0.25">
      <c r="A2" s="95">
        <f ca="1">NOW()</f>
        <v>43333.726772685186</v>
      </c>
      <c r="B2" s="97">
        <v>43157</v>
      </c>
    </row>
    <row r="3" spans="1:177" s="125" customFormat="1" ht="33" customHeight="1" x14ac:dyDescent="0.25">
      <c r="A3" s="170">
        <f ca="1">HOUR(A2)</f>
        <v>17</v>
      </c>
      <c r="B3" s="124"/>
    </row>
    <row r="4" spans="1:177" s="71" customFormat="1" ht="32.25" customHeight="1" x14ac:dyDescent="0.25">
      <c r="A4" s="70"/>
      <c r="C4" s="125" t="s">
        <v>72</v>
      </c>
      <c r="D4" s="125" t="s">
        <v>73</v>
      </c>
      <c r="E4" s="125" t="s">
        <v>74</v>
      </c>
      <c r="F4" s="125" t="s">
        <v>75</v>
      </c>
      <c r="G4" s="125" t="s">
        <v>76</v>
      </c>
      <c r="H4" s="125" t="s">
        <v>77</v>
      </c>
      <c r="I4" s="125" t="s">
        <v>78</v>
      </c>
      <c r="J4" s="125" t="s">
        <v>79</v>
      </c>
      <c r="K4" s="125" t="s">
        <v>80</v>
      </c>
      <c r="L4" s="125" t="s">
        <v>81</v>
      </c>
      <c r="M4" s="125" t="s">
        <v>82</v>
      </c>
      <c r="N4" s="125" t="s">
        <v>83</v>
      </c>
      <c r="O4" s="125" t="s">
        <v>84</v>
      </c>
      <c r="P4" s="125" t="s">
        <v>85</v>
      </c>
      <c r="Q4" s="125" t="s">
        <v>86</v>
      </c>
      <c r="R4" s="125" t="s">
        <v>87</v>
      </c>
      <c r="S4" s="125" t="s">
        <v>88</v>
      </c>
      <c r="T4" s="125" t="s">
        <v>89</v>
      </c>
      <c r="U4" s="125" t="s">
        <v>90</v>
      </c>
      <c r="V4" s="125" t="s">
        <v>91</v>
      </c>
      <c r="W4" s="125" t="s">
        <v>92</v>
      </c>
      <c r="X4" s="125" t="s">
        <v>93</v>
      </c>
      <c r="Y4" s="125" t="s">
        <v>94</v>
      </c>
      <c r="Z4" s="125" t="s">
        <v>95</v>
      </c>
      <c r="AA4" s="125" t="s">
        <v>96</v>
      </c>
      <c r="AB4" s="125" t="s">
        <v>97</v>
      </c>
      <c r="AC4" s="125" t="s">
        <v>98</v>
      </c>
      <c r="AD4" s="125" t="s">
        <v>99</v>
      </c>
      <c r="AE4" s="125" t="s">
        <v>100</v>
      </c>
      <c r="AF4" s="125" t="s">
        <v>101</v>
      </c>
      <c r="AG4" s="125" t="s">
        <v>102</v>
      </c>
      <c r="AH4" s="125" t="s">
        <v>103</v>
      </c>
      <c r="AI4" s="125" t="s">
        <v>104</v>
      </c>
      <c r="AJ4" s="125" t="s">
        <v>105</v>
      </c>
      <c r="AK4" s="125" t="s">
        <v>106</v>
      </c>
      <c r="AL4" s="125" t="s">
        <v>107</v>
      </c>
      <c r="AM4" s="125" t="s">
        <v>108</v>
      </c>
      <c r="AN4" s="125" t="s">
        <v>109</v>
      </c>
      <c r="AO4" s="125" t="s">
        <v>110</v>
      </c>
      <c r="AP4" s="125" t="s">
        <v>111</v>
      </c>
      <c r="AQ4" s="125" t="s">
        <v>112</v>
      </c>
      <c r="AR4" s="125" t="s">
        <v>113</v>
      </c>
      <c r="AS4" s="125" t="s">
        <v>114</v>
      </c>
      <c r="AT4" s="125" t="s">
        <v>115</v>
      </c>
      <c r="AU4" s="125" t="s">
        <v>116</v>
      </c>
      <c r="AV4" s="125" t="s">
        <v>117</v>
      </c>
      <c r="AW4" s="125" t="s">
        <v>118</v>
      </c>
      <c r="AX4" s="125" t="s">
        <v>119</v>
      </c>
      <c r="AY4" s="125" t="s">
        <v>120</v>
      </c>
      <c r="AZ4" s="125" t="s">
        <v>121</v>
      </c>
      <c r="BA4" s="125" t="s">
        <v>122</v>
      </c>
      <c r="BB4" s="125" t="s">
        <v>123</v>
      </c>
      <c r="BC4" s="125" t="s">
        <v>124</v>
      </c>
      <c r="BD4" s="125" t="s">
        <v>125</v>
      </c>
      <c r="BE4" s="125" t="s">
        <v>126</v>
      </c>
      <c r="BF4" s="125" t="s">
        <v>127</v>
      </c>
      <c r="BG4" s="125" t="s">
        <v>128</v>
      </c>
      <c r="BH4" s="125" t="s">
        <v>129</v>
      </c>
      <c r="BI4" s="125" t="s">
        <v>130</v>
      </c>
      <c r="BJ4" s="125" t="s">
        <v>131</v>
      </c>
      <c r="BK4" s="125" t="s">
        <v>132</v>
      </c>
      <c r="BL4" s="125" t="s">
        <v>133</v>
      </c>
      <c r="BM4" s="125" t="s">
        <v>134</v>
      </c>
      <c r="BN4" s="125" t="s">
        <v>135</v>
      </c>
      <c r="BO4" s="125" t="s">
        <v>136</v>
      </c>
      <c r="BP4" s="125" t="s">
        <v>137</v>
      </c>
      <c r="BQ4" s="125" t="s">
        <v>138</v>
      </c>
      <c r="BR4" s="125" t="s">
        <v>139</v>
      </c>
      <c r="BS4" s="125" t="s">
        <v>140</v>
      </c>
      <c r="BT4" s="125" t="s">
        <v>141</v>
      </c>
      <c r="BU4" s="125" t="s">
        <v>142</v>
      </c>
      <c r="BV4" s="125" t="s">
        <v>143</v>
      </c>
      <c r="BW4" s="125" t="s">
        <v>144</v>
      </c>
      <c r="BX4" s="125" t="s">
        <v>145</v>
      </c>
      <c r="BY4" s="125" t="s">
        <v>146</v>
      </c>
      <c r="BZ4" s="125" t="s">
        <v>147</v>
      </c>
      <c r="CA4" s="125" t="s">
        <v>148</v>
      </c>
      <c r="CB4" s="125" t="s">
        <v>149</v>
      </c>
      <c r="CC4" s="125" t="s">
        <v>150</v>
      </c>
      <c r="CD4" s="125" t="s">
        <v>151</v>
      </c>
      <c r="CE4" s="125" t="s">
        <v>152</v>
      </c>
      <c r="CF4" s="125" t="s">
        <v>153</v>
      </c>
      <c r="CG4" s="125" t="s">
        <v>154</v>
      </c>
      <c r="CH4" s="125" t="s">
        <v>155</v>
      </c>
      <c r="CI4" s="125" t="s">
        <v>156</v>
      </c>
      <c r="CJ4" s="125" t="s">
        <v>157</v>
      </c>
      <c r="CK4" s="125" t="s">
        <v>158</v>
      </c>
      <c r="CL4" s="125" t="s">
        <v>159</v>
      </c>
      <c r="CM4" s="125" t="s">
        <v>160</v>
      </c>
      <c r="CN4" s="125" t="s">
        <v>161</v>
      </c>
      <c r="CO4" s="125" t="s">
        <v>162</v>
      </c>
      <c r="CP4" s="125" t="s">
        <v>163</v>
      </c>
      <c r="CQ4" s="125" t="s">
        <v>164</v>
      </c>
      <c r="CR4" s="125" t="s">
        <v>165</v>
      </c>
      <c r="CS4" s="125" t="s">
        <v>166</v>
      </c>
      <c r="CT4" s="125" t="s">
        <v>167</v>
      </c>
      <c r="CU4" s="125" t="s">
        <v>168</v>
      </c>
      <c r="CV4" s="125" t="s">
        <v>169</v>
      </c>
      <c r="CW4" s="125" t="s">
        <v>170</v>
      </c>
      <c r="CX4" s="125" t="s">
        <v>171</v>
      </c>
      <c r="CY4" s="125" t="s">
        <v>172</v>
      </c>
      <c r="CZ4" s="125" t="s">
        <v>173</v>
      </c>
      <c r="DA4" s="125" t="s">
        <v>174</v>
      </c>
      <c r="DB4" s="125" t="s">
        <v>175</v>
      </c>
      <c r="DC4" s="125" t="s">
        <v>176</v>
      </c>
      <c r="DD4" s="125" t="s">
        <v>177</v>
      </c>
      <c r="DE4" s="125" t="s">
        <v>178</v>
      </c>
      <c r="DF4" s="125" t="s">
        <v>179</v>
      </c>
      <c r="DG4" s="125" t="s">
        <v>180</v>
      </c>
      <c r="DH4" s="125" t="s">
        <v>181</v>
      </c>
      <c r="DI4" s="125" t="s">
        <v>182</v>
      </c>
      <c r="DJ4" s="125" t="s">
        <v>183</v>
      </c>
      <c r="DK4" s="125" t="s">
        <v>184</v>
      </c>
      <c r="DL4" s="125" t="s">
        <v>185</v>
      </c>
      <c r="DM4" s="125" t="s">
        <v>186</v>
      </c>
      <c r="DN4" s="125" t="s">
        <v>187</v>
      </c>
      <c r="DO4" s="125" t="s">
        <v>188</v>
      </c>
      <c r="DP4" s="125" t="s">
        <v>189</v>
      </c>
      <c r="DQ4" s="125" t="s">
        <v>190</v>
      </c>
      <c r="DR4" s="125" t="s">
        <v>191</v>
      </c>
      <c r="DS4" s="125" t="s">
        <v>192</v>
      </c>
      <c r="DT4" s="125" t="s">
        <v>193</v>
      </c>
      <c r="DU4" s="125" t="s">
        <v>194</v>
      </c>
      <c r="DV4" s="125" t="s">
        <v>195</v>
      </c>
      <c r="DW4" s="125" t="s">
        <v>196</v>
      </c>
      <c r="DX4" s="125" t="s">
        <v>197</v>
      </c>
      <c r="DY4" s="125" t="s">
        <v>198</v>
      </c>
      <c r="DZ4" s="125" t="s">
        <v>199</v>
      </c>
      <c r="EA4" s="125" t="s">
        <v>200</v>
      </c>
      <c r="EB4" s="125" t="s">
        <v>201</v>
      </c>
      <c r="EC4" s="125" t="s">
        <v>202</v>
      </c>
      <c r="ED4" s="125" t="s">
        <v>203</v>
      </c>
      <c r="EE4" s="125" t="s">
        <v>204</v>
      </c>
      <c r="EF4" s="125" t="s">
        <v>205</v>
      </c>
      <c r="EG4" s="125" t="s">
        <v>206</v>
      </c>
      <c r="EH4" s="125" t="s">
        <v>207</v>
      </c>
      <c r="EI4" s="125" t="s">
        <v>208</v>
      </c>
      <c r="EJ4" s="125" t="s">
        <v>209</v>
      </c>
      <c r="EK4" s="125" t="s">
        <v>210</v>
      </c>
      <c r="EL4" s="125" t="s">
        <v>211</v>
      </c>
      <c r="EM4" s="125" t="s">
        <v>212</v>
      </c>
      <c r="EN4" s="125" t="s">
        <v>213</v>
      </c>
      <c r="EO4" s="125" t="s">
        <v>214</v>
      </c>
      <c r="EP4" s="125" t="s">
        <v>215</v>
      </c>
      <c r="EQ4" s="125" t="s">
        <v>216</v>
      </c>
      <c r="ER4" s="125" t="s">
        <v>217</v>
      </c>
      <c r="ES4" s="125" t="s">
        <v>218</v>
      </c>
      <c r="ET4" s="125" t="s">
        <v>219</v>
      </c>
      <c r="EU4" s="125" t="s">
        <v>220</v>
      </c>
      <c r="EV4" s="125" t="s">
        <v>221</v>
      </c>
      <c r="EW4" s="125" t="s">
        <v>222</v>
      </c>
      <c r="EX4" s="125" t="s">
        <v>223</v>
      </c>
      <c r="EY4" s="125" t="s">
        <v>224</v>
      </c>
      <c r="EZ4" s="125" t="s">
        <v>225</v>
      </c>
      <c r="FA4" s="125" t="s">
        <v>226</v>
      </c>
      <c r="FB4" s="125" t="s">
        <v>227</v>
      </c>
      <c r="FC4" s="125" t="s">
        <v>228</v>
      </c>
      <c r="FD4" s="125" t="s">
        <v>229</v>
      </c>
      <c r="FE4" s="125" t="s">
        <v>230</v>
      </c>
      <c r="FF4" s="125" t="s">
        <v>231</v>
      </c>
      <c r="FG4" s="125" t="s">
        <v>232</v>
      </c>
      <c r="FH4" s="125" t="s">
        <v>233</v>
      </c>
      <c r="FI4" s="125" t="s">
        <v>234</v>
      </c>
      <c r="FJ4" s="125" t="s">
        <v>235</v>
      </c>
      <c r="FK4" s="125" t="s">
        <v>236</v>
      </c>
      <c r="FL4" s="125" t="s">
        <v>237</v>
      </c>
      <c r="FM4" s="125" t="s">
        <v>238</v>
      </c>
      <c r="FN4" s="125" t="s">
        <v>239</v>
      </c>
      <c r="FO4" s="125" t="s">
        <v>240</v>
      </c>
      <c r="FP4" s="125" t="s">
        <v>241</v>
      </c>
      <c r="FQ4" s="125" t="s">
        <v>242</v>
      </c>
      <c r="FR4" s="125" t="s">
        <v>243</v>
      </c>
      <c r="FS4" s="125" t="s">
        <v>244</v>
      </c>
      <c r="FT4" s="125" t="s">
        <v>245</v>
      </c>
      <c r="FU4" s="125" t="s">
        <v>246</v>
      </c>
    </row>
    <row r="5" spans="1:177" s="71" customFormat="1" ht="32.25" customHeight="1" x14ac:dyDescent="0.25">
      <c r="A5" s="169">
        <f ca="1">NOW()</f>
        <v>43333.726772685186</v>
      </c>
      <c r="B5" s="139" t="s">
        <v>308</v>
      </c>
      <c r="C5" s="72">
        <v>43328</v>
      </c>
      <c r="D5" s="72">
        <v>43329</v>
      </c>
      <c r="E5" s="72">
        <v>43330</v>
      </c>
      <c r="F5" s="72">
        <v>43331</v>
      </c>
      <c r="G5" s="72">
        <v>43332</v>
      </c>
      <c r="H5" s="72">
        <v>43333</v>
      </c>
      <c r="I5" s="72">
        <v>43334</v>
      </c>
      <c r="J5" s="72">
        <v>43335</v>
      </c>
      <c r="K5" s="72">
        <v>43336</v>
      </c>
      <c r="L5" s="72">
        <v>43337</v>
      </c>
      <c r="M5" s="72">
        <v>43338</v>
      </c>
      <c r="N5" s="72">
        <v>43339</v>
      </c>
      <c r="O5" s="72">
        <v>43340</v>
      </c>
      <c r="P5" s="72">
        <v>43341</v>
      </c>
      <c r="Q5" s="72">
        <v>43342</v>
      </c>
      <c r="R5" s="72">
        <v>43343</v>
      </c>
      <c r="S5" s="72">
        <v>43344</v>
      </c>
      <c r="T5" s="72">
        <v>43345</v>
      </c>
      <c r="U5" s="72">
        <v>43346</v>
      </c>
      <c r="V5" s="72">
        <v>43347</v>
      </c>
      <c r="W5" s="72">
        <v>43348</v>
      </c>
      <c r="X5" s="72">
        <v>43349</v>
      </c>
      <c r="Y5" s="72">
        <v>43350</v>
      </c>
      <c r="Z5" s="72">
        <v>43351</v>
      </c>
      <c r="AA5" s="72">
        <v>43352</v>
      </c>
      <c r="AB5" s="72">
        <v>43353</v>
      </c>
      <c r="AC5" s="72">
        <v>43354</v>
      </c>
      <c r="AD5" s="72">
        <v>43355</v>
      </c>
      <c r="AE5" s="72">
        <v>43356</v>
      </c>
      <c r="AF5" s="72">
        <v>43357</v>
      </c>
      <c r="AG5" s="72">
        <v>43358</v>
      </c>
      <c r="AH5" s="72">
        <v>43359</v>
      </c>
      <c r="AI5" s="72">
        <v>43360</v>
      </c>
      <c r="AJ5" s="72">
        <v>43361</v>
      </c>
      <c r="AK5" s="72">
        <v>43362</v>
      </c>
      <c r="AL5" s="72">
        <v>43363</v>
      </c>
      <c r="AM5" s="72">
        <v>43364</v>
      </c>
      <c r="AN5" s="72">
        <v>43365</v>
      </c>
      <c r="AO5" s="72">
        <v>43366</v>
      </c>
      <c r="AP5" s="72">
        <v>43367</v>
      </c>
      <c r="AQ5" s="72">
        <v>43368</v>
      </c>
      <c r="AR5" s="72">
        <v>43369</v>
      </c>
      <c r="AS5" s="72">
        <v>43370</v>
      </c>
      <c r="AT5" s="72">
        <v>43371</v>
      </c>
      <c r="AU5" s="72">
        <v>43372</v>
      </c>
      <c r="AV5" s="72">
        <v>43373</v>
      </c>
      <c r="AW5" s="72">
        <v>43374</v>
      </c>
      <c r="AX5" s="72">
        <v>43375</v>
      </c>
      <c r="AY5" s="72">
        <v>43376</v>
      </c>
      <c r="AZ5" s="72">
        <v>43377</v>
      </c>
      <c r="BA5" s="72">
        <v>43378</v>
      </c>
      <c r="BB5" s="72">
        <v>43379</v>
      </c>
      <c r="BC5" s="72">
        <v>43380</v>
      </c>
      <c r="BD5" s="72">
        <v>43381</v>
      </c>
      <c r="BE5" s="72">
        <v>43382</v>
      </c>
      <c r="BF5" s="72">
        <v>43383</v>
      </c>
      <c r="BG5" s="72">
        <v>43384</v>
      </c>
      <c r="BH5" s="72">
        <v>43385</v>
      </c>
      <c r="BI5" s="72">
        <v>43386</v>
      </c>
      <c r="BJ5" s="72">
        <v>43387</v>
      </c>
      <c r="BK5" s="72">
        <v>43388</v>
      </c>
      <c r="BL5" s="72">
        <v>43389</v>
      </c>
      <c r="BM5" s="72">
        <v>43390</v>
      </c>
      <c r="BN5" s="72">
        <v>43391</v>
      </c>
      <c r="BO5" s="72">
        <v>43392</v>
      </c>
      <c r="BP5" s="72">
        <v>43393</v>
      </c>
      <c r="BQ5" s="72">
        <v>43394</v>
      </c>
      <c r="BR5" s="72">
        <v>43395</v>
      </c>
      <c r="BS5" s="72">
        <v>43396</v>
      </c>
      <c r="BT5" s="72">
        <v>43397</v>
      </c>
      <c r="BU5" s="72">
        <v>43398</v>
      </c>
      <c r="BV5" s="72">
        <v>43399</v>
      </c>
      <c r="BW5" s="72">
        <v>43400</v>
      </c>
      <c r="BX5" s="72">
        <v>43401</v>
      </c>
      <c r="BY5" s="72">
        <v>43402</v>
      </c>
      <c r="BZ5" s="72">
        <v>43403</v>
      </c>
      <c r="CA5" s="72">
        <v>43404</v>
      </c>
      <c r="CB5" s="72">
        <v>43405</v>
      </c>
      <c r="CC5" s="72">
        <v>43406</v>
      </c>
      <c r="CD5" s="72">
        <v>43407</v>
      </c>
      <c r="CE5" s="72">
        <v>43408</v>
      </c>
      <c r="CF5" s="72">
        <v>43409</v>
      </c>
      <c r="CG5" s="72">
        <v>43410</v>
      </c>
      <c r="CH5" s="72">
        <v>43411</v>
      </c>
      <c r="CI5" s="72">
        <v>43412</v>
      </c>
      <c r="CJ5" s="72">
        <v>43413</v>
      </c>
      <c r="CK5" s="72">
        <v>43414</v>
      </c>
      <c r="CL5" s="72">
        <v>43415</v>
      </c>
      <c r="CM5" s="72">
        <v>43416</v>
      </c>
      <c r="CN5" s="72">
        <v>43417</v>
      </c>
      <c r="CO5" s="72">
        <v>43418</v>
      </c>
      <c r="CP5" s="72">
        <v>43419</v>
      </c>
      <c r="CQ5" s="72">
        <v>43420</v>
      </c>
      <c r="CR5" s="72">
        <v>43421</v>
      </c>
      <c r="CS5" s="72">
        <v>43422</v>
      </c>
      <c r="CT5" s="72">
        <v>43423</v>
      </c>
      <c r="CU5" s="72">
        <v>43424</v>
      </c>
      <c r="CV5" s="72">
        <v>43425</v>
      </c>
      <c r="CW5" s="72">
        <v>43426</v>
      </c>
      <c r="CX5" s="72">
        <v>43427</v>
      </c>
      <c r="CY5" s="72">
        <v>43428</v>
      </c>
      <c r="CZ5" s="72">
        <v>43429</v>
      </c>
      <c r="DA5" s="72">
        <v>43430</v>
      </c>
      <c r="DB5" s="72">
        <v>43431</v>
      </c>
      <c r="DC5" s="72">
        <v>43432</v>
      </c>
      <c r="DD5" s="72">
        <v>43433</v>
      </c>
      <c r="DE5" s="72">
        <v>43434</v>
      </c>
      <c r="DF5" s="72">
        <v>43435</v>
      </c>
      <c r="DG5" s="72">
        <v>43436</v>
      </c>
      <c r="DH5" s="72">
        <v>43437</v>
      </c>
      <c r="DI5" s="72">
        <v>43438</v>
      </c>
      <c r="DJ5" s="72">
        <v>43439</v>
      </c>
      <c r="DK5" s="72">
        <v>43440</v>
      </c>
      <c r="DL5" s="72">
        <v>43441</v>
      </c>
      <c r="DM5" s="72">
        <v>43442</v>
      </c>
      <c r="DN5" s="72">
        <v>43443</v>
      </c>
      <c r="DO5" s="72">
        <v>43444</v>
      </c>
      <c r="DP5" s="72">
        <v>43445</v>
      </c>
      <c r="DQ5" s="72">
        <v>43446</v>
      </c>
      <c r="DR5" s="72">
        <v>43447</v>
      </c>
      <c r="DS5" s="72">
        <v>43448</v>
      </c>
      <c r="DT5" s="72">
        <v>43449</v>
      </c>
      <c r="DU5" s="72">
        <v>43450</v>
      </c>
      <c r="DV5" s="72">
        <v>43451</v>
      </c>
      <c r="DW5" s="72">
        <v>43452</v>
      </c>
      <c r="DX5" s="72">
        <v>43453</v>
      </c>
      <c r="DY5" s="72">
        <v>43454</v>
      </c>
      <c r="DZ5" s="72">
        <v>43455</v>
      </c>
      <c r="EA5" s="72">
        <v>43456</v>
      </c>
      <c r="EB5" s="72">
        <v>43457</v>
      </c>
      <c r="EC5" s="72">
        <v>43458</v>
      </c>
      <c r="ED5" s="72">
        <v>43459</v>
      </c>
      <c r="EE5" s="72">
        <v>43460</v>
      </c>
      <c r="EF5" s="72">
        <v>43461</v>
      </c>
      <c r="EG5" s="72">
        <v>43462</v>
      </c>
      <c r="EH5" s="72">
        <v>43463</v>
      </c>
      <c r="EI5" s="72">
        <v>43464</v>
      </c>
      <c r="EJ5" s="72">
        <v>43465</v>
      </c>
      <c r="EK5" s="72">
        <v>43466</v>
      </c>
      <c r="EL5" s="72">
        <v>43467</v>
      </c>
      <c r="EM5" s="72">
        <v>43468</v>
      </c>
      <c r="EN5" s="72">
        <v>43469</v>
      </c>
      <c r="EO5" s="72">
        <v>43470</v>
      </c>
      <c r="EP5" s="72">
        <v>43471</v>
      </c>
      <c r="EQ5" s="72">
        <v>43472</v>
      </c>
      <c r="ER5" s="72">
        <v>43473</v>
      </c>
      <c r="ES5" s="72">
        <v>43474</v>
      </c>
      <c r="ET5" s="72">
        <v>43475</v>
      </c>
      <c r="EU5" s="72">
        <v>43476</v>
      </c>
      <c r="EV5" s="72">
        <v>43477</v>
      </c>
      <c r="EW5" s="72">
        <v>43478</v>
      </c>
      <c r="EX5" s="72">
        <v>43479</v>
      </c>
      <c r="EY5" s="72">
        <v>43480</v>
      </c>
      <c r="EZ5" s="72">
        <v>43481</v>
      </c>
      <c r="FA5" s="72">
        <v>43482</v>
      </c>
      <c r="FB5" s="72">
        <v>43483</v>
      </c>
      <c r="FC5" s="72">
        <v>43484</v>
      </c>
      <c r="FD5" s="72">
        <v>43485</v>
      </c>
      <c r="FE5" s="72">
        <v>43486</v>
      </c>
      <c r="FF5" s="72">
        <v>43487</v>
      </c>
      <c r="FG5" s="72">
        <v>43488</v>
      </c>
      <c r="FH5" s="72">
        <v>43489</v>
      </c>
      <c r="FI5" s="72">
        <v>43490</v>
      </c>
      <c r="FJ5" s="72">
        <v>43491</v>
      </c>
      <c r="FK5" s="72">
        <v>43492</v>
      </c>
      <c r="FL5" s="72">
        <v>43493</v>
      </c>
      <c r="FM5" s="72">
        <v>43494</v>
      </c>
      <c r="FN5" s="72">
        <v>43495</v>
      </c>
      <c r="FO5" s="72">
        <v>43496</v>
      </c>
      <c r="FP5" s="72">
        <v>43497</v>
      </c>
      <c r="FQ5" s="72">
        <v>43498</v>
      </c>
      <c r="FR5" s="72">
        <v>43499</v>
      </c>
      <c r="FS5" s="72">
        <v>43500</v>
      </c>
      <c r="FT5" s="72">
        <v>43501</v>
      </c>
      <c r="FU5" s="72">
        <v>43502</v>
      </c>
    </row>
    <row r="6" spans="1:177" s="143" customFormat="1" ht="51" customHeight="1" x14ac:dyDescent="0.25">
      <c r="A6" s="141"/>
      <c r="B6" s="139" t="s">
        <v>462</v>
      </c>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40"/>
      <c r="DO6" s="140"/>
      <c r="DP6" s="140"/>
      <c r="DQ6" s="140"/>
      <c r="DR6" s="140"/>
      <c r="DS6" s="140"/>
      <c r="DT6" s="140"/>
      <c r="DU6" s="140"/>
      <c r="DV6" s="140"/>
      <c r="DW6" s="140"/>
      <c r="DX6" s="140"/>
      <c r="DY6" s="140"/>
      <c r="DZ6" s="140"/>
      <c r="EA6" s="140"/>
      <c r="EB6" s="140"/>
      <c r="EC6" s="140"/>
      <c r="ED6" s="140"/>
      <c r="EE6" s="140"/>
      <c r="EF6" s="140"/>
      <c r="EG6" s="140"/>
      <c r="EH6" s="140"/>
      <c r="EI6" s="140"/>
      <c r="EJ6" s="140"/>
      <c r="EK6" s="140"/>
      <c r="EL6" s="140"/>
      <c r="EM6" s="140"/>
      <c r="EN6" s="140"/>
      <c r="EO6" s="140"/>
      <c r="EP6" s="140"/>
      <c r="EQ6" s="140"/>
      <c r="ER6" s="140"/>
      <c r="ES6" s="140"/>
      <c r="ET6" s="140"/>
      <c r="EU6" s="140"/>
      <c r="EV6" s="140"/>
      <c r="EW6" s="140"/>
      <c r="EX6" s="140"/>
      <c r="EY6" s="140"/>
      <c r="EZ6" s="140"/>
      <c r="FA6" s="140"/>
      <c r="FB6" s="140"/>
      <c r="FC6" s="140"/>
      <c r="FD6" s="140"/>
      <c r="FE6" s="140"/>
      <c r="FF6" s="140"/>
      <c r="FG6" s="140"/>
      <c r="FH6" s="140"/>
      <c r="FI6" s="140"/>
      <c r="FJ6" s="140"/>
      <c r="FK6" s="140"/>
      <c r="FL6" s="140"/>
      <c r="FM6" s="140"/>
      <c r="FN6" s="140"/>
      <c r="FO6" s="140"/>
      <c r="FP6" s="140"/>
      <c r="FQ6" s="140"/>
      <c r="FR6" s="140"/>
      <c r="FS6" s="140"/>
      <c r="FT6" s="140"/>
      <c r="FU6" s="140"/>
    </row>
    <row r="7" spans="1:177" s="162" customFormat="1" ht="20.100000000000001" customHeight="1" thickBot="1" x14ac:dyDescent="0.3">
      <c r="A7" s="159">
        <f>HOUR(B7)</f>
        <v>0</v>
      </c>
      <c r="B7" s="160">
        <v>0</v>
      </c>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P7" s="142"/>
      <c r="AQ7" s="142"/>
      <c r="AR7" s="142"/>
      <c r="AS7" s="142"/>
      <c r="AT7" s="142"/>
      <c r="AU7" s="142"/>
      <c r="AV7" s="142"/>
      <c r="AW7" s="142"/>
      <c r="AX7" s="142"/>
      <c r="AY7" s="142"/>
      <c r="AZ7" s="142"/>
      <c r="BA7" s="142"/>
      <c r="BB7" s="142"/>
      <c r="BC7" s="142"/>
      <c r="BD7" s="142"/>
      <c r="BE7" s="142"/>
      <c r="BF7" s="142"/>
      <c r="BG7" s="142"/>
      <c r="BH7" s="142"/>
      <c r="BI7" s="142"/>
      <c r="BJ7" s="142"/>
      <c r="BK7" s="142"/>
      <c r="BL7" s="142"/>
      <c r="BM7" s="142"/>
      <c r="BN7" s="142"/>
      <c r="BO7" s="142"/>
      <c r="BP7" s="142"/>
      <c r="BQ7" s="142"/>
      <c r="BR7" s="142"/>
      <c r="BS7" s="142"/>
      <c r="BT7" s="142"/>
      <c r="BU7" s="142"/>
      <c r="BV7" s="142"/>
      <c r="BW7" s="142"/>
      <c r="BX7" s="142"/>
      <c r="BY7" s="142"/>
      <c r="BZ7" s="142"/>
      <c r="CA7" s="142"/>
      <c r="CB7" s="142"/>
      <c r="CC7" s="142"/>
      <c r="CD7" s="142"/>
      <c r="CE7" s="142"/>
      <c r="CF7" s="142"/>
      <c r="CG7" s="142"/>
      <c r="CH7" s="142"/>
      <c r="CI7" s="142"/>
      <c r="CJ7" s="142"/>
      <c r="CK7" s="142"/>
      <c r="CL7" s="142"/>
      <c r="CM7" s="142"/>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c r="EF7" s="142"/>
      <c r="EG7" s="142"/>
      <c r="EH7" s="142"/>
      <c r="EI7" s="142"/>
      <c r="EJ7" s="142"/>
      <c r="EK7" s="142"/>
      <c r="EL7" s="142"/>
      <c r="EM7" s="142"/>
      <c r="EN7" s="142"/>
      <c r="EO7" s="142"/>
      <c r="EP7" s="142"/>
      <c r="EQ7" s="142"/>
      <c r="ER7" s="142"/>
      <c r="ES7" s="142"/>
      <c r="ET7" s="142"/>
      <c r="EU7" s="142"/>
      <c r="EV7" s="142"/>
      <c r="EW7" s="142"/>
      <c r="EX7" s="142"/>
      <c r="EY7" s="142"/>
      <c r="EZ7" s="142"/>
      <c r="FA7" s="142"/>
      <c r="FB7" s="142"/>
      <c r="FC7" s="142"/>
      <c r="FD7" s="142"/>
      <c r="FE7" s="142"/>
      <c r="FF7" s="142"/>
      <c r="FG7" s="142"/>
      <c r="FH7" s="142"/>
      <c r="FI7" s="142"/>
      <c r="FJ7" s="142"/>
      <c r="FK7" s="142"/>
      <c r="FL7" s="142"/>
      <c r="FM7" s="142"/>
      <c r="FN7" s="142"/>
      <c r="FO7" s="142"/>
      <c r="FP7" s="142"/>
      <c r="FQ7" s="142"/>
      <c r="FR7" s="142"/>
      <c r="FS7" s="142"/>
      <c r="FT7" s="142"/>
      <c r="FU7" s="142"/>
    </row>
    <row r="8" spans="1:177" s="162" customFormat="1" ht="20.100000000000001" customHeight="1" thickTop="1" x14ac:dyDescent="0.25">
      <c r="A8" s="159">
        <f>HOUR(B8)</f>
        <v>1</v>
      </c>
      <c r="B8" s="160">
        <v>4.1666666666666699E-2</v>
      </c>
      <c r="C8" s="168"/>
      <c r="D8" s="168"/>
      <c r="E8" s="168"/>
      <c r="F8" s="168" t="s">
        <v>654</v>
      </c>
      <c r="G8" s="168" t="s">
        <v>650</v>
      </c>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c r="DA8" s="168"/>
      <c r="DB8" s="168"/>
      <c r="DC8" s="168"/>
      <c r="DD8" s="168"/>
      <c r="DE8" s="168"/>
      <c r="DF8" s="168"/>
      <c r="DG8" s="168"/>
      <c r="DH8" s="168"/>
      <c r="DI8" s="168"/>
      <c r="DJ8" s="168"/>
      <c r="DK8" s="168"/>
      <c r="DL8" s="168"/>
      <c r="DM8" s="168"/>
      <c r="DN8" s="168"/>
      <c r="DO8" s="168"/>
      <c r="DP8" s="168"/>
      <c r="DQ8" s="168"/>
      <c r="DR8" s="168"/>
      <c r="DS8" s="168"/>
      <c r="DT8" s="168"/>
      <c r="DU8" s="168"/>
      <c r="DV8" s="168"/>
      <c r="DW8" s="168"/>
      <c r="DX8" s="168"/>
      <c r="DY8" s="168"/>
      <c r="DZ8" s="168"/>
      <c r="EA8" s="168"/>
      <c r="EB8" s="168"/>
      <c r="EC8" s="168"/>
      <c r="ED8" s="168"/>
      <c r="EE8" s="168"/>
      <c r="EF8" s="168"/>
      <c r="EG8" s="168"/>
      <c r="EH8" s="168"/>
      <c r="EI8" s="168"/>
      <c r="EJ8" s="168"/>
      <c r="EK8" s="168"/>
      <c r="EL8" s="168"/>
      <c r="EM8" s="168"/>
      <c r="EN8" s="168"/>
      <c r="EO8" s="168"/>
      <c r="EP8" s="168"/>
      <c r="EQ8" s="168"/>
      <c r="ER8" s="168"/>
      <c r="ES8" s="168"/>
      <c r="ET8" s="168"/>
      <c r="EU8" s="168"/>
      <c r="EV8" s="168"/>
      <c r="EW8" s="168"/>
      <c r="EX8" s="168"/>
      <c r="EY8" s="168"/>
      <c r="EZ8" s="168"/>
      <c r="FA8" s="168"/>
      <c r="FB8" s="168"/>
      <c r="FC8" s="168"/>
      <c r="FD8" s="168"/>
      <c r="FE8" s="168"/>
      <c r="FF8" s="168"/>
      <c r="FG8" s="168"/>
      <c r="FH8" s="168"/>
      <c r="FI8" s="168"/>
      <c r="FJ8" s="168"/>
      <c r="FK8" s="168"/>
      <c r="FL8" s="161"/>
      <c r="FM8" s="161"/>
      <c r="FN8" s="161"/>
      <c r="FO8" s="161"/>
      <c r="FP8" s="161"/>
      <c r="FQ8" s="161"/>
      <c r="FR8" s="161"/>
      <c r="FS8" s="161"/>
      <c r="FT8" s="161"/>
      <c r="FU8" s="161"/>
    </row>
    <row r="9" spans="1:177" s="162" customFormat="1" x14ac:dyDescent="0.25">
      <c r="A9" s="159">
        <f t="shared" ref="A9:A30" si="0">HOUR(B9)</f>
        <v>2</v>
      </c>
      <c r="B9" s="160">
        <v>8.3333333333333301E-2</v>
      </c>
      <c r="C9" s="168"/>
      <c r="D9" s="168"/>
      <c r="E9" s="168"/>
      <c r="F9" s="168"/>
      <c r="G9" s="168" t="s">
        <v>650</v>
      </c>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c r="BS9" s="168"/>
      <c r="BT9" s="168"/>
      <c r="BU9" s="168"/>
      <c r="BV9" s="168"/>
      <c r="BW9" s="168"/>
      <c r="BX9" s="168"/>
      <c r="BY9" s="168"/>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c r="DA9" s="168"/>
      <c r="DB9" s="168"/>
      <c r="DC9" s="168"/>
      <c r="DD9" s="168"/>
      <c r="DE9" s="168"/>
      <c r="DF9" s="168"/>
      <c r="DG9" s="168"/>
      <c r="DH9" s="168"/>
      <c r="DI9" s="168"/>
      <c r="DJ9" s="168"/>
      <c r="DK9" s="168"/>
      <c r="DL9" s="168"/>
      <c r="DM9" s="168"/>
      <c r="DN9" s="168"/>
      <c r="DO9" s="168"/>
      <c r="DP9" s="168"/>
      <c r="DQ9" s="168"/>
      <c r="DR9" s="168"/>
      <c r="DS9" s="168"/>
      <c r="DT9" s="168"/>
      <c r="DU9" s="168"/>
      <c r="DV9" s="168"/>
      <c r="DW9" s="168"/>
      <c r="DX9" s="168"/>
      <c r="DY9" s="168"/>
      <c r="DZ9" s="168"/>
      <c r="EA9" s="168"/>
      <c r="EB9" s="168"/>
      <c r="EC9" s="168"/>
      <c r="ED9" s="168"/>
      <c r="EE9" s="168"/>
      <c r="EF9" s="168"/>
      <c r="EG9" s="168"/>
      <c r="EH9" s="168"/>
      <c r="EI9" s="168"/>
      <c r="EJ9" s="168"/>
      <c r="EK9" s="168"/>
      <c r="EL9" s="168"/>
      <c r="EM9" s="168"/>
      <c r="EN9" s="168"/>
      <c r="EO9" s="168"/>
      <c r="EP9" s="168"/>
      <c r="EQ9" s="168"/>
      <c r="ER9" s="168"/>
      <c r="ES9" s="168"/>
      <c r="ET9" s="168"/>
      <c r="EU9" s="168"/>
      <c r="EV9" s="168"/>
      <c r="EW9" s="168"/>
      <c r="EX9" s="168"/>
      <c r="EY9" s="168"/>
      <c r="EZ9" s="168"/>
      <c r="FA9" s="168"/>
      <c r="FB9" s="168"/>
      <c r="FC9" s="168"/>
      <c r="FD9" s="168"/>
      <c r="FE9" s="168"/>
      <c r="FF9" s="168"/>
      <c r="FG9" s="168"/>
      <c r="FH9" s="168"/>
      <c r="FI9" s="168"/>
      <c r="FJ9" s="168"/>
      <c r="FK9" s="168"/>
      <c r="FL9" s="168"/>
      <c r="FM9" s="168"/>
      <c r="FN9" s="168"/>
      <c r="FO9" s="168"/>
      <c r="FP9" s="168"/>
      <c r="FQ9" s="168"/>
      <c r="FR9" s="168"/>
      <c r="FS9" s="168"/>
      <c r="FT9" s="168"/>
      <c r="FU9" s="168"/>
    </row>
    <row r="10" spans="1:177" s="163" customFormat="1" x14ac:dyDescent="0.25">
      <c r="A10" s="159">
        <f t="shared" si="0"/>
        <v>3</v>
      </c>
      <c r="B10" s="160">
        <v>0.125</v>
      </c>
      <c r="C10" s="168"/>
      <c r="D10" s="168"/>
      <c r="E10" s="168"/>
      <c r="F10" s="168" t="s">
        <v>615</v>
      </c>
      <c r="G10" s="168" t="s">
        <v>650</v>
      </c>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c r="FN10" s="168"/>
      <c r="FO10" s="168"/>
      <c r="FP10" s="168"/>
      <c r="FQ10" s="168"/>
      <c r="FR10" s="168"/>
      <c r="FS10" s="168"/>
      <c r="FT10" s="168"/>
      <c r="FU10" s="168"/>
    </row>
    <row r="11" spans="1:177" s="162" customFormat="1" x14ac:dyDescent="0.25">
      <c r="A11" s="159">
        <f t="shared" si="0"/>
        <v>4</v>
      </c>
      <c r="B11" s="160">
        <v>0.16666666666666699</v>
      </c>
      <c r="C11" s="168" t="s">
        <v>615</v>
      </c>
      <c r="D11" s="168" t="s">
        <v>615</v>
      </c>
      <c r="E11" s="168" t="s">
        <v>615</v>
      </c>
      <c r="F11" s="168" t="s">
        <v>650</v>
      </c>
      <c r="G11" s="168" t="s">
        <v>651</v>
      </c>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row>
    <row r="12" spans="1:177" s="162" customFormat="1" ht="20.100000000000001" customHeight="1" x14ac:dyDescent="0.25">
      <c r="A12" s="159">
        <f t="shared" si="0"/>
        <v>5</v>
      </c>
      <c r="B12" s="160">
        <v>0.20833333333333301</v>
      </c>
      <c r="C12" s="168" t="s">
        <v>615</v>
      </c>
      <c r="D12" s="168" t="s">
        <v>615</v>
      </c>
      <c r="E12" s="168" t="s">
        <v>615</v>
      </c>
      <c r="F12" s="168" t="s">
        <v>650</v>
      </c>
      <c r="G12" s="168" t="s">
        <v>651</v>
      </c>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c r="FN12" s="168"/>
      <c r="FO12" s="168"/>
      <c r="FP12" s="168"/>
      <c r="FQ12" s="168"/>
      <c r="FR12" s="168"/>
      <c r="FS12" s="168"/>
      <c r="FT12" s="168"/>
      <c r="FU12" s="168"/>
    </row>
    <row r="13" spans="1:177" s="162" customFormat="1" x14ac:dyDescent="0.25">
      <c r="A13" s="159">
        <f t="shared" si="0"/>
        <v>6</v>
      </c>
      <c r="B13" s="160">
        <v>0.25</v>
      </c>
      <c r="C13" s="168" t="s">
        <v>615</v>
      </c>
      <c r="D13" s="168" t="s">
        <v>615</v>
      </c>
      <c r="E13" s="168" t="s">
        <v>615</v>
      </c>
      <c r="F13" s="168" t="s">
        <v>650</v>
      </c>
      <c r="G13" s="168" t="s">
        <v>651</v>
      </c>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c r="FN13" s="168"/>
      <c r="FO13" s="168"/>
      <c r="FP13" s="168"/>
      <c r="FQ13" s="168"/>
      <c r="FR13" s="168"/>
      <c r="FS13" s="168"/>
      <c r="FT13" s="168"/>
      <c r="FU13" s="168"/>
    </row>
    <row r="14" spans="1:177" s="162" customFormat="1" x14ac:dyDescent="0.25">
      <c r="A14" s="159">
        <f t="shared" si="0"/>
        <v>7</v>
      </c>
      <c r="B14" s="160">
        <v>0.29166666666666702</v>
      </c>
      <c r="C14" s="168" t="s">
        <v>615</v>
      </c>
      <c r="D14" s="168" t="s">
        <v>615</v>
      </c>
      <c r="E14" s="168" t="s">
        <v>615</v>
      </c>
      <c r="F14" s="208" t="s">
        <v>648</v>
      </c>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c r="FN14" s="168"/>
      <c r="FO14" s="168"/>
      <c r="FP14" s="168"/>
      <c r="FQ14" s="168"/>
      <c r="FR14" s="168"/>
      <c r="FS14" s="168"/>
      <c r="FT14" s="168"/>
      <c r="FU14" s="168"/>
    </row>
    <row r="15" spans="1:177" s="162" customFormat="1" x14ac:dyDescent="0.25">
      <c r="A15" s="159">
        <f t="shared" si="0"/>
        <v>8</v>
      </c>
      <c r="B15" s="160">
        <v>0.33333333333333298</v>
      </c>
      <c r="C15" s="168"/>
      <c r="D15" s="168"/>
      <c r="E15" s="168"/>
      <c r="F15" s="208" t="s">
        <v>648</v>
      </c>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c r="FN15" s="168"/>
      <c r="FO15" s="168"/>
      <c r="FP15" s="168"/>
      <c r="FQ15" s="168"/>
      <c r="FR15" s="168"/>
      <c r="FS15" s="168"/>
      <c r="FT15" s="168"/>
      <c r="FU15" s="168"/>
    </row>
    <row r="16" spans="1:177" s="162" customFormat="1" x14ac:dyDescent="0.25">
      <c r="A16" s="159">
        <f t="shared" si="0"/>
        <v>9</v>
      </c>
      <c r="B16" s="160">
        <v>0.375</v>
      </c>
      <c r="C16" s="168"/>
      <c r="D16" s="168"/>
      <c r="E16" s="168" t="s">
        <v>643</v>
      </c>
      <c r="F16" s="168" t="s">
        <v>261</v>
      </c>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c r="FN16" s="168"/>
      <c r="FO16" s="168"/>
      <c r="FP16" s="168"/>
      <c r="FQ16" s="168"/>
      <c r="FR16" s="168"/>
      <c r="FS16" s="168"/>
      <c r="FT16" s="168"/>
      <c r="FU16" s="168"/>
    </row>
    <row r="17" spans="1:177" s="162" customFormat="1" x14ac:dyDescent="0.25">
      <c r="A17" s="159">
        <f t="shared" si="0"/>
        <v>10</v>
      </c>
      <c r="B17" s="160">
        <v>0.41666666666666702</v>
      </c>
      <c r="C17" s="168"/>
      <c r="D17" s="168"/>
      <c r="E17" s="198" t="s">
        <v>644</v>
      </c>
      <c r="F17" s="168" t="s">
        <v>651</v>
      </c>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c r="FN17" s="168"/>
      <c r="FO17" s="168"/>
      <c r="FP17" s="168"/>
      <c r="FQ17" s="168"/>
      <c r="FR17" s="168"/>
      <c r="FS17" s="168"/>
      <c r="FT17" s="168"/>
      <c r="FU17" s="168"/>
    </row>
    <row r="18" spans="1:177" s="162" customFormat="1" x14ac:dyDescent="0.25">
      <c r="A18" s="159">
        <f t="shared" si="0"/>
        <v>11</v>
      </c>
      <c r="B18" s="160">
        <v>0.45833333333333298</v>
      </c>
      <c r="C18" s="168" t="s">
        <v>621</v>
      </c>
      <c r="D18" s="168"/>
      <c r="E18" s="198" t="s">
        <v>644</v>
      </c>
      <c r="F18" s="168" t="s">
        <v>618</v>
      </c>
      <c r="G18" s="168"/>
      <c r="H18" s="168"/>
      <c r="I18" s="168"/>
      <c r="J18" s="168"/>
      <c r="K18" s="168"/>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c r="FN18" s="168"/>
      <c r="FO18" s="168"/>
      <c r="FP18" s="168"/>
      <c r="FQ18" s="168"/>
      <c r="FR18" s="168"/>
      <c r="FS18" s="168"/>
      <c r="FT18" s="168"/>
      <c r="FU18" s="168"/>
    </row>
    <row r="19" spans="1:177" s="162" customFormat="1" ht="24" customHeight="1" x14ac:dyDescent="0.25">
      <c r="A19" s="159">
        <f t="shared" si="0"/>
        <v>12</v>
      </c>
      <c r="B19" s="160">
        <v>0.5</v>
      </c>
      <c r="C19" s="168" t="s">
        <v>623</v>
      </c>
      <c r="D19" s="168" t="s">
        <v>629</v>
      </c>
      <c r="E19" s="208" t="s">
        <v>648</v>
      </c>
      <c r="F19" s="168" t="s">
        <v>652</v>
      </c>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c r="FN19" s="168"/>
      <c r="FO19" s="168"/>
      <c r="FP19" s="168"/>
      <c r="FQ19" s="168"/>
      <c r="FR19" s="168"/>
      <c r="FS19" s="168"/>
      <c r="FT19" s="168"/>
      <c r="FU19" s="168"/>
    </row>
    <row r="20" spans="1:177" s="162" customFormat="1" x14ac:dyDescent="0.25">
      <c r="A20" s="159">
        <f t="shared" si="0"/>
        <v>13</v>
      </c>
      <c r="B20" s="160">
        <v>0.54166666666666696</v>
      </c>
      <c r="C20" s="168"/>
      <c r="D20" s="168"/>
      <c r="E20" s="208" t="s">
        <v>648</v>
      </c>
      <c r="F20" s="180" t="s">
        <v>657</v>
      </c>
      <c r="G20" s="168"/>
      <c r="H20" s="168"/>
      <c r="I20" s="168"/>
      <c r="J20" s="168"/>
      <c r="K20" s="168"/>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c r="FN20" s="168"/>
      <c r="FO20" s="168"/>
      <c r="FP20" s="168"/>
      <c r="FQ20" s="168"/>
      <c r="FR20" s="168"/>
      <c r="FS20" s="168"/>
      <c r="FT20" s="168"/>
      <c r="FU20" s="168"/>
    </row>
    <row r="21" spans="1:177" s="162" customFormat="1" x14ac:dyDescent="0.25">
      <c r="A21" s="159">
        <f t="shared" si="0"/>
        <v>14</v>
      </c>
      <c r="B21" s="160">
        <v>0.58333333333333304</v>
      </c>
      <c r="C21" s="168"/>
      <c r="D21" s="206" t="s">
        <v>633</v>
      </c>
      <c r="E21" s="209" t="s">
        <v>646</v>
      </c>
      <c r="F21" s="168" t="s">
        <v>618</v>
      </c>
      <c r="G21" s="168"/>
      <c r="H21" s="168"/>
      <c r="I21" s="168"/>
      <c r="J21" s="168"/>
      <c r="K21" s="168"/>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c r="FN21" s="168"/>
      <c r="FO21" s="168"/>
      <c r="FP21" s="168"/>
      <c r="FQ21" s="168"/>
      <c r="FR21" s="168"/>
      <c r="FS21" s="168"/>
      <c r="FT21" s="168"/>
      <c r="FU21" s="168"/>
    </row>
    <row r="22" spans="1:177" s="162" customFormat="1" x14ac:dyDescent="0.25">
      <c r="A22" s="159">
        <f t="shared" si="0"/>
        <v>15</v>
      </c>
      <c r="B22" s="160">
        <v>0.625</v>
      </c>
      <c r="C22" s="168"/>
      <c r="D22" s="206" t="s">
        <v>633</v>
      </c>
      <c r="E22" s="210" t="s">
        <v>647</v>
      </c>
      <c r="F22" s="180" t="s">
        <v>658</v>
      </c>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c r="FN22" s="168"/>
      <c r="FO22" s="168"/>
      <c r="FP22" s="168"/>
      <c r="FQ22" s="168"/>
      <c r="FR22" s="168"/>
      <c r="FS22" s="168"/>
      <c r="FT22" s="168"/>
      <c r="FU22" s="168"/>
    </row>
    <row r="23" spans="1:177" s="162" customFormat="1" x14ac:dyDescent="0.25">
      <c r="A23" s="159">
        <f t="shared" si="0"/>
        <v>16</v>
      </c>
      <c r="B23" s="160">
        <v>0.66666666666666696</v>
      </c>
      <c r="C23" s="168"/>
      <c r="D23" s="206" t="s">
        <v>630</v>
      </c>
      <c r="E23" s="210" t="s">
        <v>647</v>
      </c>
      <c r="F23" s="168" t="s">
        <v>638</v>
      </c>
      <c r="G23" s="168"/>
      <c r="H23" s="168"/>
      <c r="I23" s="168"/>
      <c r="J23" s="168"/>
      <c r="K23" s="168"/>
      <c r="L23" s="168"/>
      <c r="M23" s="168"/>
      <c r="N23" s="168"/>
      <c r="O23" s="168"/>
      <c r="P23" s="168"/>
      <c r="Q23" s="168"/>
      <c r="R23" s="168"/>
      <c r="S23" s="168"/>
      <c r="T23" s="168"/>
      <c r="U23" s="168"/>
      <c r="V23" s="168"/>
      <c r="W23" s="168"/>
      <c r="X23" s="168"/>
      <c r="Y23" s="168"/>
      <c r="Z23" s="168"/>
      <c r="AA23" s="168"/>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c r="FN23" s="168"/>
      <c r="FO23" s="168"/>
      <c r="FP23" s="168"/>
      <c r="FQ23" s="168"/>
      <c r="FR23" s="168"/>
      <c r="FS23" s="168"/>
      <c r="FT23" s="168"/>
      <c r="FU23" s="168"/>
    </row>
    <row r="24" spans="1:177" s="162" customFormat="1" x14ac:dyDescent="0.25">
      <c r="A24" s="159">
        <f t="shared" si="0"/>
        <v>17</v>
      </c>
      <c r="B24" s="160">
        <v>0.70833333333333304</v>
      </c>
      <c r="C24" s="168"/>
      <c r="D24" s="168" t="s">
        <v>637</v>
      </c>
      <c r="E24" s="210" t="s">
        <v>647</v>
      </c>
      <c r="F24" s="168" t="s">
        <v>659</v>
      </c>
      <c r="G24" s="168"/>
      <c r="H24" s="168"/>
      <c r="I24" s="168"/>
      <c r="J24" s="168"/>
      <c r="K24" s="168"/>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c r="FN24" s="168"/>
      <c r="FO24" s="168"/>
      <c r="FP24" s="168"/>
      <c r="FQ24" s="168"/>
      <c r="FR24" s="168"/>
      <c r="FS24" s="168"/>
      <c r="FT24" s="168"/>
      <c r="FU24" s="168"/>
    </row>
    <row r="25" spans="1:177" s="162" customFormat="1" x14ac:dyDescent="0.25">
      <c r="A25" s="159">
        <f t="shared" si="0"/>
        <v>18</v>
      </c>
      <c r="B25" s="160">
        <v>0.75</v>
      </c>
      <c r="C25" s="205" t="s">
        <v>625</v>
      </c>
      <c r="D25" s="168" t="s">
        <v>631</v>
      </c>
      <c r="E25" s="180" t="s">
        <v>638</v>
      </c>
      <c r="F25" s="168" t="s">
        <v>659</v>
      </c>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c r="FN25" s="168"/>
      <c r="FO25" s="168"/>
      <c r="FP25" s="168"/>
      <c r="FQ25" s="168"/>
      <c r="FR25" s="168"/>
      <c r="FS25" s="168"/>
      <c r="FT25" s="168"/>
      <c r="FU25" s="168"/>
    </row>
    <row r="26" spans="1:177" s="162" customFormat="1" ht="45" x14ac:dyDescent="0.25">
      <c r="A26" s="159">
        <f t="shared" si="0"/>
        <v>19</v>
      </c>
      <c r="B26" s="160">
        <v>0.79166666666666696</v>
      </c>
      <c r="C26" s="168" t="s">
        <v>624</v>
      </c>
      <c r="D26" s="168" t="s">
        <v>632</v>
      </c>
      <c r="E26" s="180" t="s">
        <v>642</v>
      </c>
      <c r="F26" s="168" t="s">
        <v>659</v>
      </c>
      <c r="G26" s="168"/>
      <c r="H26" s="168"/>
      <c r="I26" s="168"/>
      <c r="J26" s="168"/>
      <c r="K26" s="168"/>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c r="FN26" s="168"/>
      <c r="FO26" s="168"/>
      <c r="FP26" s="168"/>
      <c r="FQ26" s="168"/>
      <c r="FR26" s="168"/>
      <c r="FS26" s="168"/>
      <c r="FT26" s="168"/>
      <c r="FU26" s="168"/>
    </row>
    <row r="27" spans="1:177" s="162" customFormat="1" ht="60" x14ac:dyDescent="0.25">
      <c r="A27" s="159">
        <f t="shared" si="0"/>
        <v>20</v>
      </c>
      <c r="B27" s="160">
        <v>0.83333333333333304</v>
      </c>
      <c r="C27" s="168" t="s">
        <v>624</v>
      </c>
      <c r="D27" s="168" t="s">
        <v>632</v>
      </c>
      <c r="E27" s="180" t="s">
        <v>639</v>
      </c>
      <c r="F27" s="168" t="s">
        <v>655</v>
      </c>
      <c r="G27" s="211" t="s">
        <v>656</v>
      </c>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c r="FN27" s="168"/>
      <c r="FO27" s="168"/>
      <c r="FP27" s="168"/>
      <c r="FQ27" s="168"/>
      <c r="FR27" s="168"/>
      <c r="FS27" s="168"/>
      <c r="FT27" s="168"/>
      <c r="FU27" s="168"/>
    </row>
    <row r="28" spans="1:177" s="163" customFormat="1" ht="60" x14ac:dyDescent="0.25">
      <c r="A28" s="159">
        <f t="shared" si="0"/>
        <v>21</v>
      </c>
      <c r="B28" s="160">
        <v>0.875</v>
      </c>
      <c r="C28" s="168" t="s">
        <v>627</v>
      </c>
      <c r="D28" s="168" t="s">
        <v>614</v>
      </c>
      <c r="E28" s="168" t="s">
        <v>649</v>
      </c>
      <c r="F28" s="168" t="s">
        <v>660</v>
      </c>
      <c r="G28" s="168"/>
      <c r="H28" s="168"/>
      <c r="I28" s="168"/>
      <c r="J28" s="168"/>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c r="FN28" s="168"/>
      <c r="FO28" s="168"/>
      <c r="FP28" s="168"/>
      <c r="FQ28" s="168"/>
      <c r="FR28" s="168"/>
      <c r="FS28" s="168"/>
      <c r="FT28" s="168"/>
      <c r="FU28" s="168"/>
    </row>
    <row r="29" spans="1:177" s="162" customFormat="1" ht="30" x14ac:dyDescent="0.25">
      <c r="A29" s="159">
        <f t="shared" si="0"/>
        <v>22</v>
      </c>
      <c r="B29" s="160">
        <v>0.91666666666666696</v>
      </c>
      <c r="C29" s="168"/>
      <c r="D29" s="168" t="s">
        <v>636</v>
      </c>
      <c r="E29" s="168"/>
      <c r="F29" s="168" t="s">
        <v>650</v>
      </c>
      <c r="G29" s="168"/>
      <c r="H29" s="168"/>
      <c r="I29" s="168"/>
      <c r="J29" s="168"/>
      <c r="K29" s="168"/>
      <c r="L29" s="168"/>
      <c r="M29" s="168"/>
      <c r="N29" s="168"/>
      <c r="O29" s="168"/>
      <c r="P29" s="168"/>
      <c r="Q29" s="168"/>
      <c r="R29" s="168"/>
      <c r="S29" s="168"/>
      <c r="T29" s="168"/>
      <c r="U29" s="168"/>
      <c r="V29" s="168"/>
      <c r="W29" s="168"/>
      <c r="X29" s="168"/>
      <c r="Y29" s="168"/>
      <c r="Z29" s="168"/>
      <c r="AA29" s="168"/>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68"/>
      <c r="BC29" s="168"/>
      <c r="BD29" s="168"/>
      <c r="BE29" s="168"/>
      <c r="BF29" s="168"/>
      <c r="BG29" s="168"/>
      <c r="BH29" s="168"/>
      <c r="BI29" s="168"/>
      <c r="BJ29" s="168"/>
      <c r="BK29" s="168"/>
      <c r="BL29" s="168"/>
      <c r="BM29" s="168"/>
      <c r="BN29" s="168"/>
      <c r="BO29" s="168"/>
      <c r="BP29" s="168"/>
      <c r="BQ29" s="168"/>
      <c r="BR29" s="168"/>
      <c r="BS29" s="168"/>
      <c r="BT29" s="168"/>
      <c r="BU29" s="168"/>
      <c r="BV29" s="168"/>
      <c r="BW29" s="168"/>
      <c r="BX29" s="168"/>
      <c r="BY29" s="168"/>
      <c r="BZ29" s="168"/>
      <c r="CA29" s="168"/>
      <c r="CB29" s="168"/>
      <c r="CC29" s="168"/>
      <c r="CD29" s="168"/>
      <c r="CE29" s="168"/>
      <c r="CF29" s="168"/>
      <c r="CG29" s="168"/>
      <c r="CH29" s="168"/>
      <c r="CI29" s="168"/>
      <c r="CJ29" s="168"/>
      <c r="CK29" s="168"/>
      <c r="CL29" s="168"/>
      <c r="CM29" s="168"/>
      <c r="CN29" s="168"/>
      <c r="CO29" s="168"/>
      <c r="CP29" s="168"/>
      <c r="CQ29" s="168"/>
      <c r="CR29" s="168"/>
      <c r="CS29" s="168"/>
      <c r="CT29" s="168"/>
      <c r="CU29" s="168"/>
      <c r="CV29" s="168"/>
      <c r="CW29" s="168"/>
      <c r="CX29" s="168"/>
      <c r="CY29" s="168"/>
      <c r="CZ29" s="168"/>
      <c r="DA29" s="168"/>
      <c r="DB29" s="168"/>
      <c r="DC29" s="168"/>
      <c r="DD29" s="168"/>
      <c r="DE29" s="168"/>
      <c r="DF29" s="168"/>
      <c r="DG29" s="168"/>
      <c r="DH29" s="168"/>
      <c r="DI29" s="168"/>
      <c r="DJ29" s="168"/>
      <c r="DK29" s="168"/>
      <c r="DL29" s="168"/>
      <c r="DM29" s="168"/>
      <c r="DN29" s="168"/>
      <c r="DO29" s="168"/>
      <c r="DP29" s="168"/>
      <c r="DQ29" s="168"/>
      <c r="DR29" s="168"/>
      <c r="DS29" s="168"/>
      <c r="DT29" s="168"/>
      <c r="DU29" s="168"/>
      <c r="DV29" s="168"/>
      <c r="DW29" s="168"/>
      <c r="DX29" s="168"/>
      <c r="DY29" s="168"/>
      <c r="DZ29" s="168"/>
      <c r="EA29" s="168"/>
      <c r="EB29" s="168"/>
      <c r="EC29" s="168"/>
      <c r="ED29" s="168"/>
      <c r="EE29" s="168"/>
      <c r="EF29" s="168"/>
      <c r="EG29" s="168"/>
      <c r="EH29" s="168"/>
      <c r="EI29" s="168"/>
      <c r="EJ29" s="168"/>
      <c r="EK29" s="168"/>
      <c r="EL29" s="168"/>
      <c r="EM29" s="168"/>
      <c r="EN29" s="168"/>
      <c r="EO29" s="168"/>
      <c r="EP29" s="168"/>
      <c r="EQ29" s="168"/>
      <c r="ER29" s="168"/>
      <c r="ES29" s="168"/>
      <c r="ET29" s="168"/>
      <c r="EU29" s="168"/>
      <c r="EV29" s="168"/>
      <c r="EW29" s="168"/>
      <c r="EX29" s="168"/>
      <c r="EY29" s="168"/>
      <c r="EZ29" s="168"/>
      <c r="FA29" s="168"/>
      <c r="FB29" s="168"/>
      <c r="FC29" s="168"/>
      <c r="FD29" s="168"/>
      <c r="FE29" s="168"/>
      <c r="FF29" s="168"/>
      <c r="FG29" s="168"/>
      <c r="FH29" s="168"/>
      <c r="FI29" s="168"/>
      <c r="FJ29" s="168"/>
      <c r="FK29" s="168"/>
      <c r="FL29" s="168"/>
      <c r="FM29" s="168"/>
      <c r="FN29" s="168"/>
      <c r="FO29" s="168"/>
      <c r="FP29" s="168"/>
      <c r="FQ29" s="168"/>
      <c r="FR29" s="168"/>
      <c r="FS29" s="168"/>
      <c r="FT29" s="168"/>
      <c r="FU29" s="168"/>
    </row>
    <row r="30" spans="1:177" s="162" customFormat="1" x14ac:dyDescent="0.25">
      <c r="A30" s="159">
        <f t="shared" si="0"/>
        <v>23</v>
      </c>
      <c r="B30" s="160">
        <v>0.95833333333333304</v>
      </c>
      <c r="C30" s="168" t="s">
        <v>627</v>
      </c>
      <c r="D30" s="168"/>
      <c r="E30" s="168"/>
      <c r="F30" s="168" t="s">
        <v>650</v>
      </c>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c r="BJ30" s="168"/>
      <c r="BK30" s="168"/>
      <c r="BL30" s="168"/>
      <c r="BM30" s="168"/>
      <c r="BN30" s="168"/>
      <c r="BO30" s="168"/>
      <c r="BP30" s="168"/>
      <c r="BQ30" s="168"/>
      <c r="BR30" s="168"/>
      <c r="BS30" s="168"/>
      <c r="BT30" s="168"/>
      <c r="BU30" s="168"/>
      <c r="BV30" s="168"/>
      <c r="BW30" s="168"/>
      <c r="BX30" s="168"/>
      <c r="BY30" s="161"/>
      <c r="BZ30" s="161"/>
      <c r="CA30" s="161"/>
      <c r="CB30" s="161"/>
      <c r="CC30" s="161"/>
      <c r="CD30" s="161"/>
      <c r="CE30" s="161"/>
      <c r="CF30" s="161"/>
      <c r="CG30" s="161"/>
      <c r="CH30" s="161"/>
      <c r="CI30" s="161"/>
      <c r="CJ30" s="161"/>
      <c r="CK30" s="161"/>
      <c r="CL30" s="161"/>
      <c r="CM30" s="161"/>
      <c r="CN30" s="161"/>
      <c r="CO30" s="161"/>
      <c r="CP30" s="161"/>
      <c r="CQ30" s="161"/>
      <c r="CR30" s="161"/>
      <c r="CS30" s="161"/>
      <c r="CT30" s="161"/>
      <c r="CU30" s="161"/>
      <c r="CV30" s="161"/>
      <c r="CW30" s="161"/>
      <c r="CX30" s="161"/>
      <c r="CY30" s="161"/>
      <c r="CZ30" s="161"/>
      <c r="DA30" s="161"/>
      <c r="DB30" s="161"/>
      <c r="DC30" s="161"/>
      <c r="DD30" s="161"/>
      <c r="DE30" s="161"/>
      <c r="DF30" s="161"/>
      <c r="DG30" s="161"/>
      <c r="DH30" s="161"/>
      <c r="DI30" s="161"/>
      <c r="DJ30" s="161"/>
      <c r="DK30" s="161"/>
      <c r="DL30" s="161"/>
      <c r="DM30" s="161"/>
      <c r="DN30" s="161"/>
      <c r="DO30" s="161"/>
      <c r="DP30" s="161"/>
      <c r="DQ30" s="161"/>
      <c r="DR30" s="161"/>
      <c r="DS30" s="161"/>
      <c r="DT30" s="161"/>
      <c r="DU30" s="161"/>
      <c r="DV30" s="161"/>
      <c r="DW30" s="161"/>
      <c r="DX30" s="161"/>
      <c r="DY30" s="161"/>
      <c r="DZ30" s="161"/>
      <c r="EA30" s="161"/>
      <c r="EB30" s="161"/>
      <c r="EC30" s="161"/>
      <c r="ED30" s="161"/>
      <c r="EE30" s="161"/>
      <c r="EF30" s="161"/>
      <c r="EG30" s="161"/>
      <c r="EH30" s="161"/>
      <c r="EI30" s="161"/>
      <c r="EJ30" s="161"/>
      <c r="EK30" s="161"/>
      <c r="EL30" s="161"/>
      <c r="EM30" s="161"/>
      <c r="EN30" s="161"/>
      <c r="EO30" s="161"/>
      <c r="EP30" s="161"/>
      <c r="EQ30" s="161"/>
      <c r="ER30" s="161"/>
      <c r="ES30" s="161"/>
      <c r="ET30" s="161"/>
      <c r="EU30" s="161"/>
      <c r="EV30" s="161"/>
      <c r="EW30" s="161"/>
      <c r="EX30" s="161"/>
      <c r="EY30" s="161"/>
      <c r="EZ30" s="161"/>
      <c r="FA30" s="161"/>
      <c r="FB30" s="161"/>
      <c r="FC30" s="161"/>
      <c r="FD30" s="161"/>
      <c r="FE30" s="161"/>
      <c r="FF30" s="161"/>
      <c r="FG30" s="161"/>
      <c r="FH30" s="161"/>
      <c r="FI30" s="161"/>
      <c r="FJ30" s="161"/>
      <c r="FK30" s="161"/>
      <c r="FL30" s="161"/>
      <c r="FM30" s="161"/>
      <c r="FN30" s="161"/>
      <c r="FO30" s="161"/>
      <c r="FP30" s="161"/>
      <c r="FQ30" s="161"/>
      <c r="FR30" s="161"/>
      <c r="FS30" s="161"/>
      <c r="FT30" s="161"/>
      <c r="FU30" s="161"/>
    </row>
    <row r="31" spans="1:177" s="75" customFormat="1" ht="37.5" customHeight="1" x14ac:dyDescent="0.25">
      <c r="B31" s="144" t="s">
        <v>314</v>
      </c>
      <c r="C31" s="168"/>
      <c r="D31" s="168"/>
      <c r="E31" s="168"/>
      <c r="F31" s="168" t="s">
        <v>650</v>
      </c>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c r="BS31" s="168"/>
      <c r="BT31" s="168"/>
      <c r="BU31" s="168"/>
      <c r="BV31" s="168"/>
      <c r="BW31" s="168"/>
      <c r="BX31" s="168"/>
      <c r="BY31" s="161"/>
      <c r="BZ31" s="161"/>
      <c r="CA31" s="161"/>
      <c r="CB31" s="161"/>
      <c r="CC31" s="161"/>
      <c r="CD31" s="161"/>
      <c r="CE31" s="161"/>
      <c r="CF31" s="161"/>
      <c r="CG31" s="161"/>
      <c r="CH31" s="161"/>
      <c r="CI31" s="161"/>
      <c r="CJ31" s="161"/>
      <c r="CK31" s="161"/>
      <c r="CL31" s="161"/>
      <c r="CM31" s="161"/>
      <c r="CN31" s="161"/>
      <c r="CO31" s="161"/>
      <c r="CP31" s="161"/>
      <c r="CQ31" s="161"/>
      <c r="CR31" s="161"/>
      <c r="CS31" s="161"/>
      <c r="CT31" s="161"/>
      <c r="CU31" s="161"/>
      <c r="CV31" s="161"/>
      <c r="CW31" s="161"/>
      <c r="CX31" s="161"/>
      <c r="CY31" s="161"/>
      <c r="CZ31" s="161"/>
      <c r="DA31" s="161"/>
      <c r="DB31" s="161"/>
      <c r="DC31" s="161"/>
      <c r="DD31" s="161"/>
      <c r="DE31" s="161"/>
      <c r="DF31" s="161"/>
      <c r="DG31" s="161"/>
      <c r="DH31" s="161"/>
      <c r="DI31" s="161"/>
      <c r="DJ31" s="161"/>
      <c r="DK31" s="161"/>
      <c r="DL31" s="161"/>
      <c r="DM31" s="161"/>
      <c r="DN31" s="161"/>
      <c r="DO31" s="161"/>
      <c r="DP31" s="161"/>
      <c r="DQ31" s="161"/>
      <c r="DR31" s="161"/>
      <c r="DS31" s="161"/>
      <c r="DT31" s="161"/>
      <c r="DU31" s="161"/>
      <c r="DV31" s="161"/>
      <c r="DW31" s="161"/>
      <c r="DX31" s="161"/>
      <c r="DY31" s="161"/>
      <c r="DZ31" s="161"/>
      <c r="EA31" s="161"/>
      <c r="EB31" s="161"/>
      <c r="EC31" s="161"/>
      <c r="ED31" s="161"/>
      <c r="EE31" s="161"/>
      <c r="EF31" s="161"/>
      <c r="EG31" s="161"/>
      <c r="EH31" s="161"/>
      <c r="EI31" s="161"/>
      <c r="EJ31" s="161"/>
      <c r="EK31" s="161"/>
      <c r="EL31" s="161"/>
      <c r="EM31" s="161"/>
      <c r="EN31" s="161"/>
      <c r="EO31" s="161"/>
      <c r="EP31" s="161"/>
      <c r="EQ31" s="161"/>
      <c r="ER31" s="161"/>
      <c r="ES31" s="161"/>
      <c r="ET31" s="161"/>
      <c r="EU31" s="161"/>
      <c r="EV31" s="161"/>
      <c r="EW31" s="161"/>
      <c r="EX31" s="161"/>
      <c r="EY31" s="161"/>
      <c r="EZ31" s="161"/>
      <c r="FA31" s="161"/>
      <c r="FB31" s="161"/>
      <c r="FC31" s="161"/>
      <c r="FD31" s="161"/>
      <c r="FE31" s="161"/>
      <c r="FF31" s="161"/>
      <c r="FG31" s="161"/>
      <c r="FH31" s="161"/>
      <c r="FI31" s="161"/>
      <c r="FJ31" s="161"/>
      <c r="FK31" s="161"/>
      <c r="FL31" s="161"/>
      <c r="FM31" s="161"/>
      <c r="FN31" s="161"/>
      <c r="FO31" s="161"/>
      <c r="FP31" s="161"/>
      <c r="FQ31" s="161"/>
      <c r="FR31" s="161"/>
      <c r="FS31" s="161"/>
      <c r="FT31" s="161"/>
      <c r="FU31" s="161"/>
    </row>
    <row r="32" spans="1:177" s="74" customFormat="1" x14ac:dyDescent="0.25">
      <c r="A32" s="75"/>
      <c r="C32" s="181">
        <f t="shared" ref="C32:H32" si="1">SUM(C8:C31)</f>
        <v>0</v>
      </c>
      <c r="D32" s="181">
        <f t="shared" si="1"/>
        <v>0</v>
      </c>
      <c r="E32" s="181">
        <f t="shared" si="1"/>
        <v>0</v>
      </c>
      <c r="F32" s="181">
        <f t="shared" si="1"/>
        <v>0</v>
      </c>
      <c r="G32" s="181">
        <f t="shared" si="1"/>
        <v>0</v>
      </c>
      <c r="H32" s="181">
        <f t="shared" si="1"/>
        <v>0</v>
      </c>
      <c r="I32" s="181">
        <f t="shared" ref="I32:AN32" si="2">SUM(I8:I31)</f>
        <v>0</v>
      </c>
      <c r="J32" s="181">
        <f t="shared" si="2"/>
        <v>0</v>
      </c>
      <c r="K32" s="181">
        <f t="shared" si="2"/>
        <v>0</v>
      </c>
      <c r="L32" s="181">
        <f t="shared" si="2"/>
        <v>0</v>
      </c>
      <c r="M32" s="181">
        <f t="shared" si="2"/>
        <v>0</v>
      </c>
      <c r="N32" s="181">
        <f t="shared" si="2"/>
        <v>0</v>
      </c>
      <c r="O32" s="181">
        <f t="shared" si="2"/>
        <v>0</v>
      </c>
      <c r="P32" s="181">
        <f t="shared" si="2"/>
        <v>0</v>
      </c>
      <c r="Q32" s="181">
        <f t="shared" si="2"/>
        <v>0</v>
      </c>
      <c r="R32" s="181">
        <f t="shared" si="2"/>
        <v>0</v>
      </c>
      <c r="S32" s="181">
        <f t="shared" si="2"/>
        <v>0</v>
      </c>
      <c r="T32" s="181">
        <f t="shared" si="2"/>
        <v>0</v>
      </c>
      <c r="U32" s="181">
        <f t="shared" si="2"/>
        <v>0</v>
      </c>
      <c r="V32" s="181">
        <f t="shared" si="2"/>
        <v>0</v>
      </c>
      <c r="W32" s="181">
        <f t="shared" si="2"/>
        <v>0</v>
      </c>
      <c r="X32" s="181">
        <f t="shared" si="2"/>
        <v>0</v>
      </c>
      <c r="Y32" s="181">
        <f t="shared" si="2"/>
        <v>0</v>
      </c>
      <c r="Z32" s="181">
        <f t="shared" si="2"/>
        <v>0</v>
      </c>
      <c r="AA32" s="181">
        <f t="shared" si="2"/>
        <v>0</v>
      </c>
      <c r="AB32" s="181">
        <f t="shared" si="2"/>
        <v>0</v>
      </c>
      <c r="AC32" s="181">
        <f t="shared" si="2"/>
        <v>0</v>
      </c>
      <c r="AD32" s="181">
        <f t="shared" si="2"/>
        <v>0</v>
      </c>
      <c r="AE32" s="181">
        <f t="shared" si="2"/>
        <v>0</v>
      </c>
      <c r="AF32" s="181">
        <f t="shared" si="2"/>
        <v>0</v>
      </c>
      <c r="AG32" s="181">
        <f t="shared" si="2"/>
        <v>0</v>
      </c>
      <c r="AH32" s="181">
        <f t="shared" si="2"/>
        <v>0</v>
      </c>
      <c r="AI32" s="181">
        <f t="shared" si="2"/>
        <v>0</v>
      </c>
      <c r="AJ32" s="181">
        <f t="shared" si="2"/>
        <v>0</v>
      </c>
      <c r="AK32" s="181">
        <f t="shared" si="2"/>
        <v>0</v>
      </c>
      <c r="AL32" s="181">
        <f t="shared" si="2"/>
        <v>0</v>
      </c>
      <c r="AM32" s="181">
        <f t="shared" si="2"/>
        <v>0</v>
      </c>
      <c r="AN32" s="181">
        <f t="shared" si="2"/>
        <v>0</v>
      </c>
      <c r="AO32" s="181">
        <f t="shared" ref="AO32:BT32" si="3">SUM(AO8:AO31)</f>
        <v>0</v>
      </c>
      <c r="AP32" s="181">
        <f t="shared" si="3"/>
        <v>0</v>
      </c>
      <c r="AQ32" s="181">
        <f t="shared" si="3"/>
        <v>0</v>
      </c>
      <c r="AR32" s="181">
        <f t="shared" si="3"/>
        <v>0</v>
      </c>
      <c r="AS32" s="181">
        <f t="shared" si="3"/>
        <v>0</v>
      </c>
      <c r="AT32" s="181">
        <f t="shared" si="3"/>
        <v>0</v>
      </c>
      <c r="AU32" s="181">
        <f t="shared" si="3"/>
        <v>0</v>
      </c>
      <c r="AV32" s="181">
        <f t="shared" si="3"/>
        <v>0</v>
      </c>
      <c r="AW32" s="181">
        <f t="shared" si="3"/>
        <v>0</v>
      </c>
      <c r="AX32" s="181">
        <f t="shared" si="3"/>
        <v>0</v>
      </c>
      <c r="AY32" s="181">
        <f t="shared" si="3"/>
        <v>0</v>
      </c>
      <c r="AZ32" s="181">
        <f t="shared" si="3"/>
        <v>0</v>
      </c>
      <c r="BA32" s="181">
        <f t="shared" si="3"/>
        <v>0</v>
      </c>
      <c r="BB32" s="181">
        <f t="shared" si="3"/>
        <v>0</v>
      </c>
      <c r="BC32" s="181">
        <f t="shared" si="3"/>
        <v>0</v>
      </c>
      <c r="BD32" s="181">
        <f t="shared" si="3"/>
        <v>0</v>
      </c>
      <c r="BE32" s="181">
        <f t="shared" si="3"/>
        <v>0</v>
      </c>
      <c r="BF32" s="181">
        <f t="shared" si="3"/>
        <v>0</v>
      </c>
      <c r="BG32" s="181">
        <f t="shared" si="3"/>
        <v>0</v>
      </c>
      <c r="BH32" s="181">
        <f t="shared" si="3"/>
        <v>0</v>
      </c>
      <c r="BI32" s="181">
        <f t="shared" si="3"/>
        <v>0</v>
      </c>
      <c r="BJ32" s="181">
        <f t="shared" si="3"/>
        <v>0</v>
      </c>
      <c r="BK32" s="181">
        <f t="shared" si="3"/>
        <v>0</v>
      </c>
      <c r="BL32" s="181">
        <f t="shared" si="3"/>
        <v>0</v>
      </c>
      <c r="BM32" s="181">
        <f t="shared" si="3"/>
        <v>0</v>
      </c>
      <c r="BN32" s="181">
        <f t="shared" si="3"/>
        <v>0</v>
      </c>
      <c r="BO32" s="181">
        <f t="shared" si="3"/>
        <v>0</v>
      </c>
      <c r="BP32" s="181">
        <f t="shared" si="3"/>
        <v>0</v>
      </c>
      <c r="BQ32" s="181">
        <f t="shared" si="3"/>
        <v>0</v>
      </c>
      <c r="BR32" s="181">
        <f t="shared" si="3"/>
        <v>0</v>
      </c>
      <c r="BS32" s="181">
        <f t="shared" si="3"/>
        <v>0</v>
      </c>
      <c r="BT32" s="181">
        <f t="shared" si="3"/>
        <v>0</v>
      </c>
      <c r="BU32" s="181">
        <f t="shared" ref="BU32:BX32" si="4">SUM(BU8:BU31)</f>
        <v>0</v>
      </c>
      <c r="BV32" s="181">
        <f t="shared" si="4"/>
        <v>0</v>
      </c>
      <c r="BW32" s="181">
        <f t="shared" si="4"/>
        <v>0</v>
      </c>
      <c r="BX32" s="181">
        <f t="shared" si="4"/>
        <v>0</v>
      </c>
      <c r="BY32" s="181"/>
      <c r="BZ32" s="181"/>
      <c r="CA32" s="181"/>
      <c r="CB32" s="181"/>
      <c r="CC32" s="181"/>
      <c r="CD32" s="181"/>
      <c r="CE32" s="181"/>
      <c r="CF32" s="181"/>
      <c r="CG32" s="181"/>
      <c r="CH32" s="181"/>
      <c r="CI32" s="181"/>
      <c r="CJ32" s="181"/>
      <c r="CK32" s="181"/>
      <c r="CL32" s="181"/>
      <c r="CM32" s="181"/>
      <c r="CN32" s="181"/>
      <c r="CO32" s="181"/>
      <c r="CP32" s="181"/>
      <c r="CQ32" s="181"/>
      <c r="CR32" s="181"/>
      <c r="CS32" s="181"/>
      <c r="CT32" s="181"/>
      <c r="CU32" s="181"/>
      <c r="CV32" s="181"/>
      <c r="CW32" s="181"/>
      <c r="CX32" s="181"/>
      <c r="CY32" s="181"/>
      <c r="CZ32" s="181"/>
      <c r="DA32" s="181"/>
      <c r="DB32" s="181"/>
      <c r="DC32" s="181"/>
      <c r="DD32" s="181"/>
      <c r="DE32" s="181"/>
      <c r="DF32" s="181"/>
      <c r="DG32" s="181"/>
      <c r="DH32" s="181"/>
      <c r="DI32" s="181"/>
      <c r="DJ32" s="181"/>
      <c r="DK32" s="181"/>
      <c r="DL32" s="181"/>
      <c r="DM32" s="181"/>
      <c r="DN32" s="181"/>
      <c r="DO32" s="181"/>
      <c r="DP32" s="181"/>
      <c r="DQ32" s="181"/>
      <c r="DR32" s="181"/>
      <c r="DS32" s="181"/>
      <c r="DT32" s="181"/>
      <c r="DU32" s="181"/>
      <c r="DV32" s="181"/>
      <c r="DW32" s="181"/>
      <c r="DX32" s="181"/>
      <c r="DY32" s="181"/>
      <c r="DZ32" s="181"/>
      <c r="EA32" s="181"/>
      <c r="EB32" s="181"/>
      <c r="EC32" s="181"/>
      <c r="ED32" s="181"/>
      <c r="EE32" s="181"/>
      <c r="EF32" s="181"/>
      <c r="EG32" s="181"/>
      <c r="EH32" s="181"/>
      <c r="EI32" s="181"/>
      <c r="EJ32" s="181"/>
      <c r="EK32" s="181"/>
      <c r="EL32" s="181"/>
      <c r="EM32" s="181"/>
      <c r="EN32" s="181"/>
      <c r="EO32" s="181"/>
      <c r="EP32" s="181"/>
      <c r="EQ32" s="181"/>
      <c r="ER32" s="181"/>
      <c r="ES32" s="181"/>
      <c r="ET32" s="181"/>
      <c r="EU32" s="181"/>
      <c r="EV32" s="181"/>
      <c r="EW32" s="181"/>
      <c r="EX32" s="181"/>
      <c r="EY32" s="181"/>
      <c r="EZ32" s="181"/>
      <c r="FA32" s="181"/>
      <c r="FB32" s="181"/>
      <c r="FC32" s="181"/>
      <c r="FD32" s="181"/>
      <c r="FE32" s="181"/>
      <c r="FF32" s="181"/>
      <c r="FG32" s="181"/>
      <c r="FH32" s="181"/>
      <c r="FI32" s="181"/>
      <c r="FJ32" s="181"/>
      <c r="FK32" s="181"/>
      <c r="FL32" s="181"/>
      <c r="FM32" s="181"/>
      <c r="FN32" s="181"/>
      <c r="FO32" s="181"/>
      <c r="FP32" s="181"/>
      <c r="FQ32" s="181"/>
      <c r="FR32" s="181"/>
      <c r="FS32" s="181"/>
      <c r="FT32" s="181"/>
      <c r="FU32" s="181"/>
    </row>
    <row r="33" spans="1:177" s="74" customFormat="1" x14ac:dyDescent="0.25">
      <c r="A33" s="75"/>
    </row>
    <row r="34" spans="1:177" ht="48" customHeight="1" thickBot="1" x14ac:dyDescent="0.3">
      <c r="B34" s="204">
        <f ca="1">TODAY()</f>
        <v>43333</v>
      </c>
      <c r="C34" s="72">
        <v>43328</v>
      </c>
      <c r="D34" s="72">
        <v>43329</v>
      </c>
      <c r="E34" s="72">
        <v>43330</v>
      </c>
      <c r="F34" s="72">
        <v>43331</v>
      </c>
      <c r="G34" s="72">
        <v>43332</v>
      </c>
      <c r="H34" s="72">
        <v>43333</v>
      </c>
      <c r="I34" s="72">
        <v>43334</v>
      </c>
      <c r="J34" s="72">
        <v>43335</v>
      </c>
      <c r="K34" s="72">
        <v>43336</v>
      </c>
      <c r="L34" s="72">
        <v>43337</v>
      </c>
      <c r="M34" s="72">
        <v>43338</v>
      </c>
      <c r="N34" s="72">
        <v>43339</v>
      </c>
      <c r="O34" s="72">
        <v>43340</v>
      </c>
      <c r="P34" s="72">
        <v>43341</v>
      </c>
      <c r="Q34" s="72">
        <v>43342</v>
      </c>
      <c r="R34" s="72">
        <v>43343</v>
      </c>
      <c r="S34" s="72">
        <v>43344</v>
      </c>
      <c r="T34" s="72">
        <v>43345</v>
      </c>
      <c r="U34" s="72">
        <v>43346</v>
      </c>
      <c r="V34" s="72">
        <v>43347</v>
      </c>
      <c r="W34" s="72">
        <v>43348</v>
      </c>
      <c r="X34" s="72">
        <v>43349</v>
      </c>
      <c r="Y34" s="72">
        <v>43350</v>
      </c>
      <c r="Z34" s="72">
        <v>43351</v>
      </c>
      <c r="AA34" s="72">
        <v>43352</v>
      </c>
      <c r="AB34" s="72">
        <v>43353</v>
      </c>
      <c r="AC34" s="72">
        <v>43354</v>
      </c>
      <c r="AD34" s="72">
        <v>43355</v>
      </c>
      <c r="AE34" s="72">
        <v>43356</v>
      </c>
      <c r="AF34" s="72">
        <v>43357</v>
      </c>
      <c r="AG34" s="72">
        <v>43358</v>
      </c>
      <c r="AH34" s="72">
        <v>43359</v>
      </c>
      <c r="AI34" s="72">
        <v>43360</v>
      </c>
      <c r="AJ34" s="72">
        <v>43361</v>
      </c>
      <c r="AK34" s="72">
        <v>43362</v>
      </c>
      <c r="AL34" s="72">
        <v>43363</v>
      </c>
      <c r="AM34" s="72">
        <v>43364</v>
      </c>
      <c r="AN34" s="72">
        <v>43365</v>
      </c>
      <c r="AO34" s="72">
        <v>43366</v>
      </c>
      <c r="AP34" s="72">
        <v>43367</v>
      </c>
      <c r="AQ34" s="72">
        <v>43368</v>
      </c>
      <c r="AR34" s="72">
        <v>43369</v>
      </c>
      <c r="AS34" s="72">
        <v>43370</v>
      </c>
      <c r="AT34" s="72">
        <v>43371</v>
      </c>
      <c r="AU34" s="72">
        <v>43372</v>
      </c>
      <c r="AV34" s="72">
        <v>43373</v>
      </c>
      <c r="AW34" s="72">
        <v>43374</v>
      </c>
      <c r="AX34" s="72">
        <v>43375</v>
      </c>
      <c r="AY34" s="72">
        <v>43376</v>
      </c>
      <c r="AZ34" s="72">
        <v>43377</v>
      </c>
      <c r="BA34" s="72">
        <v>43378</v>
      </c>
      <c r="BB34" s="72">
        <v>43379</v>
      </c>
      <c r="BC34" s="72">
        <v>43380</v>
      </c>
      <c r="BD34" s="72">
        <v>43381</v>
      </c>
      <c r="BE34" s="72">
        <v>43382</v>
      </c>
      <c r="BF34" s="72">
        <v>43383</v>
      </c>
      <c r="BG34" s="72">
        <v>43384</v>
      </c>
      <c r="BH34" s="72">
        <v>43385</v>
      </c>
      <c r="BI34" s="72">
        <v>43386</v>
      </c>
      <c r="BJ34" s="72">
        <v>43387</v>
      </c>
      <c r="BK34" s="72">
        <v>43388</v>
      </c>
      <c r="BL34" s="72">
        <v>43389</v>
      </c>
      <c r="BM34" s="72">
        <v>43390</v>
      </c>
      <c r="BN34" s="72">
        <v>43391</v>
      </c>
      <c r="BO34" s="72">
        <v>43392</v>
      </c>
      <c r="BP34" s="72">
        <v>43393</v>
      </c>
      <c r="BQ34" s="72">
        <v>43394</v>
      </c>
      <c r="BR34" s="72">
        <v>43395</v>
      </c>
      <c r="BS34" s="72">
        <v>43396</v>
      </c>
      <c r="BT34" s="72">
        <v>43397</v>
      </c>
      <c r="BU34" s="72">
        <v>43398</v>
      </c>
      <c r="BV34" s="72">
        <v>43399</v>
      </c>
      <c r="BW34" s="72">
        <v>43400</v>
      </c>
      <c r="BX34" s="72">
        <v>43401</v>
      </c>
      <c r="BY34" s="72">
        <v>43402</v>
      </c>
      <c r="BZ34" s="72">
        <v>43403</v>
      </c>
      <c r="CA34" s="72">
        <v>43404</v>
      </c>
      <c r="CB34" s="72">
        <v>43405</v>
      </c>
      <c r="CC34" s="72">
        <v>43406</v>
      </c>
      <c r="CD34" s="72">
        <v>43407</v>
      </c>
      <c r="CE34" s="72">
        <v>43408</v>
      </c>
      <c r="CF34" s="72">
        <v>43409</v>
      </c>
      <c r="CG34" s="72">
        <v>43410</v>
      </c>
      <c r="CH34" s="72">
        <v>43411</v>
      </c>
      <c r="CI34" s="72">
        <v>43412</v>
      </c>
      <c r="CJ34" s="72">
        <v>43413</v>
      </c>
      <c r="CK34" s="72">
        <v>43414</v>
      </c>
      <c r="CL34" s="72">
        <v>43415</v>
      </c>
      <c r="CM34" s="72">
        <v>43416</v>
      </c>
      <c r="CN34" s="72">
        <v>43417</v>
      </c>
      <c r="CO34" s="72">
        <v>43418</v>
      </c>
      <c r="CP34" s="72">
        <v>43419</v>
      </c>
      <c r="CQ34" s="72">
        <v>43420</v>
      </c>
      <c r="CR34" s="72">
        <v>43421</v>
      </c>
      <c r="CS34" s="72">
        <v>43422</v>
      </c>
      <c r="CT34" s="72">
        <v>43423</v>
      </c>
      <c r="CU34" s="72">
        <v>43424</v>
      </c>
      <c r="CV34" s="72">
        <v>43425</v>
      </c>
      <c r="CW34" s="72">
        <v>43426</v>
      </c>
      <c r="CX34" s="72">
        <v>43427</v>
      </c>
      <c r="CY34" s="72">
        <v>43428</v>
      </c>
      <c r="CZ34" s="72">
        <v>43429</v>
      </c>
      <c r="DA34" s="72">
        <v>43430</v>
      </c>
      <c r="DB34" s="72">
        <v>43431</v>
      </c>
      <c r="DC34" s="72">
        <v>43432</v>
      </c>
      <c r="DD34" s="72">
        <v>43433</v>
      </c>
      <c r="DE34" s="72">
        <v>43434</v>
      </c>
      <c r="DF34" s="72">
        <v>43435</v>
      </c>
      <c r="DG34" s="72">
        <v>43436</v>
      </c>
      <c r="DH34" s="72">
        <v>43437</v>
      </c>
      <c r="DI34" s="72">
        <v>43438</v>
      </c>
      <c r="DJ34" s="72">
        <v>43439</v>
      </c>
      <c r="DK34" s="72">
        <v>43440</v>
      </c>
      <c r="DL34" s="72">
        <v>43441</v>
      </c>
      <c r="DM34" s="72">
        <v>43442</v>
      </c>
      <c r="DN34" s="72">
        <v>43443</v>
      </c>
      <c r="DO34" s="72">
        <v>43444</v>
      </c>
      <c r="DP34" s="72">
        <v>43445</v>
      </c>
      <c r="DQ34" s="72">
        <v>43446</v>
      </c>
      <c r="DR34" s="72">
        <v>43447</v>
      </c>
      <c r="DS34" s="72">
        <v>43448</v>
      </c>
      <c r="DT34" s="72">
        <v>43449</v>
      </c>
      <c r="DU34" s="72">
        <v>43450</v>
      </c>
      <c r="DV34" s="72">
        <v>43451</v>
      </c>
      <c r="DW34" s="72">
        <v>43452</v>
      </c>
      <c r="DX34" s="72">
        <v>43453</v>
      </c>
      <c r="DY34" s="72">
        <v>43454</v>
      </c>
      <c r="DZ34" s="72">
        <v>43455</v>
      </c>
      <c r="EA34" s="72">
        <v>43456</v>
      </c>
      <c r="EB34" s="72">
        <v>43457</v>
      </c>
      <c r="EC34" s="72">
        <v>43458</v>
      </c>
      <c r="ED34" s="72">
        <v>43459</v>
      </c>
      <c r="EE34" s="72">
        <v>43460</v>
      </c>
      <c r="EF34" s="72">
        <v>43461</v>
      </c>
      <c r="EG34" s="72">
        <v>43462</v>
      </c>
      <c r="EH34" s="72">
        <v>43463</v>
      </c>
      <c r="EI34" s="72">
        <v>43464</v>
      </c>
      <c r="EJ34" s="72">
        <v>43465</v>
      </c>
      <c r="EK34" s="72">
        <v>43466</v>
      </c>
      <c r="EL34" s="72">
        <v>43467</v>
      </c>
      <c r="EM34" s="72">
        <v>43468</v>
      </c>
      <c r="EN34" s="72">
        <v>43469</v>
      </c>
      <c r="EO34" s="72">
        <v>43470</v>
      </c>
      <c r="EP34" s="72">
        <v>43471</v>
      </c>
      <c r="EQ34" s="72">
        <v>43472</v>
      </c>
      <c r="ER34" s="72">
        <v>43473</v>
      </c>
      <c r="ES34" s="72">
        <v>43474</v>
      </c>
      <c r="ET34" s="72">
        <v>43475</v>
      </c>
      <c r="EU34" s="72">
        <v>43476</v>
      </c>
      <c r="EV34" s="72">
        <v>43477</v>
      </c>
      <c r="EW34" s="72">
        <v>43478</v>
      </c>
      <c r="EX34" s="72">
        <v>43479</v>
      </c>
      <c r="EY34" s="72">
        <v>43480</v>
      </c>
      <c r="EZ34" s="72">
        <v>43481</v>
      </c>
      <c r="FA34" s="72">
        <v>43482</v>
      </c>
      <c r="FB34" s="72">
        <v>43483</v>
      </c>
      <c r="FC34" s="72">
        <v>43484</v>
      </c>
      <c r="FD34" s="72">
        <v>43485</v>
      </c>
      <c r="FE34" s="72">
        <v>43486</v>
      </c>
      <c r="FF34" s="72">
        <v>43487</v>
      </c>
      <c r="FG34" s="72">
        <v>43488</v>
      </c>
      <c r="FH34" s="72">
        <v>43489</v>
      </c>
      <c r="FI34" s="72">
        <v>43490</v>
      </c>
      <c r="FJ34" s="72">
        <v>43491</v>
      </c>
      <c r="FK34" s="72">
        <v>43492</v>
      </c>
      <c r="FL34" s="72">
        <v>43493</v>
      </c>
      <c r="FM34" s="72">
        <v>43494</v>
      </c>
      <c r="FN34" s="72">
        <v>43495</v>
      </c>
      <c r="FO34" s="72">
        <v>43496</v>
      </c>
      <c r="FP34" s="72">
        <v>43497</v>
      </c>
      <c r="FQ34" s="72">
        <v>43498</v>
      </c>
      <c r="FR34" s="72">
        <v>43499</v>
      </c>
      <c r="FS34" s="72">
        <v>43500</v>
      </c>
      <c r="FT34" s="72">
        <v>43501</v>
      </c>
      <c r="FU34" s="72">
        <v>43502</v>
      </c>
    </row>
    <row r="35" spans="1:177" ht="20.100000000000001" customHeight="1" thickTop="1" x14ac:dyDescent="0.25">
      <c r="B35" s="160">
        <v>0</v>
      </c>
      <c r="C35" s="203"/>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c r="CM35" s="203"/>
      <c r="CN35" s="203"/>
      <c r="CO35" s="203"/>
      <c r="CP35" s="203"/>
      <c r="CQ35" s="203"/>
      <c r="CR35" s="203"/>
      <c r="CS35" s="203"/>
      <c r="CT35" s="203"/>
      <c r="CU35" s="203"/>
      <c r="CV35" s="203"/>
      <c r="CW35" s="203"/>
      <c r="CX35" s="203"/>
      <c r="CY35" s="203"/>
      <c r="CZ35" s="203"/>
      <c r="DA35" s="203"/>
      <c r="DB35" s="203"/>
      <c r="DC35" s="203"/>
      <c r="DD35" s="203"/>
      <c r="DE35" s="203"/>
      <c r="DF35" s="203"/>
      <c r="DG35" s="203"/>
      <c r="DH35" s="203"/>
      <c r="DI35" s="203"/>
      <c r="DJ35" s="203"/>
      <c r="DK35" s="203"/>
      <c r="DL35" s="203"/>
      <c r="DM35" s="203"/>
      <c r="DN35" s="203"/>
      <c r="DO35" s="203"/>
      <c r="DP35" s="203"/>
      <c r="DQ35" s="203"/>
      <c r="DR35" s="203"/>
      <c r="DS35" s="203"/>
      <c r="DT35" s="203"/>
      <c r="DU35" s="203"/>
      <c r="DV35" s="203"/>
      <c r="DW35" s="203"/>
      <c r="DX35" s="203"/>
      <c r="DY35" s="203"/>
      <c r="DZ35" s="203"/>
      <c r="EA35" s="203"/>
      <c r="EB35" s="203"/>
      <c r="EC35" s="203"/>
      <c r="ED35" s="203"/>
      <c r="EE35" s="203"/>
      <c r="EF35" s="203"/>
      <c r="EG35" s="203"/>
      <c r="EH35" s="203"/>
      <c r="EI35" s="203"/>
      <c r="EJ35" s="203"/>
      <c r="EK35" s="203"/>
      <c r="EL35" s="203"/>
      <c r="EM35" s="203"/>
      <c r="EN35" s="203"/>
      <c r="EO35" s="203"/>
      <c r="EP35" s="203"/>
      <c r="EQ35" s="203"/>
      <c r="ER35" s="203"/>
      <c r="ES35" s="203"/>
      <c r="ET35" s="203"/>
      <c r="EU35" s="203"/>
      <c r="EV35" s="203"/>
      <c r="EW35" s="203"/>
      <c r="EX35" s="203"/>
      <c r="EY35" s="203"/>
      <c r="EZ35" s="203"/>
      <c r="FA35" s="203"/>
      <c r="FB35" s="203"/>
      <c r="FC35" s="203"/>
      <c r="FD35" s="203"/>
      <c r="FE35" s="203"/>
      <c r="FF35" s="203"/>
      <c r="FG35" s="203"/>
      <c r="FH35" s="203"/>
      <c r="FI35" s="203"/>
      <c r="FJ35" s="203"/>
      <c r="FK35" s="203"/>
      <c r="FL35" s="203"/>
      <c r="FM35" s="203"/>
      <c r="FN35" s="203"/>
      <c r="FO35" s="203"/>
      <c r="FP35" s="203"/>
      <c r="FQ35" s="203"/>
      <c r="FR35" s="203"/>
      <c r="FS35" s="203"/>
      <c r="FT35" s="203"/>
      <c r="FU35" s="203"/>
    </row>
    <row r="36" spans="1:177" ht="20.100000000000001" customHeight="1" x14ac:dyDescent="0.25">
      <c r="B36" s="160">
        <v>4.1666666666666699E-2</v>
      </c>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c r="CM36" s="203"/>
      <c r="CN36" s="203"/>
      <c r="CO36" s="203"/>
      <c r="CP36" s="203"/>
      <c r="CQ36" s="203"/>
      <c r="CR36" s="203"/>
      <c r="CS36" s="203"/>
      <c r="CT36" s="203"/>
      <c r="CU36" s="203"/>
      <c r="CV36" s="203"/>
      <c r="CW36" s="203"/>
      <c r="CX36" s="203"/>
      <c r="CY36" s="203"/>
      <c r="CZ36" s="203"/>
      <c r="DA36" s="203"/>
      <c r="DB36" s="203"/>
      <c r="DC36" s="203"/>
      <c r="DD36" s="203"/>
      <c r="DE36" s="203"/>
      <c r="DF36" s="203"/>
      <c r="DG36" s="203"/>
      <c r="DH36" s="203"/>
      <c r="DI36" s="203"/>
      <c r="DJ36" s="203"/>
      <c r="DK36" s="203"/>
      <c r="DL36" s="203"/>
      <c r="DM36" s="203"/>
      <c r="DN36" s="203"/>
      <c r="DO36" s="203"/>
      <c r="DP36" s="203"/>
      <c r="DQ36" s="203"/>
      <c r="DR36" s="203"/>
      <c r="DS36" s="203"/>
      <c r="DT36" s="203"/>
      <c r="DU36" s="203"/>
      <c r="DV36" s="203"/>
      <c r="DW36" s="203"/>
      <c r="DX36" s="203"/>
      <c r="DY36" s="203"/>
      <c r="DZ36" s="203"/>
      <c r="EA36" s="203"/>
      <c r="EB36" s="203"/>
      <c r="EC36" s="203"/>
      <c r="ED36" s="203"/>
      <c r="EE36" s="203"/>
      <c r="EF36" s="203"/>
      <c r="EG36" s="203"/>
      <c r="EH36" s="203"/>
      <c r="EI36" s="203"/>
      <c r="EJ36" s="203"/>
      <c r="EK36" s="203"/>
      <c r="EL36" s="203"/>
      <c r="EM36" s="203"/>
      <c r="EN36" s="203"/>
      <c r="EO36" s="203"/>
      <c r="EP36" s="203"/>
      <c r="EQ36" s="203"/>
      <c r="ER36" s="203"/>
      <c r="ES36" s="203"/>
      <c r="ET36" s="203"/>
      <c r="EU36" s="203"/>
      <c r="EV36" s="203"/>
      <c r="EW36" s="203"/>
      <c r="EX36" s="203"/>
      <c r="EY36" s="203"/>
      <c r="EZ36" s="203"/>
      <c r="FA36" s="203"/>
      <c r="FB36" s="203"/>
      <c r="FC36" s="203"/>
      <c r="FD36" s="203"/>
      <c r="FE36" s="203"/>
      <c r="FF36" s="203"/>
      <c r="FG36" s="203"/>
      <c r="FH36" s="203"/>
      <c r="FI36" s="203"/>
      <c r="FJ36" s="203"/>
      <c r="FK36" s="203"/>
      <c r="FL36" s="203"/>
      <c r="FM36" s="203"/>
      <c r="FN36" s="203"/>
      <c r="FO36" s="203"/>
      <c r="FP36" s="203"/>
      <c r="FQ36" s="203"/>
      <c r="FR36" s="203"/>
      <c r="FS36" s="203"/>
      <c r="FT36" s="203"/>
      <c r="FU36" s="203"/>
    </row>
    <row r="37" spans="1:177" ht="20.100000000000001" customHeight="1" x14ac:dyDescent="0.25">
      <c r="B37" s="160">
        <v>8.3333333333333301E-2</v>
      </c>
      <c r="C37" s="203"/>
      <c r="D37" s="203"/>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c r="CM37" s="203"/>
      <c r="CN37" s="203"/>
      <c r="CO37" s="203"/>
      <c r="CP37" s="203"/>
      <c r="CQ37" s="203"/>
      <c r="CR37" s="203"/>
      <c r="CS37" s="203"/>
      <c r="CT37" s="203"/>
      <c r="CU37" s="203"/>
      <c r="CV37" s="203"/>
      <c r="CW37" s="203"/>
      <c r="CX37" s="203"/>
      <c r="CY37" s="203"/>
      <c r="CZ37" s="203"/>
      <c r="DA37" s="203"/>
      <c r="DB37" s="203"/>
      <c r="DC37" s="203"/>
      <c r="DD37" s="203"/>
      <c r="DE37" s="203"/>
      <c r="DF37" s="203"/>
      <c r="DG37" s="203"/>
      <c r="DH37" s="203"/>
      <c r="DI37" s="203"/>
      <c r="DJ37" s="203"/>
      <c r="DK37" s="203"/>
      <c r="DL37" s="203"/>
      <c r="DM37" s="203"/>
      <c r="DN37" s="203"/>
      <c r="DO37" s="203"/>
      <c r="DP37" s="203"/>
      <c r="DQ37" s="203"/>
      <c r="DR37" s="203"/>
      <c r="DS37" s="203"/>
      <c r="DT37" s="203"/>
      <c r="DU37" s="203"/>
      <c r="DV37" s="203"/>
      <c r="DW37" s="203"/>
      <c r="DX37" s="203"/>
      <c r="DY37" s="203"/>
      <c r="DZ37" s="203"/>
      <c r="EA37" s="203"/>
      <c r="EB37" s="203"/>
      <c r="EC37" s="203"/>
      <c r="ED37" s="203"/>
      <c r="EE37" s="203"/>
      <c r="EF37" s="203"/>
      <c r="EG37" s="203"/>
      <c r="EH37" s="203"/>
      <c r="EI37" s="203"/>
      <c r="EJ37" s="203"/>
      <c r="EK37" s="203"/>
      <c r="EL37" s="203"/>
      <c r="EM37" s="203"/>
      <c r="EN37" s="203"/>
      <c r="EO37" s="203"/>
      <c r="EP37" s="203"/>
      <c r="EQ37" s="203"/>
      <c r="ER37" s="203"/>
      <c r="ES37" s="203"/>
      <c r="ET37" s="203"/>
      <c r="EU37" s="203"/>
      <c r="EV37" s="203"/>
      <c r="EW37" s="203"/>
      <c r="EX37" s="203"/>
      <c r="EY37" s="203"/>
      <c r="EZ37" s="203"/>
      <c r="FA37" s="203"/>
      <c r="FB37" s="203"/>
      <c r="FC37" s="203"/>
      <c r="FD37" s="203"/>
      <c r="FE37" s="203"/>
      <c r="FF37" s="203"/>
      <c r="FG37" s="203"/>
      <c r="FH37" s="203"/>
      <c r="FI37" s="203"/>
      <c r="FJ37" s="203"/>
      <c r="FK37" s="203"/>
      <c r="FL37" s="203"/>
      <c r="FM37" s="203"/>
      <c r="FN37" s="203"/>
      <c r="FO37" s="203"/>
      <c r="FP37" s="203"/>
      <c r="FQ37" s="203"/>
      <c r="FR37" s="203"/>
      <c r="FS37" s="203"/>
      <c r="FT37" s="203"/>
      <c r="FU37" s="203"/>
    </row>
    <row r="38" spans="1:177" ht="20.100000000000001" customHeight="1" x14ac:dyDescent="0.25">
      <c r="B38" s="160">
        <v>0.125</v>
      </c>
      <c r="C38" s="203"/>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c r="CM38" s="203"/>
      <c r="CN38" s="203"/>
      <c r="CO38" s="203"/>
      <c r="CP38" s="203"/>
      <c r="CQ38" s="203"/>
      <c r="CR38" s="203"/>
      <c r="CS38" s="203"/>
      <c r="CT38" s="203"/>
      <c r="CU38" s="203"/>
      <c r="CV38" s="203"/>
      <c r="CW38" s="203"/>
      <c r="CX38" s="203"/>
      <c r="CY38" s="203"/>
      <c r="CZ38" s="203"/>
      <c r="DA38" s="203"/>
      <c r="DB38" s="203"/>
      <c r="DC38" s="203"/>
      <c r="DD38" s="203"/>
      <c r="DE38" s="203"/>
      <c r="DF38" s="203"/>
      <c r="DG38" s="203"/>
      <c r="DH38" s="203"/>
      <c r="DI38" s="203"/>
      <c r="DJ38" s="203"/>
      <c r="DK38" s="203"/>
      <c r="DL38" s="203"/>
      <c r="DM38" s="203"/>
      <c r="DN38" s="203"/>
      <c r="DO38" s="203"/>
      <c r="DP38" s="203"/>
      <c r="DQ38" s="203"/>
      <c r="DR38" s="203"/>
      <c r="DS38" s="203"/>
      <c r="DT38" s="203"/>
      <c r="DU38" s="203"/>
      <c r="DV38" s="203"/>
      <c r="DW38" s="203"/>
      <c r="DX38" s="203"/>
      <c r="DY38" s="203"/>
      <c r="DZ38" s="203"/>
      <c r="EA38" s="203"/>
      <c r="EB38" s="203"/>
      <c r="EC38" s="203"/>
      <c r="ED38" s="203"/>
      <c r="EE38" s="203"/>
      <c r="EF38" s="203"/>
      <c r="EG38" s="203"/>
      <c r="EH38" s="203"/>
      <c r="EI38" s="203"/>
      <c r="EJ38" s="203"/>
      <c r="EK38" s="203"/>
      <c r="EL38" s="203"/>
      <c r="EM38" s="203"/>
      <c r="EN38" s="203"/>
      <c r="EO38" s="203"/>
      <c r="EP38" s="203"/>
      <c r="EQ38" s="203"/>
      <c r="ER38" s="203"/>
      <c r="ES38" s="203"/>
      <c r="ET38" s="203"/>
      <c r="EU38" s="203"/>
      <c r="EV38" s="203"/>
      <c r="EW38" s="203"/>
      <c r="EX38" s="203"/>
      <c r="EY38" s="203"/>
      <c r="EZ38" s="203"/>
      <c r="FA38" s="203"/>
      <c r="FB38" s="203"/>
      <c r="FC38" s="203"/>
      <c r="FD38" s="203"/>
      <c r="FE38" s="203"/>
      <c r="FF38" s="203"/>
      <c r="FG38" s="203"/>
      <c r="FH38" s="203"/>
      <c r="FI38" s="203"/>
      <c r="FJ38" s="203"/>
      <c r="FK38" s="203"/>
      <c r="FL38" s="203"/>
      <c r="FM38" s="203"/>
      <c r="FN38" s="203"/>
      <c r="FO38" s="203"/>
      <c r="FP38" s="203"/>
      <c r="FQ38" s="203"/>
      <c r="FR38" s="203"/>
      <c r="FS38" s="203"/>
      <c r="FT38" s="203"/>
      <c r="FU38" s="203"/>
    </row>
    <row r="39" spans="1:177" ht="20.100000000000001" customHeight="1" x14ac:dyDescent="0.25">
      <c r="B39" s="160">
        <v>0.16666666666666699</v>
      </c>
      <c r="C39" s="203"/>
      <c r="D39" s="203"/>
      <c r="E39" s="203"/>
      <c r="F39" s="203"/>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c r="CM39" s="203"/>
      <c r="CN39" s="203"/>
      <c r="CO39" s="203"/>
      <c r="CP39" s="203"/>
      <c r="CQ39" s="203"/>
      <c r="CR39" s="203"/>
      <c r="CS39" s="203"/>
      <c r="CT39" s="203"/>
      <c r="CU39" s="203"/>
      <c r="CV39" s="203"/>
      <c r="CW39" s="203"/>
      <c r="CX39" s="203"/>
      <c r="CY39" s="203"/>
      <c r="CZ39" s="203"/>
      <c r="DA39" s="203"/>
      <c r="DB39" s="203"/>
      <c r="DC39" s="203"/>
      <c r="DD39" s="203"/>
      <c r="DE39" s="203"/>
      <c r="DF39" s="203"/>
      <c r="DG39" s="203"/>
      <c r="DH39" s="203"/>
      <c r="DI39" s="203"/>
      <c r="DJ39" s="203"/>
      <c r="DK39" s="203"/>
      <c r="DL39" s="203"/>
      <c r="DM39" s="203"/>
      <c r="DN39" s="203"/>
      <c r="DO39" s="203"/>
      <c r="DP39" s="203"/>
      <c r="DQ39" s="203"/>
      <c r="DR39" s="203"/>
      <c r="DS39" s="203"/>
      <c r="DT39" s="203"/>
      <c r="DU39" s="203"/>
      <c r="DV39" s="203"/>
      <c r="DW39" s="203"/>
      <c r="DX39" s="203"/>
      <c r="DY39" s="203"/>
      <c r="DZ39" s="203"/>
      <c r="EA39" s="203"/>
      <c r="EB39" s="203"/>
      <c r="EC39" s="203"/>
      <c r="ED39" s="203"/>
      <c r="EE39" s="203"/>
      <c r="EF39" s="203"/>
      <c r="EG39" s="203"/>
      <c r="EH39" s="203"/>
      <c r="EI39" s="203"/>
      <c r="EJ39" s="203"/>
      <c r="EK39" s="203"/>
      <c r="EL39" s="203"/>
      <c r="EM39" s="203"/>
      <c r="EN39" s="203"/>
      <c r="EO39" s="203"/>
      <c r="EP39" s="203"/>
      <c r="EQ39" s="203"/>
      <c r="ER39" s="203"/>
      <c r="ES39" s="203"/>
      <c r="ET39" s="203"/>
      <c r="EU39" s="203"/>
      <c r="EV39" s="203"/>
      <c r="EW39" s="203"/>
      <c r="EX39" s="203"/>
      <c r="EY39" s="203"/>
      <c r="EZ39" s="203"/>
      <c r="FA39" s="203"/>
      <c r="FB39" s="203"/>
      <c r="FC39" s="203"/>
      <c r="FD39" s="203"/>
      <c r="FE39" s="203"/>
      <c r="FF39" s="203"/>
      <c r="FG39" s="203"/>
      <c r="FH39" s="203"/>
      <c r="FI39" s="203"/>
      <c r="FJ39" s="203"/>
      <c r="FK39" s="203"/>
      <c r="FL39" s="203"/>
      <c r="FM39" s="203"/>
      <c r="FN39" s="203"/>
      <c r="FO39" s="203"/>
      <c r="FP39" s="203"/>
      <c r="FQ39" s="203"/>
      <c r="FR39" s="203"/>
      <c r="FS39" s="203"/>
      <c r="FT39" s="203"/>
      <c r="FU39" s="203"/>
    </row>
    <row r="40" spans="1:177" ht="20.100000000000001" customHeight="1" x14ac:dyDescent="0.25">
      <c r="B40" s="160">
        <v>0.20833333333333301</v>
      </c>
      <c r="C40" s="203"/>
      <c r="D40" s="203"/>
      <c r="E40" s="203"/>
      <c r="F40" s="203"/>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c r="CM40" s="203"/>
      <c r="CN40" s="203"/>
      <c r="CO40" s="203"/>
      <c r="CP40" s="203"/>
      <c r="CQ40" s="203"/>
      <c r="CR40" s="203"/>
      <c r="CS40" s="203"/>
      <c r="CT40" s="203"/>
      <c r="CU40" s="203"/>
      <c r="CV40" s="203"/>
      <c r="CW40" s="203"/>
      <c r="CX40" s="203"/>
      <c r="CY40" s="203"/>
      <c r="CZ40" s="203"/>
      <c r="DA40" s="203"/>
      <c r="DB40" s="203"/>
      <c r="DC40" s="203"/>
      <c r="DD40" s="203"/>
      <c r="DE40" s="203"/>
      <c r="DF40" s="203"/>
      <c r="DG40" s="203"/>
      <c r="DH40" s="203"/>
      <c r="DI40" s="203"/>
      <c r="DJ40" s="203"/>
      <c r="DK40" s="203"/>
      <c r="DL40" s="203"/>
      <c r="DM40" s="203"/>
      <c r="DN40" s="203"/>
      <c r="DO40" s="203"/>
      <c r="DP40" s="203"/>
      <c r="DQ40" s="203"/>
      <c r="DR40" s="203"/>
      <c r="DS40" s="203"/>
      <c r="DT40" s="203"/>
      <c r="DU40" s="203"/>
      <c r="DV40" s="203"/>
      <c r="DW40" s="203"/>
      <c r="DX40" s="203"/>
      <c r="DY40" s="203"/>
      <c r="DZ40" s="203"/>
      <c r="EA40" s="203"/>
      <c r="EB40" s="203"/>
      <c r="EC40" s="203"/>
      <c r="ED40" s="203"/>
      <c r="EE40" s="203"/>
      <c r="EF40" s="203"/>
      <c r="EG40" s="203"/>
      <c r="EH40" s="203"/>
      <c r="EI40" s="203"/>
      <c r="EJ40" s="203"/>
      <c r="EK40" s="203"/>
      <c r="EL40" s="203"/>
      <c r="EM40" s="203"/>
      <c r="EN40" s="203"/>
      <c r="EO40" s="203"/>
      <c r="EP40" s="203"/>
      <c r="EQ40" s="203"/>
      <c r="ER40" s="203"/>
      <c r="ES40" s="203"/>
      <c r="ET40" s="203"/>
      <c r="EU40" s="203"/>
      <c r="EV40" s="203"/>
      <c r="EW40" s="203"/>
      <c r="EX40" s="203"/>
      <c r="EY40" s="203"/>
      <c r="EZ40" s="203"/>
      <c r="FA40" s="203"/>
      <c r="FB40" s="203"/>
      <c r="FC40" s="203"/>
      <c r="FD40" s="203"/>
      <c r="FE40" s="203"/>
      <c r="FF40" s="203"/>
      <c r="FG40" s="203"/>
      <c r="FH40" s="203"/>
      <c r="FI40" s="203"/>
      <c r="FJ40" s="203"/>
      <c r="FK40" s="203"/>
      <c r="FL40" s="203"/>
      <c r="FM40" s="203"/>
      <c r="FN40" s="203"/>
      <c r="FO40" s="203"/>
      <c r="FP40" s="203"/>
      <c r="FQ40" s="203"/>
      <c r="FR40" s="203"/>
      <c r="FS40" s="203"/>
      <c r="FT40" s="203"/>
      <c r="FU40" s="203"/>
    </row>
    <row r="41" spans="1:177" ht="20.100000000000001" customHeight="1" x14ac:dyDescent="0.25">
      <c r="B41" s="160">
        <v>0.25</v>
      </c>
      <c r="C41" s="203"/>
      <c r="D41" s="203"/>
      <c r="E41" s="203"/>
      <c r="F41" s="203"/>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c r="CM41" s="203"/>
      <c r="CN41" s="203"/>
      <c r="CO41" s="203"/>
      <c r="CP41" s="203"/>
      <c r="CQ41" s="203"/>
      <c r="CR41" s="203"/>
      <c r="CS41" s="203"/>
      <c r="CT41" s="203"/>
      <c r="CU41" s="203"/>
      <c r="CV41" s="203"/>
      <c r="CW41" s="203"/>
      <c r="CX41" s="203"/>
      <c r="CY41" s="203"/>
      <c r="CZ41" s="203"/>
      <c r="DA41" s="203"/>
      <c r="DB41" s="203"/>
      <c r="DC41" s="203"/>
      <c r="DD41" s="203"/>
      <c r="DE41" s="203"/>
      <c r="DF41" s="203"/>
      <c r="DG41" s="203"/>
      <c r="DH41" s="203"/>
      <c r="DI41" s="203"/>
      <c r="DJ41" s="203"/>
      <c r="DK41" s="203"/>
      <c r="DL41" s="203"/>
      <c r="DM41" s="203"/>
      <c r="DN41" s="203"/>
      <c r="DO41" s="203"/>
      <c r="DP41" s="203"/>
      <c r="DQ41" s="203"/>
      <c r="DR41" s="203"/>
      <c r="DS41" s="203"/>
      <c r="DT41" s="203"/>
      <c r="DU41" s="203"/>
      <c r="DV41" s="203"/>
      <c r="DW41" s="203"/>
      <c r="DX41" s="203"/>
      <c r="DY41" s="203"/>
      <c r="DZ41" s="203"/>
      <c r="EA41" s="203"/>
      <c r="EB41" s="203"/>
      <c r="EC41" s="203"/>
      <c r="ED41" s="203"/>
      <c r="EE41" s="203"/>
      <c r="EF41" s="203"/>
      <c r="EG41" s="203"/>
      <c r="EH41" s="203"/>
      <c r="EI41" s="203"/>
      <c r="EJ41" s="203"/>
      <c r="EK41" s="203"/>
      <c r="EL41" s="203"/>
      <c r="EM41" s="203"/>
      <c r="EN41" s="203"/>
      <c r="EO41" s="203"/>
      <c r="EP41" s="203"/>
      <c r="EQ41" s="203"/>
      <c r="ER41" s="203"/>
      <c r="ES41" s="203"/>
      <c r="ET41" s="203"/>
      <c r="EU41" s="203"/>
      <c r="EV41" s="203"/>
      <c r="EW41" s="203"/>
      <c r="EX41" s="203"/>
      <c r="EY41" s="203"/>
      <c r="EZ41" s="203"/>
      <c r="FA41" s="203"/>
      <c r="FB41" s="203"/>
      <c r="FC41" s="203"/>
      <c r="FD41" s="203"/>
      <c r="FE41" s="203"/>
      <c r="FF41" s="203"/>
      <c r="FG41" s="203"/>
      <c r="FH41" s="203"/>
      <c r="FI41" s="203"/>
      <c r="FJ41" s="203"/>
      <c r="FK41" s="203"/>
      <c r="FL41" s="203"/>
      <c r="FM41" s="203"/>
      <c r="FN41" s="203"/>
      <c r="FO41" s="203"/>
      <c r="FP41" s="203"/>
      <c r="FQ41" s="203"/>
      <c r="FR41" s="203"/>
      <c r="FS41" s="203"/>
      <c r="FT41" s="203"/>
      <c r="FU41" s="203"/>
    </row>
    <row r="42" spans="1:177" ht="20.100000000000001" customHeight="1" x14ac:dyDescent="0.25">
      <c r="B42" s="160">
        <v>0.29166666666666702</v>
      </c>
      <c r="C42" s="203"/>
      <c r="D42" s="203"/>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c r="CM42" s="203"/>
      <c r="CN42" s="203"/>
      <c r="CO42" s="203"/>
      <c r="CP42" s="203"/>
      <c r="CQ42" s="203"/>
      <c r="CR42" s="203"/>
      <c r="CS42" s="203"/>
      <c r="CT42" s="203"/>
      <c r="CU42" s="203"/>
      <c r="CV42" s="203"/>
      <c r="CW42" s="203"/>
      <c r="CX42" s="203"/>
      <c r="CY42" s="203"/>
      <c r="CZ42" s="203"/>
      <c r="DA42" s="203"/>
      <c r="DB42" s="203"/>
      <c r="DC42" s="203"/>
      <c r="DD42" s="203"/>
      <c r="DE42" s="203"/>
      <c r="DF42" s="203"/>
      <c r="DG42" s="203"/>
      <c r="DH42" s="203"/>
      <c r="DI42" s="203"/>
      <c r="DJ42" s="203"/>
      <c r="DK42" s="203"/>
      <c r="DL42" s="203"/>
      <c r="DM42" s="203"/>
      <c r="DN42" s="203"/>
      <c r="DO42" s="203"/>
      <c r="DP42" s="203"/>
      <c r="DQ42" s="203"/>
      <c r="DR42" s="203"/>
      <c r="DS42" s="203"/>
      <c r="DT42" s="203"/>
      <c r="DU42" s="203"/>
      <c r="DV42" s="203"/>
      <c r="DW42" s="203"/>
      <c r="DX42" s="203"/>
      <c r="DY42" s="203"/>
      <c r="DZ42" s="203"/>
      <c r="EA42" s="203"/>
      <c r="EB42" s="203"/>
      <c r="EC42" s="203"/>
      <c r="ED42" s="203"/>
      <c r="EE42" s="203"/>
      <c r="EF42" s="203"/>
      <c r="EG42" s="203"/>
      <c r="EH42" s="203"/>
      <c r="EI42" s="203"/>
      <c r="EJ42" s="203"/>
      <c r="EK42" s="203"/>
      <c r="EL42" s="203"/>
      <c r="EM42" s="203"/>
      <c r="EN42" s="203"/>
      <c r="EO42" s="203"/>
      <c r="EP42" s="203"/>
      <c r="EQ42" s="203"/>
      <c r="ER42" s="203"/>
      <c r="ES42" s="203"/>
      <c r="ET42" s="203"/>
      <c r="EU42" s="203"/>
      <c r="EV42" s="203"/>
      <c r="EW42" s="203"/>
      <c r="EX42" s="203"/>
      <c r="EY42" s="203"/>
      <c r="EZ42" s="203"/>
      <c r="FA42" s="203"/>
      <c r="FB42" s="203"/>
      <c r="FC42" s="203"/>
      <c r="FD42" s="203"/>
      <c r="FE42" s="203"/>
      <c r="FF42" s="203"/>
      <c r="FG42" s="203"/>
      <c r="FH42" s="203"/>
      <c r="FI42" s="203"/>
      <c r="FJ42" s="203"/>
      <c r="FK42" s="203"/>
      <c r="FL42" s="203"/>
      <c r="FM42" s="203"/>
      <c r="FN42" s="203"/>
      <c r="FO42" s="203"/>
      <c r="FP42" s="203"/>
      <c r="FQ42" s="203"/>
      <c r="FR42" s="203"/>
      <c r="FS42" s="203"/>
      <c r="FT42" s="203"/>
      <c r="FU42" s="203"/>
    </row>
    <row r="43" spans="1:177" ht="20.100000000000001" customHeight="1" x14ac:dyDescent="0.25">
      <c r="B43" s="160">
        <v>0.33333333333333298</v>
      </c>
      <c r="C43" s="203"/>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c r="AG43" s="203"/>
      <c r="AH43" s="203"/>
      <c r="AI43" s="203"/>
      <c r="AJ43" s="203"/>
      <c r="AK43" s="203"/>
      <c r="AL43" s="203"/>
      <c r="AM43" s="203"/>
      <c r="AN43" s="203"/>
      <c r="AO43" s="203"/>
      <c r="AP43" s="203"/>
      <c r="AQ43" s="203"/>
      <c r="AR43" s="203"/>
      <c r="AS43" s="203"/>
      <c r="AT43" s="203"/>
      <c r="AU43" s="203"/>
      <c r="AV43" s="203"/>
      <c r="AW43" s="203"/>
      <c r="AX43" s="203"/>
      <c r="AY43" s="203"/>
      <c r="AZ43" s="203"/>
      <c r="BA43" s="203"/>
      <c r="BB43" s="203"/>
      <c r="BC43" s="203"/>
      <c r="BD43" s="203"/>
      <c r="BE43" s="203"/>
      <c r="BF43" s="203"/>
      <c r="BG43" s="203"/>
      <c r="BH43" s="203"/>
      <c r="BI43" s="203"/>
      <c r="BJ43" s="203"/>
      <c r="BK43" s="203"/>
      <c r="BL43" s="203"/>
      <c r="BM43" s="203"/>
      <c r="BN43" s="203"/>
      <c r="BO43" s="203"/>
      <c r="BP43" s="203"/>
      <c r="BQ43" s="203"/>
      <c r="BR43" s="203"/>
      <c r="BS43" s="203"/>
      <c r="BT43" s="203"/>
      <c r="BU43" s="203"/>
      <c r="BV43" s="203"/>
      <c r="BW43" s="203"/>
      <c r="BX43" s="203"/>
      <c r="BY43" s="203"/>
      <c r="BZ43" s="203"/>
      <c r="CA43" s="203"/>
      <c r="CB43" s="203"/>
      <c r="CC43" s="203"/>
      <c r="CD43" s="203"/>
      <c r="CE43" s="203"/>
      <c r="CF43" s="203"/>
      <c r="CG43" s="203"/>
      <c r="CH43" s="203"/>
      <c r="CI43" s="203"/>
      <c r="CJ43" s="203"/>
      <c r="CK43" s="203"/>
      <c r="CL43" s="203"/>
      <c r="CM43" s="203"/>
      <c r="CN43" s="203"/>
      <c r="CO43" s="203"/>
      <c r="CP43" s="203"/>
      <c r="CQ43" s="203"/>
      <c r="CR43" s="203"/>
      <c r="CS43" s="203"/>
      <c r="CT43" s="203"/>
      <c r="CU43" s="203"/>
      <c r="CV43" s="203"/>
      <c r="CW43" s="203"/>
      <c r="CX43" s="203"/>
      <c r="CY43" s="203"/>
      <c r="CZ43" s="203"/>
      <c r="DA43" s="203"/>
      <c r="DB43" s="203"/>
      <c r="DC43" s="203"/>
      <c r="DD43" s="203"/>
      <c r="DE43" s="203"/>
      <c r="DF43" s="203"/>
      <c r="DG43" s="203"/>
      <c r="DH43" s="203"/>
      <c r="DI43" s="203"/>
      <c r="DJ43" s="203"/>
      <c r="DK43" s="203"/>
      <c r="DL43" s="203"/>
      <c r="DM43" s="203"/>
      <c r="DN43" s="203"/>
      <c r="DO43" s="203"/>
      <c r="DP43" s="203"/>
      <c r="DQ43" s="203"/>
      <c r="DR43" s="203"/>
      <c r="DS43" s="203"/>
      <c r="DT43" s="203"/>
      <c r="DU43" s="203"/>
      <c r="DV43" s="203"/>
      <c r="DW43" s="203"/>
      <c r="DX43" s="203"/>
      <c r="DY43" s="203"/>
      <c r="DZ43" s="203"/>
      <c r="EA43" s="203"/>
      <c r="EB43" s="203"/>
      <c r="EC43" s="203"/>
      <c r="ED43" s="203"/>
      <c r="EE43" s="203"/>
      <c r="EF43" s="203"/>
      <c r="EG43" s="203"/>
      <c r="EH43" s="203"/>
      <c r="EI43" s="203"/>
      <c r="EJ43" s="203"/>
      <c r="EK43" s="203"/>
      <c r="EL43" s="203"/>
      <c r="EM43" s="203"/>
      <c r="EN43" s="203"/>
      <c r="EO43" s="203"/>
      <c r="EP43" s="203"/>
      <c r="EQ43" s="203"/>
      <c r="ER43" s="203"/>
      <c r="ES43" s="203"/>
      <c r="ET43" s="203"/>
      <c r="EU43" s="203"/>
      <c r="EV43" s="203"/>
      <c r="EW43" s="203"/>
      <c r="EX43" s="203"/>
      <c r="EY43" s="203"/>
      <c r="EZ43" s="203"/>
      <c r="FA43" s="203"/>
      <c r="FB43" s="203"/>
      <c r="FC43" s="203"/>
      <c r="FD43" s="203"/>
      <c r="FE43" s="203"/>
      <c r="FF43" s="203"/>
      <c r="FG43" s="203"/>
      <c r="FH43" s="203"/>
      <c r="FI43" s="203"/>
      <c r="FJ43" s="203"/>
      <c r="FK43" s="203"/>
      <c r="FL43" s="203"/>
      <c r="FM43" s="203"/>
      <c r="FN43" s="203"/>
      <c r="FO43" s="203"/>
      <c r="FP43" s="203"/>
      <c r="FQ43" s="203"/>
      <c r="FR43" s="203"/>
      <c r="FS43" s="203"/>
      <c r="FT43" s="203"/>
      <c r="FU43" s="203"/>
    </row>
    <row r="44" spans="1:177" ht="20.100000000000001" customHeight="1" x14ac:dyDescent="0.25">
      <c r="B44" s="160">
        <v>0.375</v>
      </c>
      <c r="C44" s="203"/>
      <c r="D44" s="203"/>
      <c r="E44" s="203"/>
      <c r="F44" s="203"/>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c r="AG44" s="203"/>
      <c r="AH44" s="203"/>
      <c r="AI44" s="203"/>
      <c r="AJ44" s="203"/>
      <c r="AK44" s="203"/>
      <c r="AL44" s="203"/>
      <c r="AM44" s="203"/>
      <c r="AN44" s="203"/>
      <c r="AO44" s="203"/>
      <c r="AP44" s="203"/>
      <c r="AQ44" s="203"/>
      <c r="AR44" s="203"/>
      <c r="AS44" s="203"/>
      <c r="AT44" s="203"/>
      <c r="AU44" s="203"/>
      <c r="AV44" s="203"/>
      <c r="AW44" s="203"/>
      <c r="AX44" s="203"/>
      <c r="AY44" s="203"/>
      <c r="AZ44" s="203"/>
      <c r="BA44" s="203"/>
      <c r="BB44" s="203"/>
      <c r="BC44" s="203"/>
      <c r="BD44" s="203"/>
      <c r="BE44" s="203"/>
      <c r="BF44" s="203"/>
      <c r="BG44" s="203"/>
      <c r="BH44" s="203"/>
      <c r="BI44" s="203"/>
      <c r="BJ44" s="203"/>
      <c r="BK44" s="203"/>
      <c r="BL44" s="203"/>
      <c r="BM44" s="203"/>
      <c r="BN44" s="203"/>
      <c r="BO44" s="203"/>
      <c r="BP44" s="203"/>
      <c r="BQ44" s="203"/>
      <c r="BR44" s="203"/>
      <c r="BS44" s="203"/>
      <c r="BT44" s="203"/>
      <c r="BU44" s="203"/>
      <c r="BV44" s="203"/>
      <c r="BW44" s="203"/>
      <c r="BX44" s="203"/>
      <c r="BY44" s="203"/>
      <c r="BZ44" s="203"/>
      <c r="CA44" s="203"/>
      <c r="CB44" s="203"/>
      <c r="CC44" s="203"/>
      <c r="CD44" s="203"/>
      <c r="CE44" s="203"/>
      <c r="CF44" s="203"/>
      <c r="CG44" s="203"/>
      <c r="CH44" s="203"/>
      <c r="CI44" s="203"/>
      <c r="CJ44" s="203"/>
      <c r="CK44" s="203"/>
      <c r="CL44" s="203"/>
      <c r="CM44" s="203"/>
      <c r="CN44" s="203"/>
      <c r="CO44" s="203"/>
      <c r="CP44" s="203"/>
      <c r="CQ44" s="203"/>
      <c r="CR44" s="203"/>
      <c r="CS44" s="203"/>
      <c r="CT44" s="203"/>
      <c r="CU44" s="203"/>
      <c r="CV44" s="203"/>
      <c r="CW44" s="203"/>
      <c r="CX44" s="203"/>
      <c r="CY44" s="203"/>
      <c r="CZ44" s="203"/>
      <c r="DA44" s="203"/>
      <c r="DB44" s="203"/>
      <c r="DC44" s="203"/>
      <c r="DD44" s="203"/>
      <c r="DE44" s="203"/>
      <c r="DF44" s="203"/>
      <c r="DG44" s="203"/>
      <c r="DH44" s="203"/>
      <c r="DI44" s="203"/>
      <c r="DJ44" s="203"/>
      <c r="DK44" s="203"/>
      <c r="DL44" s="203"/>
      <c r="DM44" s="203"/>
      <c r="DN44" s="203"/>
      <c r="DO44" s="203"/>
      <c r="DP44" s="203"/>
      <c r="DQ44" s="203"/>
      <c r="DR44" s="203"/>
      <c r="DS44" s="203"/>
      <c r="DT44" s="203"/>
      <c r="DU44" s="203"/>
      <c r="DV44" s="203"/>
      <c r="DW44" s="203"/>
      <c r="DX44" s="203"/>
      <c r="DY44" s="203"/>
      <c r="DZ44" s="203"/>
      <c r="EA44" s="203"/>
      <c r="EB44" s="203"/>
      <c r="EC44" s="203"/>
      <c r="ED44" s="203"/>
      <c r="EE44" s="203"/>
      <c r="EF44" s="203"/>
      <c r="EG44" s="203"/>
      <c r="EH44" s="203"/>
      <c r="EI44" s="203"/>
      <c r="EJ44" s="203"/>
      <c r="EK44" s="203"/>
      <c r="EL44" s="203"/>
      <c r="EM44" s="203"/>
      <c r="EN44" s="203"/>
      <c r="EO44" s="203"/>
      <c r="EP44" s="203"/>
      <c r="EQ44" s="203"/>
      <c r="ER44" s="203"/>
      <c r="ES44" s="203"/>
      <c r="ET44" s="203"/>
      <c r="EU44" s="203"/>
      <c r="EV44" s="203"/>
      <c r="EW44" s="203"/>
      <c r="EX44" s="203"/>
      <c r="EY44" s="203"/>
      <c r="EZ44" s="203"/>
      <c r="FA44" s="203"/>
      <c r="FB44" s="203"/>
      <c r="FC44" s="203"/>
      <c r="FD44" s="203"/>
      <c r="FE44" s="203"/>
      <c r="FF44" s="203"/>
      <c r="FG44" s="203"/>
      <c r="FH44" s="203"/>
      <c r="FI44" s="203"/>
      <c r="FJ44" s="203"/>
      <c r="FK44" s="203"/>
      <c r="FL44" s="203"/>
      <c r="FM44" s="203"/>
      <c r="FN44" s="203"/>
      <c r="FO44" s="203"/>
      <c r="FP44" s="203"/>
      <c r="FQ44" s="203"/>
      <c r="FR44" s="203"/>
      <c r="FS44" s="203"/>
      <c r="FT44" s="203"/>
      <c r="FU44" s="203"/>
    </row>
    <row r="45" spans="1:177" ht="20.100000000000001" customHeight="1" x14ac:dyDescent="0.25">
      <c r="B45" s="160">
        <v>0.41666666666666702</v>
      </c>
      <c r="C45" s="203"/>
      <c r="D45" s="203"/>
      <c r="E45" s="203"/>
      <c r="F45" s="203"/>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M45" s="203"/>
      <c r="CN45" s="20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c r="DM45" s="203"/>
      <c r="DN45" s="203"/>
      <c r="DO45" s="203"/>
      <c r="DP45" s="203"/>
      <c r="DQ45" s="203"/>
      <c r="DR45" s="203"/>
      <c r="DS45" s="203"/>
      <c r="DT45" s="203"/>
      <c r="DU45" s="203"/>
      <c r="DV45" s="203"/>
      <c r="DW45" s="203"/>
      <c r="DX45" s="203"/>
      <c r="DY45" s="203"/>
      <c r="DZ45" s="203"/>
      <c r="EA45" s="203"/>
      <c r="EB45" s="203"/>
      <c r="EC45" s="203"/>
      <c r="ED45" s="203"/>
      <c r="EE45" s="203"/>
      <c r="EF45" s="203"/>
      <c r="EG45" s="203"/>
      <c r="EH45" s="203"/>
      <c r="EI45" s="203"/>
      <c r="EJ45" s="203"/>
      <c r="EK45" s="203"/>
      <c r="EL45" s="203"/>
      <c r="EM45" s="203"/>
      <c r="EN45" s="203"/>
      <c r="EO45" s="203"/>
      <c r="EP45" s="203"/>
      <c r="EQ45" s="203"/>
      <c r="ER45" s="203"/>
      <c r="ES45" s="203"/>
      <c r="ET45" s="203"/>
      <c r="EU45" s="203"/>
      <c r="EV45" s="203"/>
      <c r="EW45" s="203"/>
      <c r="EX45" s="203"/>
      <c r="EY45" s="203"/>
      <c r="EZ45" s="203"/>
      <c r="FA45" s="203"/>
      <c r="FB45" s="203"/>
      <c r="FC45" s="203"/>
      <c r="FD45" s="203"/>
      <c r="FE45" s="203"/>
      <c r="FF45" s="203"/>
      <c r="FG45" s="203"/>
      <c r="FH45" s="203"/>
      <c r="FI45" s="203"/>
      <c r="FJ45" s="203"/>
      <c r="FK45" s="203"/>
      <c r="FL45" s="203"/>
      <c r="FM45" s="203"/>
      <c r="FN45" s="203"/>
      <c r="FO45" s="203"/>
      <c r="FP45" s="203"/>
      <c r="FQ45" s="203"/>
      <c r="FR45" s="203"/>
      <c r="FS45" s="203"/>
      <c r="FT45" s="203"/>
      <c r="FU45" s="203"/>
    </row>
    <row r="46" spans="1:177" ht="20.100000000000001" customHeight="1" x14ac:dyDescent="0.25">
      <c r="B46" s="160">
        <v>0.45833333333333298</v>
      </c>
      <c r="C46" s="203"/>
      <c r="D46" s="203"/>
      <c r="E46" s="203"/>
      <c r="F46" s="203"/>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M46" s="203"/>
      <c r="CN46" s="20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c r="DM46" s="203"/>
      <c r="DN46" s="203"/>
      <c r="DO46" s="203"/>
      <c r="DP46" s="203"/>
      <c r="DQ46" s="203"/>
      <c r="DR46" s="203"/>
      <c r="DS46" s="203"/>
      <c r="DT46" s="203"/>
      <c r="DU46" s="203"/>
      <c r="DV46" s="203"/>
      <c r="DW46" s="203"/>
      <c r="DX46" s="203"/>
      <c r="DY46" s="203"/>
      <c r="DZ46" s="203"/>
      <c r="EA46" s="203"/>
      <c r="EB46" s="203"/>
      <c r="EC46" s="203"/>
      <c r="ED46" s="203"/>
      <c r="EE46" s="203"/>
      <c r="EF46" s="203"/>
      <c r="EG46" s="203"/>
      <c r="EH46" s="203"/>
      <c r="EI46" s="203"/>
      <c r="EJ46" s="203"/>
      <c r="EK46" s="203"/>
      <c r="EL46" s="203"/>
      <c r="EM46" s="203"/>
      <c r="EN46" s="203"/>
      <c r="EO46" s="203"/>
      <c r="EP46" s="203"/>
      <c r="EQ46" s="203"/>
      <c r="ER46" s="203"/>
      <c r="ES46" s="203"/>
      <c r="ET46" s="203"/>
      <c r="EU46" s="203"/>
      <c r="EV46" s="203"/>
      <c r="EW46" s="203"/>
      <c r="EX46" s="203"/>
      <c r="EY46" s="203"/>
      <c r="EZ46" s="203"/>
      <c r="FA46" s="203"/>
      <c r="FB46" s="203"/>
      <c r="FC46" s="203"/>
      <c r="FD46" s="203"/>
      <c r="FE46" s="203"/>
      <c r="FF46" s="203"/>
      <c r="FG46" s="203"/>
      <c r="FH46" s="203"/>
      <c r="FI46" s="203"/>
      <c r="FJ46" s="203"/>
      <c r="FK46" s="203"/>
      <c r="FL46" s="203"/>
      <c r="FM46" s="203"/>
      <c r="FN46" s="203"/>
      <c r="FO46" s="203"/>
      <c r="FP46" s="203"/>
      <c r="FQ46" s="203"/>
      <c r="FR46" s="203"/>
      <c r="FS46" s="203"/>
      <c r="FT46" s="203"/>
      <c r="FU46" s="203"/>
    </row>
    <row r="47" spans="1:177" ht="20.100000000000001" customHeight="1" x14ac:dyDescent="0.25">
      <c r="B47" s="160">
        <v>0.5</v>
      </c>
      <c r="C47" s="203"/>
      <c r="D47" s="203"/>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M47" s="203"/>
      <c r="CN47" s="20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c r="DM47" s="203"/>
      <c r="DN47" s="203"/>
      <c r="DO47" s="203"/>
      <c r="DP47" s="203"/>
      <c r="DQ47" s="203"/>
      <c r="DR47" s="203"/>
      <c r="DS47" s="203"/>
      <c r="DT47" s="203"/>
      <c r="DU47" s="203"/>
      <c r="DV47" s="203"/>
      <c r="DW47" s="203"/>
      <c r="DX47" s="203"/>
      <c r="DY47" s="203"/>
      <c r="DZ47" s="203"/>
      <c r="EA47" s="203"/>
      <c r="EB47" s="203"/>
      <c r="EC47" s="203"/>
      <c r="ED47" s="203"/>
      <c r="EE47" s="203"/>
      <c r="EF47" s="203"/>
      <c r="EG47" s="203"/>
      <c r="EH47" s="203"/>
      <c r="EI47" s="203"/>
      <c r="EJ47" s="203"/>
      <c r="EK47" s="203"/>
      <c r="EL47" s="203"/>
      <c r="EM47" s="203"/>
      <c r="EN47" s="203"/>
      <c r="EO47" s="203"/>
      <c r="EP47" s="203"/>
      <c r="EQ47" s="203"/>
      <c r="ER47" s="203"/>
      <c r="ES47" s="203"/>
      <c r="ET47" s="203"/>
      <c r="EU47" s="203"/>
      <c r="EV47" s="203"/>
      <c r="EW47" s="203"/>
      <c r="EX47" s="203"/>
      <c r="EY47" s="203"/>
      <c r="EZ47" s="203"/>
      <c r="FA47" s="203"/>
      <c r="FB47" s="203"/>
      <c r="FC47" s="203"/>
      <c r="FD47" s="203"/>
      <c r="FE47" s="203"/>
      <c r="FF47" s="203"/>
      <c r="FG47" s="203"/>
      <c r="FH47" s="203"/>
      <c r="FI47" s="203"/>
      <c r="FJ47" s="203"/>
      <c r="FK47" s="203"/>
      <c r="FL47" s="203"/>
      <c r="FM47" s="203"/>
      <c r="FN47" s="203"/>
      <c r="FO47" s="203"/>
      <c r="FP47" s="203"/>
      <c r="FQ47" s="203"/>
      <c r="FR47" s="203"/>
      <c r="FS47" s="203"/>
      <c r="FT47" s="203"/>
      <c r="FU47" s="203"/>
    </row>
    <row r="48" spans="1:177" ht="20.100000000000001" customHeight="1" x14ac:dyDescent="0.25">
      <c r="B48" s="160">
        <v>0.54166666666666696</v>
      </c>
      <c r="C48" s="203"/>
      <c r="D48" s="203"/>
      <c r="E48" s="203"/>
      <c r="F48" s="203"/>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M48" s="203"/>
      <c r="CN48" s="20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c r="DM48" s="203"/>
      <c r="DN48" s="203"/>
      <c r="DO48" s="203"/>
      <c r="DP48" s="203"/>
      <c r="DQ48" s="203"/>
      <c r="DR48" s="203"/>
      <c r="DS48" s="203"/>
      <c r="DT48" s="203"/>
      <c r="DU48" s="203"/>
      <c r="DV48" s="203"/>
      <c r="DW48" s="203"/>
      <c r="DX48" s="203"/>
      <c r="DY48" s="203"/>
      <c r="DZ48" s="203"/>
      <c r="EA48" s="203"/>
      <c r="EB48" s="203"/>
      <c r="EC48" s="203"/>
      <c r="ED48" s="203"/>
      <c r="EE48" s="203"/>
      <c r="EF48" s="203"/>
      <c r="EG48" s="203"/>
      <c r="EH48" s="203"/>
      <c r="EI48" s="203"/>
      <c r="EJ48" s="203"/>
      <c r="EK48" s="203"/>
      <c r="EL48" s="203"/>
      <c r="EM48" s="203"/>
      <c r="EN48" s="203"/>
      <c r="EO48" s="203"/>
      <c r="EP48" s="203"/>
      <c r="EQ48" s="203"/>
      <c r="ER48" s="203"/>
      <c r="ES48" s="203"/>
      <c r="ET48" s="203"/>
      <c r="EU48" s="203"/>
      <c r="EV48" s="203"/>
      <c r="EW48" s="203"/>
      <c r="EX48" s="203"/>
      <c r="EY48" s="203"/>
      <c r="EZ48" s="203"/>
      <c r="FA48" s="203"/>
      <c r="FB48" s="203"/>
      <c r="FC48" s="203"/>
      <c r="FD48" s="203"/>
      <c r="FE48" s="203"/>
      <c r="FF48" s="203"/>
      <c r="FG48" s="203"/>
      <c r="FH48" s="203"/>
      <c r="FI48" s="203"/>
      <c r="FJ48" s="203"/>
      <c r="FK48" s="203"/>
      <c r="FL48" s="203"/>
      <c r="FM48" s="203"/>
      <c r="FN48" s="203"/>
      <c r="FO48" s="203"/>
      <c r="FP48" s="203"/>
      <c r="FQ48" s="203"/>
      <c r="FR48" s="203"/>
      <c r="FS48" s="203"/>
      <c r="FT48" s="203"/>
      <c r="FU48" s="203"/>
    </row>
    <row r="49" spans="2:177" ht="20.100000000000001" customHeight="1" x14ac:dyDescent="0.25">
      <c r="B49" s="160">
        <v>0.58333333333333304</v>
      </c>
      <c r="C49" s="203"/>
      <c r="D49" s="203"/>
      <c r="E49" s="203"/>
      <c r="F49" s="203"/>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c r="AG49" s="203"/>
      <c r="AH49" s="203"/>
      <c r="AI49" s="203"/>
      <c r="AJ49" s="203"/>
      <c r="AK49" s="203"/>
      <c r="AL49" s="203"/>
      <c r="AM49" s="203"/>
      <c r="AN49" s="203"/>
      <c r="AO49" s="203"/>
      <c r="AP49" s="203"/>
      <c r="AQ49" s="203"/>
      <c r="AR49" s="203"/>
      <c r="AS49" s="203"/>
      <c r="AT49" s="203"/>
      <c r="AU49" s="203"/>
      <c r="AV49" s="203"/>
      <c r="AW49" s="203"/>
      <c r="AX49" s="203"/>
      <c r="AY49" s="203"/>
      <c r="AZ49" s="203"/>
      <c r="BA49" s="203"/>
      <c r="BB49" s="203"/>
      <c r="BC49" s="203"/>
      <c r="BD49" s="203"/>
      <c r="BE49" s="203"/>
      <c r="BF49" s="203"/>
      <c r="BG49" s="203"/>
      <c r="BH49" s="203"/>
      <c r="BI49" s="203"/>
      <c r="BJ49" s="203"/>
      <c r="BK49" s="203"/>
      <c r="BL49" s="203"/>
      <c r="BM49" s="203"/>
      <c r="BN49" s="203"/>
      <c r="BO49" s="203"/>
      <c r="BP49" s="203"/>
      <c r="BQ49" s="203"/>
      <c r="BR49" s="203"/>
      <c r="BS49" s="203"/>
      <c r="BT49" s="203"/>
      <c r="BU49" s="203"/>
      <c r="BV49" s="203"/>
      <c r="BW49" s="203"/>
      <c r="BX49" s="203"/>
      <c r="BY49" s="203"/>
      <c r="BZ49" s="203"/>
      <c r="CA49" s="203"/>
      <c r="CB49" s="203"/>
      <c r="CC49" s="203"/>
      <c r="CD49" s="203"/>
      <c r="CE49" s="203"/>
      <c r="CF49" s="203"/>
      <c r="CG49" s="203"/>
      <c r="CH49" s="203"/>
      <c r="CI49" s="203"/>
      <c r="CJ49" s="203"/>
      <c r="CK49" s="203"/>
      <c r="CL49" s="203"/>
      <c r="CM49" s="203"/>
      <c r="CN49" s="203"/>
      <c r="CO49" s="203"/>
      <c r="CP49" s="203"/>
      <c r="CQ49" s="203"/>
      <c r="CR49" s="203"/>
      <c r="CS49" s="203"/>
      <c r="CT49" s="203"/>
      <c r="CU49" s="203"/>
      <c r="CV49" s="203"/>
      <c r="CW49" s="203"/>
      <c r="CX49" s="203"/>
      <c r="CY49" s="203"/>
      <c r="CZ49" s="203"/>
      <c r="DA49" s="203"/>
      <c r="DB49" s="203"/>
      <c r="DC49" s="203"/>
      <c r="DD49" s="203"/>
      <c r="DE49" s="203"/>
      <c r="DF49" s="203"/>
      <c r="DG49" s="203"/>
      <c r="DH49" s="203"/>
      <c r="DI49" s="203"/>
      <c r="DJ49" s="203"/>
      <c r="DK49" s="203"/>
      <c r="DL49" s="203"/>
      <c r="DM49" s="203"/>
      <c r="DN49" s="203"/>
      <c r="DO49" s="203"/>
      <c r="DP49" s="203"/>
      <c r="DQ49" s="203"/>
      <c r="DR49" s="203"/>
      <c r="DS49" s="203"/>
      <c r="DT49" s="203"/>
      <c r="DU49" s="203"/>
      <c r="DV49" s="203"/>
      <c r="DW49" s="203"/>
      <c r="DX49" s="203"/>
      <c r="DY49" s="203"/>
      <c r="DZ49" s="203"/>
      <c r="EA49" s="203"/>
      <c r="EB49" s="203"/>
      <c r="EC49" s="203"/>
      <c r="ED49" s="203"/>
      <c r="EE49" s="203"/>
      <c r="EF49" s="203"/>
      <c r="EG49" s="203"/>
      <c r="EH49" s="203"/>
      <c r="EI49" s="203"/>
      <c r="EJ49" s="203"/>
      <c r="EK49" s="203"/>
      <c r="EL49" s="203"/>
      <c r="EM49" s="203"/>
      <c r="EN49" s="203"/>
      <c r="EO49" s="203"/>
      <c r="EP49" s="203"/>
      <c r="EQ49" s="203"/>
      <c r="ER49" s="203"/>
      <c r="ES49" s="203"/>
      <c r="ET49" s="203"/>
      <c r="EU49" s="203"/>
      <c r="EV49" s="203"/>
      <c r="EW49" s="203"/>
      <c r="EX49" s="203"/>
      <c r="EY49" s="203"/>
      <c r="EZ49" s="203"/>
      <c r="FA49" s="203"/>
      <c r="FB49" s="203"/>
      <c r="FC49" s="203"/>
      <c r="FD49" s="203"/>
      <c r="FE49" s="203"/>
      <c r="FF49" s="203"/>
      <c r="FG49" s="203"/>
      <c r="FH49" s="203"/>
      <c r="FI49" s="203"/>
      <c r="FJ49" s="203"/>
      <c r="FK49" s="203"/>
      <c r="FL49" s="203"/>
      <c r="FM49" s="203"/>
      <c r="FN49" s="203"/>
      <c r="FO49" s="203"/>
      <c r="FP49" s="203"/>
      <c r="FQ49" s="203"/>
      <c r="FR49" s="203"/>
      <c r="FS49" s="203"/>
      <c r="FT49" s="203"/>
      <c r="FU49" s="203"/>
    </row>
    <row r="50" spans="2:177" ht="20.100000000000001" customHeight="1" x14ac:dyDescent="0.25">
      <c r="B50" s="160">
        <v>0.625</v>
      </c>
      <c r="C50" s="203"/>
      <c r="D50" s="203"/>
      <c r="E50" s="203"/>
      <c r="F50" s="203"/>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c r="AG50" s="203"/>
      <c r="AH50" s="203"/>
      <c r="AI50" s="203"/>
      <c r="AJ50" s="203"/>
      <c r="AK50" s="203"/>
      <c r="AL50" s="203"/>
      <c r="AM50" s="203"/>
      <c r="AN50" s="203"/>
      <c r="AO50" s="203"/>
      <c r="AP50" s="203"/>
      <c r="AQ50" s="203"/>
      <c r="AR50" s="203"/>
      <c r="AS50" s="203"/>
      <c r="AT50" s="203"/>
      <c r="AU50" s="203"/>
      <c r="AV50" s="203"/>
      <c r="AW50" s="203"/>
      <c r="AX50" s="203"/>
      <c r="AY50" s="203"/>
      <c r="AZ50" s="203"/>
      <c r="BA50" s="203"/>
      <c r="BB50" s="203"/>
      <c r="BC50" s="203"/>
      <c r="BD50" s="203"/>
      <c r="BE50" s="203"/>
      <c r="BF50" s="203"/>
      <c r="BG50" s="203"/>
      <c r="BH50" s="203"/>
      <c r="BI50" s="203"/>
      <c r="BJ50" s="203"/>
      <c r="BK50" s="203"/>
      <c r="BL50" s="203"/>
      <c r="BM50" s="203"/>
      <c r="BN50" s="203"/>
      <c r="BO50" s="203"/>
      <c r="BP50" s="203"/>
      <c r="BQ50" s="203"/>
      <c r="BR50" s="203"/>
      <c r="BS50" s="203"/>
      <c r="BT50" s="203"/>
      <c r="BU50" s="203"/>
      <c r="BV50" s="203"/>
      <c r="BW50" s="203"/>
      <c r="BX50" s="203"/>
      <c r="BY50" s="203"/>
      <c r="BZ50" s="203"/>
      <c r="CA50" s="203"/>
      <c r="CB50" s="203"/>
      <c r="CC50" s="203"/>
      <c r="CD50" s="203"/>
      <c r="CE50" s="203"/>
      <c r="CF50" s="203"/>
      <c r="CG50" s="203"/>
      <c r="CH50" s="203"/>
      <c r="CI50" s="203"/>
      <c r="CJ50" s="203"/>
      <c r="CK50" s="203"/>
      <c r="CL50" s="203"/>
      <c r="CM50" s="203"/>
      <c r="CN50" s="203"/>
      <c r="CO50" s="203"/>
      <c r="CP50" s="203"/>
      <c r="CQ50" s="203"/>
      <c r="CR50" s="203"/>
      <c r="CS50" s="203"/>
      <c r="CT50" s="203"/>
      <c r="CU50" s="203"/>
      <c r="CV50" s="203"/>
      <c r="CW50" s="203"/>
      <c r="CX50" s="203"/>
      <c r="CY50" s="203"/>
      <c r="CZ50" s="203"/>
      <c r="DA50" s="203"/>
      <c r="DB50" s="203"/>
      <c r="DC50" s="203"/>
      <c r="DD50" s="203"/>
      <c r="DE50" s="203"/>
      <c r="DF50" s="203"/>
      <c r="DG50" s="203"/>
      <c r="DH50" s="203"/>
      <c r="DI50" s="203"/>
      <c r="DJ50" s="203"/>
      <c r="DK50" s="203"/>
      <c r="DL50" s="203"/>
      <c r="DM50" s="203"/>
      <c r="DN50" s="203"/>
      <c r="DO50" s="203"/>
      <c r="DP50" s="203"/>
      <c r="DQ50" s="203"/>
      <c r="DR50" s="203"/>
      <c r="DS50" s="203"/>
      <c r="DT50" s="203"/>
      <c r="DU50" s="203"/>
      <c r="DV50" s="203"/>
      <c r="DW50" s="203"/>
      <c r="DX50" s="203"/>
      <c r="DY50" s="203"/>
      <c r="DZ50" s="203"/>
      <c r="EA50" s="203"/>
      <c r="EB50" s="203"/>
      <c r="EC50" s="203"/>
      <c r="ED50" s="203"/>
      <c r="EE50" s="203"/>
      <c r="EF50" s="203"/>
      <c r="EG50" s="203"/>
      <c r="EH50" s="203"/>
      <c r="EI50" s="203"/>
      <c r="EJ50" s="203"/>
      <c r="EK50" s="203"/>
      <c r="EL50" s="203"/>
      <c r="EM50" s="203"/>
      <c r="EN50" s="203"/>
      <c r="EO50" s="203"/>
      <c r="EP50" s="203"/>
      <c r="EQ50" s="203"/>
      <c r="ER50" s="203"/>
      <c r="ES50" s="203"/>
      <c r="ET50" s="203"/>
      <c r="EU50" s="203"/>
      <c r="EV50" s="203"/>
      <c r="EW50" s="203"/>
      <c r="EX50" s="203"/>
      <c r="EY50" s="203"/>
      <c r="EZ50" s="203"/>
      <c r="FA50" s="203"/>
      <c r="FB50" s="203"/>
      <c r="FC50" s="203"/>
      <c r="FD50" s="203"/>
      <c r="FE50" s="203"/>
      <c r="FF50" s="203"/>
      <c r="FG50" s="203"/>
      <c r="FH50" s="203"/>
      <c r="FI50" s="203"/>
      <c r="FJ50" s="203"/>
      <c r="FK50" s="203"/>
      <c r="FL50" s="203"/>
      <c r="FM50" s="203"/>
      <c r="FN50" s="203"/>
      <c r="FO50" s="203"/>
      <c r="FP50" s="203"/>
      <c r="FQ50" s="203"/>
      <c r="FR50" s="203"/>
      <c r="FS50" s="203"/>
      <c r="FT50" s="203"/>
      <c r="FU50" s="203"/>
    </row>
    <row r="51" spans="2:177" ht="20.100000000000001" customHeight="1" x14ac:dyDescent="0.25">
      <c r="B51" s="160">
        <v>0.66666666666666696</v>
      </c>
      <c r="C51" s="203"/>
      <c r="D51" s="203"/>
      <c r="E51" s="203"/>
      <c r="F51" s="203"/>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c r="AG51" s="203"/>
      <c r="AH51" s="203"/>
      <c r="AI51" s="203"/>
      <c r="AJ51" s="203"/>
      <c r="AK51" s="203"/>
      <c r="AL51" s="203"/>
      <c r="AM51" s="203"/>
      <c r="AN51" s="203"/>
      <c r="AO51" s="203"/>
      <c r="AP51" s="203"/>
      <c r="AQ51" s="203"/>
      <c r="AR51" s="203"/>
      <c r="AS51" s="203"/>
      <c r="AT51" s="203"/>
      <c r="AU51" s="203"/>
      <c r="AV51" s="203"/>
      <c r="AW51" s="203"/>
      <c r="AX51" s="203"/>
      <c r="AY51" s="203"/>
      <c r="AZ51" s="203"/>
      <c r="BA51" s="203"/>
      <c r="BB51" s="203"/>
      <c r="BC51" s="203"/>
      <c r="BD51" s="203"/>
      <c r="BE51" s="203"/>
      <c r="BF51" s="203"/>
      <c r="BG51" s="203"/>
      <c r="BH51" s="203"/>
      <c r="BI51" s="203"/>
      <c r="BJ51" s="203"/>
      <c r="BK51" s="203"/>
      <c r="BL51" s="203"/>
      <c r="BM51" s="203"/>
      <c r="BN51" s="203"/>
      <c r="BO51" s="203"/>
      <c r="BP51" s="203"/>
      <c r="BQ51" s="203"/>
      <c r="BR51" s="203"/>
      <c r="BS51" s="203"/>
      <c r="BT51" s="203"/>
      <c r="BU51" s="203"/>
      <c r="BV51" s="203"/>
      <c r="BW51" s="203"/>
      <c r="BX51" s="203"/>
      <c r="BY51" s="203"/>
      <c r="BZ51" s="203"/>
      <c r="CA51" s="203"/>
      <c r="CB51" s="203"/>
      <c r="CC51" s="203"/>
      <c r="CD51" s="203"/>
      <c r="CE51" s="203"/>
      <c r="CF51" s="203"/>
      <c r="CG51" s="203"/>
      <c r="CH51" s="203"/>
      <c r="CI51" s="203"/>
      <c r="CJ51" s="203"/>
      <c r="CK51" s="203"/>
      <c r="CL51" s="203"/>
      <c r="CM51" s="203"/>
      <c r="CN51" s="203"/>
      <c r="CO51" s="203"/>
      <c r="CP51" s="203"/>
      <c r="CQ51" s="203"/>
      <c r="CR51" s="203"/>
      <c r="CS51" s="203"/>
      <c r="CT51" s="203"/>
      <c r="CU51" s="203"/>
      <c r="CV51" s="203"/>
      <c r="CW51" s="203"/>
      <c r="CX51" s="203"/>
      <c r="CY51" s="203"/>
      <c r="CZ51" s="203"/>
      <c r="DA51" s="203"/>
      <c r="DB51" s="203"/>
      <c r="DC51" s="203"/>
      <c r="DD51" s="203"/>
      <c r="DE51" s="203"/>
      <c r="DF51" s="203"/>
      <c r="DG51" s="203"/>
      <c r="DH51" s="203"/>
      <c r="DI51" s="203"/>
      <c r="DJ51" s="203"/>
      <c r="DK51" s="203"/>
      <c r="DL51" s="203"/>
      <c r="DM51" s="203"/>
      <c r="DN51" s="203"/>
      <c r="DO51" s="203"/>
      <c r="DP51" s="203"/>
      <c r="DQ51" s="203"/>
      <c r="DR51" s="203"/>
      <c r="DS51" s="203"/>
      <c r="DT51" s="203"/>
      <c r="DU51" s="203"/>
      <c r="DV51" s="203"/>
      <c r="DW51" s="203"/>
      <c r="DX51" s="203"/>
      <c r="DY51" s="203"/>
      <c r="DZ51" s="203"/>
      <c r="EA51" s="203"/>
      <c r="EB51" s="203"/>
      <c r="EC51" s="203"/>
      <c r="ED51" s="203"/>
      <c r="EE51" s="203"/>
      <c r="EF51" s="203"/>
      <c r="EG51" s="203"/>
      <c r="EH51" s="203"/>
      <c r="EI51" s="203"/>
      <c r="EJ51" s="203"/>
      <c r="EK51" s="203"/>
      <c r="EL51" s="203"/>
      <c r="EM51" s="203"/>
      <c r="EN51" s="203"/>
      <c r="EO51" s="203"/>
      <c r="EP51" s="203"/>
      <c r="EQ51" s="203"/>
      <c r="ER51" s="203"/>
      <c r="ES51" s="203"/>
      <c r="ET51" s="203"/>
      <c r="EU51" s="203"/>
      <c r="EV51" s="203"/>
      <c r="EW51" s="203"/>
      <c r="EX51" s="203"/>
      <c r="EY51" s="203"/>
      <c r="EZ51" s="203"/>
      <c r="FA51" s="203"/>
      <c r="FB51" s="203"/>
      <c r="FC51" s="203"/>
      <c r="FD51" s="203"/>
      <c r="FE51" s="203"/>
      <c r="FF51" s="203"/>
      <c r="FG51" s="203"/>
      <c r="FH51" s="203"/>
      <c r="FI51" s="203"/>
      <c r="FJ51" s="203"/>
      <c r="FK51" s="203"/>
      <c r="FL51" s="203"/>
      <c r="FM51" s="203"/>
      <c r="FN51" s="203"/>
      <c r="FO51" s="203"/>
      <c r="FP51" s="203"/>
      <c r="FQ51" s="203"/>
      <c r="FR51" s="203"/>
      <c r="FS51" s="203"/>
      <c r="FT51" s="203"/>
      <c r="FU51" s="203"/>
    </row>
    <row r="52" spans="2:177" ht="20.100000000000001" customHeight="1" x14ac:dyDescent="0.25">
      <c r="B52" s="160">
        <v>0.70833333333333304</v>
      </c>
      <c r="C52" s="203"/>
      <c r="D52" s="203"/>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3"/>
      <c r="AI52" s="203"/>
      <c r="AJ52" s="203"/>
      <c r="AK52" s="203"/>
      <c r="AL52" s="203"/>
      <c r="AM52" s="203"/>
      <c r="AN52" s="203"/>
      <c r="AO52" s="203"/>
      <c r="AP52" s="203"/>
      <c r="AQ52" s="203"/>
      <c r="AR52" s="203"/>
      <c r="AS52" s="203"/>
      <c r="AT52" s="203"/>
      <c r="AU52" s="203"/>
      <c r="AV52" s="203"/>
      <c r="AW52" s="203"/>
      <c r="AX52" s="203"/>
      <c r="AY52" s="203"/>
      <c r="AZ52" s="203"/>
      <c r="BA52" s="203"/>
      <c r="BB52" s="203"/>
      <c r="BC52" s="203"/>
      <c r="BD52" s="203"/>
      <c r="BE52" s="203"/>
      <c r="BF52" s="203"/>
      <c r="BG52" s="203"/>
      <c r="BH52" s="203"/>
      <c r="BI52" s="203"/>
      <c r="BJ52" s="203"/>
      <c r="BK52" s="203"/>
      <c r="BL52" s="203"/>
      <c r="BM52" s="203"/>
      <c r="BN52" s="203"/>
      <c r="BO52" s="203"/>
      <c r="BP52" s="203"/>
      <c r="BQ52" s="203"/>
      <c r="BR52" s="203"/>
      <c r="BS52" s="203"/>
      <c r="BT52" s="203"/>
      <c r="BU52" s="203"/>
      <c r="BV52" s="203"/>
      <c r="BW52" s="203"/>
      <c r="BX52" s="203"/>
      <c r="BY52" s="203"/>
      <c r="BZ52" s="203"/>
      <c r="CA52" s="203"/>
      <c r="CB52" s="203"/>
      <c r="CC52" s="203"/>
      <c r="CD52" s="203"/>
      <c r="CE52" s="203"/>
      <c r="CF52" s="203"/>
      <c r="CG52" s="203"/>
      <c r="CH52" s="203"/>
      <c r="CI52" s="203"/>
      <c r="CJ52" s="203"/>
      <c r="CK52" s="203"/>
      <c r="CL52" s="203"/>
      <c r="CM52" s="203"/>
      <c r="CN52" s="203"/>
      <c r="CO52" s="203"/>
      <c r="CP52" s="203"/>
      <c r="CQ52" s="203"/>
      <c r="CR52" s="203"/>
      <c r="CS52" s="203"/>
      <c r="CT52" s="203"/>
      <c r="CU52" s="203"/>
      <c r="CV52" s="203"/>
      <c r="CW52" s="203"/>
      <c r="CX52" s="203"/>
      <c r="CY52" s="203"/>
      <c r="CZ52" s="203"/>
      <c r="DA52" s="203"/>
      <c r="DB52" s="203"/>
      <c r="DC52" s="203"/>
      <c r="DD52" s="203"/>
      <c r="DE52" s="203"/>
      <c r="DF52" s="203"/>
      <c r="DG52" s="203"/>
      <c r="DH52" s="203"/>
      <c r="DI52" s="203"/>
      <c r="DJ52" s="203"/>
      <c r="DK52" s="203"/>
      <c r="DL52" s="203"/>
      <c r="DM52" s="203"/>
      <c r="DN52" s="203"/>
      <c r="DO52" s="203"/>
      <c r="DP52" s="203"/>
      <c r="DQ52" s="203"/>
      <c r="DR52" s="203"/>
      <c r="DS52" s="203"/>
      <c r="DT52" s="203"/>
      <c r="DU52" s="203"/>
      <c r="DV52" s="203"/>
      <c r="DW52" s="203"/>
      <c r="DX52" s="203"/>
      <c r="DY52" s="203"/>
      <c r="DZ52" s="203"/>
      <c r="EA52" s="203"/>
      <c r="EB52" s="203"/>
      <c r="EC52" s="203"/>
      <c r="ED52" s="203"/>
      <c r="EE52" s="203"/>
      <c r="EF52" s="203"/>
      <c r="EG52" s="203"/>
      <c r="EH52" s="203"/>
      <c r="EI52" s="203"/>
      <c r="EJ52" s="203"/>
      <c r="EK52" s="203"/>
      <c r="EL52" s="203"/>
      <c r="EM52" s="203"/>
      <c r="EN52" s="203"/>
      <c r="EO52" s="203"/>
      <c r="EP52" s="203"/>
      <c r="EQ52" s="203"/>
      <c r="ER52" s="203"/>
      <c r="ES52" s="203"/>
      <c r="ET52" s="203"/>
      <c r="EU52" s="203"/>
      <c r="EV52" s="203"/>
      <c r="EW52" s="203"/>
      <c r="EX52" s="203"/>
      <c r="EY52" s="203"/>
      <c r="EZ52" s="203"/>
      <c r="FA52" s="203"/>
      <c r="FB52" s="203"/>
      <c r="FC52" s="203"/>
      <c r="FD52" s="203"/>
      <c r="FE52" s="203"/>
      <c r="FF52" s="203"/>
      <c r="FG52" s="203"/>
      <c r="FH52" s="203"/>
      <c r="FI52" s="203"/>
      <c r="FJ52" s="203"/>
      <c r="FK52" s="203"/>
      <c r="FL52" s="203"/>
      <c r="FM52" s="203"/>
      <c r="FN52" s="203"/>
      <c r="FO52" s="203"/>
      <c r="FP52" s="203"/>
      <c r="FQ52" s="203"/>
      <c r="FR52" s="203"/>
      <c r="FS52" s="203"/>
      <c r="FT52" s="203"/>
      <c r="FU52" s="203"/>
    </row>
    <row r="53" spans="2:177" ht="20.100000000000001" customHeight="1" x14ac:dyDescent="0.25">
      <c r="B53" s="160">
        <v>0.75</v>
      </c>
      <c r="C53" s="203"/>
      <c r="D53" s="203"/>
      <c r="E53" s="203"/>
      <c r="F53" s="203"/>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c r="AG53" s="203"/>
      <c r="AH53" s="203"/>
      <c r="AI53" s="203"/>
      <c r="AJ53" s="203"/>
      <c r="AK53" s="203"/>
      <c r="AL53" s="203"/>
      <c r="AM53" s="203"/>
      <c r="AN53" s="203"/>
      <c r="AO53" s="203"/>
      <c r="AP53" s="203"/>
      <c r="AQ53" s="203"/>
      <c r="AR53" s="203"/>
      <c r="AS53" s="203"/>
      <c r="AT53" s="203"/>
      <c r="AU53" s="203"/>
      <c r="AV53" s="203"/>
      <c r="AW53" s="203"/>
      <c r="AX53" s="203"/>
      <c r="AY53" s="203"/>
      <c r="AZ53" s="203"/>
      <c r="BA53" s="203"/>
      <c r="BB53" s="203"/>
      <c r="BC53" s="203"/>
      <c r="BD53" s="203"/>
      <c r="BE53" s="203"/>
      <c r="BF53" s="203"/>
      <c r="BG53" s="203"/>
      <c r="BH53" s="203"/>
      <c r="BI53" s="203"/>
      <c r="BJ53" s="203"/>
      <c r="BK53" s="203"/>
      <c r="BL53" s="203"/>
      <c r="BM53" s="203"/>
      <c r="BN53" s="203"/>
      <c r="BO53" s="203"/>
      <c r="BP53" s="203"/>
      <c r="BQ53" s="203"/>
      <c r="BR53" s="203"/>
      <c r="BS53" s="203"/>
      <c r="BT53" s="203"/>
      <c r="BU53" s="203"/>
      <c r="BV53" s="203"/>
      <c r="BW53" s="203"/>
      <c r="BX53" s="203"/>
      <c r="BY53" s="203"/>
      <c r="BZ53" s="203"/>
      <c r="CA53" s="203"/>
      <c r="CB53" s="203"/>
      <c r="CC53" s="203"/>
      <c r="CD53" s="203"/>
      <c r="CE53" s="203"/>
      <c r="CF53" s="203"/>
      <c r="CG53" s="203"/>
      <c r="CH53" s="203"/>
      <c r="CI53" s="203"/>
      <c r="CJ53" s="203"/>
      <c r="CK53" s="203"/>
      <c r="CL53" s="203"/>
      <c r="CM53" s="203"/>
      <c r="CN53" s="203"/>
      <c r="CO53" s="203"/>
      <c r="CP53" s="203"/>
      <c r="CQ53" s="203"/>
      <c r="CR53" s="203"/>
      <c r="CS53" s="203"/>
      <c r="CT53" s="203"/>
      <c r="CU53" s="203"/>
      <c r="CV53" s="203"/>
      <c r="CW53" s="203"/>
      <c r="CX53" s="203"/>
      <c r="CY53" s="203"/>
      <c r="CZ53" s="203"/>
      <c r="DA53" s="203"/>
      <c r="DB53" s="203"/>
      <c r="DC53" s="203"/>
      <c r="DD53" s="203"/>
      <c r="DE53" s="203"/>
      <c r="DF53" s="203"/>
      <c r="DG53" s="203"/>
      <c r="DH53" s="203"/>
      <c r="DI53" s="203"/>
      <c r="DJ53" s="203"/>
      <c r="DK53" s="203"/>
      <c r="DL53" s="203"/>
      <c r="DM53" s="203"/>
      <c r="DN53" s="203"/>
      <c r="DO53" s="203"/>
      <c r="DP53" s="203"/>
      <c r="DQ53" s="203"/>
      <c r="DR53" s="203"/>
      <c r="DS53" s="203"/>
      <c r="DT53" s="203"/>
      <c r="DU53" s="203"/>
      <c r="DV53" s="203"/>
      <c r="DW53" s="203"/>
      <c r="DX53" s="203"/>
      <c r="DY53" s="203"/>
      <c r="DZ53" s="203"/>
      <c r="EA53" s="203"/>
      <c r="EB53" s="203"/>
      <c r="EC53" s="203"/>
      <c r="ED53" s="203"/>
      <c r="EE53" s="203"/>
      <c r="EF53" s="203"/>
      <c r="EG53" s="203"/>
      <c r="EH53" s="203"/>
      <c r="EI53" s="203"/>
      <c r="EJ53" s="203"/>
      <c r="EK53" s="203"/>
      <c r="EL53" s="203"/>
      <c r="EM53" s="203"/>
      <c r="EN53" s="203"/>
      <c r="EO53" s="203"/>
      <c r="EP53" s="203"/>
      <c r="EQ53" s="203"/>
      <c r="ER53" s="203"/>
      <c r="ES53" s="203"/>
      <c r="ET53" s="203"/>
      <c r="EU53" s="203"/>
      <c r="EV53" s="203"/>
      <c r="EW53" s="203"/>
      <c r="EX53" s="203"/>
      <c r="EY53" s="203"/>
      <c r="EZ53" s="203"/>
      <c r="FA53" s="203"/>
      <c r="FB53" s="203"/>
      <c r="FC53" s="203"/>
      <c r="FD53" s="203"/>
      <c r="FE53" s="203"/>
      <c r="FF53" s="203"/>
      <c r="FG53" s="203"/>
      <c r="FH53" s="203"/>
      <c r="FI53" s="203"/>
      <c r="FJ53" s="203"/>
      <c r="FK53" s="203"/>
      <c r="FL53" s="203"/>
      <c r="FM53" s="203"/>
      <c r="FN53" s="203"/>
      <c r="FO53" s="203"/>
      <c r="FP53" s="203"/>
      <c r="FQ53" s="203"/>
      <c r="FR53" s="203"/>
      <c r="FS53" s="203"/>
      <c r="FT53" s="203"/>
      <c r="FU53" s="203"/>
    </row>
    <row r="54" spans="2:177" ht="20.100000000000001" customHeight="1" x14ac:dyDescent="0.25">
      <c r="B54" s="160">
        <v>0.79166666666666696</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c r="BW54" s="203"/>
      <c r="BX54" s="203"/>
      <c r="BY54" s="203"/>
      <c r="BZ54" s="203"/>
      <c r="CA54" s="203"/>
      <c r="CB54" s="203"/>
      <c r="CC54" s="203"/>
      <c r="CD54" s="203"/>
      <c r="CE54" s="203"/>
      <c r="CF54" s="203"/>
      <c r="CG54" s="203"/>
      <c r="CH54" s="203"/>
      <c r="CI54" s="203"/>
      <c r="CJ54" s="203"/>
      <c r="CK54" s="203"/>
      <c r="CL54" s="203"/>
      <c r="CM54" s="203"/>
      <c r="CN54" s="203"/>
      <c r="CO54" s="203"/>
      <c r="CP54" s="203"/>
      <c r="CQ54" s="203"/>
      <c r="CR54" s="203"/>
      <c r="CS54" s="203"/>
      <c r="CT54" s="203"/>
      <c r="CU54" s="203"/>
      <c r="CV54" s="203"/>
      <c r="CW54" s="203"/>
      <c r="CX54" s="203"/>
      <c r="CY54" s="203"/>
      <c r="CZ54" s="203"/>
      <c r="DA54" s="203"/>
      <c r="DB54" s="203"/>
      <c r="DC54" s="203"/>
      <c r="DD54" s="203"/>
      <c r="DE54" s="203"/>
      <c r="DF54" s="203"/>
      <c r="DG54" s="203"/>
      <c r="DH54" s="203"/>
      <c r="DI54" s="203"/>
      <c r="DJ54" s="203"/>
      <c r="DK54" s="203"/>
      <c r="DL54" s="203"/>
      <c r="DM54" s="203"/>
      <c r="DN54" s="203"/>
      <c r="DO54" s="203"/>
      <c r="DP54" s="203"/>
      <c r="DQ54" s="203"/>
      <c r="DR54" s="203"/>
      <c r="DS54" s="203"/>
      <c r="DT54" s="203"/>
      <c r="DU54" s="203"/>
      <c r="DV54" s="203"/>
      <c r="DW54" s="203"/>
      <c r="DX54" s="203"/>
      <c r="DY54" s="203"/>
      <c r="DZ54" s="203"/>
      <c r="EA54" s="203"/>
      <c r="EB54" s="203"/>
      <c r="EC54" s="203"/>
      <c r="ED54" s="203"/>
      <c r="EE54" s="203"/>
      <c r="EF54" s="203"/>
      <c r="EG54" s="203"/>
      <c r="EH54" s="203"/>
      <c r="EI54" s="203"/>
      <c r="EJ54" s="203"/>
      <c r="EK54" s="203"/>
      <c r="EL54" s="203"/>
      <c r="EM54" s="203"/>
      <c r="EN54" s="203"/>
      <c r="EO54" s="203"/>
      <c r="EP54" s="203"/>
      <c r="EQ54" s="203"/>
      <c r="ER54" s="203"/>
      <c r="ES54" s="203"/>
      <c r="ET54" s="203"/>
      <c r="EU54" s="203"/>
      <c r="EV54" s="203"/>
      <c r="EW54" s="203"/>
      <c r="EX54" s="203"/>
      <c r="EY54" s="203"/>
      <c r="EZ54" s="203"/>
      <c r="FA54" s="203"/>
      <c r="FB54" s="203"/>
      <c r="FC54" s="203"/>
      <c r="FD54" s="203"/>
      <c r="FE54" s="203"/>
      <c r="FF54" s="203"/>
      <c r="FG54" s="203"/>
      <c r="FH54" s="203"/>
      <c r="FI54" s="203"/>
      <c r="FJ54" s="203"/>
      <c r="FK54" s="203"/>
      <c r="FL54" s="203"/>
      <c r="FM54" s="203"/>
      <c r="FN54" s="203"/>
      <c r="FO54" s="203"/>
      <c r="FP54" s="203"/>
      <c r="FQ54" s="203"/>
      <c r="FR54" s="203"/>
      <c r="FS54" s="203"/>
      <c r="FT54" s="203"/>
      <c r="FU54" s="203"/>
    </row>
    <row r="55" spans="2:177" ht="20.100000000000001" customHeight="1" x14ac:dyDescent="0.25">
      <c r="B55" s="160">
        <v>0.83333333333333304</v>
      </c>
      <c r="C55" s="203"/>
      <c r="D55" s="203"/>
      <c r="E55" s="203"/>
      <c r="F55" s="203"/>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c r="AG55" s="203"/>
      <c r="AH55" s="203"/>
      <c r="AI55" s="203"/>
      <c r="AJ55" s="203"/>
      <c r="AK55" s="203"/>
      <c r="AL55" s="203"/>
      <c r="AM55" s="203"/>
      <c r="AN55" s="203"/>
      <c r="AO55" s="203"/>
      <c r="AP55" s="203"/>
      <c r="AQ55" s="203"/>
      <c r="AR55" s="203"/>
      <c r="AS55" s="203"/>
      <c r="AT55" s="203"/>
      <c r="AU55" s="203"/>
      <c r="AV55" s="203"/>
      <c r="AW55" s="203"/>
      <c r="AX55" s="203"/>
      <c r="AY55" s="203"/>
      <c r="AZ55" s="203"/>
      <c r="BA55" s="203"/>
      <c r="BB55" s="203"/>
      <c r="BC55" s="203"/>
      <c r="BD55" s="203"/>
      <c r="BE55" s="203"/>
      <c r="BF55" s="203"/>
      <c r="BG55" s="203"/>
      <c r="BH55" s="203"/>
      <c r="BI55" s="203"/>
      <c r="BJ55" s="203"/>
      <c r="BK55" s="203"/>
      <c r="BL55" s="203"/>
      <c r="BM55" s="203"/>
      <c r="BN55" s="203"/>
      <c r="BO55" s="203"/>
      <c r="BP55" s="203"/>
      <c r="BQ55" s="203"/>
      <c r="BR55" s="203"/>
      <c r="BS55" s="203"/>
      <c r="BT55" s="203"/>
      <c r="BU55" s="203"/>
      <c r="BV55" s="203"/>
      <c r="BW55" s="203"/>
      <c r="BX55" s="203"/>
      <c r="BY55" s="203"/>
      <c r="BZ55" s="203"/>
      <c r="CA55" s="203"/>
      <c r="CB55" s="203"/>
      <c r="CC55" s="203"/>
      <c r="CD55" s="203"/>
      <c r="CE55" s="203"/>
      <c r="CF55" s="203"/>
      <c r="CG55" s="203"/>
      <c r="CH55" s="203"/>
      <c r="CI55" s="203"/>
      <c r="CJ55" s="203"/>
      <c r="CK55" s="203"/>
      <c r="CL55" s="203"/>
      <c r="CM55" s="203"/>
      <c r="CN55" s="203"/>
      <c r="CO55" s="203"/>
      <c r="CP55" s="203"/>
      <c r="CQ55" s="203"/>
      <c r="CR55" s="203"/>
      <c r="CS55" s="203"/>
      <c r="CT55" s="203"/>
      <c r="CU55" s="203"/>
      <c r="CV55" s="203"/>
      <c r="CW55" s="203"/>
      <c r="CX55" s="203"/>
      <c r="CY55" s="203"/>
      <c r="CZ55" s="203"/>
      <c r="DA55" s="203"/>
      <c r="DB55" s="203"/>
      <c r="DC55" s="203"/>
      <c r="DD55" s="203"/>
      <c r="DE55" s="203"/>
      <c r="DF55" s="203"/>
      <c r="DG55" s="203"/>
      <c r="DH55" s="203"/>
      <c r="DI55" s="203"/>
      <c r="DJ55" s="203"/>
      <c r="DK55" s="203"/>
      <c r="DL55" s="203"/>
      <c r="DM55" s="203"/>
      <c r="DN55" s="203"/>
      <c r="DO55" s="203"/>
      <c r="DP55" s="203"/>
      <c r="DQ55" s="203"/>
      <c r="DR55" s="203"/>
      <c r="DS55" s="203"/>
      <c r="DT55" s="203"/>
      <c r="DU55" s="203"/>
      <c r="DV55" s="203"/>
      <c r="DW55" s="203"/>
      <c r="DX55" s="203"/>
      <c r="DY55" s="203"/>
      <c r="DZ55" s="203"/>
      <c r="EA55" s="203"/>
      <c r="EB55" s="203"/>
      <c r="EC55" s="203"/>
      <c r="ED55" s="203"/>
      <c r="EE55" s="203"/>
      <c r="EF55" s="203"/>
      <c r="EG55" s="203"/>
      <c r="EH55" s="203"/>
      <c r="EI55" s="203"/>
      <c r="EJ55" s="203"/>
      <c r="EK55" s="203"/>
      <c r="EL55" s="203"/>
      <c r="EM55" s="203"/>
      <c r="EN55" s="203"/>
      <c r="EO55" s="203"/>
      <c r="EP55" s="203"/>
      <c r="EQ55" s="203"/>
      <c r="ER55" s="203"/>
      <c r="ES55" s="203"/>
      <c r="ET55" s="203"/>
      <c r="EU55" s="203"/>
      <c r="EV55" s="203"/>
      <c r="EW55" s="203"/>
      <c r="EX55" s="203"/>
      <c r="EY55" s="203"/>
      <c r="EZ55" s="203"/>
      <c r="FA55" s="203"/>
      <c r="FB55" s="203"/>
      <c r="FC55" s="203"/>
      <c r="FD55" s="203"/>
      <c r="FE55" s="203"/>
      <c r="FF55" s="203"/>
      <c r="FG55" s="203"/>
      <c r="FH55" s="203"/>
      <c r="FI55" s="203"/>
      <c r="FJ55" s="203"/>
      <c r="FK55" s="203"/>
      <c r="FL55" s="203"/>
      <c r="FM55" s="203"/>
      <c r="FN55" s="203"/>
      <c r="FO55" s="203"/>
      <c r="FP55" s="203"/>
      <c r="FQ55" s="203"/>
      <c r="FR55" s="203"/>
      <c r="FS55" s="203"/>
      <c r="FT55" s="203"/>
      <c r="FU55" s="203"/>
    </row>
    <row r="56" spans="2:177" ht="20.100000000000001" customHeight="1" x14ac:dyDescent="0.25">
      <c r="B56" s="160">
        <v>0.875</v>
      </c>
      <c r="C56" s="203"/>
      <c r="D56" s="203"/>
      <c r="E56" s="203"/>
      <c r="F56" s="203"/>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c r="AG56" s="203"/>
      <c r="AH56" s="203"/>
      <c r="AI56" s="203"/>
      <c r="AJ56" s="203"/>
      <c r="AK56" s="203"/>
      <c r="AL56" s="203"/>
      <c r="AM56" s="203"/>
      <c r="AN56" s="203"/>
      <c r="AO56" s="203"/>
      <c r="AP56" s="203"/>
      <c r="AQ56" s="203"/>
      <c r="AR56" s="203"/>
      <c r="AS56" s="203"/>
      <c r="AT56" s="203"/>
      <c r="AU56" s="203"/>
      <c r="AV56" s="203"/>
      <c r="AW56" s="203"/>
      <c r="AX56" s="203"/>
      <c r="AY56" s="203"/>
      <c r="AZ56" s="203"/>
      <c r="BA56" s="203"/>
      <c r="BB56" s="203"/>
      <c r="BC56" s="203"/>
      <c r="BD56" s="203"/>
      <c r="BE56" s="203"/>
      <c r="BF56" s="203"/>
      <c r="BG56" s="203"/>
      <c r="BH56" s="203"/>
      <c r="BI56" s="203"/>
      <c r="BJ56" s="203"/>
      <c r="BK56" s="203"/>
      <c r="BL56" s="203"/>
      <c r="BM56" s="203"/>
      <c r="BN56" s="203"/>
      <c r="BO56" s="203"/>
      <c r="BP56" s="203"/>
      <c r="BQ56" s="203"/>
      <c r="BR56" s="203"/>
      <c r="BS56" s="203"/>
      <c r="BT56" s="203"/>
      <c r="BU56" s="203"/>
      <c r="BV56" s="203"/>
      <c r="BW56" s="203"/>
      <c r="BX56" s="203"/>
      <c r="BY56" s="203"/>
      <c r="BZ56" s="203"/>
      <c r="CA56" s="203"/>
      <c r="CB56" s="203"/>
      <c r="CC56" s="203"/>
      <c r="CD56" s="203"/>
      <c r="CE56" s="203"/>
      <c r="CF56" s="203"/>
      <c r="CG56" s="203"/>
      <c r="CH56" s="203"/>
      <c r="CI56" s="203"/>
      <c r="CJ56" s="203"/>
      <c r="CK56" s="203"/>
      <c r="CL56" s="203"/>
      <c r="CM56" s="203"/>
      <c r="CN56" s="203"/>
      <c r="CO56" s="203"/>
      <c r="CP56" s="203"/>
      <c r="CQ56" s="203"/>
      <c r="CR56" s="203"/>
      <c r="CS56" s="203"/>
      <c r="CT56" s="203"/>
      <c r="CU56" s="203"/>
      <c r="CV56" s="203"/>
      <c r="CW56" s="203"/>
      <c r="CX56" s="203"/>
      <c r="CY56" s="203"/>
      <c r="CZ56" s="203"/>
      <c r="DA56" s="203"/>
      <c r="DB56" s="203"/>
      <c r="DC56" s="203"/>
      <c r="DD56" s="203"/>
      <c r="DE56" s="203"/>
      <c r="DF56" s="203"/>
      <c r="DG56" s="203"/>
      <c r="DH56" s="203"/>
      <c r="DI56" s="203"/>
      <c r="DJ56" s="203"/>
      <c r="DK56" s="203"/>
      <c r="DL56" s="203"/>
      <c r="DM56" s="203"/>
      <c r="DN56" s="203"/>
      <c r="DO56" s="203"/>
      <c r="DP56" s="203"/>
      <c r="DQ56" s="203"/>
      <c r="DR56" s="203"/>
      <c r="DS56" s="203"/>
      <c r="DT56" s="203"/>
      <c r="DU56" s="203"/>
      <c r="DV56" s="203"/>
      <c r="DW56" s="203"/>
      <c r="DX56" s="203"/>
      <c r="DY56" s="203"/>
      <c r="DZ56" s="203"/>
      <c r="EA56" s="203"/>
      <c r="EB56" s="203"/>
      <c r="EC56" s="203"/>
      <c r="ED56" s="203"/>
      <c r="EE56" s="203"/>
      <c r="EF56" s="203"/>
      <c r="EG56" s="203"/>
      <c r="EH56" s="203"/>
      <c r="EI56" s="203"/>
      <c r="EJ56" s="203"/>
      <c r="EK56" s="203"/>
      <c r="EL56" s="203"/>
      <c r="EM56" s="203"/>
      <c r="EN56" s="203"/>
      <c r="EO56" s="203"/>
      <c r="EP56" s="203"/>
      <c r="EQ56" s="203"/>
      <c r="ER56" s="203"/>
      <c r="ES56" s="203"/>
      <c r="ET56" s="203"/>
      <c r="EU56" s="203"/>
      <c r="EV56" s="203"/>
      <c r="EW56" s="203"/>
      <c r="EX56" s="203"/>
      <c r="EY56" s="203"/>
      <c r="EZ56" s="203"/>
      <c r="FA56" s="203"/>
      <c r="FB56" s="203"/>
      <c r="FC56" s="203"/>
      <c r="FD56" s="203"/>
      <c r="FE56" s="203"/>
      <c r="FF56" s="203"/>
      <c r="FG56" s="203"/>
      <c r="FH56" s="203"/>
      <c r="FI56" s="203"/>
      <c r="FJ56" s="203"/>
      <c r="FK56" s="203"/>
      <c r="FL56" s="203"/>
      <c r="FM56" s="203"/>
      <c r="FN56" s="203"/>
      <c r="FO56" s="203"/>
      <c r="FP56" s="203"/>
      <c r="FQ56" s="203"/>
      <c r="FR56" s="203"/>
      <c r="FS56" s="203"/>
      <c r="FT56" s="203"/>
      <c r="FU56" s="203"/>
    </row>
    <row r="57" spans="2:177" ht="20.100000000000001" customHeight="1" x14ac:dyDescent="0.25">
      <c r="B57" s="160">
        <v>0.91666666666666696</v>
      </c>
      <c r="C57" s="203"/>
      <c r="D57" s="203"/>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3"/>
      <c r="AI57" s="203"/>
      <c r="AJ57" s="203"/>
      <c r="AK57" s="203"/>
      <c r="AL57" s="203"/>
      <c r="AM57" s="203"/>
      <c r="AN57" s="203"/>
      <c r="AO57" s="203"/>
      <c r="AP57" s="203"/>
      <c r="AQ57" s="203"/>
      <c r="AR57" s="203"/>
      <c r="AS57" s="203"/>
      <c r="AT57" s="203"/>
      <c r="AU57" s="203"/>
      <c r="AV57" s="203"/>
      <c r="AW57" s="203"/>
      <c r="AX57" s="203"/>
      <c r="AY57" s="203"/>
      <c r="AZ57" s="203"/>
      <c r="BA57" s="203"/>
      <c r="BB57" s="203"/>
      <c r="BC57" s="203"/>
      <c r="BD57" s="203"/>
      <c r="BE57" s="203"/>
      <c r="BF57" s="203"/>
      <c r="BG57" s="203"/>
      <c r="BH57" s="203"/>
      <c r="BI57" s="203"/>
      <c r="BJ57" s="203"/>
      <c r="BK57" s="203"/>
      <c r="BL57" s="203"/>
      <c r="BM57" s="203"/>
      <c r="BN57" s="203"/>
      <c r="BO57" s="203"/>
      <c r="BP57" s="203"/>
      <c r="BQ57" s="203"/>
      <c r="BR57" s="203"/>
      <c r="BS57" s="203"/>
      <c r="BT57" s="203"/>
      <c r="BU57" s="203"/>
      <c r="BV57" s="203"/>
      <c r="BW57" s="203"/>
      <c r="BX57" s="203"/>
      <c r="BY57" s="203"/>
      <c r="BZ57" s="203"/>
      <c r="CA57" s="203"/>
      <c r="CB57" s="203"/>
      <c r="CC57" s="203"/>
      <c r="CD57" s="203"/>
      <c r="CE57" s="203"/>
      <c r="CF57" s="203"/>
      <c r="CG57" s="203"/>
      <c r="CH57" s="203"/>
      <c r="CI57" s="203"/>
      <c r="CJ57" s="203"/>
      <c r="CK57" s="203"/>
      <c r="CL57" s="203"/>
      <c r="CM57" s="203"/>
      <c r="CN57" s="203"/>
      <c r="CO57" s="203"/>
      <c r="CP57" s="203"/>
      <c r="CQ57" s="203"/>
      <c r="CR57" s="203"/>
      <c r="CS57" s="203"/>
      <c r="CT57" s="203"/>
      <c r="CU57" s="203"/>
      <c r="CV57" s="203"/>
      <c r="CW57" s="203"/>
      <c r="CX57" s="203"/>
      <c r="CY57" s="203"/>
      <c r="CZ57" s="203"/>
      <c r="DA57" s="203"/>
      <c r="DB57" s="203"/>
      <c r="DC57" s="203"/>
      <c r="DD57" s="203"/>
      <c r="DE57" s="203"/>
      <c r="DF57" s="203"/>
      <c r="DG57" s="203"/>
      <c r="DH57" s="203"/>
      <c r="DI57" s="203"/>
      <c r="DJ57" s="203"/>
      <c r="DK57" s="203"/>
      <c r="DL57" s="203"/>
      <c r="DM57" s="203"/>
      <c r="DN57" s="203"/>
      <c r="DO57" s="203"/>
      <c r="DP57" s="203"/>
      <c r="DQ57" s="203"/>
      <c r="DR57" s="203"/>
      <c r="DS57" s="203"/>
      <c r="DT57" s="203"/>
      <c r="DU57" s="203"/>
      <c r="DV57" s="203"/>
      <c r="DW57" s="203"/>
      <c r="DX57" s="203"/>
      <c r="DY57" s="203"/>
      <c r="DZ57" s="203"/>
      <c r="EA57" s="203"/>
      <c r="EB57" s="203"/>
      <c r="EC57" s="203"/>
      <c r="ED57" s="203"/>
      <c r="EE57" s="203"/>
      <c r="EF57" s="203"/>
      <c r="EG57" s="203"/>
      <c r="EH57" s="203"/>
      <c r="EI57" s="203"/>
      <c r="EJ57" s="203"/>
      <c r="EK57" s="203"/>
      <c r="EL57" s="203"/>
      <c r="EM57" s="203"/>
      <c r="EN57" s="203"/>
      <c r="EO57" s="203"/>
      <c r="EP57" s="203"/>
      <c r="EQ57" s="203"/>
      <c r="ER57" s="203"/>
      <c r="ES57" s="203"/>
      <c r="ET57" s="203"/>
      <c r="EU57" s="203"/>
      <c r="EV57" s="203"/>
      <c r="EW57" s="203"/>
      <c r="EX57" s="203"/>
      <c r="EY57" s="203"/>
      <c r="EZ57" s="203"/>
      <c r="FA57" s="203"/>
      <c r="FB57" s="203"/>
      <c r="FC57" s="203"/>
      <c r="FD57" s="203"/>
      <c r="FE57" s="203"/>
      <c r="FF57" s="203"/>
      <c r="FG57" s="203"/>
      <c r="FH57" s="203"/>
      <c r="FI57" s="203"/>
      <c r="FJ57" s="203"/>
      <c r="FK57" s="203"/>
      <c r="FL57" s="203"/>
      <c r="FM57" s="203"/>
      <c r="FN57" s="203"/>
      <c r="FO57" s="203"/>
      <c r="FP57" s="203"/>
      <c r="FQ57" s="203"/>
      <c r="FR57" s="203"/>
      <c r="FS57" s="203"/>
      <c r="FT57" s="203"/>
      <c r="FU57" s="203"/>
    </row>
    <row r="58" spans="2:177" ht="20.100000000000001" customHeight="1" x14ac:dyDescent="0.25">
      <c r="B58" s="160">
        <v>0.95833333333333304</v>
      </c>
      <c r="C58" s="203"/>
      <c r="D58" s="203"/>
      <c r="E58" s="203"/>
      <c r="F58" s="203"/>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03"/>
      <c r="AS58" s="203"/>
      <c r="AT58" s="203"/>
      <c r="AU58" s="203"/>
      <c r="AV58" s="203"/>
      <c r="AW58" s="203"/>
      <c r="AX58" s="203"/>
      <c r="AY58" s="203"/>
      <c r="AZ58" s="203"/>
      <c r="BA58" s="203"/>
      <c r="BB58" s="203"/>
      <c r="BC58" s="203"/>
      <c r="BD58" s="203"/>
      <c r="BE58" s="203"/>
      <c r="BF58" s="203"/>
      <c r="BG58" s="203"/>
      <c r="BH58" s="203"/>
      <c r="BI58" s="203"/>
      <c r="BJ58" s="203"/>
      <c r="BK58" s="203"/>
      <c r="BL58" s="203"/>
      <c r="BM58" s="203"/>
      <c r="BN58" s="203"/>
      <c r="BO58" s="203"/>
      <c r="BP58" s="203"/>
      <c r="BQ58" s="203"/>
      <c r="BR58" s="203"/>
      <c r="BS58" s="203"/>
      <c r="BT58" s="203"/>
      <c r="BU58" s="203"/>
      <c r="BV58" s="203"/>
      <c r="BW58" s="203"/>
      <c r="BX58" s="203"/>
      <c r="BY58" s="203"/>
      <c r="BZ58" s="203"/>
      <c r="CA58" s="203"/>
      <c r="CB58" s="203"/>
      <c r="CC58" s="203"/>
      <c r="CD58" s="203"/>
      <c r="CE58" s="203"/>
      <c r="CF58" s="203"/>
      <c r="CG58" s="203"/>
      <c r="CH58" s="203"/>
      <c r="CI58" s="203"/>
      <c r="CJ58" s="203"/>
      <c r="CK58" s="203"/>
      <c r="CL58" s="203"/>
      <c r="CM58" s="203"/>
      <c r="CN58" s="203"/>
      <c r="CO58" s="203"/>
      <c r="CP58" s="203"/>
      <c r="CQ58" s="203"/>
      <c r="CR58" s="203"/>
      <c r="CS58" s="203"/>
      <c r="CT58" s="203"/>
      <c r="CU58" s="203"/>
      <c r="CV58" s="203"/>
      <c r="CW58" s="203"/>
      <c r="CX58" s="203"/>
      <c r="CY58" s="203"/>
      <c r="CZ58" s="203"/>
      <c r="DA58" s="203"/>
      <c r="DB58" s="203"/>
      <c r="DC58" s="203"/>
      <c r="DD58" s="203"/>
      <c r="DE58" s="203"/>
      <c r="DF58" s="203"/>
      <c r="DG58" s="203"/>
      <c r="DH58" s="203"/>
      <c r="DI58" s="203"/>
      <c r="DJ58" s="203"/>
      <c r="DK58" s="203"/>
      <c r="DL58" s="203"/>
      <c r="DM58" s="203"/>
      <c r="DN58" s="203"/>
      <c r="DO58" s="203"/>
      <c r="DP58" s="203"/>
      <c r="DQ58" s="203"/>
      <c r="DR58" s="203"/>
      <c r="DS58" s="203"/>
      <c r="DT58" s="203"/>
      <c r="DU58" s="203"/>
      <c r="DV58" s="203"/>
      <c r="DW58" s="203"/>
      <c r="DX58" s="203"/>
      <c r="DY58" s="203"/>
      <c r="DZ58" s="203"/>
      <c r="EA58" s="203"/>
      <c r="EB58" s="203"/>
      <c r="EC58" s="203"/>
      <c r="ED58" s="203"/>
      <c r="EE58" s="203"/>
      <c r="EF58" s="203"/>
      <c r="EG58" s="203"/>
      <c r="EH58" s="203"/>
      <c r="EI58" s="203"/>
      <c r="EJ58" s="203"/>
      <c r="EK58" s="203"/>
      <c r="EL58" s="203"/>
      <c r="EM58" s="203"/>
      <c r="EN58" s="203"/>
      <c r="EO58" s="203"/>
      <c r="EP58" s="203"/>
      <c r="EQ58" s="203"/>
      <c r="ER58" s="203"/>
      <c r="ES58" s="203"/>
      <c r="ET58" s="203"/>
      <c r="EU58" s="203"/>
      <c r="EV58" s="203"/>
      <c r="EW58" s="203"/>
      <c r="EX58" s="203"/>
      <c r="EY58" s="203"/>
      <c r="EZ58" s="203"/>
      <c r="FA58" s="203"/>
      <c r="FB58" s="203"/>
      <c r="FC58" s="203"/>
      <c r="FD58" s="203"/>
      <c r="FE58" s="203"/>
      <c r="FF58" s="203"/>
      <c r="FG58" s="203"/>
      <c r="FH58" s="203"/>
      <c r="FI58" s="203"/>
      <c r="FJ58" s="203"/>
      <c r="FK58" s="203"/>
      <c r="FL58" s="203"/>
      <c r="FM58" s="203"/>
      <c r="FN58" s="203"/>
      <c r="FO58" s="203"/>
      <c r="FP58" s="203"/>
      <c r="FQ58" s="203"/>
      <c r="FR58" s="203"/>
      <c r="FS58" s="203"/>
      <c r="FT58" s="203"/>
      <c r="FU58" s="203"/>
    </row>
    <row r="59" spans="2:177" ht="32.25" customHeight="1" x14ac:dyDescent="0.25">
      <c r="B59" s="202" t="s">
        <v>608</v>
      </c>
      <c r="C59" s="202">
        <f t="shared" ref="C59:BE59" si="5">SUM(C35:C58)</f>
        <v>0</v>
      </c>
      <c r="D59" s="202">
        <f t="shared" si="5"/>
        <v>0</v>
      </c>
      <c r="E59" s="202">
        <f t="shared" si="5"/>
        <v>0</v>
      </c>
      <c r="F59" s="202">
        <f t="shared" si="5"/>
        <v>0</v>
      </c>
      <c r="G59" s="202">
        <f t="shared" si="5"/>
        <v>0</v>
      </c>
      <c r="H59" s="202">
        <f t="shared" si="5"/>
        <v>0</v>
      </c>
      <c r="I59" s="202">
        <f t="shared" si="5"/>
        <v>0</v>
      </c>
      <c r="J59" s="202">
        <f t="shared" si="5"/>
        <v>0</v>
      </c>
      <c r="K59" s="202">
        <f t="shared" si="5"/>
        <v>0</v>
      </c>
      <c r="L59" s="202">
        <f t="shared" si="5"/>
        <v>0</v>
      </c>
      <c r="M59" s="202">
        <f t="shared" si="5"/>
        <v>0</v>
      </c>
      <c r="N59" s="202">
        <f t="shared" si="5"/>
        <v>0</v>
      </c>
      <c r="O59" s="202">
        <f t="shared" si="5"/>
        <v>0</v>
      </c>
      <c r="P59" s="202">
        <f t="shared" si="5"/>
        <v>0</v>
      </c>
      <c r="Q59" s="202">
        <f t="shared" si="5"/>
        <v>0</v>
      </c>
      <c r="R59" s="202">
        <f t="shared" si="5"/>
        <v>0</v>
      </c>
      <c r="S59" s="202">
        <f t="shared" si="5"/>
        <v>0</v>
      </c>
      <c r="T59" s="202">
        <f t="shared" si="5"/>
        <v>0</v>
      </c>
      <c r="U59" s="202">
        <f t="shared" si="5"/>
        <v>0</v>
      </c>
      <c r="V59" s="202">
        <f t="shared" si="5"/>
        <v>0</v>
      </c>
      <c r="W59" s="202">
        <f t="shared" si="5"/>
        <v>0</v>
      </c>
      <c r="X59" s="202">
        <f t="shared" si="5"/>
        <v>0</v>
      </c>
      <c r="Y59" s="202">
        <f t="shared" si="5"/>
        <v>0</v>
      </c>
      <c r="Z59" s="202">
        <f t="shared" si="5"/>
        <v>0</v>
      </c>
      <c r="AA59" s="202">
        <f t="shared" si="5"/>
        <v>0</v>
      </c>
      <c r="AB59" s="202">
        <f t="shared" si="5"/>
        <v>0</v>
      </c>
      <c r="AC59" s="202">
        <f t="shared" si="5"/>
        <v>0</v>
      </c>
      <c r="AD59" s="202">
        <f t="shared" si="5"/>
        <v>0</v>
      </c>
      <c r="AE59" s="202">
        <f t="shared" si="5"/>
        <v>0</v>
      </c>
      <c r="AF59" s="202">
        <f t="shared" si="5"/>
        <v>0</v>
      </c>
      <c r="AG59" s="202">
        <f t="shared" si="5"/>
        <v>0</v>
      </c>
      <c r="AH59" s="202">
        <f t="shared" si="5"/>
        <v>0</v>
      </c>
      <c r="AI59" s="202">
        <f t="shared" si="5"/>
        <v>0</v>
      </c>
      <c r="AJ59" s="202">
        <f t="shared" si="5"/>
        <v>0</v>
      </c>
      <c r="AK59" s="202">
        <f t="shared" si="5"/>
        <v>0</v>
      </c>
      <c r="AL59" s="202">
        <f t="shared" si="5"/>
        <v>0</v>
      </c>
      <c r="AM59" s="202">
        <f t="shared" si="5"/>
        <v>0</v>
      </c>
      <c r="AN59" s="202">
        <f t="shared" si="5"/>
        <v>0</v>
      </c>
      <c r="AO59" s="202">
        <f t="shared" si="5"/>
        <v>0</v>
      </c>
      <c r="AP59" s="202">
        <f t="shared" si="5"/>
        <v>0</v>
      </c>
      <c r="AQ59" s="202">
        <f t="shared" si="5"/>
        <v>0</v>
      </c>
      <c r="AR59" s="202">
        <f t="shared" si="5"/>
        <v>0</v>
      </c>
      <c r="AS59" s="202">
        <f t="shared" si="5"/>
        <v>0</v>
      </c>
      <c r="AT59" s="202">
        <f t="shared" si="5"/>
        <v>0</v>
      </c>
      <c r="AU59" s="202">
        <f t="shared" si="5"/>
        <v>0</v>
      </c>
      <c r="AV59" s="202">
        <f t="shared" si="5"/>
        <v>0</v>
      </c>
      <c r="AW59" s="202">
        <f t="shared" si="5"/>
        <v>0</v>
      </c>
      <c r="AX59" s="202">
        <f t="shared" si="5"/>
        <v>0</v>
      </c>
      <c r="AY59" s="202">
        <f t="shared" si="5"/>
        <v>0</v>
      </c>
      <c r="AZ59" s="202">
        <f t="shared" si="5"/>
        <v>0</v>
      </c>
      <c r="BA59" s="202">
        <f t="shared" si="5"/>
        <v>0</v>
      </c>
      <c r="BB59" s="202">
        <f t="shared" si="5"/>
        <v>0</v>
      </c>
      <c r="BC59" s="202">
        <f t="shared" si="5"/>
        <v>0</v>
      </c>
      <c r="BD59" s="202">
        <f t="shared" si="5"/>
        <v>0</v>
      </c>
      <c r="BE59" s="202">
        <f t="shared" si="5"/>
        <v>0</v>
      </c>
      <c r="BF59" s="202">
        <f t="shared" ref="BF59:DQ59" si="6">SUM(BF35:BF58)</f>
        <v>0</v>
      </c>
      <c r="BG59" s="202">
        <f t="shared" si="6"/>
        <v>0</v>
      </c>
      <c r="BH59" s="202">
        <f t="shared" si="6"/>
        <v>0</v>
      </c>
      <c r="BI59" s="202">
        <f t="shared" si="6"/>
        <v>0</v>
      </c>
      <c r="BJ59" s="202">
        <f t="shared" si="6"/>
        <v>0</v>
      </c>
      <c r="BK59" s="202">
        <f t="shared" si="6"/>
        <v>0</v>
      </c>
      <c r="BL59" s="202">
        <f t="shared" si="6"/>
        <v>0</v>
      </c>
      <c r="BM59" s="202">
        <f t="shared" si="6"/>
        <v>0</v>
      </c>
      <c r="BN59" s="202">
        <f t="shared" si="6"/>
        <v>0</v>
      </c>
      <c r="BO59" s="202">
        <f t="shared" si="6"/>
        <v>0</v>
      </c>
      <c r="BP59" s="202">
        <f t="shared" si="6"/>
        <v>0</v>
      </c>
      <c r="BQ59" s="202">
        <f t="shared" si="6"/>
        <v>0</v>
      </c>
      <c r="BR59" s="202">
        <f t="shared" si="6"/>
        <v>0</v>
      </c>
      <c r="BS59" s="202">
        <f t="shared" si="6"/>
        <v>0</v>
      </c>
      <c r="BT59" s="202">
        <f t="shared" si="6"/>
        <v>0</v>
      </c>
      <c r="BU59" s="202">
        <f t="shared" si="6"/>
        <v>0</v>
      </c>
      <c r="BV59" s="202">
        <f t="shared" si="6"/>
        <v>0</v>
      </c>
      <c r="BW59" s="202">
        <f t="shared" si="6"/>
        <v>0</v>
      </c>
      <c r="BX59" s="202">
        <f t="shared" si="6"/>
        <v>0</v>
      </c>
      <c r="BY59" s="202">
        <f t="shared" si="6"/>
        <v>0</v>
      </c>
      <c r="BZ59" s="202">
        <f t="shared" si="6"/>
        <v>0</v>
      </c>
      <c r="CA59" s="202">
        <f t="shared" si="6"/>
        <v>0</v>
      </c>
      <c r="CB59" s="202">
        <f t="shared" si="6"/>
        <v>0</v>
      </c>
      <c r="CC59" s="202">
        <f t="shared" si="6"/>
        <v>0</v>
      </c>
      <c r="CD59" s="202">
        <f t="shared" si="6"/>
        <v>0</v>
      </c>
      <c r="CE59" s="202">
        <f t="shared" si="6"/>
        <v>0</v>
      </c>
      <c r="CF59" s="202">
        <f t="shared" si="6"/>
        <v>0</v>
      </c>
      <c r="CG59" s="202">
        <f t="shared" si="6"/>
        <v>0</v>
      </c>
      <c r="CH59" s="202">
        <f t="shared" si="6"/>
        <v>0</v>
      </c>
      <c r="CI59" s="202">
        <f t="shared" si="6"/>
        <v>0</v>
      </c>
      <c r="CJ59" s="202">
        <f t="shared" si="6"/>
        <v>0</v>
      </c>
      <c r="CK59" s="202">
        <f t="shared" si="6"/>
        <v>0</v>
      </c>
      <c r="CL59" s="202">
        <f t="shared" si="6"/>
        <v>0</v>
      </c>
      <c r="CM59" s="202">
        <f t="shared" si="6"/>
        <v>0</v>
      </c>
      <c r="CN59" s="202">
        <f t="shared" si="6"/>
        <v>0</v>
      </c>
      <c r="CO59" s="202">
        <f t="shared" si="6"/>
        <v>0</v>
      </c>
      <c r="CP59" s="202">
        <f t="shared" si="6"/>
        <v>0</v>
      </c>
      <c r="CQ59" s="202">
        <f t="shared" si="6"/>
        <v>0</v>
      </c>
      <c r="CR59" s="202">
        <f t="shared" si="6"/>
        <v>0</v>
      </c>
      <c r="CS59" s="202">
        <f t="shared" si="6"/>
        <v>0</v>
      </c>
      <c r="CT59" s="202">
        <f t="shared" si="6"/>
        <v>0</v>
      </c>
      <c r="CU59" s="202">
        <f t="shared" si="6"/>
        <v>0</v>
      </c>
      <c r="CV59" s="202">
        <f t="shared" si="6"/>
        <v>0</v>
      </c>
      <c r="CW59" s="202">
        <f t="shared" si="6"/>
        <v>0</v>
      </c>
      <c r="CX59" s="202">
        <f t="shared" si="6"/>
        <v>0</v>
      </c>
      <c r="CY59" s="202">
        <f t="shared" si="6"/>
        <v>0</v>
      </c>
      <c r="CZ59" s="202">
        <f t="shared" si="6"/>
        <v>0</v>
      </c>
      <c r="DA59" s="202">
        <f t="shared" si="6"/>
        <v>0</v>
      </c>
      <c r="DB59" s="202">
        <f t="shared" si="6"/>
        <v>0</v>
      </c>
      <c r="DC59" s="202">
        <f t="shared" si="6"/>
        <v>0</v>
      </c>
      <c r="DD59" s="202">
        <f t="shared" si="6"/>
        <v>0</v>
      </c>
      <c r="DE59" s="202">
        <f t="shared" si="6"/>
        <v>0</v>
      </c>
      <c r="DF59" s="202">
        <f t="shared" si="6"/>
        <v>0</v>
      </c>
      <c r="DG59" s="202">
        <f t="shared" si="6"/>
        <v>0</v>
      </c>
      <c r="DH59" s="202">
        <f t="shared" si="6"/>
        <v>0</v>
      </c>
      <c r="DI59" s="202">
        <f t="shared" si="6"/>
        <v>0</v>
      </c>
      <c r="DJ59" s="202">
        <f t="shared" si="6"/>
        <v>0</v>
      </c>
      <c r="DK59" s="202">
        <f t="shared" si="6"/>
        <v>0</v>
      </c>
      <c r="DL59" s="202">
        <f t="shared" si="6"/>
        <v>0</v>
      </c>
      <c r="DM59" s="202">
        <f t="shared" si="6"/>
        <v>0</v>
      </c>
      <c r="DN59" s="202">
        <f t="shared" si="6"/>
        <v>0</v>
      </c>
      <c r="DO59" s="202">
        <f t="shared" si="6"/>
        <v>0</v>
      </c>
      <c r="DP59" s="202">
        <f t="shared" si="6"/>
        <v>0</v>
      </c>
      <c r="DQ59" s="202">
        <f t="shared" si="6"/>
        <v>0</v>
      </c>
      <c r="DR59" s="202">
        <f t="shared" ref="DR59:FU59" si="7">SUM(DR35:DR58)</f>
        <v>0</v>
      </c>
      <c r="DS59" s="202">
        <f t="shared" si="7"/>
        <v>0</v>
      </c>
      <c r="DT59" s="202">
        <f t="shared" si="7"/>
        <v>0</v>
      </c>
      <c r="DU59" s="202">
        <f t="shared" si="7"/>
        <v>0</v>
      </c>
      <c r="DV59" s="202">
        <f t="shared" si="7"/>
        <v>0</v>
      </c>
      <c r="DW59" s="202">
        <f t="shared" si="7"/>
        <v>0</v>
      </c>
      <c r="DX59" s="202">
        <f t="shared" si="7"/>
        <v>0</v>
      </c>
      <c r="DY59" s="202">
        <f t="shared" si="7"/>
        <v>0</v>
      </c>
      <c r="DZ59" s="202">
        <f t="shared" si="7"/>
        <v>0</v>
      </c>
      <c r="EA59" s="202">
        <f t="shared" si="7"/>
        <v>0</v>
      </c>
      <c r="EB59" s="202">
        <f t="shared" si="7"/>
        <v>0</v>
      </c>
      <c r="EC59" s="202">
        <f t="shared" si="7"/>
        <v>0</v>
      </c>
      <c r="ED59" s="202">
        <f t="shared" si="7"/>
        <v>0</v>
      </c>
      <c r="EE59" s="202">
        <f t="shared" si="7"/>
        <v>0</v>
      </c>
      <c r="EF59" s="202">
        <f t="shared" si="7"/>
        <v>0</v>
      </c>
      <c r="EG59" s="202">
        <f t="shared" si="7"/>
        <v>0</v>
      </c>
      <c r="EH59" s="202">
        <f t="shared" si="7"/>
        <v>0</v>
      </c>
      <c r="EI59" s="202">
        <f t="shared" si="7"/>
        <v>0</v>
      </c>
      <c r="EJ59" s="202">
        <f t="shared" si="7"/>
        <v>0</v>
      </c>
      <c r="EK59" s="202">
        <f t="shared" si="7"/>
        <v>0</v>
      </c>
      <c r="EL59" s="202">
        <f t="shared" si="7"/>
        <v>0</v>
      </c>
      <c r="EM59" s="202">
        <f t="shared" si="7"/>
        <v>0</v>
      </c>
      <c r="EN59" s="202">
        <f t="shared" si="7"/>
        <v>0</v>
      </c>
      <c r="EO59" s="202">
        <f t="shared" si="7"/>
        <v>0</v>
      </c>
      <c r="EP59" s="202">
        <f t="shared" si="7"/>
        <v>0</v>
      </c>
      <c r="EQ59" s="202">
        <f t="shared" si="7"/>
        <v>0</v>
      </c>
      <c r="ER59" s="202">
        <f t="shared" si="7"/>
        <v>0</v>
      </c>
      <c r="ES59" s="202">
        <f t="shared" si="7"/>
        <v>0</v>
      </c>
      <c r="ET59" s="202">
        <f t="shared" si="7"/>
        <v>0</v>
      </c>
      <c r="EU59" s="202">
        <f t="shared" si="7"/>
        <v>0</v>
      </c>
      <c r="EV59" s="202">
        <f t="shared" si="7"/>
        <v>0</v>
      </c>
      <c r="EW59" s="202">
        <f t="shared" si="7"/>
        <v>0</v>
      </c>
      <c r="EX59" s="202">
        <f t="shared" si="7"/>
        <v>0</v>
      </c>
      <c r="EY59" s="202">
        <f t="shared" si="7"/>
        <v>0</v>
      </c>
      <c r="EZ59" s="202">
        <f t="shared" si="7"/>
        <v>0</v>
      </c>
      <c r="FA59" s="202">
        <f t="shared" si="7"/>
        <v>0</v>
      </c>
      <c r="FB59" s="202">
        <f t="shared" si="7"/>
        <v>0</v>
      </c>
      <c r="FC59" s="202">
        <f t="shared" si="7"/>
        <v>0</v>
      </c>
      <c r="FD59" s="202">
        <f t="shared" si="7"/>
        <v>0</v>
      </c>
      <c r="FE59" s="202">
        <f t="shared" si="7"/>
        <v>0</v>
      </c>
      <c r="FF59" s="202">
        <f t="shared" si="7"/>
        <v>0</v>
      </c>
      <c r="FG59" s="202">
        <f t="shared" si="7"/>
        <v>0</v>
      </c>
      <c r="FH59" s="202">
        <f t="shared" si="7"/>
        <v>0</v>
      </c>
      <c r="FI59" s="202">
        <f t="shared" si="7"/>
        <v>0</v>
      </c>
      <c r="FJ59" s="202">
        <f t="shared" si="7"/>
        <v>0</v>
      </c>
      <c r="FK59" s="202">
        <f t="shared" si="7"/>
        <v>0</v>
      </c>
      <c r="FL59" s="202">
        <f t="shared" si="7"/>
        <v>0</v>
      </c>
      <c r="FM59" s="202">
        <f t="shared" si="7"/>
        <v>0</v>
      </c>
      <c r="FN59" s="202">
        <f t="shared" si="7"/>
        <v>0</v>
      </c>
      <c r="FO59" s="202">
        <f t="shared" si="7"/>
        <v>0</v>
      </c>
      <c r="FP59" s="202">
        <f t="shared" si="7"/>
        <v>0</v>
      </c>
      <c r="FQ59" s="202">
        <f t="shared" si="7"/>
        <v>0</v>
      </c>
      <c r="FR59" s="202">
        <f t="shared" si="7"/>
        <v>0</v>
      </c>
      <c r="FS59" s="202">
        <f t="shared" si="7"/>
        <v>0</v>
      </c>
      <c r="FT59" s="202">
        <f t="shared" si="7"/>
        <v>0</v>
      </c>
      <c r="FU59" s="202">
        <f t="shared" si="7"/>
        <v>0</v>
      </c>
    </row>
  </sheetData>
  <conditionalFormatting sqref="D25:D28 C29:BX31 C28:BW28 C26:BX27 C8:FK25 F24:F31">
    <cfRule type="expression" dxfId="444" priority="2325">
      <formula xml:space="preserve"> INDIRECT(CHAR(COLUMN()+96) &amp; 4) = TODAY() * NOT(ISBLANK(INDIRECT(CHAR(COLUMN()+96) &amp; ROW())))</formula>
    </cfRule>
    <cfRule type="expression" dxfId="443" priority="2328">
      <formula xml:space="preserve"> INDIRECT(CHAR(COLUMN()+96) &amp; 4) = TODAY() * ISBLANK(INDIRECT(CHAR(COLUMN()+96) &amp; ROW()))</formula>
    </cfRule>
  </conditionalFormatting>
  <conditionalFormatting sqref="C34:FU34 A4:B6 FV4:XFD6 C5:FU7">
    <cfRule type="timePeriod" dxfId="442" priority="2331" timePeriod="today">
      <formula>FLOOR(A4,1)=TODAY()</formula>
    </cfRule>
    <cfRule type="timePeriod" dxfId="441" priority="2332" timePeriod="tomorrow">
      <formula>FLOOR(A4,1)=TODAY()+1</formula>
    </cfRule>
    <cfRule type="timePeriod" dxfId="440" priority="2333" timePeriod="yesterday">
      <formula>FLOOR(A4,1)=TODAY()-1</formula>
    </cfRule>
  </conditionalFormatting>
  <conditionalFormatting sqref="A7:B30 C8:FU31">
    <cfRule type="expression" dxfId="439" priority="2304">
      <formula>INDIRECT("A"&amp;3) = INDIRECT("A"&amp;ROW())</formula>
    </cfRule>
  </conditionalFormatting>
  <conditionalFormatting sqref="A2:A3 A1:XFD1 B2:XFD2">
    <cfRule type="expression" dxfId="438" priority="2305">
      <formula xml:space="preserve"> INDIRECT(CHAR(COLUMN()+96) &amp; 4) = TODAY() * ISBLANK(INDIRECT(CHAR(COLUMN()+96) &amp; ROW()))</formula>
    </cfRule>
  </conditionalFormatting>
  <conditionalFormatting sqref="A31:B31 FV31:XFD31 C32:FU32 C8:FT31">
    <cfRule type="colorScale" priority="2316">
      <colorScale>
        <cfvo type="num" val="0"/>
        <cfvo type="num" val="0.5"/>
        <cfvo type="num" val="1"/>
        <color rgb="FFF8696B"/>
        <color rgb="FFFFEB84"/>
        <color rgb="FF63BE7B"/>
      </colorScale>
    </cfRule>
  </conditionalFormatting>
  <conditionalFormatting sqref="B35:B58">
    <cfRule type="expression" dxfId="437" priority="23">
      <formula>INDIRECT("A"&amp;3) = INDIRECT("A"&amp;ROW())</formula>
    </cfRule>
  </conditionalFormatting>
  <conditionalFormatting sqref="C35:FU58">
    <cfRule type="colorScale" priority="20">
      <colorScale>
        <cfvo type="num" val="0"/>
        <cfvo type="num" val="0"/>
        <cfvo type="num" val="1"/>
        <color rgb="FFF8696B"/>
        <color rgb="FFFFEB84"/>
        <color rgb="FF63BE7B"/>
      </colorScale>
    </cfRule>
  </conditionalFormatting>
  <conditionalFormatting sqref="C35:FU58">
    <cfRule type="expression" dxfId="436" priority="14">
      <formula>C35="S"</formula>
    </cfRule>
  </conditionalFormatting>
  <conditionalFormatting sqref="C35:FU58">
    <cfRule type="expression" dxfId="435" priority="13">
      <formula>C35="G"</formula>
    </cfRule>
  </conditionalFormatting>
  <conditionalFormatting sqref="C35:FU58">
    <cfRule type="expression" dxfId="434" priority="10">
      <formula>C35="G"</formula>
    </cfRule>
  </conditionalFormatting>
  <conditionalFormatting sqref="C59:FU59">
    <cfRule type="colorScale" priority="9">
      <colorScale>
        <cfvo type="num" val="0"/>
        <cfvo type="percentile" val="50"/>
        <cfvo type="num" val="24"/>
        <color rgb="FFF8696B"/>
        <color rgb="FFFFEB84"/>
        <color rgb="FF63BE7B"/>
      </colorScale>
    </cfRule>
  </conditionalFormatting>
  <conditionalFormatting sqref="C14:D14">
    <cfRule type="expression" dxfId="433" priority="5">
      <formula xml:space="preserve"> INDIRECT(CHAR(COLUMN()+96) &amp; 4) = TODAY() * NOT(ISBLANK(INDIRECT(CHAR(COLUMN()+96) &amp; ROW())))</formula>
    </cfRule>
    <cfRule type="expression" dxfId="432" priority="6">
      <formula xml:space="preserve"> INDIRECT(CHAR(COLUMN()+96) &amp; 4) = TODAY() * ISBLANK(INDIRECT(CHAR(COLUMN()+96) &amp; ROW()))</formula>
    </cfRule>
  </conditionalFormatting>
  <conditionalFormatting sqref="E14">
    <cfRule type="expression" dxfId="431" priority="3">
      <formula xml:space="preserve"> INDIRECT(CHAR(COLUMN()+96) &amp; 4) = TODAY() * NOT(ISBLANK(INDIRECT(CHAR(COLUMN()+96) &amp; ROW())))</formula>
    </cfRule>
    <cfRule type="expression" dxfId="430" priority="4">
      <formula xml:space="preserve"> INDIRECT(CHAR(COLUMN()+96) &amp; 4) = TODAY() * ISBLANK(INDIRECT(CHAR(COLUMN()+96) &amp; ROW()))</formula>
    </cfRule>
  </conditionalFormatting>
  <conditionalFormatting sqref="E21">
    <cfRule type="expression" dxfId="429" priority="1">
      <formula xml:space="preserve"> INDIRECT(CHAR(COLUMN()+96) &amp; 4) = TODAY() * NOT(ISBLANK(INDIRECT(CHAR(COLUMN()+96) &amp; ROW())))</formula>
    </cfRule>
    <cfRule type="expression" dxfId="428"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zoomScale="70" zoomScaleNormal="70" zoomScalePageLayoutView="115" workbookViewId="0">
      <selection activeCell="L4" sqref="L4"/>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372</v>
      </c>
      <c r="I3" s="6"/>
      <c r="J3" s="6">
        <v>378</v>
      </c>
      <c r="K3" s="6"/>
      <c r="L3" s="6"/>
      <c r="M3" s="6" t="s">
        <v>53</v>
      </c>
      <c r="N3" s="82">
        <v>3</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43333</v>
      </c>
      <c r="D4" s="37" t="s">
        <v>7</v>
      </c>
      <c r="E4" s="29"/>
      <c r="F4" s="20"/>
      <c r="G4" s="12"/>
      <c r="H4" s="6">
        <f>$H$3 - 365</f>
        <v>7</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43336</v>
      </c>
      <c r="I6" s="14">
        <f t="shared" ca="1" si="0"/>
        <v>43339</v>
      </c>
      <c r="J6" s="14">
        <f t="shared" ca="1" si="0"/>
        <v>43342</v>
      </c>
      <c r="K6" s="14">
        <f t="shared" ca="1" si="0"/>
        <v>43345</v>
      </c>
      <c r="L6" s="14">
        <f t="shared" ca="1" si="0"/>
        <v>43348</v>
      </c>
      <c r="M6" s="14">
        <f t="shared" ca="1" si="0"/>
        <v>43351</v>
      </c>
      <c r="N6" s="14">
        <f t="shared" ca="1" si="0"/>
        <v>43354</v>
      </c>
      <c r="O6" s="14">
        <f t="shared" ref="O6:BZ6" ca="1" si="1">TODAY()+((COLUMN()-$H$4)*$N$3)</f>
        <v>43357</v>
      </c>
      <c r="P6" s="14">
        <f t="shared" ca="1" si="1"/>
        <v>43360</v>
      </c>
      <c r="Q6" s="14">
        <f t="shared" ca="1" si="1"/>
        <v>43363</v>
      </c>
      <c r="R6" s="14">
        <f t="shared" ca="1" si="1"/>
        <v>43366</v>
      </c>
      <c r="S6" s="14">
        <f t="shared" ca="1" si="1"/>
        <v>43369</v>
      </c>
      <c r="T6" s="14">
        <f ca="1">TODAY()+((COLUMN()-$H$4)*$N$3)</f>
        <v>43372</v>
      </c>
      <c r="U6" s="14">
        <f t="shared" ca="1" si="1"/>
        <v>43375</v>
      </c>
      <c r="V6" s="14">
        <f t="shared" ca="1" si="1"/>
        <v>43378</v>
      </c>
      <c r="W6" s="14">
        <f t="shared" ca="1" si="1"/>
        <v>43381</v>
      </c>
      <c r="X6" s="14">
        <f t="shared" ca="1" si="1"/>
        <v>43384</v>
      </c>
      <c r="Y6" s="14">
        <f t="shared" ca="1" si="1"/>
        <v>43387</v>
      </c>
      <c r="Z6" s="14">
        <f t="shared" ca="1" si="1"/>
        <v>43390</v>
      </c>
      <c r="AA6" s="14">
        <f t="shared" ca="1" si="1"/>
        <v>43393</v>
      </c>
      <c r="AB6" s="14">
        <f t="shared" ca="1" si="1"/>
        <v>43396</v>
      </c>
      <c r="AC6" s="14">
        <f t="shared" ca="1" si="1"/>
        <v>43399</v>
      </c>
      <c r="AD6" s="14">
        <f t="shared" ca="1" si="1"/>
        <v>43402</v>
      </c>
      <c r="AE6" s="14">
        <f t="shared" ca="1" si="1"/>
        <v>43405</v>
      </c>
      <c r="AF6" s="14">
        <f t="shared" ca="1" si="1"/>
        <v>43408</v>
      </c>
      <c r="AG6" s="14">
        <f t="shared" ca="1" si="1"/>
        <v>43411</v>
      </c>
      <c r="AH6" s="14">
        <f t="shared" ca="1" si="1"/>
        <v>43414</v>
      </c>
      <c r="AI6" s="14">
        <f t="shared" ca="1" si="1"/>
        <v>43417</v>
      </c>
      <c r="AJ6" s="14">
        <f t="shared" ca="1" si="1"/>
        <v>43420</v>
      </c>
      <c r="AK6" s="14">
        <f t="shared" ca="1" si="1"/>
        <v>43423</v>
      </c>
      <c r="AL6" s="14">
        <f t="shared" ca="1" si="1"/>
        <v>43426</v>
      </c>
      <c r="AM6" s="14">
        <f t="shared" ca="1" si="1"/>
        <v>43429</v>
      </c>
      <c r="AN6" s="14">
        <f t="shared" ca="1" si="1"/>
        <v>43432</v>
      </c>
      <c r="AO6" s="14">
        <f t="shared" ca="1" si="1"/>
        <v>43435</v>
      </c>
      <c r="AP6" s="14">
        <f t="shared" ca="1" si="1"/>
        <v>43438</v>
      </c>
      <c r="AQ6" s="14">
        <f t="shared" ca="1" si="1"/>
        <v>43441</v>
      </c>
      <c r="AR6" s="14">
        <f t="shared" ca="1" si="1"/>
        <v>43444</v>
      </c>
      <c r="AS6" s="14">
        <f t="shared" ca="1" si="1"/>
        <v>43447</v>
      </c>
      <c r="AT6" s="14">
        <f t="shared" ca="1" si="1"/>
        <v>43450</v>
      </c>
      <c r="AU6" s="14">
        <f t="shared" ca="1" si="1"/>
        <v>43453</v>
      </c>
      <c r="AV6" s="14">
        <f t="shared" ca="1" si="1"/>
        <v>43456</v>
      </c>
      <c r="AW6" s="14">
        <f t="shared" ca="1" si="1"/>
        <v>43459</v>
      </c>
      <c r="AX6" s="14">
        <f t="shared" ca="1" si="1"/>
        <v>43462</v>
      </c>
      <c r="AY6" s="14">
        <f t="shared" ca="1" si="1"/>
        <v>43465</v>
      </c>
      <c r="AZ6" s="14">
        <f t="shared" ca="1" si="1"/>
        <v>43468</v>
      </c>
      <c r="BA6" s="14">
        <f t="shared" ca="1" si="1"/>
        <v>43471</v>
      </c>
      <c r="BB6" s="14">
        <f t="shared" ca="1" si="1"/>
        <v>43474</v>
      </c>
      <c r="BC6" s="14">
        <f t="shared" ca="1" si="1"/>
        <v>43477</v>
      </c>
      <c r="BD6" s="14">
        <f t="shared" ca="1" si="1"/>
        <v>43480</v>
      </c>
      <c r="BE6" s="14">
        <f t="shared" ca="1" si="1"/>
        <v>43483</v>
      </c>
      <c r="BF6" s="14">
        <f t="shared" ca="1" si="1"/>
        <v>43486</v>
      </c>
      <c r="BG6" s="14">
        <f t="shared" ca="1" si="1"/>
        <v>43489</v>
      </c>
      <c r="BH6" s="14">
        <f t="shared" ca="1" si="1"/>
        <v>43492</v>
      </c>
      <c r="BI6" s="14">
        <f t="shared" ca="1" si="1"/>
        <v>43495</v>
      </c>
      <c r="BJ6" s="14">
        <f t="shared" ca="1" si="1"/>
        <v>43498</v>
      </c>
      <c r="BK6" s="14">
        <f t="shared" ca="1" si="1"/>
        <v>43501</v>
      </c>
      <c r="BL6" s="14">
        <f t="shared" ca="1" si="1"/>
        <v>43504</v>
      </c>
      <c r="BM6" s="14">
        <f t="shared" ca="1" si="1"/>
        <v>43507</v>
      </c>
      <c r="BN6" s="14">
        <f t="shared" ca="1" si="1"/>
        <v>43510</v>
      </c>
      <c r="BO6" s="14">
        <f t="shared" ca="1" si="1"/>
        <v>43513</v>
      </c>
      <c r="BP6" s="14">
        <f t="shared" ca="1" si="1"/>
        <v>43516</v>
      </c>
      <c r="BQ6" s="14">
        <f t="shared" ca="1" si="1"/>
        <v>43519</v>
      </c>
      <c r="BR6" s="14">
        <f t="shared" ca="1" si="1"/>
        <v>43522</v>
      </c>
      <c r="BS6" s="14">
        <f t="shared" ca="1" si="1"/>
        <v>43525</v>
      </c>
      <c r="BT6" s="14">
        <f t="shared" ca="1" si="1"/>
        <v>43528</v>
      </c>
      <c r="BU6" s="14">
        <f t="shared" ca="1" si="1"/>
        <v>43531</v>
      </c>
      <c r="BV6" s="14">
        <f t="shared" ca="1" si="1"/>
        <v>43534</v>
      </c>
      <c r="BW6" s="14">
        <f t="shared" ca="1" si="1"/>
        <v>43537</v>
      </c>
      <c r="BX6" s="14">
        <f t="shared" ca="1" si="1"/>
        <v>43540</v>
      </c>
      <c r="BY6" s="14">
        <f t="shared" ca="1" si="1"/>
        <v>43543</v>
      </c>
      <c r="BZ6" s="14">
        <f t="shared" ca="1" si="1"/>
        <v>43546</v>
      </c>
      <c r="CA6" s="14">
        <f t="shared" ref="CA6:EL6" ca="1" si="2">TODAY()+((COLUMN()-$H$4)*$N$3)</f>
        <v>43549</v>
      </c>
      <c r="CB6" s="14">
        <f t="shared" ca="1" si="2"/>
        <v>43552</v>
      </c>
      <c r="CC6" s="14">
        <f t="shared" ca="1" si="2"/>
        <v>43555</v>
      </c>
      <c r="CD6" s="14">
        <f t="shared" ca="1" si="2"/>
        <v>43558</v>
      </c>
      <c r="CE6" s="14">
        <f t="shared" ca="1" si="2"/>
        <v>43561</v>
      </c>
      <c r="CF6" s="14">
        <f t="shared" ca="1" si="2"/>
        <v>43564</v>
      </c>
      <c r="CG6" s="14">
        <f t="shared" ca="1" si="2"/>
        <v>43567</v>
      </c>
      <c r="CH6" s="14">
        <f t="shared" ca="1" si="2"/>
        <v>43570</v>
      </c>
      <c r="CI6" s="14">
        <f t="shared" ca="1" si="2"/>
        <v>43573</v>
      </c>
      <c r="CJ6" s="14">
        <f t="shared" ca="1" si="2"/>
        <v>43576</v>
      </c>
      <c r="CK6" s="14">
        <f t="shared" ca="1" si="2"/>
        <v>43579</v>
      </c>
      <c r="CL6" s="14">
        <f t="shared" ca="1" si="2"/>
        <v>43582</v>
      </c>
      <c r="CM6" s="14">
        <f t="shared" ca="1" si="2"/>
        <v>43585</v>
      </c>
      <c r="CN6" s="14">
        <f t="shared" ca="1" si="2"/>
        <v>43588</v>
      </c>
      <c r="CO6" s="14">
        <f t="shared" ca="1" si="2"/>
        <v>43591</v>
      </c>
      <c r="CP6" s="14">
        <f t="shared" ca="1" si="2"/>
        <v>43594</v>
      </c>
      <c r="CQ6" s="14">
        <f t="shared" ca="1" si="2"/>
        <v>43597</v>
      </c>
      <c r="CR6" s="14">
        <f t="shared" ca="1" si="2"/>
        <v>43600</v>
      </c>
      <c r="CS6" s="14">
        <f t="shared" ca="1" si="2"/>
        <v>43603</v>
      </c>
      <c r="CT6" s="14">
        <f t="shared" ca="1" si="2"/>
        <v>43606</v>
      </c>
      <c r="CU6" s="14">
        <f t="shared" ca="1" si="2"/>
        <v>43609</v>
      </c>
      <c r="CV6" s="14">
        <f t="shared" ca="1" si="2"/>
        <v>43612</v>
      </c>
      <c r="CW6" s="14">
        <f t="shared" ca="1" si="2"/>
        <v>43615</v>
      </c>
      <c r="CX6" s="14">
        <f t="shared" ca="1" si="2"/>
        <v>43618</v>
      </c>
      <c r="CY6" s="14">
        <f t="shared" ca="1" si="2"/>
        <v>43621</v>
      </c>
      <c r="CZ6" s="14">
        <f t="shared" ca="1" si="2"/>
        <v>43624</v>
      </c>
      <c r="DA6" s="14">
        <f t="shared" ca="1" si="2"/>
        <v>43627</v>
      </c>
      <c r="DB6" s="14">
        <f t="shared" ca="1" si="2"/>
        <v>43630</v>
      </c>
      <c r="DC6" s="14">
        <f t="shared" ca="1" si="2"/>
        <v>43633</v>
      </c>
      <c r="DD6" s="14">
        <f t="shared" ca="1" si="2"/>
        <v>43636</v>
      </c>
      <c r="DE6" s="14">
        <f t="shared" ca="1" si="2"/>
        <v>43639</v>
      </c>
      <c r="DF6" s="14">
        <f t="shared" ca="1" si="2"/>
        <v>43642</v>
      </c>
      <c r="DG6" s="14">
        <f t="shared" ca="1" si="2"/>
        <v>43645</v>
      </c>
      <c r="DH6" s="14">
        <f t="shared" ca="1" si="2"/>
        <v>43648</v>
      </c>
      <c r="DI6" s="14">
        <f t="shared" ca="1" si="2"/>
        <v>43651</v>
      </c>
      <c r="DJ6" s="14">
        <f t="shared" ca="1" si="2"/>
        <v>43654</v>
      </c>
      <c r="DK6" s="14">
        <f t="shared" ca="1" si="2"/>
        <v>43657</v>
      </c>
      <c r="DL6" s="14">
        <f t="shared" ca="1" si="2"/>
        <v>43660</v>
      </c>
      <c r="DM6" s="14">
        <f t="shared" ca="1" si="2"/>
        <v>43663</v>
      </c>
      <c r="DN6" s="14">
        <f t="shared" ca="1" si="2"/>
        <v>43666</v>
      </c>
      <c r="DO6" s="14">
        <f t="shared" ca="1" si="2"/>
        <v>43669</v>
      </c>
      <c r="DP6" s="14">
        <f t="shared" ca="1" si="2"/>
        <v>43672</v>
      </c>
      <c r="DQ6" s="14">
        <f t="shared" ca="1" si="2"/>
        <v>43675</v>
      </c>
      <c r="DR6" s="14">
        <f t="shared" ca="1" si="2"/>
        <v>43678</v>
      </c>
      <c r="DS6" s="14">
        <f t="shared" ca="1" si="2"/>
        <v>43681</v>
      </c>
      <c r="DT6" s="14">
        <f t="shared" ca="1" si="2"/>
        <v>43684</v>
      </c>
      <c r="DU6" s="14">
        <f t="shared" ca="1" si="2"/>
        <v>43687</v>
      </c>
      <c r="DV6" s="14">
        <f t="shared" ca="1" si="2"/>
        <v>43690</v>
      </c>
      <c r="DW6" s="14">
        <f t="shared" ca="1" si="2"/>
        <v>43693</v>
      </c>
      <c r="DX6" s="14">
        <f t="shared" ca="1" si="2"/>
        <v>43696</v>
      </c>
      <c r="DY6" s="14">
        <f t="shared" ca="1" si="2"/>
        <v>43699</v>
      </c>
      <c r="DZ6" s="14">
        <f t="shared" ca="1" si="2"/>
        <v>43702</v>
      </c>
      <c r="EA6" s="14">
        <f t="shared" ca="1" si="2"/>
        <v>43705</v>
      </c>
      <c r="EB6" s="14">
        <f t="shared" ca="1" si="2"/>
        <v>43708</v>
      </c>
      <c r="EC6" s="14">
        <f t="shared" ca="1" si="2"/>
        <v>43711</v>
      </c>
      <c r="ED6" s="14">
        <f t="shared" ca="1" si="2"/>
        <v>43714</v>
      </c>
      <c r="EE6" s="14">
        <f t="shared" ca="1" si="2"/>
        <v>43717</v>
      </c>
      <c r="EF6" s="14">
        <f t="shared" ca="1" si="2"/>
        <v>43720</v>
      </c>
      <c r="EG6" s="14">
        <f t="shared" ca="1" si="2"/>
        <v>43723</v>
      </c>
      <c r="EH6" s="14">
        <f t="shared" ca="1" si="2"/>
        <v>43726</v>
      </c>
      <c r="EI6" s="14">
        <f t="shared" ca="1" si="2"/>
        <v>43729</v>
      </c>
      <c r="EJ6" s="14">
        <f t="shared" ca="1" si="2"/>
        <v>43732</v>
      </c>
      <c r="EK6" s="14">
        <f t="shared" ca="1" si="2"/>
        <v>43735</v>
      </c>
      <c r="EL6" s="14">
        <f t="shared" ca="1" si="2"/>
        <v>43738</v>
      </c>
      <c r="EM6" s="14">
        <f t="shared" ref="EM6:GX6" ca="1" si="3">TODAY()+((COLUMN()-$H$4)*$N$3)</f>
        <v>43741</v>
      </c>
      <c r="EN6" s="14">
        <f t="shared" ca="1" si="3"/>
        <v>43744</v>
      </c>
      <c r="EO6" s="14">
        <f t="shared" ca="1" si="3"/>
        <v>43747</v>
      </c>
      <c r="EP6" s="14">
        <f t="shared" ca="1" si="3"/>
        <v>43750</v>
      </c>
      <c r="EQ6" s="14">
        <f t="shared" ca="1" si="3"/>
        <v>43753</v>
      </c>
      <c r="ER6" s="14">
        <f t="shared" ca="1" si="3"/>
        <v>43756</v>
      </c>
      <c r="ES6" s="14">
        <f t="shared" ca="1" si="3"/>
        <v>43759</v>
      </c>
      <c r="ET6" s="14">
        <f t="shared" ca="1" si="3"/>
        <v>43762</v>
      </c>
      <c r="EU6" s="14">
        <f t="shared" ca="1" si="3"/>
        <v>43765</v>
      </c>
      <c r="EV6" s="14">
        <f t="shared" ca="1" si="3"/>
        <v>43768</v>
      </c>
      <c r="EW6" s="14">
        <f t="shared" ca="1" si="3"/>
        <v>43771</v>
      </c>
      <c r="EX6" s="14">
        <f t="shared" ca="1" si="3"/>
        <v>43774</v>
      </c>
      <c r="EY6" s="14">
        <f t="shared" ca="1" si="3"/>
        <v>43777</v>
      </c>
      <c r="EZ6" s="14">
        <f t="shared" ca="1" si="3"/>
        <v>43780</v>
      </c>
      <c r="FA6" s="14">
        <f t="shared" ca="1" si="3"/>
        <v>43783</v>
      </c>
      <c r="FB6" s="14">
        <f t="shared" ca="1" si="3"/>
        <v>43786</v>
      </c>
      <c r="FC6" s="14">
        <f t="shared" ca="1" si="3"/>
        <v>43789</v>
      </c>
      <c r="FD6" s="14">
        <f t="shared" ca="1" si="3"/>
        <v>43792</v>
      </c>
      <c r="FE6" s="14">
        <f t="shared" ca="1" si="3"/>
        <v>43795</v>
      </c>
      <c r="FF6" s="14">
        <f t="shared" ca="1" si="3"/>
        <v>43798</v>
      </c>
      <c r="FG6" s="14">
        <f t="shared" ca="1" si="3"/>
        <v>43801</v>
      </c>
      <c r="FH6" s="14">
        <f t="shared" ca="1" si="3"/>
        <v>43804</v>
      </c>
      <c r="FI6" s="14">
        <f t="shared" ca="1" si="3"/>
        <v>43807</v>
      </c>
      <c r="FJ6" s="14">
        <f t="shared" ca="1" si="3"/>
        <v>43810</v>
      </c>
      <c r="FK6" s="14">
        <f t="shared" ca="1" si="3"/>
        <v>43813</v>
      </c>
      <c r="FL6" s="14">
        <f t="shared" ca="1" si="3"/>
        <v>43816</v>
      </c>
      <c r="FM6" s="14">
        <f t="shared" ca="1" si="3"/>
        <v>43819</v>
      </c>
      <c r="FN6" s="14">
        <f t="shared" ca="1" si="3"/>
        <v>43822</v>
      </c>
      <c r="FO6" s="14">
        <f t="shared" ca="1" si="3"/>
        <v>43825</v>
      </c>
      <c r="FP6" s="14">
        <f t="shared" ca="1" si="3"/>
        <v>43828</v>
      </c>
      <c r="FQ6" s="14">
        <f t="shared" ca="1" si="3"/>
        <v>43831</v>
      </c>
      <c r="FR6" s="14">
        <f t="shared" ca="1" si="3"/>
        <v>43834</v>
      </c>
      <c r="FS6" s="14">
        <f t="shared" ca="1" si="3"/>
        <v>43837</v>
      </c>
      <c r="FT6" s="14">
        <f t="shared" ca="1" si="3"/>
        <v>43840</v>
      </c>
      <c r="FU6" s="14">
        <f t="shared" ca="1" si="3"/>
        <v>43843</v>
      </c>
      <c r="FV6" s="14">
        <f t="shared" ca="1" si="3"/>
        <v>43846</v>
      </c>
      <c r="FW6" s="14">
        <f t="shared" ca="1" si="3"/>
        <v>43849</v>
      </c>
      <c r="FX6" s="14">
        <f t="shared" ca="1" si="3"/>
        <v>43852</v>
      </c>
      <c r="FY6" s="14">
        <f t="shared" ca="1" si="3"/>
        <v>43855</v>
      </c>
      <c r="FZ6" s="14">
        <f t="shared" ca="1" si="3"/>
        <v>43858</v>
      </c>
      <c r="GA6" s="14">
        <f t="shared" ca="1" si="3"/>
        <v>43861</v>
      </c>
      <c r="GB6" s="14">
        <f t="shared" ca="1" si="3"/>
        <v>43864</v>
      </c>
      <c r="GC6" s="14">
        <f t="shared" ca="1" si="3"/>
        <v>43867</v>
      </c>
      <c r="GD6" s="14">
        <f t="shared" ca="1" si="3"/>
        <v>43870</v>
      </c>
      <c r="GE6" s="14">
        <f t="shared" ca="1" si="3"/>
        <v>43873</v>
      </c>
      <c r="GF6" s="14">
        <f t="shared" ca="1" si="3"/>
        <v>43876</v>
      </c>
      <c r="GG6" s="14">
        <f t="shared" ca="1" si="3"/>
        <v>43879</v>
      </c>
      <c r="GH6" s="14">
        <f t="shared" ca="1" si="3"/>
        <v>43882</v>
      </c>
      <c r="GI6" s="14">
        <f t="shared" ca="1" si="3"/>
        <v>43885</v>
      </c>
      <c r="GJ6" s="14">
        <f t="shared" ca="1" si="3"/>
        <v>43888</v>
      </c>
      <c r="GK6" s="14">
        <f t="shared" ca="1" si="3"/>
        <v>43891</v>
      </c>
      <c r="GL6" s="14">
        <f t="shared" ca="1" si="3"/>
        <v>43894</v>
      </c>
      <c r="GM6" s="14">
        <f t="shared" ca="1" si="3"/>
        <v>43897</v>
      </c>
      <c r="GN6" s="14">
        <f t="shared" ca="1" si="3"/>
        <v>43900</v>
      </c>
      <c r="GO6" s="14">
        <f t="shared" ca="1" si="3"/>
        <v>43903</v>
      </c>
      <c r="GP6" s="14">
        <f t="shared" ca="1" si="3"/>
        <v>43906</v>
      </c>
      <c r="GQ6" s="14">
        <f t="shared" ca="1" si="3"/>
        <v>43909</v>
      </c>
      <c r="GR6" s="14">
        <f t="shared" ca="1" si="3"/>
        <v>43912</v>
      </c>
      <c r="GS6" s="14">
        <f t="shared" ca="1" si="3"/>
        <v>43915</v>
      </c>
      <c r="GT6" s="14">
        <f t="shared" ca="1" si="3"/>
        <v>43918</v>
      </c>
      <c r="GU6" s="14">
        <f t="shared" ca="1" si="3"/>
        <v>43921</v>
      </c>
      <c r="GV6" s="14">
        <f t="shared" ca="1" si="3"/>
        <v>43924</v>
      </c>
      <c r="GW6" s="14">
        <f t="shared" ca="1" si="3"/>
        <v>43927</v>
      </c>
      <c r="GX6" s="14">
        <f t="shared" ca="1" si="3"/>
        <v>43930</v>
      </c>
      <c r="GY6" s="14">
        <f t="shared" ref="GY6:JJ6" ca="1" si="4">TODAY()+((COLUMN()-$H$4)*$N$3)</f>
        <v>43933</v>
      </c>
      <c r="GZ6" s="14">
        <f t="shared" ca="1" si="4"/>
        <v>43936</v>
      </c>
      <c r="HA6" s="14">
        <f t="shared" ca="1" si="4"/>
        <v>43939</v>
      </c>
      <c r="HB6" s="14">
        <f t="shared" ca="1" si="4"/>
        <v>43942</v>
      </c>
      <c r="HC6" s="14">
        <f t="shared" ca="1" si="4"/>
        <v>43945</v>
      </c>
      <c r="HD6" s="14">
        <f t="shared" ca="1" si="4"/>
        <v>43948</v>
      </c>
      <c r="HE6" s="14">
        <f t="shared" ca="1" si="4"/>
        <v>43951</v>
      </c>
      <c r="HF6" s="14">
        <f t="shared" ca="1" si="4"/>
        <v>43954</v>
      </c>
      <c r="HG6" s="14">
        <f t="shared" ca="1" si="4"/>
        <v>43957</v>
      </c>
      <c r="HH6" s="14">
        <f t="shared" ca="1" si="4"/>
        <v>43960</v>
      </c>
      <c r="HI6" s="14">
        <f t="shared" ca="1" si="4"/>
        <v>43963</v>
      </c>
      <c r="HJ6" s="14">
        <f t="shared" ca="1" si="4"/>
        <v>43966</v>
      </c>
      <c r="HK6" s="14">
        <f t="shared" ca="1" si="4"/>
        <v>43969</v>
      </c>
      <c r="HL6" s="14">
        <f t="shared" ca="1" si="4"/>
        <v>43972</v>
      </c>
      <c r="HM6" s="14">
        <f t="shared" ca="1" si="4"/>
        <v>43975</v>
      </c>
      <c r="HN6" s="14">
        <f t="shared" ca="1" si="4"/>
        <v>43978</v>
      </c>
      <c r="HO6" s="14">
        <f t="shared" ca="1" si="4"/>
        <v>43981</v>
      </c>
      <c r="HP6" s="14">
        <f t="shared" ca="1" si="4"/>
        <v>43984</v>
      </c>
      <c r="HQ6" s="14">
        <f t="shared" ca="1" si="4"/>
        <v>43987</v>
      </c>
      <c r="HR6" s="14">
        <f t="shared" ca="1" si="4"/>
        <v>43990</v>
      </c>
      <c r="HS6" s="14">
        <f t="shared" ca="1" si="4"/>
        <v>43993</v>
      </c>
      <c r="HT6" s="14">
        <f t="shared" ca="1" si="4"/>
        <v>43996</v>
      </c>
      <c r="HU6" s="14">
        <f t="shared" ca="1" si="4"/>
        <v>43999</v>
      </c>
      <c r="HV6" s="14">
        <f t="shared" ca="1" si="4"/>
        <v>44002</v>
      </c>
      <c r="HW6" s="14">
        <f t="shared" ca="1" si="4"/>
        <v>44005</v>
      </c>
      <c r="HX6" s="14">
        <f t="shared" ca="1" si="4"/>
        <v>44008</v>
      </c>
      <c r="HY6" s="14">
        <f t="shared" ca="1" si="4"/>
        <v>44011</v>
      </c>
      <c r="HZ6" s="14">
        <f t="shared" ca="1" si="4"/>
        <v>44014</v>
      </c>
      <c r="IA6" s="14">
        <f t="shared" ca="1" si="4"/>
        <v>44017</v>
      </c>
      <c r="IB6" s="14">
        <f t="shared" ca="1" si="4"/>
        <v>44020</v>
      </c>
      <c r="IC6" s="14">
        <f t="shared" ca="1" si="4"/>
        <v>44023</v>
      </c>
      <c r="ID6" s="14">
        <f t="shared" ca="1" si="4"/>
        <v>44026</v>
      </c>
      <c r="IE6" s="14">
        <f t="shared" ca="1" si="4"/>
        <v>44029</v>
      </c>
      <c r="IF6" s="14">
        <f t="shared" ca="1" si="4"/>
        <v>44032</v>
      </c>
      <c r="IG6" s="14">
        <f t="shared" ca="1" si="4"/>
        <v>44035</v>
      </c>
      <c r="IH6" s="14">
        <f t="shared" ca="1" si="4"/>
        <v>44038</v>
      </c>
      <c r="II6" s="14">
        <f t="shared" ca="1" si="4"/>
        <v>44041</v>
      </c>
      <c r="IJ6" s="14">
        <f t="shared" ca="1" si="4"/>
        <v>44044</v>
      </c>
      <c r="IK6" s="14">
        <f t="shared" ca="1" si="4"/>
        <v>44047</v>
      </c>
      <c r="IL6" s="14">
        <f t="shared" ca="1" si="4"/>
        <v>44050</v>
      </c>
      <c r="IM6" s="14">
        <f t="shared" ca="1" si="4"/>
        <v>44053</v>
      </c>
      <c r="IN6" s="14">
        <f t="shared" ca="1" si="4"/>
        <v>44056</v>
      </c>
      <c r="IO6" s="14">
        <f t="shared" ca="1" si="4"/>
        <v>44059</v>
      </c>
      <c r="IP6" s="14">
        <f t="shared" ca="1" si="4"/>
        <v>44062</v>
      </c>
      <c r="IQ6" s="14">
        <f t="shared" ca="1" si="4"/>
        <v>44065</v>
      </c>
      <c r="IR6" s="14">
        <f t="shared" ca="1" si="4"/>
        <v>44068</v>
      </c>
      <c r="IS6" s="14">
        <f t="shared" ca="1" si="4"/>
        <v>44071</v>
      </c>
      <c r="IT6" s="14">
        <f t="shared" ca="1" si="4"/>
        <v>44074</v>
      </c>
      <c r="IU6" s="14">
        <f t="shared" ca="1" si="4"/>
        <v>44077</v>
      </c>
      <c r="IV6" s="14">
        <f t="shared" ca="1" si="4"/>
        <v>44080</v>
      </c>
      <c r="IW6" s="14">
        <f t="shared" ca="1" si="4"/>
        <v>44083</v>
      </c>
      <c r="IX6" s="14">
        <f t="shared" ca="1" si="4"/>
        <v>44086</v>
      </c>
      <c r="IY6" s="14">
        <f t="shared" ca="1" si="4"/>
        <v>44089</v>
      </c>
      <c r="IZ6" s="14">
        <f t="shared" ca="1" si="4"/>
        <v>44092</v>
      </c>
      <c r="JA6" s="14">
        <f t="shared" ca="1" si="4"/>
        <v>44095</v>
      </c>
      <c r="JB6" s="14">
        <f t="shared" ca="1" si="4"/>
        <v>44098</v>
      </c>
      <c r="JC6" s="14">
        <f t="shared" ca="1" si="4"/>
        <v>44101</v>
      </c>
      <c r="JD6" s="14">
        <f t="shared" ca="1" si="4"/>
        <v>44104</v>
      </c>
      <c r="JE6" s="14">
        <f t="shared" ca="1" si="4"/>
        <v>44107</v>
      </c>
      <c r="JF6" s="14">
        <f t="shared" ca="1" si="4"/>
        <v>44110</v>
      </c>
      <c r="JG6" s="14">
        <f t="shared" ca="1" si="4"/>
        <v>44113</v>
      </c>
      <c r="JH6" s="14">
        <f t="shared" ca="1" si="4"/>
        <v>44116</v>
      </c>
      <c r="JI6" s="14">
        <f t="shared" ca="1" si="4"/>
        <v>44119</v>
      </c>
      <c r="JJ6" s="14">
        <f t="shared" ca="1" si="4"/>
        <v>44122</v>
      </c>
      <c r="JK6" s="14">
        <f t="shared" ref="JK6:LV6" ca="1" si="5">TODAY()+((COLUMN()-$H$4)*$N$3)</f>
        <v>44125</v>
      </c>
      <c r="JL6" s="14">
        <f t="shared" ca="1" si="5"/>
        <v>44128</v>
      </c>
      <c r="JM6" s="14">
        <f t="shared" ca="1" si="5"/>
        <v>44131</v>
      </c>
      <c r="JN6" s="14">
        <f t="shared" ca="1" si="5"/>
        <v>44134</v>
      </c>
      <c r="JO6" s="14">
        <f t="shared" ca="1" si="5"/>
        <v>44137</v>
      </c>
      <c r="JP6" s="14">
        <f t="shared" ca="1" si="5"/>
        <v>44140</v>
      </c>
      <c r="JQ6" s="14">
        <f t="shared" ca="1" si="5"/>
        <v>44143</v>
      </c>
      <c r="JR6" s="14">
        <f t="shared" ca="1" si="5"/>
        <v>44146</v>
      </c>
      <c r="JS6" s="14">
        <f t="shared" ca="1" si="5"/>
        <v>44149</v>
      </c>
      <c r="JT6" s="14">
        <f t="shared" ca="1" si="5"/>
        <v>44152</v>
      </c>
      <c r="JU6" s="14">
        <f t="shared" ca="1" si="5"/>
        <v>44155</v>
      </c>
      <c r="JV6" s="14">
        <f t="shared" ca="1" si="5"/>
        <v>44158</v>
      </c>
      <c r="JW6" s="14">
        <f t="shared" ca="1" si="5"/>
        <v>44161</v>
      </c>
      <c r="JX6" s="14">
        <f t="shared" ca="1" si="5"/>
        <v>44164</v>
      </c>
      <c r="JY6" s="14">
        <f t="shared" ca="1" si="5"/>
        <v>44167</v>
      </c>
      <c r="JZ6" s="14">
        <f t="shared" ca="1" si="5"/>
        <v>44170</v>
      </c>
      <c r="KA6" s="14">
        <f t="shared" ca="1" si="5"/>
        <v>44173</v>
      </c>
      <c r="KB6" s="14">
        <f t="shared" ca="1" si="5"/>
        <v>44176</v>
      </c>
      <c r="KC6" s="14">
        <f t="shared" ca="1" si="5"/>
        <v>44179</v>
      </c>
      <c r="KD6" s="14">
        <f t="shared" ca="1" si="5"/>
        <v>44182</v>
      </c>
      <c r="KE6" s="14">
        <f t="shared" ca="1" si="5"/>
        <v>44185</v>
      </c>
      <c r="KF6" s="14">
        <f t="shared" ca="1" si="5"/>
        <v>44188</v>
      </c>
      <c r="KG6" s="14">
        <f t="shared" ca="1" si="5"/>
        <v>44191</v>
      </c>
      <c r="KH6" s="14">
        <f t="shared" ca="1" si="5"/>
        <v>44194</v>
      </c>
      <c r="KI6" s="14">
        <f t="shared" ca="1" si="5"/>
        <v>44197</v>
      </c>
      <c r="KJ6" s="14">
        <f t="shared" ca="1" si="5"/>
        <v>44200</v>
      </c>
      <c r="KK6" s="14">
        <f t="shared" ca="1" si="5"/>
        <v>44203</v>
      </c>
      <c r="KL6" s="14">
        <f t="shared" ca="1" si="5"/>
        <v>44206</v>
      </c>
      <c r="KM6" s="14">
        <f t="shared" ca="1" si="5"/>
        <v>44209</v>
      </c>
      <c r="KN6" s="14">
        <f t="shared" ca="1" si="5"/>
        <v>44212</v>
      </c>
      <c r="KO6" s="14">
        <f t="shared" ca="1" si="5"/>
        <v>44215</v>
      </c>
      <c r="KP6" s="14">
        <f t="shared" ca="1" si="5"/>
        <v>44218</v>
      </c>
      <c r="KQ6" s="14">
        <f t="shared" ca="1" si="5"/>
        <v>44221</v>
      </c>
      <c r="KR6" s="14">
        <f t="shared" ca="1" si="5"/>
        <v>44224</v>
      </c>
      <c r="KS6" s="14">
        <f t="shared" ca="1" si="5"/>
        <v>44227</v>
      </c>
      <c r="KT6" s="14">
        <f t="shared" ca="1" si="5"/>
        <v>44230</v>
      </c>
      <c r="KU6" s="14">
        <f t="shared" ca="1" si="5"/>
        <v>44233</v>
      </c>
      <c r="KV6" s="14">
        <f t="shared" ca="1" si="5"/>
        <v>44236</v>
      </c>
      <c r="KW6" s="14">
        <f t="shared" ca="1" si="5"/>
        <v>44239</v>
      </c>
      <c r="KX6" s="14">
        <f t="shared" ca="1" si="5"/>
        <v>44242</v>
      </c>
      <c r="KY6" s="14">
        <f t="shared" ca="1" si="5"/>
        <v>44245</v>
      </c>
      <c r="KZ6" s="14">
        <f t="shared" ca="1" si="5"/>
        <v>44248</v>
      </c>
      <c r="LA6" s="14">
        <f t="shared" ca="1" si="5"/>
        <v>44251</v>
      </c>
      <c r="LB6" s="14">
        <f t="shared" ca="1" si="5"/>
        <v>44254</v>
      </c>
      <c r="LC6" s="14">
        <f t="shared" ca="1" si="5"/>
        <v>44257</v>
      </c>
      <c r="LD6" s="14">
        <f t="shared" ca="1" si="5"/>
        <v>44260</v>
      </c>
      <c r="LE6" s="14">
        <f t="shared" ca="1" si="5"/>
        <v>44263</v>
      </c>
      <c r="LF6" s="14">
        <f t="shared" ca="1" si="5"/>
        <v>44266</v>
      </c>
      <c r="LG6" s="14">
        <f t="shared" ca="1" si="5"/>
        <v>44269</v>
      </c>
      <c r="LH6" s="14">
        <f t="shared" ca="1" si="5"/>
        <v>44272</v>
      </c>
      <c r="LI6" s="14">
        <f t="shared" ca="1" si="5"/>
        <v>44275</v>
      </c>
      <c r="LJ6" s="14">
        <f t="shared" ca="1" si="5"/>
        <v>44278</v>
      </c>
      <c r="LK6" s="14">
        <f t="shared" ca="1" si="5"/>
        <v>44281</v>
      </c>
      <c r="LL6" s="14">
        <f t="shared" ca="1" si="5"/>
        <v>44284</v>
      </c>
      <c r="LM6" s="14">
        <f t="shared" ca="1" si="5"/>
        <v>44287</v>
      </c>
      <c r="LN6" s="14">
        <f t="shared" ca="1" si="5"/>
        <v>44290</v>
      </c>
      <c r="LO6" s="14">
        <f t="shared" ca="1" si="5"/>
        <v>44293</v>
      </c>
      <c r="LP6" s="14">
        <f t="shared" ca="1" si="5"/>
        <v>44296</v>
      </c>
      <c r="LQ6" s="14">
        <f t="shared" ca="1" si="5"/>
        <v>44299</v>
      </c>
      <c r="LR6" s="14">
        <f t="shared" ca="1" si="5"/>
        <v>44302</v>
      </c>
      <c r="LS6" s="14">
        <f t="shared" ca="1" si="5"/>
        <v>44305</v>
      </c>
      <c r="LT6" s="14">
        <f t="shared" ca="1" si="5"/>
        <v>44308</v>
      </c>
      <c r="LU6" s="14">
        <f t="shared" ca="1" si="5"/>
        <v>44311</v>
      </c>
      <c r="LV6" s="14">
        <f t="shared" ca="1" si="5"/>
        <v>44314</v>
      </c>
      <c r="LW6" s="14">
        <f t="shared" ref="LW6:NA6" ca="1" si="6">TODAY()+((COLUMN()-$H$4)*$N$3)</f>
        <v>44317</v>
      </c>
      <c r="LX6" s="14">
        <f t="shared" ca="1" si="6"/>
        <v>44320</v>
      </c>
      <c r="LY6" s="14">
        <f t="shared" ca="1" si="6"/>
        <v>44323</v>
      </c>
      <c r="LZ6" s="14">
        <f t="shared" ca="1" si="6"/>
        <v>44326</v>
      </c>
      <c r="MA6" s="14">
        <f t="shared" ca="1" si="6"/>
        <v>44329</v>
      </c>
      <c r="MB6" s="14">
        <f t="shared" ca="1" si="6"/>
        <v>44332</v>
      </c>
      <c r="MC6" s="14">
        <f t="shared" ca="1" si="6"/>
        <v>44335</v>
      </c>
      <c r="MD6" s="14">
        <f t="shared" ca="1" si="6"/>
        <v>44338</v>
      </c>
      <c r="ME6" s="14">
        <f t="shared" ca="1" si="6"/>
        <v>44341</v>
      </c>
      <c r="MF6" s="14">
        <f t="shared" ca="1" si="6"/>
        <v>44344</v>
      </c>
      <c r="MG6" s="14">
        <f t="shared" ca="1" si="6"/>
        <v>44347</v>
      </c>
      <c r="MH6" s="14">
        <f t="shared" ca="1" si="6"/>
        <v>44350</v>
      </c>
      <c r="MI6" s="14">
        <f t="shared" ca="1" si="6"/>
        <v>44353</v>
      </c>
      <c r="MJ6" s="14">
        <f t="shared" ca="1" si="6"/>
        <v>44356</v>
      </c>
      <c r="MK6" s="14">
        <f t="shared" ca="1" si="6"/>
        <v>44359</v>
      </c>
      <c r="ML6" s="14">
        <f t="shared" ca="1" si="6"/>
        <v>44362</v>
      </c>
      <c r="MM6" s="14">
        <f t="shared" ca="1" si="6"/>
        <v>44365</v>
      </c>
      <c r="MN6" s="14">
        <f t="shared" ca="1" si="6"/>
        <v>44368</v>
      </c>
      <c r="MO6" s="14">
        <f t="shared" ca="1" si="6"/>
        <v>44371</v>
      </c>
      <c r="MP6" s="14">
        <f t="shared" ca="1" si="6"/>
        <v>44374</v>
      </c>
      <c r="MQ6" s="14">
        <f t="shared" ca="1" si="6"/>
        <v>44377</v>
      </c>
      <c r="MR6" s="14">
        <f t="shared" ca="1" si="6"/>
        <v>44380</v>
      </c>
      <c r="MS6" s="14">
        <f t="shared" ca="1" si="6"/>
        <v>44383</v>
      </c>
      <c r="MT6" s="14">
        <f t="shared" ca="1" si="6"/>
        <v>44386</v>
      </c>
      <c r="MU6" s="14">
        <f t="shared" ca="1" si="6"/>
        <v>44389</v>
      </c>
      <c r="MV6" s="14">
        <f t="shared" ca="1" si="6"/>
        <v>44392</v>
      </c>
      <c r="MW6" s="14">
        <f t="shared" ca="1" si="6"/>
        <v>44395</v>
      </c>
      <c r="MX6" s="14">
        <f t="shared" ca="1" si="6"/>
        <v>44398</v>
      </c>
      <c r="MY6" s="14">
        <f t="shared" ca="1" si="6"/>
        <v>44401</v>
      </c>
      <c r="MZ6" s="14">
        <f t="shared" ca="1" si="6"/>
        <v>44404</v>
      </c>
      <c r="NA6" s="14">
        <f t="shared" ca="1" si="6"/>
        <v>44407</v>
      </c>
    </row>
    <row r="7" spans="1:367" s="2" customFormat="1" ht="24" customHeight="1" x14ac:dyDescent="0.25">
      <c r="A7" s="100" t="s">
        <v>247</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t="s">
        <v>580</v>
      </c>
      <c r="B8" s="34" t="s">
        <v>581</v>
      </c>
      <c r="C8" s="34" t="s">
        <v>582</v>
      </c>
      <c r="D8" s="33">
        <v>43302</v>
      </c>
      <c r="E8" s="17">
        <v>43305</v>
      </c>
      <c r="F8" s="126">
        <v>0</v>
      </c>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c r="B9" s="30" t="s">
        <v>581</v>
      </c>
      <c r="C9" s="16" t="s">
        <v>583</v>
      </c>
      <c r="D9" s="16">
        <v>43305</v>
      </c>
      <c r="E9" s="17">
        <v>43309</v>
      </c>
      <c r="F9" s="4">
        <v>0</v>
      </c>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v>43313</v>
      </c>
      <c r="E10" s="17">
        <v>43321</v>
      </c>
      <c r="F10" s="4">
        <v>1</v>
      </c>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v>43327</v>
      </c>
      <c r="E12" s="17">
        <v>31.08</v>
      </c>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254</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74" priority="147" timePeriod="yesterday">
      <formula>FLOOR(A6,1)=TODAY()-1</formula>
    </cfRule>
    <cfRule type="timePeriod" dxfId="73" priority="190" timePeriod="tomorrow">
      <formula>FLOOR(A6,1)=TODAY()+1</formula>
    </cfRule>
    <cfRule type="timePeriod" dxfId="72" priority="191" timePeriod="yesterday">
      <formula>FLOOR(A6,1)=TODAY()-1</formula>
    </cfRule>
    <cfRule type="timePeriod" dxfId="71" priority="192" timePeriod="yesterday">
      <formula>FLOOR(A6,1)=TODAY()-1</formula>
    </cfRule>
    <cfRule type="timePeriod" dxfId="70"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8:E333">
    <cfRule type="cellIs" dxfId="69" priority="173" operator="lessThanOrEqual">
      <formula>TODAY()</formula>
    </cfRule>
    <cfRule type="cellIs" dxfId="68" priority="174" operator="greaterThan">
      <formula>TODAY()</formula>
    </cfRule>
  </conditionalFormatting>
  <conditionalFormatting sqref="E8:E333">
    <cfRule type="expression" dxfId="67" priority="157">
      <formula>ISBLANK(INDIRECT("E"&amp;ROW()))</formula>
    </cfRule>
  </conditionalFormatting>
  <conditionalFormatting sqref="B9:D333">
    <cfRule type="expression" dxfId="66" priority="149">
      <formula>ISBLANK(INDIRECT("E"&amp;ROW()))*ISBLANK(INDIRECT("F"&amp;ROW()))</formula>
    </cfRule>
    <cfRule type="expression" dxfId="65" priority="150">
      <formula>INDIRECT("F"&amp;ROW()) &gt;= 0.9</formula>
    </cfRule>
    <cfRule type="expression" dxfId="64" priority="151">
      <formula>INDIRECT("F"&amp;ROW())&lt;0.9</formula>
    </cfRule>
    <cfRule type="expression" dxfId="63" priority="152">
      <formula>INDIRECT("E"&amp;ROW())&lt;TODAY() * NOT(ISBLANK(INDIRECT("E"&amp;ROW())))</formula>
    </cfRule>
  </conditionalFormatting>
  <conditionalFormatting sqref="B1:D1048576">
    <cfRule type="expression" dxfId="62" priority="143">
      <formula xml:space="preserve"> (INDIRECT("F" &amp; ROW()) &lt; 0.9) * (INDIRECT("E" &amp; ROW()) &gt; TODAY())</formula>
    </cfRule>
  </conditionalFormatting>
  <conditionalFormatting sqref="I7:DZ8 H9:DZ723">
    <cfRule type="expression" dxfId="61" priority="141">
      <formula xml:space="preserve"> INDIRECT(SUBSTITUTE(ADDRESS(1,COLUMN(),4),1,"") &amp; 6) = TODAY()</formula>
    </cfRule>
  </conditionalFormatting>
  <conditionalFormatting sqref="I7:XFD8 A30:XFD30 A38:XFD38 A5:XFD6 A4:T4 V4:XFD4 A1:XFD3 A48:XFD48 A55:XFD55 A59:XFD1048576 B25:XFD29 B31:XFD37 B49:XFD54 B56:XFD58 B39:XFD47 A9:XFD24 D16:E25 A7:G8">
    <cfRule type="expression" dxfId="60" priority="92">
      <formula xml:space="preserve"> NOT(ISBLANK(INDIRECT("D"&amp;ROW()))) * NOT(ISODD(ROW())) *NOT(ISBLANK(INDIRECT("E"&amp;ROW())))*(INDIRECT(SUBSTITUTE(ADDRESS(1,COLUMN(),4),1,"") &amp; 6) &lt;= INDIRECT("E" &amp; ROW()))*(INDIRECT(SUBSTITUTE(ADDRESS(1,COLUMN(),4),1,"") &amp; 6) &gt;= INDIRECT("D" &amp; ROW()))</formula>
    </cfRule>
    <cfRule type="expression" dxfId="5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58" priority="130">
      <formula>"'NOT(ISBLANK(INDIRECT(""E"" &amp; ROW()))) * NOT (ISBLANK(INDIRECT(""D"" &amp; ROW() ))) * (INDIRECT(""E"" &amp; ROW()) &lt; TODAY()) * INDIRECT(SUBSTITUTE(ADDRESS(1,COLUMN(),4),1,"""") &amp; 6) &gt; INDIRECT(""E"" &amp; ROW()) "</formula>
    </cfRule>
  </conditionalFormatting>
  <conditionalFormatting sqref="B9:D721">
    <cfRule type="expression" dxfId="57" priority="1">
      <formula xml:space="preserve"> INDIRECT("F" &amp; ROW()) &gt; 0.99</formula>
    </cfRule>
    <cfRule type="expression" dxfId="56" priority="137">
      <formula xml:space="preserve"> NOT(ISBLANK(INDIRECT("F" &amp; ROW()))) *( INDIRECT("D" &amp; ROW()) &gt; TODAY()) * INDIRECT("F"&amp;ROW()) &gt; 0.01 * NOT(INDIRECT("F" &amp; ROW()) &gt; 0.99)</formula>
    </cfRule>
    <cfRule type="expression" dxfId="55" priority="138">
      <formula>INDIRECT("D" &amp; ROW()) &gt; TODAY()</formula>
    </cfRule>
  </conditionalFormatting>
  <conditionalFormatting sqref="E22:E25 E28:E813">
    <cfRule type="expression" dxfId="54" priority="93">
      <formula xml:space="preserve"> INDIRECT("D" &amp; ROW()) &gt; TODAY()</formula>
    </cfRule>
  </conditionalFormatting>
  <conditionalFormatting sqref="A25:A29">
    <cfRule type="expression" dxfId="53" priority="63">
      <formula xml:space="preserve"> NOT(ISBLANK(INDIRECT("D"&amp;ROW()))) * NOT(ISODD(ROW())) *NOT(ISBLANK(INDIRECT("E"&amp;ROW())))*(INDIRECT(SUBSTITUTE(ADDRESS(1,COLUMN(),4),1,"") &amp; 6) &lt;= INDIRECT("E" &amp; ROW()))*(INDIRECT(SUBSTITUTE(ADDRESS(1,COLUMN(),4),1,"") &amp; 6) &gt;= INDIRECT("D" &amp; ROW()))</formula>
    </cfRule>
    <cfRule type="expression" dxfId="5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51" priority="55">
      <formula xml:space="preserve"> NOT(ISBLANK(INDIRECT("D"&amp;ROW()))) * NOT(ISODD(ROW())) *NOT(ISBLANK(INDIRECT("E"&amp;ROW())))*(INDIRECT(SUBSTITUTE(ADDRESS(1,COLUMN(),4),1,"") &amp; 6) &lt;= INDIRECT("E" &amp; ROW()))*(INDIRECT(SUBSTITUTE(ADDRESS(1,COLUMN(),4),1,"") &amp; 6) &gt;= INDIRECT("D" &amp; ROW()))</formula>
    </cfRule>
    <cfRule type="expression" dxfId="5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49" priority="20">
      <formula xml:space="preserve"> NOT(ISBLANK(INDIRECT("D"&amp;ROW()))) * NOT(ISODD(ROW())) *NOT(ISBLANK(INDIRECT("E"&amp;ROW())))*(INDIRECT(SUBSTITUTE(ADDRESS(1,COLUMN(),4),1,"") &amp; 6) &lt;= INDIRECT("E" &amp; ROW()))*(INDIRECT(SUBSTITUTE(ADDRESS(1,COLUMN(),4),1,"") &amp; 6) &gt;= INDIRECT("D" &amp; ROW()))</formula>
    </cfRule>
    <cfRule type="expression" dxfId="4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47" priority="12">
      <formula xml:space="preserve"> NOT(ISBLANK(INDIRECT("D"&amp;ROW()))) * NOT(ISODD(ROW())) *NOT(ISBLANK(INDIRECT("E"&amp;ROW())))*(INDIRECT(SUBSTITUTE(ADDRESS(1,COLUMN(),4),1,"") &amp; 6) &lt;= INDIRECT("E" &amp; ROW()))*(INDIRECT(SUBSTITUTE(ADDRESS(1,COLUMN(),4),1,"") &amp; 6) &gt;= INDIRECT("D" &amp; ROW()))</formula>
    </cfRule>
    <cfRule type="expression" dxfId="4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45" priority="4">
      <formula xml:space="preserve"> NOT(ISBLANK(INDIRECT("D"&amp;ROW()))) * NOT(ISODD(ROW())) *NOT(ISBLANK(INDIRECT("E"&amp;ROW())))*(INDIRECT(SUBSTITUTE(ADDRESS(1,COLUMN(),4),1,"") &amp; 6) &lt;= INDIRECT("E" &amp; ROW()))*(INDIRECT(SUBSTITUTE(ADDRESS(1,COLUMN(),4),1,"") &amp; 6) &gt;= INDIRECT("D" &amp; ROW()))</formula>
    </cfRule>
    <cfRule type="expression" dxfId="44"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vt:lpstr>
      <vt:lpstr>Journal</vt:lpstr>
      <vt:lpstr>Life Map</vt:lpstr>
      <vt:lpstr>Revision Planning</vt:lpstr>
      <vt:lpstr>Current Tasks</vt:lpstr>
      <vt:lpstr>Life Planner</vt:lpstr>
      <vt:lpstr>GAANT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2018-08-21T07:26:36Z</dcterms:modified>
</cp:coreProperties>
</file>