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My Projects\Unity Collab\Sun Rise\Sun Rise Planner\"/>
    </mc:Choice>
  </mc:AlternateContent>
  <bookViews>
    <workbookView xWindow="0" yWindow="0" windowWidth="28800" windowHeight="12450" tabRatio="589" activeTab="2"/>
  </bookViews>
  <sheets>
    <sheet name="GAANT" sheetId="1" r:id="rId1"/>
    <sheet name="Study Planner" sheetId="6" r:id="rId2"/>
    <sheet name="Project Scheduler" sheetId="8" r:id="rId3"/>
    <sheet name="Journal" sheetId="3" r:id="rId4"/>
    <sheet name="Time Tracker" sheetId="2" r:id="rId5"/>
    <sheet name="Homework" sheetId="5" r:id="rId6"/>
    <sheet name="Business GAANT" sheetId="7"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8" l="1"/>
  <c r="D30" i="8"/>
  <c r="F40" i="8" l="1"/>
  <c r="F41" i="8" s="1"/>
  <c r="D29" i="8"/>
  <c r="D11" i="8"/>
  <c r="D12" i="8"/>
  <c r="C29" i="8" l="1"/>
  <c r="F24" i="8"/>
  <c r="D8" i="8"/>
  <c r="F23" i="8"/>
  <c r="F17" i="8" l="1"/>
  <c r="F16" i="8"/>
  <c r="F15" i="8"/>
  <c r="I1" i="8"/>
  <c r="H1" i="8" s="1"/>
  <c r="E1" i="8"/>
  <c r="A7" i="6" l="1"/>
  <c r="A8" i="6"/>
  <c r="A9" i="6"/>
  <c r="A10" i="6"/>
  <c r="A11" i="6"/>
  <c r="A12" i="6"/>
  <c r="A13" i="6"/>
  <c r="A14" i="6"/>
  <c r="A15" i="6"/>
  <c r="A16" i="6"/>
  <c r="A17" i="6"/>
  <c r="A18" i="6"/>
  <c r="A19" i="6"/>
  <c r="A20" i="6"/>
  <c r="A21" i="6"/>
  <c r="A22" i="6"/>
  <c r="A23" i="6"/>
  <c r="A24" i="6"/>
  <c r="A25" i="6"/>
  <c r="A26" i="6"/>
  <c r="A27" i="6"/>
  <c r="A28" i="6"/>
  <c r="A6" i="6"/>
  <c r="A5" i="6"/>
  <c r="E1" i="6"/>
  <c r="F1" i="6" s="1"/>
  <c r="D4" i="7" l="1"/>
  <c r="C1" i="6" l="1"/>
  <c r="C1" i="5" l="1"/>
  <c r="E6" i="3" l="1"/>
  <c r="G6" i="3"/>
  <c r="E10" i="2"/>
  <c r="J4" i="2"/>
  <c r="E8" i="1" l="1"/>
  <c r="D8" i="1"/>
  <c r="C4" i="1"/>
  <c r="G36" i="2"/>
  <c r="E36" i="2"/>
</calcChain>
</file>

<file path=xl/sharedStrings.xml><?xml version="1.0" encoding="utf-8"?>
<sst xmlns="http://schemas.openxmlformats.org/spreadsheetml/2006/main" count="490" uniqueCount="306">
  <si>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</si>
  <si>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</si>
  <si>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</si>
  <si>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</si>
  <si>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</si>
  <si>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</si>
  <si>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</si>
  <si>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</si>
  <si>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</si>
  <si>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</si>
  <si>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</si>
  <si>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</si>
  <si>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</si>
  <si>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</si>
  <si>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</si>
  <si>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</si>
  <si>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</si>
  <si>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</si>
  <si>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</si>
  <si>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</si>
  <si>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</si>
  <si>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</si>
  <si>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</si>
  <si>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</si>
  <si>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</si>
  <si>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</si>
  <si>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</si>
  <si>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</si>
  <si>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</si>
  <si>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</si>
  <si>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</si>
  <si>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</si>
  <si>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</si>
  <si>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</si>
  <si>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</si>
  <si>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</si>
  <si>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</si>
  <si>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</si>
  <si>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</si>
  <si>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</si>
  <si>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</si>
  <si>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</si>
  <si>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</si>
  <si>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</si>
  <si>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</si>
  <si>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</si>
  <si>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</si>
  <si>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</si>
  <si>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</si>
  <si>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</si>
  <si>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</si>
  <si>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</si>
  <si>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</si>
  <si>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</si>
  <si>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</si>
  <si>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</si>
  <si>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</si>
  <si>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</si>
  <si>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</si>
  <si>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</si>
  <si>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</si>
  <si>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</si>
  <si>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</si>
  <si>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</si>
  <si>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</si>
  <si>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</si>
  <si>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</si>
  <si>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</si>
  <si>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</si>
  <si>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For every task
- Create pseudo code
- Create flow chart
- Write as state machine</t>
  </si>
  <si>
    <t>https://www.draw.io/</t>
  </si>
  <si>
    <t>Use this to graph our flow chart -&gt;</t>
  </si>
  <si>
    <t>PRIORITY</t>
  </si>
  <si>
    <t>Finish the next few activities as well</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</si>
  <si>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</si>
  <si>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</si>
  <si>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Review of the ends with algebra section in CH 2 algebra</t>
  </si>
  <si>
    <t>Take notes from physics using the OneNote make sure you are keeping up and understanding…</t>
  </si>
  <si>
    <t xml:space="preserve">TODO </t>
  </si>
  <si>
    <t>PHYSICS PLANET DATA TABLE DUE MONDAY</t>
  </si>
  <si>
    <t>MAIN HOMEWORK 
- Read and make notes on Private Limited Company
- Definition and examples
- Advantage and siadvantages</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</si>
  <si>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</si>
  <si>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</si>
  <si>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</si>
  <si>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</si>
  <si>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</si>
  <si>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</si>
  <si>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</si>
  <si>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</si>
  <si>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</si>
  <si>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</si>
  <si>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</si>
  <si>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</si>
  <si>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</si>
  <si>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</si>
  <si>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</si>
  <si>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Talk to the teacher about the quadratics of an irregular conical shape…</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</si>
  <si>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</si>
  <si>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</si>
  <si>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</si>
  <si>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NEXT BUSINESS LESSON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</si>
  <si>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</si>
  <si>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</si>
  <si>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</si>
  <si>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</si>
  <si>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</si>
  <si>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</si>
  <si>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</si>
  <si>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</si>
  <si>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</si>
  <si>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</si>
  <si>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</si>
  <si>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</si>
  <si>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</si>
  <si>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</si>
  <si>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</si>
  <si>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</si>
  <si>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</si>
  <si>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</si>
  <si>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</si>
  <si>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Finish the perception and GAANT chart, then re-write your business plan (pre) to be neat
Learn more about sole trader and partnerships and liabilities and all of those details..</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</si>
  <si>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</si>
  <si>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</si>
  <si>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11/11 in diagnostics test</t>
  </si>
  <si>
    <t>BUSINESS</t>
  </si>
  <si>
    <t>PHY</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</si>
  <si>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</si>
  <si>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</si>
  <si>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</si>
  <si>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</si>
  <si>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</si>
  <si>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</si>
  <si>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</si>
  <si>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</si>
  <si>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</si>
  <si>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</si>
  <si>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</si>
  <si>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</si>
  <si>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</si>
  <si>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</si>
  <si>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</si>
  <si>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Write game story</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</si>
  <si>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</si>
  <si>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</si>
  <si>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</si>
  <si>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</si>
  <si>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</si>
  <si>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</si>
  <si>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</si>
  <si>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</si>
  <si>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</si>
  <si>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</si>
  <si>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</si>
  <si>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</si>
  <si>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</si>
  <si>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</si>
  <si>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</si>
  <si>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</si>
  <si>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</si>
  <si>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</si>
  <si>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</si>
  <si>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</si>
  <si>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</si>
  <si>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</si>
  <si>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</si>
  <si>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</si>
  <si>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</si>
  <si>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</si>
  <si>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</si>
  <si>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</si>
  <si>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</si>
  <si>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</si>
  <si>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</si>
  <si>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</si>
  <si>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</si>
  <si>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</si>
  <si>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</si>
  <si>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</si>
  <si>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This will be used to track how many hours I work on something…</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</si>
  <si>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</si>
  <si>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</si>
  <si>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</si>
  <si>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</si>
  <si>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</si>
  <si>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</si>
  <si>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</si>
  <si>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BLOG-A</t>
  </si>
  <si>
    <t>Find a name</t>
  </si>
  <si>
    <t>Get blog</t>
  </si>
  <si>
    <t>Begin logging</t>
  </si>
  <si>
    <t>BLOG-B</t>
  </si>
  <si>
    <t>BLOG-C</t>
  </si>
  <si>
    <t>Everyday receive the output of your log and just paste and blog it and add some notes and screenshots if you want. But this will help not only you but everyone else…</t>
  </si>
  <si>
    <t>BLOG-D</t>
  </si>
  <si>
    <t xml:space="preserve">Add a theme </t>
  </si>
  <si>
    <t>You don't have to at the start, take your time on this it's not too important.</t>
  </si>
  <si>
    <t>Upload to wordpress</t>
  </si>
  <si>
    <t>BLOG-E</t>
  </si>
  <si>
    <t>Can be found at - https://ajaysdevlog.blogspot.com.au/</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</si>
  <si>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</si>
  <si>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</si>
  <si>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</si>
  <si>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</si>
  <si>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</si>
  <si>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</si>
  <si>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</si>
  <si>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</si>
  <si>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</si>
  <si>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</si>
  <si>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</si>
  <si>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</si>
  <si>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</si>
  <si>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</si>
  <si>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</si>
  <si>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</si>
  <si>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</si>
  <si>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</si>
  <si>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</si>
  <si>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</si>
  <si>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</si>
  <si>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</si>
  <si>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</si>
  <si>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</si>
  <si>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</si>
  <si>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</si>
  <si>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</si>
  <si>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</si>
  <si>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</si>
  <si>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</si>
  <si>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</si>
  <si>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</si>
  <si>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</si>
  <si>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</si>
  <si>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</si>
  <si>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</si>
  <si>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</si>
  <si>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</si>
  <si>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</si>
  <si>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</si>
  <si>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</si>
  <si>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</si>
  <si>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</si>
  <si>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</si>
  <si>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</si>
  <si>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</si>
  <si>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</si>
  <si>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</si>
  <si>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</si>
  <si>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</si>
  <si>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</si>
  <si>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</si>
  <si>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</si>
  <si>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</si>
  <si>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</si>
  <si>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</si>
  <si>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</si>
  <si>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</si>
  <si>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</si>
  <si>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</si>
  <si>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</si>
  <si>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</si>
  <si>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</si>
  <si>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</si>
  <si>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</si>
  <si>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</si>
  <si>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</si>
  <si>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</si>
  <si>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</si>
  <si>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</si>
  <si>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</si>
  <si>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</si>
  <si>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</si>
  <si>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</si>
  <si>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</si>
  <si>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</si>
  <si>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</si>
  <si>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</si>
  <si>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</si>
  <si>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</si>
  <si>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</si>
  <si>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</si>
  <si>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</si>
  <si>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</si>
  <si>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</si>
  <si>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</si>
  <si>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</si>
  <si>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</si>
  <si>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</si>
  <si>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SETUP B</t>
  </si>
  <si>
    <t>SETUP C</t>
  </si>
  <si>
    <t>SETUP D</t>
  </si>
  <si>
    <t>STORY-A</t>
  </si>
  <si>
    <t>STORY-B</t>
  </si>
  <si>
    <t>OUTLI-B</t>
  </si>
  <si>
    <t>SEQUE-B</t>
  </si>
  <si>
    <t>INTEG-B</t>
  </si>
  <si>
    <t>STORY-C</t>
  </si>
  <si>
    <t>STORY-C.5</t>
  </si>
  <si>
    <t>PRACTICE PEEL/WAKEUP</t>
  </si>
  <si>
    <t xml:space="preserve">WORK HARD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</si>
  <si>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</si>
  <si>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</si>
  <si>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DONE</t>
  </si>
  <si>
    <t>Get time limits</t>
  </si>
  <si>
    <t>Schedule</t>
  </si>
  <si>
    <t>STILL WORKING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</si>
</sst>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rgb="FFFFEB9C"/>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s>
  <borders count="20">
    <border>
      <left/>
      <right/>
      <top/>
      <bottom/>
      <diagonal/>
    </border>
    <border>
      <left/>
      <right/>
      <top style="thin">
        <color indexed="64"/>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indexed="64"/>
      </right>
      <top style="thin">
        <color auto="1"/>
      </top>
      <bottom/>
      <diagonal/>
    </border>
  </borders>
  <cellStyleXfs count="7">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xf numFmtId="0" fontId="7" fillId="26" borderId="0" applyNumberFormat="0" applyBorder="0" applyAlignment="0" applyProtection="0"/>
  </cellStyleXfs>
  <cellXfs count="246">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10" fontId="1" fillId="2" borderId="0" xfId="1" applyNumberFormat="1" applyAlignment="1">
      <alignment horizontal="center" vertical="center"/>
    </xf>
    <xf numFmtId="0" fontId="12" fillId="17" borderId="0" xfId="5" applyAlignment="1">
      <alignment horizontal="center" vertical="center" wrapText="1"/>
    </xf>
    <xf numFmtId="10" fontId="12" fillId="17" borderId="0" xfId="5" applyNumberFormat="1" applyAlignment="1">
      <alignment horizontal="center" vertical="center"/>
    </xf>
    <xf numFmtId="0" fontId="13" fillId="17" borderId="0" xfId="5" applyFont="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10" fontId="0" fillId="7" borderId="0" xfId="0" applyNumberFormat="1" applyFill="1" applyAlignment="1">
      <alignment horizontal="center" vertical="center"/>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4"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0" fontId="1" fillId="8" borderId="0" xfId="1" applyFill="1" applyAlignment="1">
      <alignment horizontal="center" vertical="center" wrapText="1"/>
    </xf>
    <xf numFmtId="10" fontId="1" fillId="8" borderId="0" xfId="1" applyNumberFormat="1" applyFill="1" applyAlignment="1">
      <alignment horizontal="center" vertical="center"/>
    </xf>
    <xf numFmtId="2" fontId="1" fillId="21" borderId="0" xfId="1" applyNumberFormat="1" applyFill="1" applyAlignment="1">
      <alignment horizontal="center" vertical="center" wrapText="1"/>
    </xf>
    <xf numFmtId="2" fontId="0" fillId="21" borderId="0" xfId="0" applyNumberFormat="1" applyFill="1" applyAlignment="1">
      <alignment horizontal="center" vertical="center" wrapText="1"/>
    </xf>
    <xf numFmtId="2" fontId="12" fillId="21" borderId="0" xfId="5" applyNumberFormat="1" applyFill="1" applyAlignment="1">
      <alignment horizontal="center" vertical="center" wrapText="1"/>
    </xf>
    <xf numFmtId="2" fontId="0" fillId="21" borderId="0" xfId="0" applyNumberFormat="1" applyFont="1" applyFill="1" applyAlignment="1">
      <alignment horizontal="center" vertical="center" wrapText="1"/>
    </xf>
    <xf numFmtId="0" fontId="7" fillId="26" borderId="0" xfId="6"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7"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8"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9"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0" fontId="19"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1"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2" fontId="18" fillId="7"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17" fillId="0" borderId="0" xfId="0" applyNumberFormat="1" applyFont="1" applyFill="1" applyAlignment="1">
      <alignment horizontal="center" vertical="center" wrapText="1"/>
    </xf>
    <xf numFmtId="2" fontId="17" fillId="0" borderId="0" xfId="0" applyNumberFormat="1" applyFont="1" applyFill="1" applyAlignment="1">
      <alignment horizontal="center" vertical="center" wrapText="1"/>
    </xf>
    <xf numFmtId="0" fontId="23" fillId="0" borderId="0" xfId="0" applyNumberFormat="1" applyFont="1" applyFill="1" applyAlignment="1">
      <alignment horizontal="center" vertical="center" wrapText="1"/>
    </xf>
    <xf numFmtId="165" fontId="24"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7" fillId="7" borderId="0" xfId="0" applyNumberFormat="1" applyFont="1" applyFill="1" applyAlignment="1">
      <alignment horizontal="center" vertical="center" wrapText="1"/>
    </xf>
    <xf numFmtId="167" fontId="18" fillId="0" borderId="0" xfId="0" applyNumberFormat="1" applyFont="1" applyAlignment="1">
      <alignment horizontal="center" vertical="center" wrapText="1"/>
    </xf>
    <xf numFmtId="167" fontId="17"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1" fillId="0" borderId="0" xfId="0" applyFont="1" applyAlignment="1">
      <alignment horizontal="center" vertical="center" wrapText="1"/>
    </xf>
    <xf numFmtId="0" fontId="25" fillId="0" borderId="0" xfId="0" applyFont="1" applyAlignment="1">
      <alignment horizontal="center" vertical="center" wrapText="1"/>
    </xf>
    <xf numFmtId="10" fontId="17" fillId="7" borderId="0" xfId="0" applyNumberFormat="1" applyFont="1" applyFill="1" applyAlignment="1">
      <alignment horizontal="center" vertical="center" wrapText="1"/>
    </xf>
    <xf numFmtId="10" fontId="18" fillId="0" borderId="0" xfId="0" applyNumberFormat="1" applyFont="1" applyAlignment="1">
      <alignment horizontal="center" vertical="center" wrapText="1"/>
    </xf>
    <xf numFmtId="10" fontId="17" fillId="0" borderId="0" xfId="0" applyNumberFormat="1" applyFont="1" applyAlignment="1">
      <alignment horizontal="center" vertical="center" wrapText="1"/>
    </xf>
    <xf numFmtId="166" fontId="0" fillId="8"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165" fontId="15" fillId="3" borderId="10" xfId="0" applyNumberFormat="1" applyFont="1" applyFill="1" applyBorder="1" applyAlignment="1">
      <alignment horizontal="center" vertical="center" wrapText="1"/>
    </xf>
    <xf numFmtId="49" fontId="15" fillId="3" borderId="9" xfId="0" applyNumberFormat="1" applyFont="1" applyFill="1" applyBorder="1" applyAlignment="1">
      <alignment horizontal="center" vertical="center" wrapText="1"/>
    </xf>
    <xf numFmtId="2" fontId="15" fillId="3" borderId="9" xfId="0" applyNumberFormat="1" applyFont="1" applyFill="1" applyBorder="1" applyAlignment="1">
      <alignment horizontal="center" vertical="center" wrapText="1"/>
    </xf>
    <xf numFmtId="165" fontId="15" fillId="3" borderId="5" xfId="0" applyNumberFormat="1" applyFont="1" applyFill="1" applyBorder="1" applyAlignment="1">
      <alignment horizontal="center" vertical="center" wrapText="1"/>
    </xf>
    <xf numFmtId="49" fontId="15" fillId="3" borderId="2" xfId="0" applyNumberFormat="1" applyFont="1" applyFill="1" applyBorder="1" applyAlignment="1">
      <alignment horizontal="center" vertical="center" wrapText="1"/>
    </xf>
    <xf numFmtId="49" fontId="15" fillId="3" borderId="0" xfId="0" applyNumberFormat="1" applyFont="1" applyFill="1" applyAlignment="1">
      <alignment horizontal="center" vertical="center" wrapText="1"/>
    </xf>
    <xf numFmtId="2" fontId="15" fillId="3" borderId="0" xfId="0" applyNumberFormat="1" applyFont="1" applyFill="1" applyAlignment="1">
      <alignment horizontal="center" vertical="center" wrapText="1"/>
    </xf>
    <xf numFmtId="49" fontId="15" fillId="3"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5" fillId="3" borderId="3" xfId="0" applyNumberFormat="1" applyFont="1" applyFill="1" applyBorder="1" applyAlignment="1">
      <alignment horizontal="center" vertical="center" wrapText="1"/>
    </xf>
    <xf numFmtId="49" fontId="15" fillId="3" borderId="4" xfId="0" applyNumberFormat="1" applyFont="1" applyFill="1" applyBorder="1" applyAlignment="1">
      <alignment horizontal="center" vertical="center" wrapText="1"/>
    </xf>
    <xf numFmtId="2" fontId="15" fillId="3" borderId="4" xfId="0" applyNumberFormat="1" applyFont="1" applyFill="1" applyBorder="1" applyAlignment="1">
      <alignment horizontal="center" vertical="center" wrapText="1"/>
    </xf>
  </cellXfs>
  <cellStyles count="7">
    <cellStyle name="20% - Accent1" xfId="3" builtinId="30"/>
    <cellStyle name="40% - Accent3" xfId="4" builtinId="39"/>
    <cellStyle name="Bad" xfId="5" builtinId="27"/>
    <cellStyle name="Good" xfId="1" builtinId="26"/>
    <cellStyle name="Neutral" xfId="6" builtinId="28"/>
    <cellStyle name="Normal" xfId="0" builtinId="0"/>
    <cellStyle name="Note" xfId="2" builtinId="10"/>
  </cellStyles>
  <dxfs count="67">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9" tint="0.39994506668294322"/>
        </patternFill>
      </fill>
    </dxf>
    <dxf>
      <fill>
        <patternFill>
          <bgColor theme="9" tint="-0.24994659260841701"/>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3300"/>
      <color rgb="FFFF5050"/>
      <color rgb="FF4D4D4D"/>
      <color rgb="FFFF8265"/>
      <color rgb="FFFF481D"/>
      <color rgb="FFC6E6A2"/>
      <color rgb="FFF22E00"/>
      <color rgb="FFBFDDAB"/>
      <color rgb="FFFB3737"/>
      <color rgb="FFFFDE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NC739"/>
  <sheetViews>
    <sheetView zoomScale="93" workbookViewId="0">
      <selection activeCell="I11" sqref="I11"/>
    </sheetView>
  </sheetViews>
  <sheetFormatPr defaultColWidth="9.140625" defaultRowHeight="15" outlineLevelCol="1" x14ac:dyDescent="0.25"/>
  <cols>
    <col min="1" max="1" width="9.140625" style="10" customWidth="1"/>
    <col min="2" max="2" width="9.140625" style="36"/>
    <col min="3" max="3" width="29.85546875" style="36" customWidth="1"/>
    <col min="4" max="4" width="15.85546875" style="37" customWidth="1"/>
    <col min="5" max="5" width="16.5703125" style="37" customWidth="1"/>
    <col min="6" max="6" width="28" style="26" customWidth="1"/>
    <col min="7" max="7" width="2.42578125" style="15" customWidth="1"/>
    <col min="8" max="9" width="15" style="2" customWidth="1" outlineLevel="1"/>
    <col min="10" max="10" width="12.28515625" style="2" customWidth="1" outlineLevel="1"/>
    <col min="11" max="11" width="15.5703125" style="2" customWidth="1" outlineLevel="1"/>
    <col min="12" max="12" width="9.140625" style="2" customWidth="1" outlineLevel="1"/>
    <col min="13" max="13" width="9.140625" style="2"/>
    <col min="14" max="40" width="9.140625" style="2" customWidth="1" outlineLevel="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5">
      <c r="A3" s="8"/>
      <c r="B3" s="31"/>
      <c r="C3" s="31" t="s">
        <v>5</v>
      </c>
      <c r="D3" s="32" t="s">
        <v>6</v>
      </c>
      <c r="E3" s="32"/>
      <c r="F3" s="23"/>
      <c r="G3" s="14"/>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5">
      <c r="A4" s="10"/>
      <c r="B4" s="33"/>
      <c r="C4" s="41">
        <f ca="1">TODAY()</f>
        <v>43142</v>
      </c>
      <c r="D4" s="42" t="s">
        <v>7</v>
      </c>
      <c r="E4" s="34"/>
      <c r="F4" s="24"/>
      <c r="G4" s="14"/>
      <c r="K4" s="68" t="s">
        <v>20</v>
      </c>
    </row>
    <row r="5" spans="1:367" s="6" customFormat="1" x14ac:dyDescent="0.25">
      <c r="A5" s="10"/>
      <c r="B5" s="33"/>
      <c r="C5" s="33"/>
      <c r="D5" s="34"/>
      <c r="E5" s="34"/>
      <c r="F5" s="24"/>
      <c r="G5" s="14"/>
    </row>
    <row r="6" spans="1:367" s="16" customFormat="1" ht="62.25" customHeight="1" x14ac:dyDescent="0.25">
      <c r="A6" s="18"/>
      <c r="B6" s="25"/>
      <c r="C6" s="25"/>
      <c r="D6" s="25"/>
      <c r="E6" s="25"/>
      <c r="F6" s="159"/>
      <c r="G6" s="17"/>
      <c r="H6" s="16">
        <v>43127</v>
      </c>
      <c r="I6" s="16">
        <v>43128</v>
      </c>
      <c r="J6" s="16">
        <v>43129</v>
      </c>
      <c r="K6" s="16">
        <v>43130</v>
      </c>
      <c r="L6" s="16">
        <v>43131</v>
      </c>
      <c r="M6" s="16">
        <v>43132</v>
      </c>
      <c r="N6" s="16">
        <v>43133</v>
      </c>
      <c r="O6" s="16">
        <v>43134</v>
      </c>
      <c r="P6" s="16">
        <v>43135</v>
      </c>
      <c r="Q6" s="16">
        <v>43136</v>
      </c>
      <c r="R6" s="16">
        <v>43137</v>
      </c>
      <c r="S6" s="16">
        <v>43138</v>
      </c>
      <c r="T6" s="16">
        <v>43139</v>
      </c>
      <c r="U6" s="16">
        <v>43140</v>
      </c>
      <c r="V6" s="16">
        <v>43141</v>
      </c>
      <c r="W6" s="16">
        <v>43142</v>
      </c>
      <c r="X6" s="16">
        <v>43143</v>
      </c>
      <c r="Y6" s="16">
        <v>43144</v>
      </c>
      <c r="Z6" s="16">
        <v>43145</v>
      </c>
      <c r="AA6" s="16">
        <v>43146</v>
      </c>
      <c r="AB6" s="16">
        <v>43147</v>
      </c>
      <c r="AC6" s="16">
        <v>43148</v>
      </c>
      <c r="AD6" s="16">
        <v>43149</v>
      </c>
      <c r="AE6" s="16">
        <v>43150</v>
      </c>
      <c r="AF6" s="16">
        <v>43151</v>
      </c>
      <c r="AG6" s="16">
        <v>43152</v>
      </c>
      <c r="AH6" s="16">
        <v>43153</v>
      </c>
      <c r="AI6" s="16">
        <v>43154</v>
      </c>
      <c r="AJ6" s="16">
        <v>43155</v>
      </c>
      <c r="AK6" s="16">
        <v>43156</v>
      </c>
      <c r="AL6" s="16">
        <v>43157</v>
      </c>
      <c r="AM6" s="16">
        <v>43158</v>
      </c>
      <c r="AN6" s="16">
        <v>43159</v>
      </c>
      <c r="AO6" s="16">
        <v>43160</v>
      </c>
      <c r="AP6" s="16">
        <v>43161</v>
      </c>
      <c r="AQ6" s="16">
        <v>43162</v>
      </c>
      <c r="AR6" s="16">
        <v>43163</v>
      </c>
      <c r="AS6" s="16">
        <v>43164</v>
      </c>
      <c r="AT6" s="16">
        <v>43165</v>
      </c>
      <c r="AU6" s="16">
        <v>43166</v>
      </c>
      <c r="AV6" s="16">
        <v>43167</v>
      </c>
      <c r="AW6" s="16">
        <v>43168</v>
      </c>
      <c r="AX6" s="16">
        <v>43169</v>
      </c>
      <c r="AY6" s="16">
        <v>43170</v>
      </c>
      <c r="AZ6" s="16">
        <v>43171</v>
      </c>
      <c r="BA6" s="16">
        <v>43172</v>
      </c>
      <c r="BB6" s="16">
        <v>43173</v>
      </c>
      <c r="BC6" s="16">
        <v>43174</v>
      </c>
      <c r="BD6" s="16">
        <v>43175</v>
      </c>
      <c r="BE6" s="16">
        <v>43176</v>
      </c>
      <c r="BF6" s="16">
        <v>43177</v>
      </c>
      <c r="BG6" s="16">
        <v>43178</v>
      </c>
      <c r="BH6" s="16">
        <v>43179</v>
      </c>
      <c r="BI6" s="16">
        <v>43180</v>
      </c>
      <c r="BJ6" s="16">
        <v>43181</v>
      </c>
      <c r="BK6" s="16">
        <v>43182</v>
      </c>
      <c r="BL6" s="16">
        <v>43183</v>
      </c>
      <c r="BM6" s="16">
        <v>43184</v>
      </c>
      <c r="BN6" s="16">
        <v>43185</v>
      </c>
      <c r="BO6" s="16">
        <v>43186</v>
      </c>
      <c r="BP6" s="16">
        <v>43187</v>
      </c>
      <c r="BQ6" s="16">
        <v>43188</v>
      </c>
      <c r="BR6" s="16">
        <v>43189</v>
      </c>
      <c r="BS6" s="16">
        <v>43190</v>
      </c>
      <c r="BT6" s="16">
        <v>43191</v>
      </c>
      <c r="BU6" s="16">
        <v>43192</v>
      </c>
      <c r="BV6" s="16">
        <v>43193</v>
      </c>
      <c r="BW6" s="16">
        <v>43194</v>
      </c>
      <c r="BX6" s="16">
        <v>43195</v>
      </c>
      <c r="BY6" s="16">
        <v>43196</v>
      </c>
      <c r="BZ6" s="16">
        <v>43197</v>
      </c>
      <c r="CA6" s="16">
        <v>43198</v>
      </c>
      <c r="CB6" s="16">
        <v>43199</v>
      </c>
      <c r="CC6" s="16">
        <v>43200</v>
      </c>
      <c r="CD6" s="16">
        <v>43201</v>
      </c>
      <c r="CE6" s="16">
        <v>43202</v>
      </c>
      <c r="CF6" s="16">
        <v>43203</v>
      </c>
      <c r="CG6" s="16">
        <v>43204</v>
      </c>
      <c r="CH6" s="16">
        <v>43205</v>
      </c>
      <c r="CI6" s="16">
        <v>43206</v>
      </c>
      <c r="CJ6" s="16">
        <v>43207</v>
      </c>
      <c r="CK6" s="16">
        <v>43208</v>
      </c>
      <c r="CL6" s="16">
        <v>43209</v>
      </c>
      <c r="CM6" s="16">
        <v>43210</v>
      </c>
      <c r="CN6" s="16">
        <v>43211</v>
      </c>
      <c r="CO6" s="16">
        <v>43212</v>
      </c>
      <c r="CP6" s="16">
        <v>43213</v>
      </c>
      <c r="CQ6" s="16">
        <v>43214</v>
      </c>
      <c r="CR6" s="16">
        <v>43215</v>
      </c>
      <c r="CS6" s="16">
        <v>43216</v>
      </c>
      <c r="CT6" s="16">
        <v>43217</v>
      </c>
      <c r="CU6" s="16">
        <v>43218</v>
      </c>
      <c r="CV6" s="16">
        <v>43219</v>
      </c>
      <c r="CW6" s="16">
        <v>43220</v>
      </c>
      <c r="CX6" s="16">
        <v>43221</v>
      </c>
      <c r="CY6" s="16">
        <v>43222</v>
      </c>
      <c r="CZ6" s="16">
        <v>43223</v>
      </c>
      <c r="DA6" s="16">
        <v>43224</v>
      </c>
      <c r="DB6" s="16">
        <v>43225</v>
      </c>
      <c r="DC6" s="16">
        <v>43226</v>
      </c>
      <c r="DD6" s="16">
        <v>43227</v>
      </c>
      <c r="DE6" s="16">
        <v>43228</v>
      </c>
      <c r="DF6" s="16">
        <v>43229</v>
      </c>
      <c r="DG6" s="16">
        <v>43230</v>
      </c>
      <c r="DH6" s="16">
        <v>43231</v>
      </c>
      <c r="DI6" s="16">
        <v>43232</v>
      </c>
      <c r="DJ6" s="16">
        <v>43233</v>
      </c>
      <c r="DK6" s="16">
        <v>43234</v>
      </c>
      <c r="DL6" s="16">
        <v>43235</v>
      </c>
      <c r="DM6" s="16">
        <v>43236</v>
      </c>
      <c r="DN6" s="16">
        <v>43237</v>
      </c>
      <c r="DO6" s="16">
        <v>43238</v>
      </c>
      <c r="DP6" s="16">
        <v>43239</v>
      </c>
      <c r="DQ6" s="16">
        <v>43240</v>
      </c>
      <c r="DR6" s="16">
        <v>43241</v>
      </c>
      <c r="DS6" s="16">
        <v>43242</v>
      </c>
      <c r="DT6" s="16">
        <v>43243</v>
      </c>
      <c r="DU6" s="16">
        <v>43244</v>
      </c>
      <c r="DV6" s="16">
        <v>43245</v>
      </c>
      <c r="DW6" s="16">
        <v>43246</v>
      </c>
      <c r="DX6" s="16">
        <v>43247</v>
      </c>
      <c r="DY6" s="16">
        <v>43248</v>
      </c>
      <c r="DZ6" s="16">
        <v>43249</v>
      </c>
      <c r="EA6" s="16">
        <v>43250</v>
      </c>
      <c r="EB6" s="16">
        <v>43251</v>
      </c>
      <c r="EC6" s="16">
        <v>43252</v>
      </c>
      <c r="ED6" s="16">
        <v>43253</v>
      </c>
      <c r="EE6" s="16">
        <v>43254</v>
      </c>
      <c r="EF6" s="16">
        <v>43255</v>
      </c>
      <c r="EG6" s="16">
        <v>43256</v>
      </c>
      <c r="EH6" s="16">
        <v>43257</v>
      </c>
      <c r="EI6" s="16">
        <v>43258</v>
      </c>
      <c r="EJ6" s="16">
        <v>43259</v>
      </c>
      <c r="EK6" s="16">
        <v>43260</v>
      </c>
      <c r="EL6" s="16">
        <v>43261</v>
      </c>
      <c r="EM6" s="16">
        <v>43262</v>
      </c>
      <c r="EN6" s="16">
        <v>43263</v>
      </c>
      <c r="EO6" s="16">
        <v>43264</v>
      </c>
      <c r="EP6" s="16">
        <v>43265</v>
      </c>
      <c r="EQ6" s="16">
        <v>43266</v>
      </c>
      <c r="ER6" s="16">
        <v>43267</v>
      </c>
      <c r="ES6" s="16">
        <v>43268</v>
      </c>
      <c r="ET6" s="16">
        <v>43269</v>
      </c>
      <c r="EU6" s="16">
        <v>43270</v>
      </c>
      <c r="EV6" s="16">
        <v>43271</v>
      </c>
      <c r="EW6" s="16">
        <v>43272</v>
      </c>
      <c r="EX6" s="16">
        <v>43273</v>
      </c>
      <c r="EY6" s="16">
        <v>43274</v>
      </c>
      <c r="EZ6" s="16">
        <v>43275</v>
      </c>
      <c r="FA6" s="16">
        <v>43276</v>
      </c>
      <c r="FB6" s="16">
        <v>43277</v>
      </c>
      <c r="FC6" s="16">
        <v>43278</v>
      </c>
      <c r="FD6" s="16">
        <v>43279</v>
      </c>
      <c r="FE6" s="16">
        <v>43280</v>
      </c>
      <c r="FF6" s="16">
        <v>43281</v>
      </c>
      <c r="FG6" s="16">
        <v>43282</v>
      </c>
      <c r="FH6" s="16">
        <v>43283</v>
      </c>
      <c r="FI6" s="16">
        <v>43284</v>
      </c>
      <c r="FJ6" s="16">
        <v>43285</v>
      </c>
      <c r="FK6" s="16">
        <v>43286</v>
      </c>
      <c r="FL6" s="16">
        <v>43287</v>
      </c>
      <c r="FM6" s="16">
        <v>43288</v>
      </c>
      <c r="FN6" s="16">
        <v>43289</v>
      </c>
      <c r="FO6" s="16">
        <v>43290</v>
      </c>
      <c r="FP6" s="16">
        <v>43291</v>
      </c>
      <c r="FQ6" s="16">
        <v>43292</v>
      </c>
      <c r="FR6" s="16">
        <v>43293</v>
      </c>
      <c r="FS6" s="16">
        <v>43294</v>
      </c>
      <c r="FT6" s="16">
        <v>43295</v>
      </c>
      <c r="FU6" s="16">
        <v>43296</v>
      </c>
      <c r="FV6" s="16">
        <v>43297</v>
      </c>
      <c r="FW6" s="16">
        <v>43298</v>
      </c>
      <c r="FX6" s="16">
        <v>43299</v>
      </c>
      <c r="FY6" s="16">
        <v>43300</v>
      </c>
      <c r="FZ6" s="16">
        <v>43301</v>
      </c>
      <c r="GA6" s="16">
        <v>43302</v>
      </c>
      <c r="GB6" s="16">
        <v>43303</v>
      </c>
      <c r="GC6" s="16">
        <v>43304</v>
      </c>
      <c r="GD6" s="16">
        <v>43305</v>
      </c>
      <c r="GE6" s="16">
        <v>43306</v>
      </c>
      <c r="GF6" s="16">
        <v>43307</v>
      </c>
      <c r="GG6" s="16">
        <v>43308</v>
      </c>
      <c r="GH6" s="16">
        <v>43309</v>
      </c>
      <c r="GI6" s="16">
        <v>43310</v>
      </c>
      <c r="GJ6" s="16">
        <v>43311</v>
      </c>
      <c r="GK6" s="16">
        <v>43312</v>
      </c>
      <c r="GL6" s="16">
        <v>43313</v>
      </c>
      <c r="GM6" s="16">
        <v>43314</v>
      </c>
      <c r="GN6" s="16">
        <v>43315</v>
      </c>
      <c r="GO6" s="16">
        <v>43316</v>
      </c>
      <c r="GP6" s="16">
        <v>43317</v>
      </c>
      <c r="GQ6" s="16">
        <v>43318</v>
      </c>
      <c r="GR6" s="16">
        <v>43319</v>
      </c>
      <c r="GS6" s="16">
        <v>43320</v>
      </c>
      <c r="GT6" s="16">
        <v>43321</v>
      </c>
      <c r="GU6" s="16">
        <v>43322</v>
      </c>
      <c r="GV6" s="16">
        <v>43323</v>
      </c>
      <c r="GW6" s="16">
        <v>43324</v>
      </c>
      <c r="GX6" s="16">
        <v>43325</v>
      </c>
      <c r="GY6" s="16">
        <v>43326</v>
      </c>
      <c r="GZ6" s="16">
        <v>43327</v>
      </c>
      <c r="HA6" s="16">
        <v>43328</v>
      </c>
      <c r="HB6" s="16">
        <v>43329</v>
      </c>
      <c r="HC6" s="16">
        <v>43330</v>
      </c>
      <c r="HD6" s="16">
        <v>43331</v>
      </c>
      <c r="HE6" s="16">
        <v>43332</v>
      </c>
      <c r="HF6" s="16">
        <v>43333</v>
      </c>
      <c r="HG6" s="16">
        <v>43334</v>
      </c>
      <c r="HH6" s="16">
        <v>43335</v>
      </c>
      <c r="HI6" s="16">
        <v>43336</v>
      </c>
      <c r="HJ6" s="16">
        <v>43337</v>
      </c>
      <c r="HK6" s="16">
        <v>43338</v>
      </c>
      <c r="HL6" s="16">
        <v>43339</v>
      </c>
      <c r="HM6" s="16">
        <v>43340</v>
      </c>
      <c r="HN6" s="16">
        <v>43341</v>
      </c>
      <c r="HO6" s="16">
        <v>43342</v>
      </c>
      <c r="HP6" s="16">
        <v>43343</v>
      </c>
      <c r="HQ6" s="16">
        <v>43344</v>
      </c>
      <c r="HR6" s="16">
        <v>43345</v>
      </c>
      <c r="HS6" s="16">
        <v>43346</v>
      </c>
      <c r="HT6" s="16">
        <v>43347</v>
      </c>
      <c r="HU6" s="16">
        <v>43348</v>
      </c>
      <c r="HV6" s="16">
        <v>43349</v>
      </c>
      <c r="HW6" s="16">
        <v>43350</v>
      </c>
      <c r="HX6" s="16">
        <v>43351</v>
      </c>
      <c r="HY6" s="16">
        <v>43352</v>
      </c>
      <c r="HZ6" s="16">
        <v>43353</v>
      </c>
      <c r="IA6" s="16">
        <v>43354</v>
      </c>
      <c r="IB6" s="16">
        <v>43355</v>
      </c>
      <c r="IC6" s="16">
        <v>43356</v>
      </c>
      <c r="ID6" s="16">
        <v>43357</v>
      </c>
      <c r="IE6" s="16">
        <v>43358</v>
      </c>
      <c r="IF6" s="16">
        <v>43359</v>
      </c>
      <c r="IG6" s="16">
        <v>43360</v>
      </c>
      <c r="IH6" s="16">
        <v>43361</v>
      </c>
      <c r="II6" s="16">
        <v>43362</v>
      </c>
      <c r="IJ6" s="16">
        <v>43363</v>
      </c>
      <c r="IK6" s="16">
        <v>43364</v>
      </c>
      <c r="IL6" s="16">
        <v>43365</v>
      </c>
      <c r="IM6" s="16">
        <v>43366</v>
      </c>
      <c r="IN6" s="16">
        <v>43367</v>
      </c>
      <c r="IO6" s="16">
        <v>43368</v>
      </c>
      <c r="IP6" s="16">
        <v>43369</v>
      </c>
      <c r="IQ6" s="16">
        <v>43370</v>
      </c>
      <c r="IR6" s="16">
        <v>43371</v>
      </c>
      <c r="IS6" s="16">
        <v>43372</v>
      </c>
      <c r="IT6" s="16">
        <v>43373</v>
      </c>
      <c r="IU6" s="16">
        <v>43374</v>
      </c>
      <c r="IV6" s="16">
        <v>43375</v>
      </c>
      <c r="IW6" s="16">
        <v>43376</v>
      </c>
      <c r="IX6" s="16">
        <v>43377</v>
      </c>
      <c r="IY6" s="16">
        <v>43378</v>
      </c>
      <c r="IZ6" s="16">
        <v>43379</v>
      </c>
      <c r="JA6" s="16">
        <v>43380</v>
      </c>
      <c r="JB6" s="16">
        <v>43381</v>
      </c>
      <c r="JC6" s="16">
        <v>43382</v>
      </c>
      <c r="JD6" s="16">
        <v>43383</v>
      </c>
      <c r="JE6" s="16">
        <v>43384</v>
      </c>
      <c r="JF6" s="16">
        <v>43385</v>
      </c>
      <c r="JG6" s="16">
        <v>43386</v>
      </c>
      <c r="JH6" s="16">
        <v>43387</v>
      </c>
      <c r="JI6" s="16">
        <v>43388</v>
      </c>
      <c r="JJ6" s="16">
        <v>43389</v>
      </c>
      <c r="JK6" s="16">
        <v>43390</v>
      </c>
      <c r="JL6" s="16">
        <v>43391</v>
      </c>
      <c r="JM6" s="16">
        <v>43392</v>
      </c>
      <c r="JN6" s="16">
        <v>43393</v>
      </c>
      <c r="JO6" s="16">
        <v>43394</v>
      </c>
      <c r="JP6" s="16">
        <v>43395</v>
      </c>
      <c r="JQ6" s="16">
        <v>43396</v>
      </c>
      <c r="JR6" s="16">
        <v>43397</v>
      </c>
      <c r="JS6" s="16">
        <v>43398</v>
      </c>
      <c r="JT6" s="16">
        <v>43399</v>
      </c>
      <c r="JU6" s="16">
        <v>43400</v>
      </c>
      <c r="JV6" s="16">
        <v>43401</v>
      </c>
      <c r="JW6" s="16">
        <v>43402</v>
      </c>
      <c r="JX6" s="16">
        <v>43403</v>
      </c>
      <c r="JY6" s="16">
        <v>43404</v>
      </c>
      <c r="JZ6" s="16">
        <v>43405</v>
      </c>
      <c r="KA6" s="16">
        <v>43406</v>
      </c>
      <c r="KB6" s="16">
        <v>43407</v>
      </c>
      <c r="KC6" s="16">
        <v>43408</v>
      </c>
      <c r="KD6" s="16">
        <v>43409</v>
      </c>
      <c r="KE6" s="16">
        <v>43410</v>
      </c>
      <c r="KF6" s="16">
        <v>43411</v>
      </c>
      <c r="KG6" s="16">
        <v>43412</v>
      </c>
      <c r="KH6" s="16">
        <v>43413</v>
      </c>
      <c r="KI6" s="16">
        <v>43414</v>
      </c>
      <c r="KJ6" s="16">
        <v>43415</v>
      </c>
      <c r="KK6" s="16">
        <v>43416</v>
      </c>
      <c r="KL6" s="16">
        <v>43417</v>
      </c>
      <c r="KM6" s="16">
        <v>43418</v>
      </c>
      <c r="KN6" s="16">
        <v>43419</v>
      </c>
      <c r="KO6" s="16">
        <v>43420</v>
      </c>
      <c r="KP6" s="16">
        <v>43421</v>
      </c>
      <c r="KQ6" s="16">
        <v>43422</v>
      </c>
      <c r="KR6" s="16">
        <v>43423</v>
      </c>
      <c r="KS6" s="16">
        <v>43424</v>
      </c>
      <c r="KT6" s="16">
        <v>43425</v>
      </c>
      <c r="KU6" s="16">
        <v>43426</v>
      </c>
      <c r="KV6" s="16">
        <v>43427</v>
      </c>
      <c r="KW6" s="16">
        <v>43428</v>
      </c>
      <c r="KX6" s="16">
        <v>43429</v>
      </c>
      <c r="KY6" s="16">
        <v>43430</v>
      </c>
      <c r="KZ6" s="16">
        <v>43431</v>
      </c>
      <c r="LA6" s="16">
        <v>43432</v>
      </c>
      <c r="LB6" s="16">
        <v>43433</v>
      </c>
      <c r="LC6" s="16">
        <v>43434</v>
      </c>
      <c r="LD6" s="16">
        <v>43435</v>
      </c>
      <c r="LE6" s="16">
        <v>43436</v>
      </c>
      <c r="LF6" s="16">
        <v>43437</v>
      </c>
      <c r="LG6" s="16">
        <v>43438</v>
      </c>
      <c r="LH6" s="16">
        <v>43439</v>
      </c>
      <c r="LI6" s="16">
        <v>43440</v>
      </c>
      <c r="LJ6" s="16">
        <v>43441</v>
      </c>
      <c r="LK6" s="16">
        <v>43442</v>
      </c>
      <c r="LL6" s="16">
        <v>43443</v>
      </c>
      <c r="LM6" s="16">
        <v>43444</v>
      </c>
      <c r="LN6" s="16">
        <v>43445</v>
      </c>
      <c r="LO6" s="16">
        <v>43446</v>
      </c>
      <c r="LP6" s="16">
        <v>43447</v>
      </c>
      <c r="LQ6" s="16">
        <v>43448</v>
      </c>
      <c r="LR6" s="16">
        <v>43449</v>
      </c>
      <c r="LS6" s="16">
        <v>43450</v>
      </c>
      <c r="LT6" s="16">
        <v>43451</v>
      </c>
      <c r="LU6" s="16">
        <v>43452</v>
      </c>
      <c r="LV6" s="16">
        <v>43453</v>
      </c>
      <c r="LW6" s="16">
        <v>43454</v>
      </c>
      <c r="LX6" s="16">
        <v>43455</v>
      </c>
      <c r="LY6" s="16">
        <v>43456</v>
      </c>
      <c r="LZ6" s="16">
        <v>43457</v>
      </c>
      <c r="MA6" s="16">
        <v>43458</v>
      </c>
      <c r="MB6" s="16">
        <v>43459</v>
      </c>
      <c r="MC6" s="16">
        <v>43460</v>
      </c>
      <c r="MD6" s="16">
        <v>43461</v>
      </c>
      <c r="ME6" s="16">
        <v>43462</v>
      </c>
      <c r="MF6" s="16">
        <v>43463</v>
      </c>
      <c r="MG6" s="16">
        <v>43464</v>
      </c>
      <c r="MH6" s="16">
        <v>43465</v>
      </c>
      <c r="MI6" s="16">
        <v>43466</v>
      </c>
      <c r="MJ6" s="16">
        <v>43467</v>
      </c>
      <c r="MK6" s="16">
        <v>43468</v>
      </c>
      <c r="ML6" s="16">
        <v>43469</v>
      </c>
      <c r="MM6" s="16">
        <v>43470</v>
      </c>
      <c r="MN6" s="16">
        <v>43471</v>
      </c>
      <c r="MO6" s="16">
        <v>43472</v>
      </c>
      <c r="MP6" s="16">
        <v>43473</v>
      </c>
      <c r="MQ6" s="16">
        <v>43474</v>
      </c>
      <c r="MR6" s="16">
        <v>43475</v>
      </c>
      <c r="MS6" s="16">
        <v>43476</v>
      </c>
      <c r="MT6" s="16">
        <v>43477</v>
      </c>
      <c r="MU6" s="16">
        <v>43478</v>
      </c>
      <c r="MV6" s="16">
        <v>43479</v>
      </c>
      <c r="MW6" s="16">
        <v>43480</v>
      </c>
      <c r="MX6" s="16">
        <v>43481</v>
      </c>
      <c r="MY6" s="16">
        <v>43482</v>
      </c>
      <c r="MZ6" s="16">
        <v>43483</v>
      </c>
      <c r="NA6" s="16">
        <v>43484</v>
      </c>
      <c r="NB6" s="16">
        <v>43485</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 customFormat="1" ht="20.100000000000001" customHeight="1" x14ac:dyDescent="0.25">
      <c r="A8" s="10"/>
      <c r="B8" s="35" t="s">
        <v>9</v>
      </c>
      <c r="C8" s="19" t="s">
        <v>8</v>
      </c>
      <c r="D8" s="19">
        <f ca="1">TODAY()</f>
        <v>43142</v>
      </c>
      <c r="E8" s="20">
        <f ca="1">TODAY()</f>
        <v>43142</v>
      </c>
      <c r="F8" s="160">
        <v>1</v>
      </c>
      <c r="G8" s="1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row>
    <row r="9" spans="1:367" ht="20.100000000000001" customHeight="1" x14ac:dyDescent="0.25">
      <c r="B9" s="35" t="s">
        <v>9</v>
      </c>
      <c r="C9" s="19" t="s">
        <v>10</v>
      </c>
      <c r="D9" s="19">
        <v>43127</v>
      </c>
      <c r="E9" s="20">
        <v>43129</v>
      </c>
      <c r="F9" s="160">
        <v>1</v>
      </c>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x14ac:dyDescent="0.25">
      <c r="B10" s="35" t="s">
        <v>9</v>
      </c>
      <c r="C10" s="19" t="s">
        <v>32</v>
      </c>
      <c r="D10" s="19">
        <v>43128</v>
      </c>
      <c r="E10" s="20">
        <v>43129</v>
      </c>
      <c r="F10" s="161">
        <v>1</v>
      </c>
      <c r="H10" s="45"/>
      <c r="I10" s="45"/>
      <c r="J10" s="45"/>
      <c r="K10" s="45"/>
      <c r="L10" s="45"/>
      <c r="M10" s="45"/>
      <c r="N10" s="45"/>
      <c r="O10" s="45"/>
      <c r="P10" s="131"/>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x14ac:dyDescent="0.25">
      <c r="B11" s="35" t="s">
        <v>9</v>
      </c>
      <c r="C11" s="19" t="s">
        <v>33</v>
      </c>
      <c r="D11" s="19">
        <v>43129</v>
      </c>
      <c r="E11" s="20">
        <v>43147</v>
      </c>
      <c r="F11" s="161">
        <v>1</v>
      </c>
      <c r="H11" s="45"/>
      <c r="I11" s="45"/>
      <c r="J11" s="45"/>
      <c r="K11" s="45"/>
      <c r="L11" s="132"/>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x14ac:dyDescent="0.25">
      <c r="B12" s="35" t="s">
        <v>9</v>
      </c>
      <c r="C12" s="19" t="s">
        <v>141</v>
      </c>
      <c r="D12" s="19">
        <v>43140</v>
      </c>
      <c r="E12" s="20">
        <v>43151</v>
      </c>
      <c r="F12" s="161">
        <v>0.2</v>
      </c>
      <c r="H12" s="45"/>
      <c r="I12" s="45"/>
      <c r="J12" s="45"/>
      <c r="K12" s="45"/>
      <c r="L12" s="132"/>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x14ac:dyDescent="0.25">
      <c r="B13" s="35" t="s">
        <v>9</v>
      </c>
      <c r="C13" s="19" t="s">
        <v>304</v>
      </c>
      <c r="D13" s="19">
        <v>43131</v>
      </c>
      <c r="E13" s="20">
        <v>43150</v>
      </c>
      <c r="F13" s="161">
        <v>1</v>
      </c>
      <c r="H13" s="45"/>
      <c r="I13" s="45"/>
      <c r="J13" s="45"/>
      <c r="K13" s="45"/>
      <c r="L13" s="45"/>
      <c r="M13" s="45"/>
      <c r="N13" s="45"/>
      <c r="O13" s="133"/>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x14ac:dyDescent="0.25">
      <c r="B14" s="35" t="s">
        <v>65</v>
      </c>
      <c r="C14" s="19" t="s">
        <v>303</v>
      </c>
      <c r="D14" s="19">
        <v>43131</v>
      </c>
      <c r="E14" s="20">
        <v>43156</v>
      </c>
      <c r="F14" s="160">
        <v>1</v>
      </c>
      <c r="H14" s="45"/>
      <c r="I14" s="45"/>
      <c r="J14" s="45"/>
      <c r="K14" s="45"/>
      <c r="L14" s="45"/>
      <c r="M14" s="45"/>
      <c r="N14" s="45"/>
      <c r="O14" s="133"/>
      <c r="P14" s="45"/>
      <c r="Q14" s="45"/>
      <c r="R14" s="45"/>
      <c r="S14" s="45"/>
      <c r="T14" s="45"/>
      <c r="U14" s="134"/>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x14ac:dyDescent="0.25">
      <c r="B15" s="35" t="s">
        <v>9</v>
      </c>
      <c r="C15" s="19" t="s">
        <v>36</v>
      </c>
      <c r="D15" s="19">
        <v>43129</v>
      </c>
      <c r="E15" s="20">
        <v>43159</v>
      </c>
      <c r="F15" s="160">
        <v>1</v>
      </c>
      <c r="H15" s="45"/>
      <c r="I15" s="45"/>
      <c r="J15" s="45"/>
      <c r="K15" s="45"/>
      <c r="L15" s="132"/>
      <c r="M15" s="45"/>
      <c r="N15" s="45"/>
      <c r="O15" s="45"/>
      <c r="P15" s="45"/>
      <c r="Q15" s="45"/>
      <c r="R15" s="45"/>
      <c r="S15" s="45"/>
      <c r="T15" s="45"/>
      <c r="U15" s="45"/>
      <c r="V15" s="134"/>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x14ac:dyDescent="0.25">
      <c r="B16" s="35" t="s">
        <v>34</v>
      </c>
      <c r="C16" s="19" t="s">
        <v>35</v>
      </c>
      <c r="D16" s="19">
        <v>43127</v>
      </c>
      <c r="E16" s="20">
        <v>43135</v>
      </c>
      <c r="F16" s="160">
        <v>1</v>
      </c>
      <c r="H16" s="45"/>
      <c r="I16" s="45"/>
      <c r="J16" s="45"/>
      <c r="K16" s="135"/>
      <c r="L16" s="45"/>
      <c r="M16" s="45"/>
      <c r="N16" s="45"/>
      <c r="O16" s="45"/>
      <c r="P16" s="45"/>
      <c r="Q16" s="45"/>
      <c r="R16" s="45"/>
      <c r="S16" s="45"/>
      <c r="T16" s="45"/>
      <c r="U16" s="131"/>
      <c r="V16" s="131"/>
      <c r="W16" s="131"/>
      <c r="X16" s="131"/>
      <c r="Y16" s="131"/>
      <c r="Z16" s="45"/>
      <c r="AA16" s="45"/>
      <c r="AB16" s="45"/>
      <c r="AC16" s="45"/>
      <c r="AD16" s="45"/>
      <c r="AE16" s="45"/>
      <c r="AF16" s="45"/>
      <c r="AG16" s="45"/>
      <c r="AH16" s="45"/>
      <c r="AI16" s="45"/>
      <c r="AJ16" s="45"/>
      <c r="AK16" s="45"/>
      <c r="AL16" s="45"/>
      <c r="AM16" s="45"/>
      <c r="AN16" s="45"/>
      <c r="AO16" s="45"/>
      <c r="AP16" s="45"/>
      <c r="AQ16" s="45"/>
      <c r="AR16" s="45"/>
      <c r="AS16" s="45"/>
    </row>
    <row r="17" spans="2:45" ht="20.100000000000001" customHeight="1" x14ac:dyDescent="0.25">
      <c r="B17" s="35"/>
      <c r="C17" s="19" t="s">
        <v>302</v>
      </c>
      <c r="D17" s="19">
        <v>43127</v>
      </c>
      <c r="E17" s="20">
        <v>43590</v>
      </c>
      <c r="F17" s="4">
        <v>0</v>
      </c>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2:45" ht="20.100000000000001" customHeight="1" x14ac:dyDescent="0.25">
      <c r="B18" s="35"/>
      <c r="C18" s="19"/>
      <c r="D18" s="19"/>
      <c r="E18" s="20"/>
      <c r="F18" s="4"/>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row>
    <row r="19" spans="2:45" ht="20.100000000000001" customHeight="1" x14ac:dyDescent="0.25">
      <c r="B19" s="35"/>
      <c r="C19" s="19"/>
      <c r="D19" s="19"/>
      <c r="E19" s="20"/>
      <c r="F19" s="4"/>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row>
    <row r="20" spans="2:45" ht="20.100000000000001" customHeight="1" x14ac:dyDescent="0.25">
      <c r="B20" s="35"/>
      <c r="C20" s="19"/>
      <c r="D20" s="19"/>
      <c r="E20" s="20"/>
      <c r="F20" s="4"/>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row>
    <row r="21" spans="2:45" ht="20.100000000000001" customHeight="1" x14ac:dyDescent="0.25">
      <c r="B21" s="35"/>
      <c r="C21" s="19"/>
      <c r="D21" s="19"/>
      <c r="E21" s="20"/>
      <c r="F21" s="4"/>
    </row>
    <row r="22" spans="2:45" ht="20.100000000000001" customHeight="1" x14ac:dyDescent="0.25">
      <c r="B22" s="35"/>
      <c r="C22" s="19"/>
      <c r="D22" s="19"/>
      <c r="E22" s="20"/>
      <c r="F22" s="4"/>
    </row>
    <row r="23" spans="2:45" ht="20.100000000000001" customHeight="1" x14ac:dyDescent="0.25">
      <c r="B23" s="35"/>
      <c r="C23" s="19"/>
      <c r="D23" s="19"/>
      <c r="E23" s="20"/>
      <c r="F23" s="4"/>
    </row>
    <row r="24" spans="2:45" ht="20.100000000000001" customHeight="1" x14ac:dyDescent="0.25">
      <c r="B24" s="35"/>
      <c r="C24" s="19"/>
      <c r="D24" s="19"/>
      <c r="E24" s="20"/>
      <c r="F24" s="4"/>
    </row>
    <row r="25" spans="2:45" ht="20.100000000000001" customHeight="1" x14ac:dyDescent="0.25">
      <c r="B25" s="35"/>
      <c r="C25" s="19"/>
      <c r="D25" s="19"/>
      <c r="E25" s="20"/>
      <c r="F25" s="4"/>
    </row>
    <row r="26" spans="2:45" ht="20.100000000000001" customHeight="1" x14ac:dyDescent="0.25">
      <c r="B26" s="35"/>
      <c r="C26" s="19"/>
      <c r="D26" s="19"/>
      <c r="E26" s="20"/>
      <c r="F26" s="4"/>
    </row>
    <row r="27" spans="2:45" ht="20.100000000000001" customHeight="1" x14ac:dyDescent="0.25">
      <c r="B27" s="35"/>
      <c r="C27" s="19"/>
      <c r="D27" s="19"/>
      <c r="E27" s="20"/>
      <c r="F27" s="4"/>
    </row>
    <row r="28" spans="2:45" ht="20.100000000000001" customHeight="1" x14ac:dyDescent="0.25">
      <c r="B28" s="35"/>
      <c r="C28" s="19"/>
      <c r="D28" s="19"/>
      <c r="E28" s="20"/>
      <c r="F28" s="4"/>
    </row>
    <row r="29" spans="2:45" ht="20.100000000000001" customHeight="1" x14ac:dyDescent="0.25">
      <c r="B29" s="35"/>
      <c r="C29" s="19"/>
      <c r="D29" s="19"/>
      <c r="E29" s="20"/>
      <c r="F29" s="4"/>
    </row>
    <row r="30" spans="2:45" ht="20.100000000000001" customHeight="1" x14ac:dyDescent="0.25">
      <c r="B30" s="35"/>
      <c r="C30" s="19"/>
      <c r="D30" s="19"/>
      <c r="E30" s="20"/>
      <c r="F30" s="4"/>
    </row>
    <row r="31" spans="2:45" ht="20.100000000000001" customHeight="1" x14ac:dyDescent="0.25">
      <c r="B31" s="35"/>
      <c r="C31" s="19"/>
      <c r="D31" s="19"/>
      <c r="E31" s="20"/>
      <c r="F31" s="4"/>
    </row>
    <row r="32" spans="2:45" ht="20.100000000000001" customHeight="1" x14ac:dyDescent="0.25">
      <c r="B32" s="35"/>
      <c r="C32" s="19"/>
      <c r="D32" s="19"/>
      <c r="E32" s="20"/>
      <c r="F32" s="4"/>
    </row>
    <row r="33" spans="2:6" ht="20.100000000000001" customHeight="1" x14ac:dyDescent="0.25">
      <c r="B33" s="35"/>
      <c r="C33" s="19"/>
      <c r="D33" s="19"/>
      <c r="E33" s="20"/>
      <c r="F33" s="4"/>
    </row>
    <row r="34" spans="2:6" ht="20.100000000000001" customHeight="1" x14ac:dyDescent="0.25">
      <c r="B34" s="35"/>
      <c r="C34" s="19"/>
      <c r="D34" s="19"/>
      <c r="E34" s="20"/>
      <c r="F34" s="4"/>
    </row>
    <row r="35" spans="2:6" ht="20.100000000000001" customHeight="1" x14ac:dyDescent="0.25">
      <c r="B35" s="35"/>
      <c r="C35" s="19"/>
      <c r="D35" s="19"/>
      <c r="E35" s="20"/>
      <c r="F35" s="4"/>
    </row>
    <row r="36" spans="2:6" ht="20.100000000000001" customHeight="1" x14ac:dyDescent="0.25">
      <c r="B36" s="35"/>
      <c r="C36" s="19"/>
      <c r="D36" s="19"/>
      <c r="E36" s="20"/>
      <c r="F36" s="4"/>
    </row>
    <row r="37" spans="2:6" ht="20.100000000000001" customHeight="1" x14ac:dyDescent="0.25">
      <c r="B37" s="35"/>
      <c r="C37" s="19"/>
      <c r="D37" s="19"/>
      <c r="E37" s="20"/>
      <c r="F37" s="4"/>
    </row>
    <row r="38" spans="2:6" ht="20.100000000000001" customHeight="1" x14ac:dyDescent="0.25">
      <c r="B38" s="35"/>
      <c r="C38" s="19"/>
      <c r="D38" s="19"/>
      <c r="E38" s="20"/>
      <c r="F38" s="4"/>
    </row>
    <row r="39" spans="2:6" ht="20.100000000000001" customHeight="1" x14ac:dyDescent="0.25">
      <c r="B39" s="35"/>
      <c r="C39" s="19"/>
      <c r="D39" s="19"/>
      <c r="E39" s="20"/>
      <c r="F39" s="4"/>
    </row>
    <row r="40" spans="2:6" ht="20.100000000000001" customHeight="1" x14ac:dyDescent="0.25">
      <c r="B40" s="35"/>
      <c r="C40" s="19"/>
      <c r="D40" s="19"/>
      <c r="E40" s="20"/>
      <c r="F40" s="4"/>
    </row>
    <row r="41" spans="2:6" ht="20.100000000000001" customHeight="1" x14ac:dyDescent="0.25">
      <c r="B41" s="35"/>
      <c r="C41" s="19"/>
      <c r="D41" s="19"/>
      <c r="E41" s="20"/>
      <c r="F41" s="4"/>
    </row>
    <row r="42" spans="2:6" ht="20.100000000000001" customHeight="1" x14ac:dyDescent="0.25">
      <c r="B42" s="35"/>
      <c r="C42" s="19"/>
      <c r="D42" s="19"/>
      <c r="E42" s="20"/>
      <c r="F42" s="4"/>
    </row>
    <row r="43" spans="2:6" ht="20.100000000000001" customHeight="1" x14ac:dyDescent="0.25">
      <c r="B43" s="35"/>
      <c r="C43" s="19"/>
      <c r="D43" s="19"/>
      <c r="E43" s="20"/>
      <c r="F43" s="4"/>
    </row>
    <row r="44" spans="2:6" ht="20.100000000000001" customHeight="1" x14ac:dyDescent="0.25">
      <c r="B44" s="35"/>
      <c r="C44" s="19"/>
      <c r="D44" s="19"/>
      <c r="E44" s="20"/>
      <c r="F44" s="4"/>
    </row>
    <row r="45" spans="2:6" ht="20.100000000000001" customHeight="1" x14ac:dyDescent="0.25">
      <c r="B45" s="35"/>
      <c r="C45" s="19"/>
      <c r="D45" s="19"/>
      <c r="E45" s="20"/>
      <c r="F45" s="4"/>
    </row>
    <row r="46" spans="2:6" ht="20.100000000000001" customHeight="1" x14ac:dyDescent="0.25">
      <c r="B46" s="35"/>
      <c r="C46" s="19"/>
      <c r="D46" s="19"/>
      <c r="E46" s="20"/>
      <c r="F46" s="4"/>
    </row>
    <row r="47" spans="2:6" ht="20.100000000000001" customHeight="1" x14ac:dyDescent="0.25">
      <c r="B47" s="35"/>
      <c r="C47" s="19"/>
      <c r="D47" s="19"/>
      <c r="E47" s="20"/>
      <c r="F47" s="4"/>
    </row>
    <row r="48" spans="2:6"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c r="B338" s="35"/>
      <c r="C338" s="19"/>
      <c r="D338" s="19"/>
      <c r="E338" s="20"/>
      <c r="F338" s="4"/>
    </row>
    <row r="339" spans="2:6" ht="20.100000000000001" customHeight="1" x14ac:dyDescent="0.25">
      <c r="B339" s="35"/>
      <c r="C339" s="19"/>
      <c r="D339" s="19"/>
      <c r="E339" s="20"/>
      <c r="F339" s="4"/>
    </row>
    <row r="340" spans="2:6" ht="20.100000000000001" customHeight="1" x14ac:dyDescent="0.25">
      <c r="B340" s="35"/>
      <c r="C340" s="19"/>
      <c r="D340" s="19"/>
      <c r="E340" s="20"/>
      <c r="F340" s="4"/>
    </row>
    <row r="341" spans="2:6" ht="20.100000000000001" customHeight="1" x14ac:dyDescent="0.25">
      <c r="B341" s="35"/>
      <c r="C341" s="19"/>
      <c r="D341" s="19"/>
      <c r="E341" s="20"/>
      <c r="F341" s="4"/>
    </row>
    <row r="342" spans="2:6" ht="20.100000000000001" customHeight="1" x14ac:dyDescent="0.25">
      <c r="B342" s="35"/>
      <c r="C342" s="19"/>
      <c r="D342" s="19"/>
      <c r="E342" s="20"/>
      <c r="F342" s="4"/>
    </row>
    <row r="343" spans="2:6" ht="20.100000000000001" customHeight="1" x14ac:dyDescent="0.25">
      <c r="B343" s="35"/>
      <c r="C343" s="19"/>
      <c r="D343" s="19"/>
      <c r="E343" s="20"/>
      <c r="F343" s="4"/>
    </row>
    <row r="344" spans="2:6" ht="20.100000000000001" customHeight="1" x14ac:dyDescent="0.25">
      <c r="B344" s="35"/>
      <c r="C344" s="19"/>
      <c r="D344" s="19"/>
      <c r="E344" s="20"/>
      <c r="F344" s="4"/>
    </row>
    <row r="345" spans="2:6" ht="20.100000000000001" customHeight="1" x14ac:dyDescent="0.25">
      <c r="B345" s="35"/>
      <c r="C345" s="19"/>
      <c r="D345" s="19"/>
      <c r="E345" s="20"/>
      <c r="F345" s="4"/>
    </row>
    <row r="346" spans="2:6" ht="20.100000000000001" customHeight="1" x14ac:dyDescent="0.25">
      <c r="B346" s="35"/>
      <c r="C346" s="19"/>
      <c r="D346" s="19"/>
      <c r="E346" s="20"/>
      <c r="F346" s="4"/>
    </row>
    <row r="347" spans="2:6" ht="20.100000000000001" customHeight="1" x14ac:dyDescent="0.25">
      <c r="B347" s="35"/>
      <c r="C347" s="19"/>
      <c r="D347" s="19"/>
      <c r="E347" s="20"/>
      <c r="F347" s="4"/>
    </row>
    <row r="348" spans="2:6" ht="20.100000000000001" customHeight="1" x14ac:dyDescent="0.25">
      <c r="B348" s="35"/>
      <c r="C348" s="19"/>
      <c r="D348" s="19"/>
      <c r="E348" s="20"/>
      <c r="F348" s="4"/>
    </row>
    <row r="349" spans="2:6" ht="20.100000000000001" customHeight="1" x14ac:dyDescent="0.25">
      <c r="B349" s="35"/>
      <c r="C349" s="19"/>
      <c r="D349" s="19"/>
      <c r="E349" s="20"/>
      <c r="F349" s="4"/>
    </row>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sheetData>
  <conditionalFormatting sqref="A6:XFD6">
    <cfRule type="timePeriod" dxfId="66" priority="11" timePeriod="yesterday">
      <formula>FLOOR(A6,1)=TODAY()-1</formula>
    </cfRule>
    <cfRule type="timePeriod" dxfId="65" priority="54" timePeriod="tomorrow">
      <formula>FLOOR(A6,1)=TODAY()+1</formula>
    </cfRule>
    <cfRule type="timePeriod" dxfId="64" priority="55" timePeriod="yesterday">
      <formula>FLOOR(A6,1)=TODAY()-1</formula>
    </cfRule>
    <cfRule type="timePeriod" dxfId="63" priority="56" timePeriod="yesterday">
      <formula>FLOOR(A6,1)=TODAY()-1</formula>
    </cfRule>
    <cfRule type="timePeriod" dxfId="62" priority="57" timePeriod="today">
      <formula>FLOOR(A6,1)=TODAY()</formula>
    </cfRule>
  </conditionalFormatting>
  <conditionalFormatting sqref="F8:F349">
    <cfRule type="colorScale" priority="48">
      <colorScale>
        <cfvo type="num" val="0"/>
        <cfvo type="num" val="0.5"/>
        <cfvo type="num" val="1"/>
        <color rgb="FFFF3300"/>
        <color rgb="FFFFC000"/>
        <color rgb="FF92D050"/>
      </colorScale>
    </cfRule>
  </conditionalFormatting>
  <conditionalFormatting sqref="F1:F1048576">
    <cfRule type="colorScale" priority="47">
      <colorScale>
        <cfvo type="num" val="0"/>
        <cfvo type="num" val="0.5"/>
        <cfvo type="num" val="1"/>
        <color rgb="FFF8696B"/>
        <color rgb="FFFFEB84"/>
        <color rgb="FF63BE7B"/>
      </colorScale>
    </cfRule>
  </conditionalFormatting>
  <conditionalFormatting sqref="E1:E7 E350:E1048576">
    <cfRule type="cellIs" priority="43" operator="lessThan">
      <formula>TODAY()</formula>
    </cfRule>
  </conditionalFormatting>
  <conditionalFormatting sqref="E8 E11:E349">
    <cfRule type="cellIs" dxfId="61" priority="37" operator="lessThanOrEqual">
      <formula>TODAY()</formula>
    </cfRule>
    <cfRule type="cellIs" dxfId="60" priority="38" operator="greaterThan">
      <formula>TODAY()</formula>
    </cfRule>
  </conditionalFormatting>
  <conditionalFormatting sqref="B8:D8">
    <cfRule type="expression" dxfId="59" priority="22">
      <formula>ISBLANK(INDIRECT("E"&amp;ROW()))*ISBLANK(INDIRECT("F"&amp;ROW()))</formula>
    </cfRule>
    <cfRule type="expression" dxfId="58" priority="29">
      <formula>INDIRECT("F"&amp;ROW()) &gt;= 0.9</formula>
    </cfRule>
    <cfRule type="expression" dxfId="57" priority="30">
      <formula>INDIRECT("F"&amp;ROW())&lt;0.9 * NOT(ISBLANK("F"&amp;ROW()))</formula>
    </cfRule>
    <cfRule type="expression" dxfId="56" priority="31">
      <formula>INDIRECT("E"&amp;ROW())&lt;TODAY() * NOT(ISBLANK(INDIRECT("E"&amp;ROW())))</formula>
    </cfRule>
  </conditionalFormatting>
  <conditionalFormatting sqref="E8 E11:E349">
    <cfRule type="expression" dxfId="55" priority="21">
      <formula>ISBLANK(INDIRECT("E"&amp;ROW()))</formula>
    </cfRule>
  </conditionalFormatting>
  <conditionalFormatting sqref="E9:E10">
    <cfRule type="cellIs" dxfId="54" priority="17" operator="lessThanOrEqual">
      <formula>TODAY()</formula>
    </cfRule>
    <cfRule type="cellIs" dxfId="53" priority="18" operator="greaterThan">
      <formula>TODAY()</formula>
    </cfRule>
  </conditionalFormatting>
  <conditionalFormatting sqref="B9:D349">
    <cfRule type="expression" dxfId="52" priority="13">
      <formula>ISBLANK(INDIRECT("E"&amp;ROW()))*ISBLANK(INDIRECT("F"&amp;ROW()))</formula>
    </cfRule>
    <cfRule type="expression" dxfId="51" priority="14">
      <formula>INDIRECT("F"&amp;ROW()) &gt;= 0.9</formula>
    </cfRule>
    <cfRule type="expression" dxfId="50" priority="15">
      <formula>INDIRECT("F"&amp;ROW())&lt;0.9</formula>
    </cfRule>
    <cfRule type="expression" dxfId="49" priority="16">
      <formula>INDIRECT("E"&amp;ROW())&lt;TODAY() * NOT(ISBLANK(INDIRECT("E"&amp;ROW())))</formula>
    </cfRule>
  </conditionalFormatting>
  <conditionalFormatting sqref="E9:E10">
    <cfRule type="expression" dxfId="48" priority="12">
      <formula>ISBLANK(INDIRECT("E"&amp;ROW()))</formula>
    </cfRule>
  </conditionalFormatting>
  <conditionalFormatting sqref="B1:D1048576">
    <cfRule type="expression" dxfId="47" priority="7">
      <formula xml:space="preserve"> (INDIRECT("F" &amp; ROW()) &lt; 0.9) * (INDIRECT("E" &amp; ROW()) &gt; TODAY())</formula>
    </cfRule>
  </conditionalFormatting>
  <conditionalFormatting sqref="H7:DZ739">
    <cfRule type="expression" dxfId="46" priority="1">
      <formula xml:space="preserve"> INDIRECT(SUBSTITUTE(ADDRESS(1,COLUMN(),4),1,"") &amp; 6) = TODAY()</formula>
    </cfRule>
  </conditionalFormatting>
  <conditionalFormatting sqref="A1:XFD1048576">
    <cfRule type="expression" dxfId="45" priority="5">
      <formula xml:space="preserve"> NOT(ISBLANK(INDIRECT("D"&amp;ROW()))) * ISODD(ROW()) *NOT(ISBLANK(INDIRECT("E"&amp;ROW())))*(INDIRECT(SUBSTITUTE(ADDRESS(1,COLUMN(),4),1,"") &amp; 6) &lt;= INDIRECT("E" &amp; ROW()))*(INDIRECT(SUBSTITUTE(ADDRESS(1,COLUMN(),4),1,"") &amp; 6) &gt;= INDIRECT("D" &amp; ROW()))</formula>
    </cfRule>
    <cfRule type="expression" dxfId="44" priority="2">
      <formula xml:space="preserve"> NOT(ISBLANK(INDIRECT("D"&amp;ROW()))) * NOT(ISODD(ROW()))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A7" workbookViewId="0">
      <selection activeCell="H8" sqref="H8"/>
    </sheetView>
  </sheetViews>
  <sheetFormatPr defaultRowHeight="15" x14ac:dyDescent="0.25"/>
  <cols>
    <col min="1" max="1" width="12.42578125" style="128" customWidth="1"/>
    <col min="2" max="2" width="14.85546875" style="166" customWidth="1"/>
    <col min="3" max="129" width="20.7109375" style="171" customWidth="1"/>
    <col min="130" max="16384" width="9.140625" style="171"/>
  </cols>
  <sheetData>
    <row r="1" spans="1:99" s="163" customFormat="1" x14ac:dyDescent="0.25">
      <c r="A1" s="128"/>
      <c r="C1" s="164">
        <f ca="1">TODAY()</f>
        <v>43142</v>
      </c>
      <c r="D1" s="164"/>
      <c r="E1" s="192">
        <f ca="1">NOW()</f>
        <v>43142.468779050927</v>
      </c>
      <c r="F1" s="191">
        <f ca="1">HOUR(E1)</f>
        <v>11</v>
      </c>
      <c r="H1" s="163" t="s">
        <v>40</v>
      </c>
      <c r="J1" s="163" t="s">
        <v>39</v>
      </c>
    </row>
    <row r="2" spans="1:99" s="163" customFormat="1" ht="29.25" customHeight="1" x14ac:dyDescent="0.25">
      <c r="A2" s="125"/>
      <c r="F2" s="165"/>
    </row>
    <row r="3" spans="1:99" s="166" customFormat="1" x14ac:dyDescent="0.25">
      <c r="A3" s="128"/>
      <c r="C3" s="166" t="s">
        <v>81</v>
      </c>
      <c r="D3" s="166" t="s">
        <v>82</v>
      </c>
      <c r="E3" s="166" t="s">
        <v>83</v>
      </c>
      <c r="F3" s="166" t="s">
        <v>84</v>
      </c>
      <c r="G3" s="166" t="s">
        <v>85</v>
      </c>
      <c r="H3" s="166" t="s">
        <v>86</v>
      </c>
      <c r="I3" s="166" t="s">
        <v>87</v>
      </c>
      <c r="J3" s="166" t="s">
        <v>81</v>
      </c>
      <c r="K3" s="166" t="s">
        <v>82</v>
      </c>
      <c r="L3" s="166" t="s">
        <v>83</v>
      </c>
      <c r="M3" s="166" t="s">
        <v>84</v>
      </c>
      <c r="N3" s="166" t="s">
        <v>85</v>
      </c>
      <c r="O3" s="166" t="s">
        <v>86</v>
      </c>
      <c r="P3" s="166" t="s">
        <v>87</v>
      </c>
      <c r="Q3" s="166" t="s">
        <v>81</v>
      </c>
      <c r="R3" s="166" t="s">
        <v>82</v>
      </c>
      <c r="S3" s="166" t="s">
        <v>83</v>
      </c>
      <c r="T3" s="166" t="s">
        <v>84</v>
      </c>
      <c r="U3" s="166" t="s">
        <v>85</v>
      </c>
      <c r="V3" s="166" t="s">
        <v>86</v>
      </c>
      <c r="W3" s="166" t="s">
        <v>87</v>
      </c>
      <c r="X3" s="166" t="s">
        <v>81</v>
      </c>
      <c r="Y3" s="166" t="s">
        <v>82</v>
      </c>
      <c r="Z3" s="166" t="s">
        <v>83</v>
      </c>
      <c r="AA3" s="166" t="s">
        <v>84</v>
      </c>
      <c r="AB3" s="166" t="s">
        <v>85</v>
      </c>
      <c r="AC3" s="166" t="s">
        <v>86</v>
      </c>
      <c r="AD3" s="166" t="s">
        <v>87</v>
      </c>
      <c r="AE3" s="166" t="s">
        <v>81</v>
      </c>
      <c r="AF3" s="166" t="s">
        <v>82</v>
      </c>
      <c r="AG3" s="166" t="s">
        <v>83</v>
      </c>
      <c r="AH3" s="166" t="s">
        <v>84</v>
      </c>
      <c r="AI3" s="166" t="s">
        <v>85</v>
      </c>
      <c r="AJ3" s="166" t="s">
        <v>86</v>
      </c>
      <c r="AK3" s="166" t="s">
        <v>87</v>
      </c>
      <c r="AL3" s="166" t="s">
        <v>81</v>
      </c>
      <c r="AM3" s="166" t="s">
        <v>82</v>
      </c>
      <c r="AN3" s="166" t="s">
        <v>83</v>
      </c>
      <c r="AO3" s="166" t="s">
        <v>84</v>
      </c>
      <c r="AP3" s="166" t="s">
        <v>85</v>
      </c>
      <c r="AQ3" s="166" t="s">
        <v>86</v>
      </c>
      <c r="AR3" s="166" t="s">
        <v>87</v>
      </c>
      <c r="AS3" s="166" t="s">
        <v>81</v>
      </c>
      <c r="AT3" s="166" t="s">
        <v>82</v>
      </c>
      <c r="AU3" s="166" t="s">
        <v>83</v>
      </c>
      <c r="AV3" s="166" t="s">
        <v>84</v>
      </c>
      <c r="AW3" s="166" t="s">
        <v>85</v>
      </c>
      <c r="AX3" s="166" t="s">
        <v>86</v>
      </c>
      <c r="AY3" s="166" t="s">
        <v>87</v>
      </c>
      <c r="AZ3" s="166" t="s">
        <v>81</v>
      </c>
      <c r="BA3" s="166" t="s">
        <v>82</v>
      </c>
      <c r="BB3" s="166" t="s">
        <v>83</v>
      </c>
      <c r="BC3" s="166" t="s">
        <v>84</v>
      </c>
      <c r="BD3" s="166" t="s">
        <v>85</v>
      </c>
      <c r="BE3" s="166" t="s">
        <v>86</v>
      </c>
      <c r="BF3" s="166" t="s">
        <v>87</v>
      </c>
      <c r="BG3" s="166" t="s">
        <v>81</v>
      </c>
      <c r="BH3" s="166" t="s">
        <v>82</v>
      </c>
      <c r="BI3" s="166" t="s">
        <v>83</v>
      </c>
      <c r="BJ3" s="166" t="s">
        <v>84</v>
      </c>
      <c r="BK3" s="166" t="s">
        <v>85</v>
      </c>
      <c r="BL3" s="166" t="s">
        <v>86</v>
      </c>
      <c r="BM3" s="166" t="s">
        <v>87</v>
      </c>
      <c r="BN3" s="166" t="s">
        <v>81</v>
      </c>
      <c r="BO3" s="166" t="s">
        <v>82</v>
      </c>
      <c r="BP3" s="166" t="s">
        <v>83</v>
      </c>
      <c r="BQ3" s="166" t="s">
        <v>84</v>
      </c>
      <c r="BR3" s="166" t="s">
        <v>85</v>
      </c>
      <c r="BS3" s="166" t="s">
        <v>86</v>
      </c>
      <c r="BT3" s="166" t="s">
        <v>87</v>
      </c>
      <c r="BU3" s="166" t="s">
        <v>81</v>
      </c>
      <c r="BV3" s="166" t="s">
        <v>82</v>
      </c>
      <c r="BW3" s="166" t="s">
        <v>83</v>
      </c>
      <c r="BX3" s="166" t="s">
        <v>84</v>
      </c>
      <c r="BY3" s="166" t="s">
        <v>85</v>
      </c>
      <c r="BZ3" s="166" t="s">
        <v>86</v>
      </c>
      <c r="CA3" s="166" t="s">
        <v>87</v>
      </c>
      <c r="CB3" s="166" t="s">
        <v>81</v>
      </c>
      <c r="CC3" s="166" t="s">
        <v>82</v>
      </c>
      <c r="CD3" s="166" t="s">
        <v>83</v>
      </c>
      <c r="CE3" s="166" t="s">
        <v>84</v>
      </c>
      <c r="CF3" s="166" t="s">
        <v>85</v>
      </c>
      <c r="CG3" s="166" t="s">
        <v>86</v>
      </c>
      <c r="CH3" s="166" t="s">
        <v>87</v>
      </c>
      <c r="CI3" s="166" t="s">
        <v>81</v>
      </c>
      <c r="CJ3" s="166" t="s">
        <v>82</v>
      </c>
      <c r="CK3" s="166" t="s">
        <v>83</v>
      </c>
      <c r="CL3" s="166" t="s">
        <v>84</v>
      </c>
      <c r="CM3" s="166" t="s">
        <v>85</v>
      </c>
      <c r="CN3" s="166" t="s">
        <v>86</v>
      </c>
      <c r="CO3" s="166" t="s">
        <v>87</v>
      </c>
      <c r="CP3" s="166" t="s">
        <v>81</v>
      </c>
      <c r="CQ3" s="166" t="s">
        <v>82</v>
      </c>
      <c r="CR3" s="166" t="s">
        <v>83</v>
      </c>
      <c r="CS3" s="166" t="s">
        <v>84</v>
      </c>
      <c r="CT3" s="166" t="s">
        <v>85</v>
      </c>
      <c r="CU3" s="166" t="s">
        <v>86</v>
      </c>
    </row>
    <row r="4" spans="1:99" s="168" customFormat="1" ht="32.25" customHeight="1" x14ac:dyDescent="0.25">
      <c r="A4" s="167"/>
      <c r="C4" s="169">
        <v>43137</v>
      </c>
      <c r="D4" s="169">
        <v>43138</v>
      </c>
      <c r="E4" s="169">
        <v>43139</v>
      </c>
      <c r="F4" s="169">
        <v>43140</v>
      </c>
      <c r="G4" s="169">
        <v>43141</v>
      </c>
      <c r="H4" s="169">
        <v>43142</v>
      </c>
      <c r="I4" s="169">
        <v>43143</v>
      </c>
      <c r="J4" s="169">
        <v>43144</v>
      </c>
      <c r="K4" s="169">
        <v>43145</v>
      </c>
      <c r="L4" s="169">
        <v>43146</v>
      </c>
      <c r="M4" s="169">
        <v>43147</v>
      </c>
      <c r="N4" s="169">
        <v>43148</v>
      </c>
      <c r="O4" s="169">
        <v>43149</v>
      </c>
      <c r="P4" s="169">
        <v>43150</v>
      </c>
      <c r="Q4" s="169">
        <v>43151</v>
      </c>
      <c r="R4" s="169">
        <v>43152</v>
      </c>
      <c r="S4" s="169">
        <v>43153</v>
      </c>
      <c r="T4" s="169">
        <v>43154</v>
      </c>
      <c r="U4" s="169">
        <v>43155</v>
      </c>
      <c r="V4" s="169">
        <v>43156</v>
      </c>
      <c r="W4" s="169">
        <v>43157</v>
      </c>
      <c r="X4" s="169">
        <v>43158</v>
      </c>
      <c r="Y4" s="169">
        <v>43159</v>
      </c>
      <c r="Z4" s="169">
        <v>43160</v>
      </c>
      <c r="AA4" s="169">
        <v>43161</v>
      </c>
      <c r="AB4" s="169">
        <v>43162</v>
      </c>
      <c r="AC4" s="169">
        <v>43163</v>
      </c>
      <c r="AD4" s="169">
        <v>43164</v>
      </c>
      <c r="AE4" s="169">
        <v>43165</v>
      </c>
      <c r="AF4" s="169">
        <v>43166</v>
      </c>
      <c r="AG4" s="169">
        <v>43167</v>
      </c>
      <c r="AH4" s="169">
        <v>43168</v>
      </c>
      <c r="AI4" s="169">
        <v>43169</v>
      </c>
      <c r="AJ4" s="169">
        <v>43170</v>
      </c>
      <c r="AK4" s="169">
        <v>43171</v>
      </c>
      <c r="AL4" s="169">
        <v>43172</v>
      </c>
      <c r="AM4" s="169">
        <v>43173</v>
      </c>
      <c r="AN4" s="169">
        <v>43174</v>
      </c>
      <c r="AO4" s="169">
        <v>43175</v>
      </c>
      <c r="AP4" s="169">
        <v>43176</v>
      </c>
      <c r="AQ4" s="169">
        <v>43177</v>
      </c>
      <c r="AR4" s="169">
        <v>43178</v>
      </c>
      <c r="AS4" s="169">
        <v>43179</v>
      </c>
      <c r="AT4" s="169">
        <v>43180</v>
      </c>
      <c r="AU4" s="169">
        <v>43181</v>
      </c>
      <c r="AV4" s="169">
        <v>43182</v>
      </c>
      <c r="AW4" s="169">
        <v>43183</v>
      </c>
      <c r="AX4" s="169">
        <v>43184</v>
      </c>
      <c r="AY4" s="169">
        <v>43185</v>
      </c>
      <c r="AZ4" s="169">
        <v>43186</v>
      </c>
      <c r="BA4" s="169">
        <v>43187</v>
      </c>
      <c r="BB4" s="169">
        <v>43188</v>
      </c>
      <c r="BC4" s="169">
        <v>43189</v>
      </c>
      <c r="BD4" s="169">
        <v>43190</v>
      </c>
      <c r="BE4" s="169">
        <v>43191</v>
      </c>
      <c r="BF4" s="169">
        <v>43192</v>
      </c>
      <c r="BG4" s="169">
        <v>43193</v>
      </c>
      <c r="BH4" s="169">
        <v>43194</v>
      </c>
      <c r="BI4" s="169">
        <v>43195</v>
      </c>
      <c r="BJ4" s="169">
        <v>43196</v>
      </c>
      <c r="BK4" s="169">
        <v>43197</v>
      </c>
      <c r="BL4" s="169">
        <v>43198</v>
      </c>
      <c r="BM4" s="169">
        <v>43199</v>
      </c>
      <c r="BN4" s="169">
        <v>43200</v>
      </c>
      <c r="BO4" s="169">
        <v>43201</v>
      </c>
      <c r="BP4" s="169">
        <v>43202</v>
      </c>
      <c r="BQ4" s="169">
        <v>43203</v>
      </c>
      <c r="BR4" s="169">
        <v>43204</v>
      </c>
      <c r="BS4" s="169">
        <v>43205</v>
      </c>
      <c r="BT4" s="169">
        <v>43206</v>
      </c>
      <c r="BU4" s="169">
        <v>43207</v>
      </c>
      <c r="BV4" s="169">
        <v>43208</v>
      </c>
      <c r="BW4" s="169">
        <v>43209</v>
      </c>
      <c r="BX4" s="169">
        <v>43210</v>
      </c>
      <c r="BY4" s="169">
        <v>43211</v>
      </c>
      <c r="BZ4" s="169">
        <v>43212</v>
      </c>
      <c r="CA4" s="169">
        <v>43213</v>
      </c>
      <c r="CB4" s="169">
        <v>43214</v>
      </c>
      <c r="CC4" s="169">
        <v>43215</v>
      </c>
      <c r="CD4" s="169">
        <v>43216</v>
      </c>
      <c r="CE4" s="169">
        <v>43217</v>
      </c>
      <c r="CF4" s="169">
        <v>43218</v>
      </c>
      <c r="CG4" s="169">
        <v>43219</v>
      </c>
      <c r="CH4" s="169">
        <v>43220</v>
      </c>
      <c r="CI4" s="169">
        <v>43221</v>
      </c>
      <c r="CJ4" s="169">
        <v>43222</v>
      </c>
      <c r="CK4" s="169">
        <v>43223</v>
      </c>
      <c r="CL4" s="169">
        <v>43224</v>
      </c>
      <c r="CM4" s="169">
        <v>43225</v>
      </c>
      <c r="CN4" s="169">
        <v>43226</v>
      </c>
      <c r="CO4" s="169">
        <v>43227</v>
      </c>
      <c r="CP4" s="169">
        <v>43228</v>
      </c>
      <c r="CQ4" s="169">
        <v>43229</v>
      </c>
      <c r="CR4" s="169">
        <v>43230</v>
      </c>
      <c r="CS4" s="169">
        <v>43231</v>
      </c>
      <c r="CT4" s="169">
        <v>43232</v>
      </c>
      <c r="CU4" s="169">
        <v>43233</v>
      </c>
    </row>
    <row r="5" spans="1:99" ht="24.95" customHeight="1" x14ac:dyDescent="0.25">
      <c r="A5" s="191">
        <f>HOUR(B5)</f>
        <v>0</v>
      </c>
      <c r="B5" s="170">
        <v>0</v>
      </c>
      <c r="H5" s="173" t="s">
        <v>286</v>
      </c>
    </row>
    <row r="6" spans="1:99" ht="24.95" customHeight="1" x14ac:dyDescent="0.25">
      <c r="A6" s="191">
        <f>HOUR(B6)</f>
        <v>1</v>
      </c>
      <c r="B6" s="170">
        <v>4.1666666666666699E-2</v>
      </c>
      <c r="H6" s="173" t="s">
        <v>286</v>
      </c>
    </row>
    <row r="7" spans="1:99" ht="24.95" customHeight="1" x14ac:dyDescent="0.25">
      <c r="A7" s="191">
        <f t="shared" ref="A7:A28" si="0">HOUR(B7)</f>
        <v>2</v>
      </c>
      <c r="B7" s="170">
        <v>8.3333333333333301E-2</v>
      </c>
      <c r="H7" s="233" t="s">
        <v>305</v>
      </c>
    </row>
    <row r="8" spans="1:99" ht="25.5" customHeight="1" x14ac:dyDescent="0.25">
      <c r="A8" s="191">
        <f t="shared" si="0"/>
        <v>3</v>
      </c>
      <c r="B8" s="170">
        <v>0.125</v>
      </c>
      <c r="E8" s="172" t="s">
        <v>99</v>
      </c>
      <c r="F8" s="173" t="s">
        <v>132</v>
      </c>
      <c r="G8" s="199" t="s">
        <v>285</v>
      </c>
    </row>
    <row r="9" spans="1:99" ht="22.5" customHeight="1" x14ac:dyDescent="0.25">
      <c r="A9" s="191">
        <f t="shared" si="0"/>
        <v>4</v>
      </c>
      <c r="B9" s="170">
        <v>0.16666666666666699</v>
      </c>
      <c r="E9" s="172" t="s">
        <v>105</v>
      </c>
      <c r="F9" s="173" t="s">
        <v>99</v>
      </c>
      <c r="G9" s="198" t="s">
        <v>285</v>
      </c>
    </row>
    <row r="10" spans="1:99" ht="23.25" customHeight="1" x14ac:dyDescent="0.25">
      <c r="A10" s="191">
        <f t="shared" si="0"/>
        <v>5</v>
      </c>
      <c r="B10" s="170">
        <v>0.20833333333333301</v>
      </c>
      <c r="E10" s="172" t="s">
        <v>105</v>
      </c>
      <c r="F10" s="173" t="s">
        <v>105</v>
      </c>
      <c r="G10" s="199" t="s">
        <v>285</v>
      </c>
    </row>
    <row r="11" spans="1:99" ht="20.25" customHeight="1" x14ac:dyDescent="0.25">
      <c r="A11" s="191">
        <f t="shared" si="0"/>
        <v>6</v>
      </c>
      <c r="B11" s="170">
        <v>0.25</v>
      </c>
      <c r="G11" s="198" t="s">
        <v>285</v>
      </c>
    </row>
    <row r="12" spans="1:99" ht="24.95" customHeight="1" x14ac:dyDescent="0.25">
      <c r="A12" s="191">
        <f t="shared" si="0"/>
        <v>7</v>
      </c>
      <c r="B12" s="170">
        <v>0.29166666666666702</v>
      </c>
      <c r="F12" s="174" t="s">
        <v>99</v>
      </c>
      <c r="G12" s="196" t="s">
        <v>143</v>
      </c>
      <c r="H12" s="233" t="s">
        <v>287</v>
      </c>
    </row>
    <row r="13" spans="1:99" ht="24.95" customHeight="1" x14ac:dyDescent="0.25">
      <c r="A13" s="191">
        <f t="shared" si="0"/>
        <v>8</v>
      </c>
      <c r="B13" s="170">
        <v>0.33333333333333298</v>
      </c>
      <c r="F13" s="174" t="s">
        <v>107</v>
      </c>
      <c r="G13" s="198" t="s">
        <v>149</v>
      </c>
      <c r="H13" s="193" t="s">
        <v>298</v>
      </c>
    </row>
    <row r="14" spans="1:99" ht="24.95" customHeight="1" x14ac:dyDescent="0.25">
      <c r="A14" s="191">
        <f t="shared" si="0"/>
        <v>9</v>
      </c>
      <c r="B14" s="170">
        <v>0.375</v>
      </c>
      <c r="F14" s="163" t="s">
        <v>135</v>
      </c>
      <c r="G14" s="199" t="s">
        <v>149</v>
      </c>
      <c r="H14" s="193" t="s">
        <v>144</v>
      </c>
    </row>
    <row r="15" spans="1:99" ht="24.95" customHeight="1" x14ac:dyDescent="0.25">
      <c r="A15" s="191">
        <f t="shared" si="0"/>
        <v>10</v>
      </c>
      <c r="B15" s="170">
        <v>0.41666666666666702</v>
      </c>
      <c r="F15" s="175" t="s">
        <v>99</v>
      </c>
      <c r="G15" s="197" t="s">
        <v>148</v>
      </c>
      <c r="H15" s="232" t="s">
        <v>142</v>
      </c>
    </row>
    <row r="16" spans="1:99" ht="24.75" customHeight="1" x14ac:dyDescent="0.25">
      <c r="A16" s="191">
        <f t="shared" si="0"/>
        <v>11</v>
      </c>
      <c r="B16" s="170">
        <v>0.45833333333333298</v>
      </c>
      <c r="G16" s="194" t="s">
        <v>142</v>
      </c>
      <c r="H16" s="232" t="s">
        <v>142</v>
      </c>
    </row>
    <row r="17" spans="1:11" ht="37.5" customHeight="1" x14ac:dyDescent="0.25">
      <c r="A17" s="191">
        <f t="shared" si="0"/>
        <v>12</v>
      </c>
      <c r="B17" s="170">
        <v>0.5</v>
      </c>
      <c r="G17" s="195" t="s">
        <v>143</v>
      </c>
      <c r="H17" s="195" t="s">
        <v>150</v>
      </c>
    </row>
    <row r="18" spans="1:11" ht="24.95" customHeight="1" x14ac:dyDescent="0.25">
      <c r="A18" s="191">
        <f t="shared" si="0"/>
        <v>13</v>
      </c>
      <c r="B18" s="170">
        <v>0.54166666666666696</v>
      </c>
      <c r="G18" s="200" t="s">
        <v>143</v>
      </c>
      <c r="H18" s="231" t="s">
        <v>288</v>
      </c>
    </row>
    <row r="19" spans="1:11" ht="24.95" customHeight="1" x14ac:dyDescent="0.25">
      <c r="A19" s="191">
        <f t="shared" si="0"/>
        <v>14</v>
      </c>
      <c r="B19" s="170">
        <v>0.58333333333333304</v>
      </c>
      <c r="F19" s="178" t="s">
        <v>99</v>
      </c>
      <c r="G19" s="201" t="s">
        <v>143</v>
      </c>
      <c r="H19" s="231" t="s">
        <v>289</v>
      </c>
    </row>
    <row r="20" spans="1:11" ht="24.95" customHeight="1" x14ac:dyDescent="0.25">
      <c r="A20" s="191">
        <f t="shared" si="0"/>
        <v>15</v>
      </c>
      <c r="B20" s="170">
        <v>0.625</v>
      </c>
      <c r="F20" s="176"/>
      <c r="G20" s="197" t="s">
        <v>143</v>
      </c>
      <c r="H20" s="231" t="s">
        <v>290</v>
      </c>
    </row>
    <row r="21" spans="1:11" ht="24.95" customHeight="1" x14ac:dyDescent="0.25">
      <c r="A21" s="191">
        <f t="shared" si="0"/>
        <v>16</v>
      </c>
      <c r="B21" s="170">
        <v>0.66666666666666696</v>
      </c>
      <c r="D21" s="179" t="s">
        <v>102</v>
      </c>
      <c r="F21" s="177" t="s">
        <v>105</v>
      </c>
      <c r="G21" s="180" t="s">
        <v>142</v>
      </c>
      <c r="H21" s="210" t="s">
        <v>291</v>
      </c>
    </row>
    <row r="22" spans="1:11" ht="24.95" customHeight="1" x14ac:dyDescent="0.25">
      <c r="A22" s="191">
        <f t="shared" si="0"/>
        <v>17</v>
      </c>
      <c r="B22" s="170">
        <v>0.70833333333333304</v>
      </c>
      <c r="D22" s="163" t="s">
        <v>107</v>
      </c>
      <c r="E22" s="173" t="s">
        <v>127</v>
      </c>
      <c r="F22" s="181" t="s">
        <v>105</v>
      </c>
      <c r="G22" s="200" t="s">
        <v>143</v>
      </c>
      <c r="H22" s="210" t="s">
        <v>292</v>
      </c>
    </row>
    <row r="23" spans="1:11" ht="24.95" customHeight="1" x14ac:dyDescent="0.25">
      <c r="A23" s="191">
        <f t="shared" si="0"/>
        <v>18</v>
      </c>
      <c r="B23" s="170">
        <v>0.75</v>
      </c>
      <c r="D23" s="197" t="s">
        <v>147</v>
      </c>
      <c r="E23" s="182" t="s">
        <v>106</v>
      </c>
      <c r="F23" s="177" t="s">
        <v>105</v>
      </c>
      <c r="G23" s="200" t="s">
        <v>143</v>
      </c>
      <c r="H23" s="210" t="s">
        <v>297</v>
      </c>
    </row>
    <row r="24" spans="1:11" ht="24.95" customHeight="1" x14ac:dyDescent="0.25">
      <c r="A24" s="191">
        <f t="shared" si="0"/>
        <v>19</v>
      </c>
      <c r="B24" s="170">
        <v>0.79166666666666696</v>
      </c>
      <c r="D24" s="181" t="s">
        <v>108</v>
      </c>
      <c r="E24" s="183" t="s">
        <v>106</v>
      </c>
      <c r="F24" s="184" t="s">
        <v>105</v>
      </c>
      <c r="G24" s="197" t="s">
        <v>143</v>
      </c>
    </row>
    <row r="25" spans="1:11" ht="24.95" customHeight="1" x14ac:dyDescent="0.25">
      <c r="A25" s="191">
        <f t="shared" si="0"/>
        <v>20</v>
      </c>
      <c r="B25" s="170">
        <v>0.83333333333333304</v>
      </c>
      <c r="D25" s="185" t="s">
        <v>99</v>
      </c>
      <c r="E25" s="186" t="s">
        <v>128</v>
      </c>
      <c r="F25" s="193" t="s">
        <v>146</v>
      </c>
      <c r="G25" s="197" t="s">
        <v>143</v>
      </c>
    </row>
    <row r="26" spans="1:11" ht="24.95" customHeight="1" x14ac:dyDescent="0.25">
      <c r="A26" s="191">
        <f t="shared" si="0"/>
        <v>21</v>
      </c>
      <c r="B26" s="170">
        <v>0.875</v>
      </c>
      <c r="D26" s="177" t="s">
        <v>105</v>
      </c>
      <c r="E26" s="187" t="s">
        <v>129</v>
      </c>
      <c r="F26" s="188" t="s">
        <v>145</v>
      </c>
      <c r="G26" s="189" t="s">
        <v>145</v>
      </c>
      <c r="H26" s="166" t="s">
        <v>145</v>
      </c>
      <c r="I26" s="166" t="s">
        <v>145</v>
      </c>
      <c r="J26" s="166" t="s">
        <v>145</v>
      </c>
      <c r="K26" s="166" t="s">
        <v>145</v>
      </c>
    </row>
    <row r="27" spans="1:11" ht="24.95" customHeight="1" x14ac:dyDescent="0.25">
      <c r="A27" s="191">
        <f t="shared" si="0"/>
        <v>22</v>
      </c>
      <c r="B27" s="170">
        <v>0.91666666666666696</v>
      </c>
    </row>
    <row r="28" spans="1:11" ht="24.95" customHeight="1" x14ac:dyDescent="0.25">
      <c r="A28" s="191">
        <f t="shared" si="0"/>
        <v>23</v>
      </c>
      <c r="B28" s="170">
        <v>0.95833333333333304</v>
      </c>
    </row>
    <row r="29" spans="1:11" s="187" customFormat="1" x14ac:dyDescent="0.25">
      <c r="A29" s="190"/>
    </row>
    <row r="30" spans="1:11" s="187" customFormat="1" x14ac:dyDescent="0.25">
      <c r="A30" s="190"/>
    </row>
  </sheetData>
  <conditionalFormatting sqref="C5:DW8 C9:F9 H9:DW9 C10:DW20 C24:DW28 C21:G23 I21:DW23">
    <cfRule type="expression" dxfId="43" priority="13">
      <formula xml:space="preserve"> INDIRECT(CHAR(COLUMN()+96) &amp; 4) = TODAY() * ISBLANK(INDIRECT(CHAR(COLUMN()+96) &amp; ROW()))</formula>
    </cfRule>
  </conditionalFormatting>
  <conditionalFormatting sqref="A4:XFD4">
    <cfRule type="timePeriod" dxfId="42" priority="10" timePeriod="today">
      <formula>FLOOR(A4,1)=TODAY()</formula>
    </cfRule>
    <cfRule type="timePeriod" dxfId="41" priority="11" timePeriod="tomorrow">
      <formula>FLOOR(A4,1)=TODAY()+1</formula>
    </cfRule>
    <cfRule type="timePeriod" dxfId="40" priority="12" timePeriod="yesterday">
      <formula>FLOOR(A4,1)=TODAY()-1</formula>
    </cfRule>
  </conditionalFormatting>
  <conditionalFormatting sqref="G9">
    <cfRule type="expression" dxfId="39" priority="8">
      <formula xml:space="preserve"> INDIRECT(CHAR(COLUMN()+96) &amp; 4) = TODAY() * ISBLANK(INDIRECT(CHAR(COLUMN()+96) &amp; ROW()))</formula>
    </cfRule>
  </conditionalFormatting>
  <conditionalFormatting sqref="A1:XFD20 A24:XFD1048576 A21:G23 I21:XFD23">
    <cfRule type="expression" dxfId="38"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37" priority="5">
      <formula xml:space="preserve"> INDIRECT(CHAR(COLUMN()+96) &amp; 4) = TODAY() * ISBLANK(INDIRECT(CHAR(COLUMN()+96) &amp; ROW()))</formula>
    </cfRule>
  </conditionalFormatting>
  <conditionalFormatting sqref="A1:XFD2">
    <cfRule type="expression" dxfId="36" priority="4">
      <formula xml:space="preserve"> INDIRECT(CHAR(COLUMN()+96) &amp; 4) = TODAY() * ISBLANK(INDIRECT(CHAR(COLUMN()+96) &amp; ROW()))</formula>
    </cfRule>
  </conditionalFormatting>
  <conditionalFormatting sqref="H21">
    <cfRule type="expression" dxfId="35" priority="3">
      <formula xml:space="preserve"> (INDIRECT("D" &amp; ROW()) &lt;= TODAY()) * (INDIRECT("F" &amp; ROW()) &gt;= TODAY()) * NOT(ISBLANK("D"&amp;ROW()))</formula>
    </cfRule>
  </conditionalFormatting>
  <conditionalFormatting sqref="H22">
    <cfRule type="expression" dxfId="34" priority="2">
      <formula xml:space="preserve"> (INDIRECT("D" &amp; ROW()) &lt;= TODAY()) * (INDIRECT("F" &amp; ROW()) &gt;= TODAY()) * NOT(ISBLANK("D"&amp;ROW()))</formula>
    </cfRule>
  </conditionalFormatting>
  <conditionalFormatting sqref="H23">
    <cfRule type="expression" dxfId="33"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8"/>
  <sheetViews>
    <sheetView tabSelected="1" workbookViewId="0">
      <selection activeCell="E58" sqref="E58"/>
    </sheetView>
  </sheetViews>
  <sheetFormatPr defaultRowHeight="15" outlineLevelRow="2" x14ac:dyDescent="0.25"/>
  <cols>
    <col min="1" max="1" width="12.42578125" style="128" customWidth="1"/>
    <col min="2" max="2" width="12.42578125" style="211" customWidth="1"/>
    <col min="3" max="3" width="10.28515625" style="230" customWidth="1"/>
    <col min="4" max="4" width="20.140625" style="219" customWidth="1"/>
    <col min="5" max="5" width="30.28515625" style="171" customWidth="1"/>
    <col min="6" max="6" width="24.42578125" style="225" customWidth="1"/>
    <col min="7" max="7" width="40.85546875" style="93" customWidth="1"/>
    <col min="8" max="8" width="27.5703125" style="1" customWidth="1"/>
    <col min="9" max="9" width="56" style="1" customWidth="1"/>
    <col min="10" max="10" width="54.85546875" style="1" customWidth="1"/>
    <col min="11" max="11" width="9.140625" style="1"/>
    <col min="12" max="12" width="18.42578125" style="1" customWidth="1"/>
    <col min="13" max="16384" width="9.140625" style="1"/>
  </cols>
  <sheetData>
    <row r="1" spans="1:12" s="163" customFormat="1" ht="27.75" customHeight="1" x14ac:dyDescent="0.25">
      <c r="A1" s="128"/>
      <c r="B1" s="206"/>
      <c r="C1" s="228"/>
      <c r="D1" s="217"/>
      <c r="E1" s="167">
        <f ca="1">TODAY()</f>
        <v>43142</v>
      </c>
      <c r="F1" s="221" t="s">
        <v>159</v>
      </c>
      <c r="G1" s="204"/>
      <c r="H1" s="191">
        <f ca="1">HOUR(I1)</f>
        <v>11</v>
      </c>
      <c r="I1" s="192">
        <f ca="1">NOW()</f>
        <v>43142.468779050927</v>
      </c>
      <c r="J1" s="163" t="s">
        <v>40</v>
      </c>
      <c r="L1" s="163" t="s">
        <v>39</v>
      </c>
    </row>
    <row r="2" spans="1:12" s="163" customFormat="1" ht="29.25" customHeight="1" x14ac:dyDescent="0.25">
      <c r="A2" s="125"/>
      <c r="B2" s="207"/>
      <c r="C2" s="228"/>
      <c r="D2" s="217"/>
      <c r="F2" s="222"/>
      <c r="G2" s="204"/>
      <c r="H2" s="165"/>
    </row>
    <row r="4" spans="1:12" x14ac:dyDescent="0.25">
      <c r="A4" s="203" t="s">
        <v>158</v>
      </c>
      <c r="B4" s="208" t="s">
        <v>152</v>
      </c>
      <c r="C4" s="229" t="s">
        <v>154</v>
      </c>
      <c r="D4" s="218" t="s">
        <v>215</v>
      </c>
      <c r="E4" s="214" t="s">
        <v>151</v>
      </c>
      <c r="F4" s="223" t="s">
        <v>153</v>
      </c>
      <c r="G4" s="215" t="s">
        <v>15</v>
      </c>
      <c r="H4" s="214" t="s">
        <v>155</v>
      </c>
      <c r="I4" s="214" t="s">
        <v>156</v>
      </c>
      <c r="J4" s="214" t="s">
        <v>157</v>
      </c>
    </row>
    <row r="5" spans="1:12" x14ac:dyDescent="0.25">
      <c r="A5" s="203"/>
      <c r="B5" s="208"/>
      <c r="C5" s="229"/>
      <c r="D5" s="218"/>
      <c r="E5" s="214"/>
      <c r="F5" s="223"/>
      <c r="G5" s="215"/>
      <c r="H5" s="214"/>
      <c r="I5" s="214"/>
      <c r="J5" s="214"/>
    </row>
    <row r="6" spans="1:12" ht="15.75" x14ac:dyDescent="0.25">
      <c r="A6" s="203"/>
      <c r="B6" s="208"/>
      <c r="C6" s="229"/>
      <c r="D6" s="218"/>
      <c r="E6" s="227" t="s">
        <v>252</v>
      </c>
      <c r="F6" s="223"/>
      <c r="G6" s="215"/>
      <c r="H6" s="214"/>
      <c r="I6" s="214"/>
      <c r="J6" s="214"/>
    </row>
    <row r="7" spans="1:12" outlineLevel="1" x14ac:dyDescent="0.25">
      <c r="A7" s="203"/>
      <c r="B7" s="208"/>
      <c r="C7" s="229"/>
      <c r="D7" s="218"/>
      <c r="E7" s="214"/>
      <c r="F7" s="223"/>
      <c r="G7" s="215"/>
      <c r="H7" s="214"/>
      <c r="I7" s="214"/>
      <c r="J7" s="214"/>
    </row>
    <row r="8" spans="1:12" s="171" customFormat="1" outlineLevel="1" x14ac:dyDescent="0.25">
      <c r="A8" s="205"/>
      <c r="B8" s="213"/>
      <c r="C8" s="230">
        <v>0.25</v>
      </c>
      <c r="D8" s="219">
        <f ca="1">TODAY()</f>
        <v>43142</v>
      </c>
      <c r="E8" s="214" t="s">
        <v>171</v>
      </c>
      <c r="F8" s="225">
        <v>43146</v>
      </c>
      <c r="G8" s="216"/>
    </row>
    <row r="9" spans="1:12" s="171" customFormat="1" ht="40.5" customHeight="1" outlineLevel="2" x14ac:dyDescent="0.25">
      <c r="A9" s="205"/>
      <c r="B9" s="209" t="s">
        <v>165</v>
      </c>
      <c r="C9" s="230">
        <v>1</v>
      </c>
      <c r="D9" s="220">
        <v>43141</v>
      </c>
      <c r="E9" s="171" t="s">
        <v>164</v>
      </c>
      <c r="F9" s="224">
        <f ca="1">TODAY()+1</f>
        <v>43143</v>
      </c>
      <c r="G9" s="216"/>
    </row>
    <row r="10" spans="1:12" ht="47.25" customHeight="1" outlineLevel="2" x14ac:dyDescent="0.25">
      <c r="A10" s="202"/>
      <c r="B10" s="212" t="s">
        <v>166</v>
      </c>
      <c r="C10" s="230">
        <v>0.5</v>
      </c>
      <c r="D10" s="219">
        <v>43141</v>
      </c>
      <c r="E10" s="171" t="s">
        <v>161</v>
      </c>
      <c r="F10" s="225">
        <v>43146</v>
      </c>
    </row>
    <row r="11" spans="1:12" ht="67.5" customHeight="1" outlineLevel="2" x14ac:dyDescent="0.25">
      <c r="A11" s="191"/>
      <c r="B11" s="212" t="s">
        <v>167</v>
      </c>
      <c r="C11" s="230">
        <v>0</v>
      </c>
      <c r="D11" s="219">
        <f t="shared" ref="D11:D12" ca="1" si="0">TODAY()</f>
        <v>43142</v>
      </c>
      <c r="E11" s="171" t="s">
        <v>160</v>
      </c>
      <c r="F11" s="225">
        <v>43146</v>
      </c>
    </row>
    <row r="12" spans="1:12" ht="72" customHeight="1" outlineLevel="2" x14ac:dyDescent="0.25">
      <c r="A12" s="191"/>
      <c r="B12" s="212" t="s">
        <v>168</v>
      </c>
      <c r="C12" s="230">
        <v>0</v>
      </c>
      <c r="D12" s="219">
        <f t="shared" ca="1" si="0"/>
        <v>43142</v>
      </c>
      <c r="E12" s="171" t="s">
        <v>162</v>
      </c>
      <c r="F12" s="225">
        <v>43146</v>
      </c>
      <c r="G12" s="93" t="s">
        <v>163</v>
      </c>
    </row>
    <row r="13" spans="1:12" outlineLevel="1" x14ac:dyDescent="0.25"/>
    <row r="14" spans="1:12" ht="16.5" customHeight="1" outlineLevel="1" x14ac:dyDescent="0.25">
      <c r="A14" s="191"/>
      <c r="B14" s="212"/>
      <c r="C14" s="230">
        <v>0.9</v>
      </c>
      <c r="D14" s="219">
        <v>43144</v>
      </c>
      <c r="E14" s="214" t="s">
        <v>172</v>
      </c>
      <c r="F14" s="225">
        <v>43151</v>
      </c>
    </row>
    <row r="15" spans="1:12" ht="75" hidden="1" customHeight="1" outlineLevel="2" x14ac:dyDescent="0.25">
      <c r="A15" s="191"/>
      <c r="B15" s="210" t="s">
        <v>169</v>
      </c>
      <c r="C15" s="230">
        <v>0</v>
      </c>
      <c r="D15" s="219">
        <v>43144</v>
      </c>
      <c r="E15" s="171" t="s">
        <v>170</v>
      </c>
      <c r="F15" s="225">
        <f ca="1">TODAY()+2</f>
        <v>43144</v>
      </c>
    </row>
    <row r="16" spans="1:12" ht="75" hidden="1" customHeight="1" outlineLevel="2" x14ac:dyDescent="0.25">
      <c r="A16" s="191"/>
      <c r="B16" s="210" t="s">
        <v>173</v>
      </c>
      <c r="C16" s="230">
        <v>0</v>
      </c>
      <c r="D16" s="219">
        <v>43144</v>
      </c>
      <c r="E16" s="171" t="s">
        <v>174</v>
      </c>
      <c r="F16" s="225">
        <f ca="1">TODAY()+5</f>
        <v>43147</v>
      </c>
      <c r="I16" s="1" t="s">
        <v>178</v>
      </c>
    </row>
    <row r="17" spans="1:9" ht="101.25" hidden="1" customHeight="1" outlineLevel="2" x14ac:dyDescent="0.25">
      <c r="A17" s="191"/>
      <c r="B17" s="210" t="s">
        <v>175</v>
      </c>
      <c r="C17" s="230">
        <v>0</v>
      </c>
      <c r="D17" s="219">
        <v>43144</v>
      </c>
      <c r="E17" s="171" t="s">
        <v>176</v>
      </c>
      <c r="F17" s="225">
        <f ca="1">TODAY()+7</f>
        <v>43149</v>
      </c>
      <c r="I17" s="1" t="s">
        <v>199</v>
      </c>
    </row>
    <row r="18" spans="1:9" ht="72" hidden="1" customHeight="1" outlineLevel="2" x14ac:dyDescent="0.25">
      <c r="A18" s="191"/>
      <c r="B18" s="210" t="s">
        <v>183</v>
      </c>
      <c r="C18" s="230">
        <v>0</v>
      </c>
      <c r="D18" s="219">
        <v>43144</v>
      </c>
      <c r="E18" s="171" t="s">
        <v>184</v>
      </c>
      <c r="F18" s="225">
        <v>43149</v>
      </c>
      <c r="I18" s="1" t="s">
        <v>185</v>
      </c>
    </row>
    <row r="19" spans="1:9" ht="51" hidden="1" customHeight="1" outlineLevel="2" x14ac:dyDescent="0.25">
      <c r="A19" s="191"/>
      <c r="B19" s="210" t="s">
        <v>177</v>
      </c>
      <c r="C19" s="230">
        <v>0</v>
      </c>
      <c r="D19" s="219">
        <v>43144</v>
      </c>
      <c r="E19" s="171" t="s">
        <v>179</v>
      </c>
      <c r="F19" s="225">
        <v>43150</v>
      </c>
    </row>
    <row r="20" spans="1:9" ht="66" hidden="1" customHeight="1" outlineLevel="2" x14ac:dyDescent="0.25">
      <c r="A20" s="191"/>
      <c r="B20" s="210" t="s">
        <v>180</v>
      </c>
      <c r="C20" s="230">
        <v>0</v>
      </c>
      <c r="D20" s="219">
        <v>43144</v>
      </c>
      <c r="E20" s="171" t="s">
        <v>182</v>
      </c>
      <c r="F20" s="225">
        <v>43151</v>
      </c>
    </row>
    <row r="21" spans="1:9" outlineLevel="1" collapsed="1" x14ac:dyDescent="0.25"/>
    <row r="22" spans="1:9" outlineLevel="1" x14ac:dyDescent="0.25">
      <c r="A22" s="191"/>
      <c r="B22" s="210"/>
      <c r="C22" s="230">
        <v>0.5</v>
      </c>
      <c r="D22" s="219" t="s">
        <v>216</v>
      </c>
      <c r="E22" s="214" t="s">
        <v>181</v>
      </c>
    </row>
    <row r="23" spans="1:9" ht="26.25" hidden="1" customHeight="1" outlineLevel="2" x14ac:dyDescent="0.25">
      <c r="A23" s="191"/>
      <c r="B23" s="210" t="s">
        <v>186</v>
      </c>
      <c r="C23" s="230">
        <v>0</v>
      </c>
      <c r="E23" s="171" t="s">
        <v>187</v>
      </c>
      <c r="F23" s="225">
        <f ca="1">TODAY()+2</f>
        <v>43144</v>
      </c>
      <c r="I23" s="1" t="s">
        <v>198</v>
      </c>
    </row>
    <row r="24" spans="1:9" ht="28.5" hidden="1" customHeight="1" outlineLevel="2" x14ac:dyDescent="0.25">
      <c r="A24" s="191"/>
      <c r="B24" s="210" t="s">
        <v>190</v>
      </c>
      <c r="C24" s="230">
        <v>0</v>
      </c>
      <c r="E24" s="171" t="s">
        <v>188</v>
      </c>
      <c r="F24" s="225">
        <f ca="1">TODAY()</f>
        <v>43142</v>
      </c>
    </row>
    <row r="25" spans="1:9" ht="55.5" hidden="1" customHeight="1" outlineLevel="2" x14ac:dyDescent="0.25">
      <c r="A25" s="191"/>
      <c r="B25" s="210" t="s">
        <v>191</v>
      </c>
      <c r="C25" s="230">
        <v>0</v>
      </c>
      <c r="E25" s="171" t="s">
        <v>189</v>
      </c>
      <c r="I25" s="1" t="s">
        <v>192</v>
      </c>
    </row>
    <row r="26" spans="1:9" ht="48.75" hidden="1" customHeight="1" outlineLevel="2" x14ac:dyDescent="0.25">
      <c r="A26" s="191"/>
      <c r="B26" s="210" t="s">
        <v>193</v>
      </c>
      <c r="C26" s="230">
        <v>0</v>
      </c>
      <c r="E26" s="171" t="s">
        <v>194</v>
      </c>
      <c r="I26" s="1" t="s">
        <v>195</v>
      </c>
    </row>
    <row r="27" spans="1:9" ht="41.25" hidden="1" customHeight="1" outlineLevel="2" x14ac:dyDescent="0.25">
      <c r="A27" s="191"/>
      <c r="B27" s="210" t="s">
        <v>197</v>
      </c>
      <c r="C27" s="230">
        <v>0</v>
      </c>
      <c r="E27" s="171" t="s">
        <v>196</v>
      </c>
    </row>
    <row r="28" spans="1:9" outlineLevel="1" collapsed="1" x14ac:dyDescent="0.25">
      <c r="A28" s="191"/>
      <c r="B28" s="210"/>
    </row>
    <row r="29" spans="1:9" outlineLevel="1" x14ac:dyDescent="0.25">
      <c r="A29" s="191"/>
      <c r="B29" s="210"/>
      <c r="C29" s="230">
        <f>AVERAGE(C30:C37)</f>
        <v>3.125E-2</v>
      </c>
      <c r="D29" s="219">
        <f ca="1">TODAY()</f>
        <v>43142</v>
      </c>
      <c r="E29" s="214" t="s">
        <v>200</v>
      </c>
      <c r="F29" s="225">
        <v>43166</v>
      </c>
    </row>
    <row r="30" spans="1:9" ht="30" customHeight="1" outlineLevel="2" x14ac:dyDescent="0.25">
      <c r="A30" s="191"/>
      <c r="B30" s="210" t="s">
        <v>291</v>
      </c>
      <c r="C30" s="230">
        <v>0.25</v>
      </c>
      <c r="D30" s="219">
        <f ca="1">TODAY()</f>
        <v>43142</v>
      </c>
      <c r="E30" s="171" t="s">
        <v>201</v>
      </c>
      <c r="F30" s="225">
        <v>43159</v>
      </c>
    </row>
    <row r="31" spans="1:9" ht="31.5" customHeight="1" outlineLevel="2" x14ac:dyDescent="0.25">
      <c r="A31" s="191"/>
      <c r="B31" s="210" t="s">
        <v>292</v>
      </c>
      <c r="C31" s="230">
        <v>0</v>
      </c>
      <c r="D31" s="225">
        <v>43159</v>
      </c>
      <c r="E31" s="171" t="s">
        <v>202</v>
      </c>
      <c r="F31" s="225">
        <v>43160</v>
      </c>
      <c r="G31" s="93" t="s">
        <v>210</v>
      </c>
    </row>
    <row r="32" spans="1:9" ht="26.25" customHeight="1" outlineLevel="2" x14ac:dyDescent="0.25">
      <c r="A32" s="191"/>
      <c r="B32" s="210" t="s">
        <v>297</v>
      </c>
      <c r="C32" s="230">
        <v>0</v>
      </c>
      <c r="D32" s="225">
        <v>43160</v>
      </c>
      <c r="E32" s="171" t="s">
        <v>208</v>
      </c>
      <c r="F32" s="225">
        <v>43161</v>
      </c>
    </row>
    <row r="33" spans="1:9" ht="26.25" customHeight="1" outlineLevel="2" x14ac:dyDescent="0.25">
      <c r="A33" s="191"/>
      <c r="B33" s="210" t="s">
        <v>293</v>
      </c>
      <c r="C33" s="230">
        <v>0</v>
      </c>
      <c r="D33" s="225">
        <v>43161</v>
      </c>
      <c r="E33" s="171" t="s">
        <v>203</v>
      </c>
      <c r="F33" s="225">
        <v>43162</v>
      </c>
    </row>
    <row r="34" spans="1:9" ht="24" customHeight="1" outlineLevel="2" x14ac:dyDescent="0.25">
      <c r="A34" s="191"/>
      <c r="B34" s="210" t="s">
        <v>293</v>
      </c>
      <c r="C34" s="230">
        <v>0</v>
      </c>
      <c r="D34" s="225">
        <v>43162</v>
      </c>
      <c r="E34" s="171" t="s">
        <v>204</v>
      </c>
      <c r="F34" s="225">
        <v>43163</v>
      </c>
    </row>
    <row r="35" spans="1:9" ht="22.5" customHeight="1" outlineLevel="2" x14ac:dyDescent="0.25">
      <c r="A35" s="191"/>
      <c r="B35" s="210" t="s">
        <v>296</v>
      </c>
      <c r="C35" s="230">
        <v>0</v>
      </c>
      <c r="D35" s="225">
        <v>43163</v>
      </c>
      <c r="E35" s="171" t="s">
        <v>205</v>
      </c>
      <c r="F35" s="225">
        <v>43164</v>
      </c>
    </row>
    <row r="36" spans="1:9" ht="30" outlineLevel="2" x14ac:dyDescent="0.25">
      <c r="A36" s="191"/>
      <c r="B36" s="210" t="s">
        <v>294</v>
      </c>
      <c r="C36" s="230">
        <v>0</v>
      </c>
      <c r="D36" s="225">
        <v>43164</v>
      </c>
      <c r="E36" s="171" t="s">
        <v>206</v>
      </c>
      <c r="F36" s="225">
        <v>43165</v>
      </c>
      <c r="G36" s="93" t="s">
        <v>209</v>
      </c>
    </row>
    <row r="37" spans="1:9" ht="35.25" customHeight="1" outlineLevel="2" x14ac:dyDescent="0.25">
      <c r="A37" s="191"/>
      <c r="B37" s="210" t="s">
        <v>295</v>
      </c>
      <c r="C37" s="230">
        <v>0</v>
      </c>
      <c r="D37" s="225">
        <v>43165</v>
      </c>
      <c r="E37" s="171" t="s">
        <v>207</v>
      </c>
      <c r="F37" s="225">
        <v>43166</v>
      </c>
    </row>
    <row r="38" spans="1:9" outlineLevel="1" x14ac:dyDescent="0.25">
      <c r="A38" s="190"/>
    </row>
    <row r="39" spans="1:9" outlineLevel="1" x14ac:dyDescent="0.25">
      <c r="A39" s="190"/>
      <c r="C39" s="230">
        <v>0</v>
      </c>
      <c r="D39" s="219">
        <v>43163</v>
      </c>
      <c r="E39" s="214" t="s">
        <v>217</v>
      </c>
      <c r="F39" s="225">
        <v>43195</v>
      </c>
    </row>
    <row r="40" spans="1:9" ht="180" hidden="1" outlineLevel="2" x14ac:dyDescent="0.25">
      <c r="C40" s="230">
        <v>0</v>
      </c>
      <c r="D40" s="219">
        <v>43163</v>
      </c>
      <c r="E40" s="171" t="s">
        <v>211</v>
      </c>
      <c r="F40" s="225">
        <f>D39 + 10</f>
        <v>43173</v>
      </c>
      <c r="G40" s="93" t="s">
        <v>230</v>
      </c>
      <c r="I40" s="1" t="s">
        <v>213</v>
      </c>
    </row>
    <row r="41" spans="1:9" ht="45" hidden="1" outlineLevel="2" x14ac:dyDescent="0.25">
      <c r="C41" s="230">
        <v>0</v>
      </c>
      <c r="D41" s="219">
        <v>43173</v>
      </c>
      <c r="E41" s="171" t="s">
        <v>212</v>
      </c>
      <c r="F41" s="225">
        <f>F40+7</f>
        <v>43180</v>
      </c>
      <c r="I41" s="1" t="s">
        <v>214</v>
      </c>
    </row>
    <row r="42" spans="1:9" ht="48" hidden="1" customHeight="1" outlineLevel="2" x14ac:dyDescent="0.25">
      <c r="C42" s="230">
        <v>0</v>
      </c>
      <c r="D42" s="219">
        <v>43180</v>
      </c>
      <c r="E42" s="171" t="s">
        <v>218</v>
      </c>
      <c r="F42" s="225" t="s">
        <v>219</v>
      </c>
      <c r="G42" s="93" t="s">
        <v>220</v>
      </c>
    </row>
    <row r="43" spans="1:9" outlineLevel="1" collapsed="1" x14ac:dyDescent="0.25"/>
    <row r="44" spans="1:9" outlineLevel="1" x14ac:dyDescent="0.25">
      <c r="C44" s="230">
        <v>0</v>
      </c>
      <c r="D44" s="219">
        <v>43195</v>
      </c>
      <c r="E44" s="214" t="s">
        <v>222</v>
      </c>
      <c r="F44" s="225">
        <v>43252</v>
      </c>
    </row>
    <row r="45" spans="1:9" ht="135" hidden="1" outlineLevel="2" x14ac:dyDescent="0.25">
      <c r="C45" s="230">
        <v>0</v>
      </c>
      <c r="E45" s="171" t="s">
        <v>221</v>
      </c>
      <c r="F45" s="225">
        <v>43217</v>
      </c>
      <c r="G45" s="93" t="s">
        <v>226</v>
      </c>
      <c r="I45" s="1" t="s">
        <v>228</v>
      </c>
    </row>
    <row r="46" spans="1:9" ht="107.25" hidden="1" customHeight="1" outlineLevel="2" x14ac:dyDescent="0.25">
      <c r="C46" s="230">
        <v>0</v>
      </c>
      <c r="D46" s="219">
        <v>43217</v>
      </c>
      <c r="E46" s="171" t="s">
        <v>224</v>
      </c>
      <c r="F46" s="225">
        <v>43230</v>
      </c>
      <c r="G46" s="93" t="s">
        <v>225</v>
      </c>
      <c r="I46" s="1" t="s">
        <v>231</v>
      </c>
    </row>
    <row r="47" spans="1:9" ht="105" hidden="1" outlineLevel="2" x14ac:dyDescent="0.25">
      <c r="C47" s="230">
        <v>0</v>
      </c>
      <c r="D47" s="219">
        <v>43230</v>
      </c>
      <c r="E47" s="171" t="s">
        <v>223</v>
      </c>
      <c r="F47" s="225">
        <v>43240</v>
      </c>
      <c r="G47" s="93" t="s">
        <v>227</v>
      </c>
      <c r="I47" s="1" t="s">
        <v>229</v>
      </c>
    </row>
    <row r="48" spans="1:9" ht="63" hidden="1" customHeight="1" outlineLevel="2" x14ac:dyDescent="0.25">
      <c r="C48" s="230">
        <v>0</v>
      </c>
      <c r="E48" s="171" t="s">
        <v>268</v>
      </c>
      <c r="G48" s="93" t="s">
        <v>269</v>
      </c>
    </row>
    <row r="49" spans="3:7" ht="102" hidden="1" customHeight="1" outlineLevel="2" x14ac:dyDescent="0.25">
      <c r="C49" s="230">
        <v>0</v>
      </c>
      <c r="D49" s="219">
        <v>43240</v>
      </c>
      <c r="E49" s="171" t="s">
        <v>233</v>
      </c>
      <c r="F49" s="225">
        <v>43250</v>
      </c>
      <c r="G49" s="93" t="s">
        <v>234</v>
      </c>
    </row>
    <row r="50" spans="3:7" ht="91.5" hidden="1" customHeight="1" outlineLevel="2" x14ac:dyDescent="0.25">
      <c r="C50" s="230">
        <v>0</v>
      </c>
      <c r="E50" s="171" t="s">
        <v>235</v>
      </c>
      <c r="G50" s="93" t="s">
        <v>236</v>
      </c>
    </row>
    <row r="51" spans="3:7" outlineLevel="1" collapsed="1" x14ac:dyDescent="0.25"/>
    <row r="52" spans="3:7" outlineLevel="1" x14ac:dyDescent="0.25">
      <c r="C52" s="230">
        <v>0</v>
      </c>
      <c r="E52" s="214" t="s">
        <v>237</v>
      </c>
    </row>
    <row r="53" spans="3:7" ht="45.75" hidden="1" customHeight="1" outlineLevel="2" x14ac:dyDescent="0.25">
      <c r="C53" s="230">
        <v>0</v>
      </c>
      <c r="E53" s="171" t="s">
        <v>238</v>
      </c>
      <c r="G53" s="93" t="s">
        <v>239</v>
      </c>
    </row>
    <row r="54" spans="3:7" ht="45" hidden="1" outlineLevel="2" x14ac:dyDescent="0.25">
      <c r="C54" s="230">
        <v>0</v>
      </c>
      <c r="E54" s="171" t="s">
        <v>240</v>
      </c>
      <c r="G54" s="224" t="s">
        <v>241</v>
      </c>
    </row>
    <row r="55" spans="3:7" ht="58.5" hidden="1" customHeight="1" outlineLevel="2" x14ac:dyDescent="0.25">
      <c r="C55" s="230">
        <v>0</v>
      </c>
      <c r="E55" s="171" t="s">
        <v>242</v>
      </c>
      <c r="G55" s="93" t="s">
        <v>243</v>
      </c>
    </row>
    <row r="56" spans="3:7" ht="99.75" hidden="1" customHeight="1" outlineLevel="2" x14ac:dyDescent="0.25">
      <c r="C56" s="230">
        <v>0</v>
      </c>
      <c r="E56" s="171" t="s">
        <v>263</v>
      </c>
      <c r="G56" s="93" t="s">
        <v>264</v>
      </c>
    </row>
    <row r="57" spans="3:7" ht="195.75" hidden="1" customHeight="1" outlineLevel="2" x14ac:dyDescent="0.25">
      <c r="C57" s="230">
        <v>0</v>
      </c>
      <c r="E57" s="171" t="s">
        <v>244</v>
      </c>
      <c r="G57" s="93" t="s">
        <v>245</v>
      </c>
    </row>
    <row r="58" spans="3:7" outlineLevel="1" collapsed="1" x14ac:dyDescent="0.25"/>
    <row r="59" spans="3:7" outlineLevel="1" x14ac:dyDescent="0.25">
      <c r="C59" s="230">
        <v>0</v>
      </c>
      <c r="E59" s="214" t="s">
        <v>246</v>
      </c>
    </row>
    <row r="60" spans="3:7" ht="30" hidden="1" outlineLevel="2" x14ac:dyDescent="0.25">
      <c r="C60" s="230">
        <v>0</v>
      </c>
      <c r="E60" s="171" t="s">
        <v>247</v>
      </c>
      <c r="G60" s="93" t="s">
        <v>248</v>
      </c>
    </row>
    <row r="61" spans="3:7" ht="96.75" hidden="1" customHeight="1" outlineLevel="2" x14ac:dyDescent="0.25">
      <c r="C61" s="230">
        <v>0</v>
      </c>
      <c r="E61" s="171" t="s">
        <v>249</v>
      </c>
      <c r="G61" s="93" t="s">
        <v>232</v>
      </c>
    </row>
    <row r="62" spans="3:7" ht="57" hidden="1" customHeight="1" outlineLevel="2" x14ac:dyDescent="0.25">
      <c r="C62" s="230">
        <v>0</v>
      </c>
      <c r="E62" s="171" t="s">
        <v>250</v>
      </c>
      <c r="G62" s="93" t="s">
        <v>251</v>
      </c>
    </row>
    <row r="63" spans="3:7" outlineLevel="1" collapsed="1" x14ac:dyDescent="0.25"/>
    <row r="64" spans="3:7" ht="20.25" customHeight="1" outlineLevel="1" x14ac:dyDescent="0.25">
      <c r="C64" s="230">
        <v>0</v>
      </c>
      <c r="E64" s="214" t="s">
        <v>253</v>
      </c>
    </row>
    <row r="65" spans="3:7" ht="36.75" hidden="1" customHeight="1" outlineLevel="2" x14ac:dyDescent="0.25">
      <c r="C65" s="230">
        <v>0</v>
      </c>
      <c r="E65" s="171" t="s">
        <v>265</v>
      </c>
      <c r="G65" s="93" t="s">
        <v>267</v>
      </c>
    </row>
    <row r="66" spans="3:7" ht="34.5" hidden="1" customHeight="1" outlineLevel="2" x14ac:dyDescent="0.25">
      <c r="C66" s="230">
        <v>0</v>
      </c>
      <c r="E66" s="171" t="s">
        <v>254</v>
      </c>
      <c r="G66" s="93" t="s">
        <v>266</v>
      </c>
    </row>
    <row r="67" spans="3:7" ht="75" hidden="1" outlineLevel="2" x14ac:dyDescent="0.25">
      <c r="C67" s="230">
        <v>0</v>
      </c>
      <c r="E67" s="171" t="s">
        <v>255</v>
      </c>
      <c r="G67" s="93" t="s">
        <v>256</v>
      </c>
    </row>
    <row r="68" spans="3:7" ht="30" hidden="1" outlineLevel="2" x14ac:dyDescent="0.25">
      <c r="C68" s="230">
        <v>0</v>
      </c>
      <c r="E68" s="171" t="s">
        <v>257</v>
      </c>
      <c r="G68" s="93" t="s">
        <v>260</v>
      </c>
    </row>
    <row r="69" spans="3:7" ht="45.75" hidden="1" customHeight="1" outlineLevel="2" x14ac:dyDescent="0.25">
      <c r="C69" s="230">
        <v>0</v>
      </c>
      <c r="E69" s="171" t="s">
        <v>258</v>
      </c>
      <c r="G69" s="93" t="s">
        <v>261</v>
      </c>
    </row>
    <row r="70" spans="3:7" ht="32.25" hidden="1" customHeight="1" outlineLevel="2" x14ac:dyDescent="0.25">
      <c r="C70" s="230">
        <v>0</v>
      </c>
      <c r="E70" s="171" t="s">
        <v>259</v>
      </c>
      <c r="G70" s="93" t="s">
        <v>262</v>
      </c>
    </row>
    <row r="71" spans="3:7" ht="18" customHeight="1" outlineLevel="1" collapsed="1" x14ac:dyDescent="0.25"/>
    <row r="72" spans="3:7" outlineLevel="1" x14ac:dyDescent="0.25">
      <c r="C72" s="230">
        <v>0</v>
      </c>
      <c r="E72" s="214" t="s">
        <v>270</v>
      </c>
    </row>
    <row r="73" spans="3:7" ht="45" hidden="1" outlineLevel="2" x14ac:dyDescent="0.25">
      <c r="E73" s="171" t="s">
        <v>271</v>
      </c>
      <c r="G73" s="93" t="s">
        <v>272</v>
      </c>
    </row>
    <row r="74" spans="3:7" ht="47.25" hidden="1" customHeight="1" outlineLevel="2" x14ac:dyDescent="0.25">
      <c r="E74" s="171" t="s">
        <v>273</v>
      </c>
      <c r="G74" s="93" t="s">
        <v>274</v>
      </c>
    </row>
    <row r="75" spans="3:7" ht="39" hidden="1" customHeight="1" outlineLevel="2" x14ac:dyDescent="0.25">
      <c r="E75" s="171" t="s">
        <v>275</v>
      </c>
      <c r="G75" s="93" t="s">
        <v>276</v>
      </c>
    </row>
    <row r="76" spans="3:7" ht="27" hidden="1" customHeight="1" outlineLevel="2" x14ac:dyDescent="0.25">
      <c r="E76" s="171" t="s">
        <v>277</v>
      </c>
      <c r="G76" s="93" t="s">
        <v>278</v>
      </c>
    </row>
    <row r="77" spans="3:7" ht="51" hidden="1" customHeight="1" outlineLevel="2" x14ac:dyDescent="0.25">
      <c r="E77" s="171" t="s">
        <v>279</v>
      </c>
    </row>
    <row r="78" spans="3:7" outlineLevel="1" collapsed="1" x14ac:dyDescent="0.25"/>
    <row r="79" spans="3:7" ht="210" x14ac:dyDescent="0.25">
      <c r="E79" s="216" t="s">
        <v>284</v>
      </c>
    </row>
    <row r="80" spans="3:7" ht="24" hidden="1" customHeight="1" outlineLevel="1" x14ac:dyDescent="0.25">
      <c r="E80" s="227" t="s">
        <v>280</v>
      </c>
    </row>
    <row r="81" spans="5:8" hidden="1" outlineLevel="2" x14ac:dyDescent="0.25">
      <c r="H81" s="226"/>
    </row>
    <row r="82" spans="5:8" ht="15.75" hidden="1" outlineLevel="2" x14ac:dyDescent="0.25">
      <c r="E82" s="227" t="s">
        <v>281</v>
      </c>
    </row>
    <row r="83" spans="5:8" hidden="1" outlineLevel="2" x14ac:dyDescent="0.25"/>
    <row r="84" spans="5:8" ht="15.75" hidden="1" outlineLevel="2" x14ac:dyDescent="0.25">
      <c r="E84" s="227" t="s">
        <v>282</v>
      </c>
    </row>
    <row r="85" spans="5:8" hidden="1" outlineLevel="2" x14ac:dyDescent="0.25"/>
    <row r="86" spans="5:8" ht="15.75" hidden="1" outlineLevel="2" x14ac:dyDescent="0.25">
      <c r="E86" s="227" t="s">
        <v>283</v>
      </c>
    </row>
    <row r="87" spans="5:8" hidden="1" outlineLevel="1" collapsed="1" x14ac:dyDescent="0.25"/>
    <row r="88" spans="5:8" collapsed="1" x14ac:dyDescent="0.25"/>
  </sheetData>
  <sortState ref="A28:L35">
    <sortCondition ref="F28:F35" customList="January,February,March,April,May,June,July,August,September,October,November,December"/>
  </sortState>
  <conditionalFormatting sqref="A31:E33 G31:XFD33 A81:XFD1048576 A34:XFD78 H79:XFD80 A79:F80 A1:XFD30">
    <cfRule type="expression" dxfId="32" priority="2">
      <formula xml:space="preserve"> (INDIRECT("D" &amp; ROW()) &lt;= TODAY()) * (INDIRECT("F" &amp; ROW()) &gt;= TODAY()) * NOT(ISBLANK("D"&amp;ROW()))</formula>
    </cfRule>
  </conditionalFormatting>
  <conditionalFormatting sqref="F31">
    <cfRule type="expression" priority="11">
      <formula>ISBLANK(INDIRECT("D"&amp;ROW()))</formula>
    </cfRule>
    <cfRule type="expression" priority="12">
      <formula>ISBLANK( INDIRECT("F"&amp;ROW()))</formula>
    </cfRule>
    <cfRule type="expression" dxfId="31" priority="13">
      <formula xml:space="preserve"> (INDIRECT("D" &amp; ROW()) &lt;= TODAY()) * (INDIRECT("F" &amp; ROW()) &gt;= TODAY()) * NOT(ISBLANK("D"&amp;ROW()))</formula>
    </cfRule>
  </conditionalFormatting>
  <conditionalFormatting sqref="F32">
    <cfRule type="expression" priority="8">
      <formula>ISBLANK(INDIRECT("D"&amp;ROW()))</formula>
    </cfRule>
    <cfRule type="expression" priority="9">
      <formula>ISBLANK( INDIRECT("F"&amp;ROW()))</formula>
    </cfRule>
    <cfRule type="expression" dxfId="30" priority="10">
      <formula xml:space="preserve"> (INDIRECT("D" &amp; ROW()) &lt;= TODAY()) * (INDIRECT("F" &amp; ROW()) &gt;= TODAY()) * NOT(ISBLANK("D"&amp;ROW()))</formula>
    </cfRule>
  </conditionalFormatting>
  <conditionalFormatting sqref="F33">
    <cfRule type="expression" dxfId="29" priority="7">
      <formula xml:space="preserve"> (INDIRECT("D" &amp; ROW()) &lt;= TODAY()) * (INDIRECT("F" &amp; ROW()) &gt;= TODAY()) * NOT(ISBLANK("D"&amp;ROW()))</formula>
    </cfRule>
  </conditionalFormatting>
  <conditionalFormatting sqref="A1:XFD1048576">
    <cfRule type="expression" dxfId="28" priority="1">
      <formula xml:space="preserve"> INDIRECT("C"&amp;ROW()) &gt;= 0.9</formula>
    </cfRule>
  </conditionalFormatting>
  <conditionalFormatting sqref="C14">
    <cfRule type="expression" priority="17">
      <formula xml:space="preserve"> ISBLANK("F"&amp;ROW())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3" workbookViewId="0">
      <selection activeCell="F15" sqref="F15"/>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202</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34" t="s">
        <v>23</v>
      </c>
      <c r="E8" s="235" t="s">
        <v>15</v>
      </c>
      <c r="F8" s="235" t="s">
        <v>18</v>
      </c>
      <c r="G8" s="235" t="s">
        <v>11</v>
      </c>
      <c r="H8" s="235" t="s">
        <v>24</v>
      </c>
      <c r="I8" s="236" t="s">
        <v>16</v>
      </c>
      <c r="J8" s="100"/>
      <c r="K8" s="100"/>
      <c r="L8" s="100"/>
      <c r="M8" s="101"/>
    </row>
    <row r="9" spans="1:13" ht="208.5" customHeight="1" x14ac:dyDescent="0.25">
      <c r="B9" s="75"/>
      <c r="C9" s="75"/>
      <c r="D9" s="237">
        <v>43128</v>
      </c>
      <c r="E9" s="238" t="s">
        <v>27</v>
      </c>
      <c r="F9" s="239" t="s">
        <v>28</v>
      </c>
      <c r="G9" s="239" t="s">
        <v>29</v>
      </c>
      <c r="H9" s="239" t="s">
        <v>30</v>
      </c>
      <c r="I9" s="240">
        <v>12.8</v>
      </c>
      <c r="J9" s="75"/>
      <c r="K9" s="75"/>
      <c r="L9" s="75"/>
      <c r="M9" s="79"/>
    </row>
    <row r="10" spans="1:13" ht="206.25" customHeight="1" x14ac:dyDescent="0.25">
      <c r="B10" s="75"/>
      <c r="C10" s="75"/>
      <c r="D10" s="237">
        <v>43129</v>
      </c>
      <c r="E10" s="241" t="s">
        <v>31</v>
      </c>
      <c r="F10" s="239" t="s">
        <v>48</v>
      </c>
      <c r="G10" s="239" t="s">
        <v>37</v>
      </c>
      <c r="H10" s="239" t="s">
        <v>38</v>
      </c>
      <c r="I10" s="240">
        <v>7.6</v>
      </c>
      <c r="J10" s="75"/>
      <c r="K10" s="75"/>
      <c r="L10" s="75"/>
      <c r="M10" s="76"/>
    </row>
    <row r="11" spans="1:13" ht="156" customHeight="1" x14ac:dyDescent="0.25">
      <c r="B11" s="75"/>
      <c r="C11" s="75"/>
      <c r="D11" s="237">
        <v>43130</v>
      </c>
      <c r="E11" s="241" t="s">
        <v>51</v>
      </c>
      <c r="F11" s="239" t="s">
        <v>55</v>
      </c>
      <c r="G11" s="239"/>
      <c r="H11" s="239"/>
      <c r="I11" s="240">
        <v>8</v>
      </c>
      <c r="J11" s="75"/>
      <c r="K11" s="75"/>
      <c r="L11" s="75"/>
      <c r="M11" s="76"/>
    </row>
    <row r="12" spans="1:13" ht="84" x14ac:dyDescent="0.25">
      <c r="B12" s="75"/>
      <c r="C12" s="75"/>
      <c r="D12" s="237">
        <v>43131</v>
      </c>
      <c r="E12" s="241"/>
      <c r="F12" s="239" t="s">
        <v>52</v>
      </c>
      <c r="G12" s="239" t="s">
        <v>53</v>
      </c>
      <c r="H12" s="239" t="s">
        <v>54</v>
      </c>
      <c r="I12" s="240">
        <v>14.5</v>
      </c>
      <c r="J12" s="75"/>
      <c r="K12" s="75"/>
      <c r="L12" s="75"/>
      <c r="M12" s="76"/>
    </row>
    <row r="13" spans="1:13" ht="323.25" customHeight="1" x14ac:dyDescent="0.25">
      <c r="B13" s="75"/>
      <c r="C13" s="75"/>
      <c r="D13" s="237">
        <v>43132</v>
      </c>
      <c r="E13" s="241" t="s">
        <v>56</v>
      </c>
      <c r="F13" s="239" t="s">
        <v>58</v>
      </c>
      <c r="G13" s="239" t="s">
        <v>57</v>
      </c>
      <c r="H13" s="239"/>
      <c r="I13" s="240">
        <v>15</v>
      </c>
      <c r="J13" s="75"/>
      <c r="K13" s="75"/>
      <c r="L13" s="75"/>
      <c r="M13" s="76"/>
    </row>
    <row r="14" spans="1:13" ht="36" x14ac:dyDescent="0.25">
      <c r="B14" s="75"/>
      <c r="C14" s="75"/>
      <c r="D14" s="237">
        <v>43133</v>
      </c>
      <c r="E14" s="241" t="s">
        <v>59</v>
      </c>
      <c r="F14" s="239" t="s">
        <v>60</v>
      </c>
      <c r="G14" s="239"/>
      <c r="H14" s="239"/>
      <c r="I14" s="240">
        <v>14.6</v>
      </c>
      <c r="J14" s="75"/>
      <c r="K14" s="75"/>
      <c r="L14" s="75"/>
      <c r="M14" s="76"/>
    </row>
    <row r="15" spans="1:13" ht="96" x14ac:dyDescent="0.25">
      <c r="B15" s="75"/>
      <c r="C15" s="75"/>
      <c r="D15" s="237">
        <v>43134</v>
      </c>
      <c r="E15" s="242" t="s">
        <v>63</v>
      </c>
      <c r="F15" s="239" t="s">
        <v>61</v>
      </c>
      <c r="G15" s="239" t="s">
        <v>66</v>
      </c>
      <c r="H15" s="239" t="s">
        <v>62</v>
      </c>
      <c r="I15" s="240">
        <v>11</v>
      </c>
      <c r="J15" s="75"/>
      <c r="K15" s="75"/>
      <c r="L15" s="75"/>
      <c r="M15" s="76"/>
    </row>
    <row r="16" spans="1:13" ht="120" x14ac:dyDescent="0.25">
      <c r="B16" s="75"/>
      <c r="C16" s="75"/>
      <c r="D16" s="237">
        <v>43135</v>
      </c>
      <c r="E16" s="241" t="s">
        <v>64</v>
      </c>
      <c r="F16" s="239" t="s">
        <v>67</v>
      </c>
      <c r="G16" s="239" t="s">
        <v>68</v>
      </c>
      <c r="H16" s="239"/>
      <c r="I16" s="240">
        <v>18.25</v>
      </c>
      <c r="J16" s="75"/>
      <c r="K16" s="75"/>
      <c r="L16" s="75"/>
      <c r="M16" s="76"/>
    </row>
    <row r="17" spans="2:13" ht="72" x14ac:dyDescent="0.25">
      <c r="B17" s="75"/>
      <c r="C17" s="75"/>
      <c r="D17" s="237">
        <v>43136</v>
      </c>
      <c r="E17" s="241" t="s">
        <v>71</v>
      </c>
      <c r="F17" s="239" t="s">
        <v>70</v>
      </c>
      <c r="G17" s="239" t="s">
        <v>74</v>
      </c>
      <c r="H17" s="239"/>
      <c r="I17" s="240">
        <v>18.25</v>
      </c>
      <c r="J17" s="75"/>
      <c r="K17" s="75"/>
      <c r="L17" s="75"/>
      <c r="M17" s="76"/>
    </row>
    <row r="18" spans="2:13" ht="84" x14ac:dyDescent="0.25">
      <c r="B18" s="75"/>
      <c r="C18" s="75"/>
      <c r="D18" s="237">
        <v>43137</v>
      </c>
      <c r="E18" s="241" t="s">
        <v>75</v>
      </c>
      <c r="F18" s="239" t="s">
        <v>97</v>
      </c>
      <c r="G18" s="239" t="s">
        <v>98</v>
      </c>
      <c r="H18" s="239"/>
      <c r="I18" s="240">
        <v>16</v>
      </c>
      <c r="J18" s="75"/>
      <c r="K18" s="75"/>
      <c r="L18" s="75"/>
      <c r="M18" s="76"/>
    </row>
    <row r="19" spans="2:13" ht="84" x14ac:dyDescent="0.25">
      <c r="B19" s="75"/>
      <c r="C19" s="75"/>
      <c r="D19" s="237">
        <v>43138</v>
      </c>
      <c r="E19" s="241" t="s">
        <v>101</v>
      </c>
      <c r="F19" s="239" t="s">
        <v>109</v>
      </c>
      <c r="G19" s="239"/>
      <c r="H19" s="239"/>
      <c r="I19" s="240">
        <v>15</v>
      </c>
      <c r="J19" s="75"/>
      <c r="K19" s="75"/>
      <c r="L19" s="75"/>
      <c r="M19" s="76"/>
    </row>
    <row r="20" spans="2:13" ht="93.75" customHeight="1" x14ac:dyDescent="0.25">
      <c r="B20" s="75"/>
      <c r="C20" s="75"/>
      <c r="D20" s="237">
        <v>43139</v>
      </c>
      <c r="E20" s="241" t="s">
        <v>130</v>
      </c>
      <c r="F20" s="239" t="s">
        <v>131</v>
      </c>
      <c r="G20" s="239"/>
      <c r="H20" s="239"/>
      <c r="I20" s="240">
        <v>16</v>
      </c>
      <c r="J20" s="75"/>
      <c r="K20" s="75"/>
      <c r="L20" s="75"/>
      <c r="M20" s="76"/>
    </row>
    <row r="21" spans="2:13" ht="24" x14ac:dyDescent="0.25">
      <c r="B21" s="75"/>
      <c r="C21" s="75"/>
      <c r="D21" s="237">
        <v>43140</v>
      </c>
      <c r="E21" s="241"/>
      <c r="F21" s="239" t="s">
        <v>301</v>
      </c>
      <c r="G21" s="239"/>
      <c r="H21" s="239"/>
      <c r="I21" s="240">
        <v>16</v>
      </c>
      <c r="J21" s="75"/>
      <c r="K21" s="75"/>
      <c r="L21" s="75"/>
      <c r="M21" s="76"/>
    </row>
    <row r="22" spans="2:13" ht="48" x14ac:dyDescent="0.25">
      <c r="B22" s="75"/>
      <c r="C22" s="75"/>
      <c r="D22" s="237">
        <v>43141</v>
      </c>
      <c r="E22" s="241"/>
      <c r="F22" s="239" t="s">
        <v>300</v>
      </c>
      <c r="G22" s="239"/>
      <c r="H22" s="239"/>
      <c r="I22" s="240">
        <v>19</v>
      </c>
      <c r="J22" s="75"/>
      <c r="K22" s="75"/>
      <c r="L22" s="75"/>
      <c r="M22" s="76"/>
    </row>
    <row r="23" spans="2:13" ht="72" customHeight="1" x14ac:dyDescent="0.25">
      <c r="B23" s="75"/>
      <c r="C23" s="75"/>
      <c r="D23" s="237">
        <v>43142</v>
      </c>
      <c r="E23" s="241"/>
      <c r="F23" s="239" t="s">
        <v>299</v>
      </c>
      <c r="G23" s="239"/>
      <c r="H23" s="239"/>
      <c r="I23" s="240">
        <v>0</v>
      </c>
      <c r="J23" s="75"/>
      <c r="K23" s="75"/>
      <c r="L23" s="75"/>
      <c r="M23" s="76"/>
    </row>
    <row r="24" spans="2:13" x14ac:dyDescent="0.25">
      <c r="B24" s="75"/>
      <c r="C24" s="75"/>
      <c r="D24" s="237">
        <v>43143</v>
      </c>
      <c r="E24" s="241"/>
      <c r="F24" s="239"/>
      <c r="G24" s="239"/>
      <c r="H24" s="239"/>
      <c r="I24" s="240"/>
      <c r="J24" s="75"/>
      <c r="K24" s="75"/>
      <c r="L24" s="75"/>
      <c r="M24" s="76"/>
    </row>
    <row r="25" spans="2:13" x14ac:dyDescent="0.25">
      <c r="B25" s="75"/>
      <c r="C25" s="75"/>
      <c r="D25" s="237">
        <v>43144</v>
      </c>
      <c r="E25" s="241"/>
      <c r="F25" s="239"/>
      <c r="G25" s="239"/>
      <c r="H25" s="239"/>
      <c r="I25" s="240"/>
      <c r="J25" s="75"/>
      <c r="K25" s="75"/>
      <c r="L25" s="75"/>
      <c r="M25" s="76"/>
    </row>
    <row r="26" spans="2:13" x14ac:dyDescent="0.25">
      <c r="B26" s="75"/>
      <c r="C26" s="75"/>
      <c r="D26" s="237">
        <v>43145</v>
      </c>
      <c r="E26" s="241"/>
      <c r="F26" s="239"/>
      <c r="G26" s="239"/>
      <c r="H26" s="239"/>
      <c r="I26" s="240"/>
      <c r="J26" s="75"/>
      <c r="K26" s="75"/>
      <c r="L26" s="75"/>
      <c r="M26" s="76"/>
    </row>
    <row r="27" spans="2:13" x14ac:dyDescent="0.25">
      <c r="B27" s="75"/>
      <c r="C27" s="75"/>
      <c r="D27" s="237">
        <v>43146</v>
      </c>
      <c r="E27" s="241"/>
      <c r="F27" s="239"/>
      <c r="G27" s="239"/>
      <c r="H27" s="239"/>
      <c r="I27" s="240"/>
      <c r="J27" s="75"/>
      <c r="K27" s="75"/>
      <c r="L27" s="75"/>
      <c r="M27" s="76"/>
    </row>
    <row r="28" spans="2:13" x14ac:dyDescent="0.25">
      <c r="B28" s="75"/>
      <c r="C28" s="75"/>
      <c r="D28" s="237">
        <v>43147</v>
      </c>
      <c r="E28" s="241"/>
      <c r="F28" s="239"/>
      <c r="G28" s="239"/>
      <c r="H28" s="239"/>
      <c r="I28" s="240"/>
      <c r="J28" s="75"/>
      <c r="K28" s="75"/>
      <c r="L28" s="75"/>
      <c r="M28" s="76"/>
    </row>
    <row r="29" spans="2:13" x14ac:dyDescent="0.25">
      <c r="B29" s="75"/>
      <c r="C29" s="75"/>
      <c r="D29" s="237">
        <v>43148</v>
      </c>
      <c r="E29" s="241"/>
      <c r="F29" s="239"/>
      <c r="G29" s="239"/>
      <c r="H29" s="239"/>
      <c r="I29" s="240"/>
      <c r="J29" s="75"/>
      <c r="K29" s="75"/>
      <c r="L29" s="75"/>
      <c r="M29" s="76"/>
    </row>
    <row r="30" spans="2:13" x14ac:dyDescent="0.25">
      <c r="B30" s="75"/>
      <c r="C30" s="75"/>
      <c r="D30" s="237">
        <v>43149</v>
      </c>
      <c r="E30" s="241"/>
      <c r="F30" s="239"/>
      <c r="G30" s="239"/>
      <c r="H30" s="239"/>
      <c r="I30" s="240"/>
      <c r="J30" s="75"/>
      <c r="K30" s="75"/>
      <c r="L30" s="75"/>
      <c r="M30" s="76"/>
    </row>
    <row r="31" spans="2:13" x14ac:dyDescent="0.25">
      <c r="B31" s="75"/>
      <c r="C31" s="75"/>
      <c r="D31" s="237">
        <v>43150</v>
      </c>
      <c r="E31" s="241"/>
      <c r="F31" s="239"/>
      <c r="G31" s="239"/>
      <c r="H31" s="239"/>
      <c r="I31" s="240"/>
      <c r="J31" s="75"/>
      <c r="K31" s="75"/>
      <c r="L31" s="75"/>
      <c r="M31" s="76"/>
    </row>
    <row r="32" spans="2:13" x14ac:dyDescent="0.25">
      <c r="B32" s="75"/>
      <c r="C32" s="75"/>
      <c r="D32" s="237">
        <v>43151</v>
      </c>
      <c r="E32" s="241"/>
      <c r="F32" s="239"/>
      <c r="G32" s="239"/>
      <c r="H32" s="239"/>
      <c r="I32" s="240"/>
      <c r="J32" s="75"/>
      <c r="K32" s="75"/>
      <c r="L32" s="75"/>
      <c r="M32" s="76"/>
    </row>
    <row r="33" spans="2:13" x14ac:dyDescent="0.25">
      <c r="B33" s="75"/>
      <c r="C33" s="75"/>
      <c r="D33" s="237">
        <v>43152</v>
      </c>
      <c r="E33" s="241"/>
      <c r="F33" s="239"/>
      <c r="G33" s="239"/>
      <c r="H33" s="239"/>
      <c r="I33" s="240"/>
      <c r="J33" s="75"/>
      <c r="K33" s="75"/>
      <c r="L33" s="75"/>
      <c r="M33" s="76"/>
    </row>
    <row r="34" spans="2:13" x14ac:dyDescent="0.25">
      <c r="B34" s="75"/>
      <c r="C34" s="75"/>
      <c r="D34" s="237">
        <v>43153</v>
      </c>
      <c r="E34" s="241"/>
      <c r="F34" s="239"/>
      <c r="G34" s="239"/>
      <c r="H34" s="239"/>
      <c r="I34" s="240"/>
      <c r="J34" s="75"/>
      <c r="K34" s="75"/>
      <c r="L34" s="75"/>
      <c r="M34" s="76"/>
    </row>
    <row r="35" spans="2:13" x14ac:dyDescent="0.25">
      <c r="B35" s="75"/>
      <c r="C35" s="75"/>
      <c r="D35" s="237">
        <v>43154</v>
      </c>
      <c r="E35" s="241"/>
      <c r="F35" s="239"/>
      <c r="G35" s="239"/>
      <c r="H35" s="239"/>
      <c r="I35" s="240"/>
      <c r="J35" s="75"/>
      <c r="K35" s="75"/>
      <c r="L35" s="75"/>
      <c r="M35" s="76"/>
    </row>
    <row r="36" spans="2:13" x14ac:dyDescent="0.25">
      <c r="B36" s="75"/>
      <c r="C36" s="75"/>
      <c r="D36" s="237">
        <v>43155</v>
      </c>
      <c r="E36" s="241"/>
      <c r="F36" s="239"/>
      <c r="G36" s="239"/>
      <c r="H36" s="239"/>
      <c r="I36" s="240"/>
      <c r="J36" s="75"/>
      <c r="K36" s="75"/>
      <c r="L36" s="75"/>
      <c r="M36" s="76"/>
    </row>
    <row r="37" spans="2:13" x14ac:dyDescent="0.25">
      <c r="B37" s="75"/>
      <c r="C37" s="75"/>
      <c r="D37" s="237">
        <v>43156</v>
      </c>
      <c r="E37" s="241"/>
      <c r="F37" s="239"/>
      <c r="G37" s="239"/>
      <c r="H37" s="239"/>
      <c r="I37" s="240"/>
      <c r="J37" s="75"/>
      <c r="K37" s="75"/>
      <c r="L37" s="75"/>
      <c r="M37" s="76"/>
    </row>
    <row r="38" spans="2:13" x14ac:dyDescent="0.25">
      <c r="B38" s="75"/>
      <c r="C38" s="75"/>
      <c r="D38" s="237">
        <v>43157</v>
      </c>
      <c r="E38" s="241"/>
      <c r="F38" s="239"/>
      <c r="G38" s="239"/>
      <c r="H38" s="239"/>
      <c r="I38" s="240"/>
      <c r="J38" s="75"/>
      <c r="K38" s="75"/>
      <c r="L38" s="75"/>
      <c r="M38" s="76"/>
    </row>
    <row r="39" spans="2:13" x14ac:dyDescent="0.25">
      <c r="B39" s="75"/>
      <c r="C39" s="75"/>
      <c r="D39" s="237">
        <v>43158</v>
      </c>
      <c r="E39" s="241"/>
      <c r="F39" s="239"/>
      <c r="G39" s="239"/>
      <c r="H39" s="239"/>
      <c r="I39" s="240"/>
      <c r="J39" s="75"/>
      <c r="K39" s="75"/>
      <c r="L39" s="75"/>
      <c r="M39" s="76"/>
    </row>
    <row r="40" spans="2:13" x14ac:dyDescent="0.25">
      <c r="B40" s="75"/>
      <c r="C40" s="75"/>
      <c r="D40" s="237">
        <v>43159</v>
      </c>
      <c r="E40" s="241"/>
      <c r="F40" s="239"/>
      <c r="G40" s="239"/>
      <c r="H40" s="239"/>
      <c r="I40" s="240"/>
      <c r="J40" s="75"/>
      <c r="K40" s="75"/>
      <c r="L40" s="75"/>
      <c r="M40" s="76"/>
    </row>
    <row r="41" spans="2:13" x14ac:dyDescent="0.25">
      <c r="B41" s="75"/>
      <c r="C41" s="75"/>
      <c r="D41" s="237">
        <v>43160</v>
      </c>
      <c r="E41" s="241"/>
      <c r="F41" s="239"/>
      <c r="G41" s="239"/>
      <c r="H41" s="239"/>
      <c r="I41" s="240"/>
      <c r="J41" s="75"/>
      <c r="K41" s="75"/>
      <c r="L41" s="75"/>
      <c r="M41" s="76"/>
    </row>
    <row r="42" spans="2:13" x14ac:dyDescent="0.25">
      <c r="B42" s="75"/>
      <c r="C42" s="75"/>
      <c r="D42" s="237">
        <v>43161</v>
      </c>
      <c r="E42" s="241"/>
      <c r="F42" s="239"/>
      <c r="G42" s="239"/>
      <c r="H42" s="239"/>
      <c r="I42" s="240"/>
      <c r="J42" s="75"/>
      <c r="K42" s="75"/>
      <c r="L42" s="75"/>
      <c r="M42" s="76"/>
    </row>
    <row r="43" spans="2:13" x14ac:dyDescent="0.25">
      <c r="B43" s="75"/>
      <c r="C43" s="75"/>
      <c r="D43" s="237">
        <v>43162</v>
      </c>
      <c r="E43" s="241"/>
      <c r="F43" s="239"/>
      <c r="G43" s="239"/>
      <c r="H43" s="239"/>
      <c r="I43" s="240"/>
      <c r="J43" s="75"/>
      <c r="K43" s="75"/>
      <c r="L43" s="75"/>
      <c r="M43" s="76"/>
    </row>
    <row r="44" spans="2:13" x14ac:dyDescent="0.25">
      <c r="B44" s="75"/>
      <c r="C44" s="75"/>
      <c r="D44" s="237">
        <v>43163</v>
      </c>
      <c r="E44" s="241"/>
      <c r="F44" s="239"/>
      <c r="G44" s="239"/>
      <c r="H44" s="239"/>
      <c r="I44" s="240"/>
      <c r="J44" s="75"/>
      <c r="K44" s="75"/>
      <c r="L44" s="75"/>
      <c r="M44" s="76"/>
    </row>
    <row r="45" spans="2:13" x14ac:dyDescent="0.25">
      <c r="B45" s="75"/>
      <c r="C45" s="75"/>
      <c r="D45" s="237">
        <v>43164</v>
      </c>
      <c r="E45" s="241"/>
      <c r="F45" s="239"/>
      <c r="G45" s="239"/>
      <c r="H45" s="239"/>
      <c r="I45" s="240"/>
      <c r="J45" s="75"/>
      <c r="K45" s="75"/>
      <c r="L45" s="75"/>
      <c r="M45" s="76"/>
    </row>
    <row r="46" spans="2:13" x14ac:dyDescent="0.25">
      <c r="B46" s="75"/>
      <c r="C46" s="75"/>
      <c r="D46" s="237">
        <v>43165</v>
      </c>
      <c r="E46" s="241"/>
      <c r="F46" s="239"/>
      <c r="G46" s="239"/>
      <c r="H46" s="239"/>
      <c r="I46" s="240"/>
      <c r="J46" s="75"/>
      <c r="K46" s="75"/>
      <c r="L46" s="75"/>
      <c r="M46" s="76"/>
    </row>
    <row r="47" spans="2:13" x14ac:dyDescent="0.25">
      <c r="B47" s="75"/>
      <c r="C47" s="75"/>
      <c r="D47" s="237">
        <v>43166</v>
      </c>
      <c r="E47" s="241"/>
      <c r="F47" s="239"/>
      <c r="G47" s="239"/>
      <c r="H47" s="239"/>
      <c r="I47" s="240"/>
      <c r="J47" s="75"/>
      <c r="K47" s="75"/>
      <c r="L47" s="75"/>
      <c r="M47" s="76"/>
    </row>
    <row r="48" spans="2:13" x14ac:dyDescent="0.25">
      <c r="B48" s="75"/>
      <c r="C48" s="75"/>
      <c r="D48" s="237">
        <v>43167</v>
      </c>
      <c r="E48" s="241"/>
      <c r="F48" s="239"/>
      <c r="G48" s="239"/>
      <c r="H48" s="239"/>
      <c r="I48" s="240"/>
      <c r="J48" s="75"/>
      <c r="K48" s="75"/>
      <c r="L48" s="75"/>
      <c r="M48" s="76"/>
    </row>
    <row r="49" spans="2:13" x14ac:dyDescent="0.25">
      <c r="B49" s="75"/>
      <c r="C49" s="75"/>
      <c r="D49" s="237">
        <v>43168</v>
      </c>
      <c r="E49" s="241"/>
      <c r="F49" s="239"/>
      <c r="G49" s="239"/>
      <c r="H49" s="239"/>
      <c r="I49" s="240"/>
      <c r="J49" s="75"/>
      <c r="K49" s="75"/>
      <c r="L49" s="75"/>
      <c r="M49" s="76"/>
    </row>
    <row r="50" spans="2:13" x14ac:dyDescent="0.25">
      <c r="B50" s="75"/>
      <c r="C50" s="75"/>
      <c r="D50" s="237">
        <v>43169</v>
      </c>
      <c r="E50" s="241"/>
      <c r="F50" s="239"/>
      <c r="G50" s="239"/>
      <c r="H50" s="239"/>
      <c r="I50" s="240"/>
      <c r="J50" s="75"/>
      <c r="K50" s="75"/>
      <c r="L50" s="75"/>
      <c r="M50" s="76"/>
    </row>
    <row r="51" spans="2:13" x14ac:dyDescent="0.25">
      <c r="B51" s="75"/>
      <c r="C51" s="75"/>
      <c r="D51" s="237">
        <v>43170</v>
      </c>
      <c r="E51" s="241"/>
      <c r="F51" s="239"/>
      <c r="G51" s="239"/>
      <c r="H51" s="239"/>
      <c r="I51" s="240"/>
      <c r="J51" s="75"/>
      <c r="K51" s="75"/>
      <c r="L51" s="75"/>
      <c r="M51" s="76"/>
    </row>
    <row r="52" spans="2:13" x14ac:dyDescent="0.25">
      <c r="B52" s="75"/>
      <c r="C52" s="75"/>
      <c r="D52" s="237">
        <v>43171</v>
      </c>
      <c r="E52" s="241"/>
      <c r="F52" s="239"/>
      <c r="G52" s="239"/>
      <c r="H52" s="239"/>
      <c r="I52" s="240"/>
      <c r="J52" s="75"/>
      <c r="K52" s="75"/>
      <c r="L52" s="75"/>
      <c r="M52" s="76"/>
    </row>
    <row r="53" spans="2:13" x14ac:dyDescent="0.25">
      <c r="B53" s="75"/>
      <c r="C53" s="75"/>
      <c r="D53" s="237">
        <v>43172</v>
      </c>
      <c r="E53" s="241"/>
      <c r="F53" s="239"/>
      <c r="G53" s="239"/>
      <c r="H53" s="239"/>
      <c r="I53" s="240"/>
      <c r="J53" s="75"/>
      <c r="K53" s="75"/>
      <c r="L53" s="75"/>
      <c r="M53" s="76"/>
    </row>
    <row r="54" spans="2:13" x14ac:dyDescent="0.25">
      <c r="B54" s="75"/>
      <c r="C54" s="75"/>
      <c r="D54" s="237">
        <v>43173</v>
      </c>
      <c r="E54" s="241"/>
      <c r="F54" s="239"/>
      <c r="G54" s="239"/>
      <c r="H54" s="239"/>
      <c r="I54" s="240"/>
      <c r="J54" s="75"/>
      <c r="K54" s="75"/>
      <c r="L54" s="75"/>
      <c r="M54" s="76"/>
    </row>
    <row r="55" spans="2:13" x14ac:dyDescent="0.25">
      <c r="B55" s="75"/>
      <c r="C55" s="75"/>
      <c r="D55" s="237">
        <v>43174</v>
      </c>
      <c r="E55" s="241"/>
      <c r="F55" s="239"/>
      <c r="G55" s="239"/>
      <c r="H55" s="239"/>
      <c r="I55" s="240"/>
      <c r="J55" s="75"/>
      <c r="K55" s="75"/>
      <c r="L55" s="75"/>
      <c r="M55" s="76"/>
    </row>
    <row r="56" spans="2:13" x14ac:dyDescent="0.25">
      <c r="B56" s="75"/>
      <c r="C56" s="75"/>
      <c r="D56" s="237">
        <v>43175</v>
      </c>
      <c r="E56" s="241"/>
      <c r="F56" s="239"/>
      <c r="G56" s="239"/>
      <c r="H56" s="239"/>
      <c r="I56" s="240"/>
      <c r="J56" s="75"/>
      <c r="K56" s="75"/>
      <c r="L56" s="75"/>
      <c r="M56" s="76"/>
    </row>
    <row r="57" spans="2:13" x14ac:dyDescent="0.25">
      <c r="B57" s="75"/>
      <c r="C57" s="75"/>
      <c r="D57" s="237">
        <v>43176</v>
      </c>
      <c r="E57" s="241"/>
      <c r="F57" s="239"/>
      <c r="G57" s="239"/>
      <c r="H57" s="239"/>
      <c r="I57" s="240"/>
      <c r="J57" s="75"/>
      <c r="K57" s="75"/>
      <c r="L57" s="75"/>
      <c r="M57" s="76"/>
    </row>
    <row r="58" spans="2:13" x14ac:dyDescent="0.25">
      <c r="B58" s="75"/>
      <c r="C58" s="75"/>
      <c r="D58" s="237">
        <v>43177</v>
      </c>
      <c r="E58" s="241"/>
      <c r="F58" s="239"/>
      <c r="G58" s="239"/>
      <c r="H58" s="239"/>
      <c r="I58" s="240"/>
      <c r="J58" s="75"/>
      <c r="K58" s="75"/>
      <c r="L58" s="75"/>
      <c r="M58" s="76"/>
    </row>
    <row r="59" spans="2:13" x14ac:dyDescent="0.25">
      <c r="B59" s="75"/>
      <c r="C59" s="75"/>
      <c r="D59" s="237">
        <v>43178</v>
      </c>
      <c r="E59" s="241"/>
      <c r="F59" s="239"/>
      <c r="G59" s="239"/>
      <c r="H59" s="239"/>
      <c r="I59" s="240"/>
      <c r="J59" s="75"/>
      <c r="K59" s="75"/>
      <c r="L59" s="75"/>
      <c r="M59" s="76"/>
    </row>
    <row r="60" spans="2:13" x14ac:dyDescent="0.25">
      <c r="B60" s="75"/>
      <c r="C60" s="75"/>
      <c r="D60" s="237">
        <v>43179</v>
      </c>
      <c r="E60" s="241"/>
      <c r="F60" s="239"/>
      <c r="G60" s="239"/>
      <c r="H60" s="239"/>
      <c r="I60" s="240"/>
      <c r="J60" s="75"/>
      <c r="K60" s="75"/>
      <c r="L60" s="75"/>
      <c r="M60" s="76"/>
    </row>
    <row r="61" spans="2:13" x14ac:dyDescent="0.25">
      <c r="B61" s="75"/>
      <c r="C61" s="75"/>
      <c r="D61" s="237">
        <v>43180</v>
      </c>
      <c r="E61" s="241"/>
      <c r="F61" s="239"/>
      <c r="G61" s="239"/>
      <c r="H61" s="239"/>
      <c r="I61" s="240"/>
      <c r="J61" s="75"/>
      <c r="K61" s="75"/>
      <c r="L61" s="75"/>
      <c r="M61" s="76"/>
    </row>
    <row r="62" spans="2:13" x14ac:dyDescent="0.25">
      <c r="B62" s="75"/>
      <c r="C62" s="75"/>
      <c r="D62" s="237">
        <v>43181</v>
      </c>
      <c r="E62" s="241"/>
      <c r="F62" s="239"/>
      <c r="G62" s="239"/>
      <c r="H62" s="239"/>
      <c r="I62" s="240"/>
      <c r="J62" s="75"/>
      <c r="K62" s="75"/>
      <c r="L62" s="75"/>
      <c r="M62" s="76"/>
    </row>
    <row r="63" spans="2:13" x14ac:dyDescent="0.25">
      <c r="B63" s="75"/>
      <c r="C63" s="75"/>
      <c r="D63" s="237">
        <v>43182</v>
      </c>
      <c r="E63" s="241"/>
      <c r="F63" s="239"/>
      <c r="G63" s="239"/>
      <c r="H63" s="239"/>
      <c r="I63" s="240"/>
      <c r="J63" s="75"/>
      <c r="K63" s="75"/>
      <c r="L63" s="75"/>
      <c r="M63" s="76"/>
    </row>
    <row r="64" spans="2:13" x14ac:dyDescent="0.25">
      <c r="B64" s="75"/>
      <c r="C64" s="75"/>
      <c r="D64" s="237">
        <v>43183</v>
      </c>
      <c r="E64" s="241"/>
      <c r="F64" s="239"/>
      <c r="G64" s="239"/>
      <c r="H64" s="239"/>
      <c r="I64" s="240"/>
      <c r="J64" s="75"/>
      <c r="K64" s="75"/>
      <c r="L64" s="75"/>
      <c r="M64" s="76"/>
    </row>
    <row r="65" spans="2:13" x14ac:dyDescent="0.25">
      <c r="B65" s="75"/>
      <c r="C65" s="75"/>
      <c r="D65" s="237">
        <v>43184</v>
      </c>
      <c r="E65" s="241"/>
      <c r="F65" s="239"/>
      <c r="G65" s="239"/>
      <c r="H65" s="239"/>
      <c r="I65" s="240"/>
      <c r="J65" s="75"/>
      <c r="K65" s="75"/>
      <c r="L65" s="75"/>
      <c r="M65" s="76"/>
    </row>
    <row r="66" spans="2:13" x14ac:dyDescent="0.25">
      <c r="B66" s="75"/>
      <c r="C66" s="75"/>
      <c r="D66" s="237">
        <v>43185</v>
      </c>
      <c r="E66" s="241"/>
      <c r="F66" s="239"/>
      <c r="G66" s="239"/>
      <c r="H66" s="239"/>
      <c r="I66" s="240"/>
      <c r="J66" s="75"/>
      <c r="K66" s="75"/>
      <c r="L66" s="75"/>
      <c r="M66" s="76"/>
    </row>
    <row r="67" spans="2:13" x14ac:dyDescent="0.25">
      <c r="B67" s="75"/>
      <c r="C67" s="75"/>
      <c r="D67" s="237">
        <v>43186</v>
      </c>
      <c r="E67" s="241"/>
      <c r="F67" s="239"/>
      <c r="G67" s="239"/>
      <c r="H67" s="239"/>
      <c r="I67" s="240"/>
      <c r="J67" s="75"/>
      <c r="K67" s="75"/>
      <c r="L67" s="75"/>
      <c r="M67" s="76"/>
    </row>
    <row r="68" spans="2:13" x14ac:dyDescent="0.25">
      <c r="B68" s="75"/>
      <c r="C68" s="75"/>
      <c r="D68" s="237">
        <v>43187</v>
      </c>
      <c r="E68" s="241"/>
      <c r="F68" s="239"/>
      <c r="G68" s="239"/>
      <c r="H68" s="239"/>
      <c r="I68" s="240"/>
      <c r="J68" s="75"/>
      <c r="K68" s="75"/>
      <c r="L68" s="75"/>
      <c r="M68" s="76"/>
    </row>
    <row r="69" spans="2:13" x14ac:dyDescent="0.25">
      <c r="B69" s="75"/>
      <c r="C69" s="75"/>
      <c r="D69" s="237">
        <v>43188</v>
      </c>
      <c r="E69" s="241"/>
      <c r="F69" s="239"/>
      <c r="G69" s="239"/>
      <c r="H69" s="239"/>
      <c r="I69" s="240"/>
      <c r="J69" s="75"/>
      <c r="K69" s="75"/>
      <c r="L69" s="75"/>
      <c r="M69" s="76"/>
    </row>
    <row r="70" spans="2:13" x14ac:dyDescent="0.25">
      <c r="B70" s="75"/>
      <c r="C70" s="75"/>
      <c r="D70" s="237">
        <v>43189</v>
      </c>
      <c r="E70" s="241"/>
      <c r="F70" s="239"/>
      <c r="G70" s="239"/>
      <c r="H70" s="239"/>
      <c r="I70" s="240"/>
      <c r="J70" s="75"/>
      <c r="K70" s="75"/>
      <c r="L70" s="75"/>
      <c r="M70" s="76"/>
    </row>
    <row r="71" spans="2:13" x14ac:dyDescent="0.25">
      <c r="B71" s="75"/>
      <c r="C71" s="75"/>
      <c r="D71" s="237">
        <v>43190</v>
      </c>
      <c r="E71" s="241"/>
      <c r="F71" s="239"/>
      <c r="G71" s="239"/>
      <c r="H71" s="239"/>
      <c r="I71" s="240"/>
      <c r="J71" s="75"/>
      <c r="K71" s="75"/>
      <c r="L71" s="75"/>
      <c r="M71" s="76"/>
    </row>
    <row r="72" spans="2:13" x14ac:dyDescent="0.25">
      <c r="B72" s="75"/>
      <c r="C72" s="75"/>
      <c r="D72" s="237">
        <v>43191</v>
      </c>
      <c r="E72" s="241"/>
      <c r="F72" s="239"/>
      <c r="G72" s="239"/>
      <c r="H72" s="239"/>
      <c r="I72" s="240"/>
      <c r="J72" s="75"/>
      <c r="K72" s="75"/>
      <c r="L72" s="75"/>
      <c r="M72" s="76"/>
    </row>
    <row r="73" spans="2:13" x14ac:dyDescent="0.25">
      <c r="B73" s="75"/>
      <c r="C73" s="75"/>
      <c r="D73" s="237">
        <v>43192</v>
      </c>
      <c r="E73" s="241"/>
      <c r="F73" s="239"/>
      <c r="G73" s="239"/>
      <c r="H73" s="239"/>
      <c r="I73" s="240"/>
      <c r="J73" s="75"/>
      <c r="K73" s="75"/>
      <c r="L73" s="75"/>
      <c r="M73" s="76"/>
    </row>
    <row r="74" spans="2:13" x14ac:dyDescent="0.25">
      <c r="B74" s="75"/>
      <c r="C74" s="75"/>
      <c r="D74" s="237">
        <v>43193</v>
      </c>
      <c r="E74" s="241"/>
      <c r="F74" s="239"/>
      <c r="G74" s="239"/>
      <c r="H74" s="239"/>
      <c r="I74" s="240"/>
      <c r="J74" s="75"/>
      <c r="K74" s="75"/>
      <c r="L74" s="75"/>
      <c r="M74" s="76"/>
    </row>
    <row r="75" spans="2:13" x14ac:dyDescent="0.25">
      <c r="B75" s="75"/>
      <c r="C75" s="75"/>
      <c r="D75" s="237">
        <v>43194</v>
      </c>
      <c r="E75" s="241"/>
      <c r="F75" s="239"/>
      <c r="G75" s="239"/>
      <c r="H75" s="239"/>
      <c r="I75" s="240"/>
      <c r="J75" s="75"/>
      <c r="K75" s="75"/>
      <c r="L75" s="75"/>
      <c r="M75" s="76"/>
    </row>
    <row r="76" spans="2:13" x14ac:dyDescent="0.25">
      <c r="B76" s="75"/>
      <c r="C76" s="75"/>
      <c r="D76" s="237">
        <v>43195</v>
      </c>
      <c r="E76" s="241"/>
      <c r="F76" s="239"/>
      <c r="G76" s="239"/>
      <c r="H76" s="239"/>
      <c r="I76" s="240"/>
      <c r="J76" s="75"/>
      <c r="K76" s="75"/>
      <c r="L76" s="75"/>
      <c r="M76" s="76"/>
    </row>
    <row r="77" spans="2:13" x14ac:dyDescent="0.25">
      <c r="B77" s="75"/>
      <c r="C77" s="75"/>
      <c r="D77" s="237">
        <v>43196</v>
      </c>
      <c r="E77" s="241"/>
      <c r="F77" s="239"/>
      <c r="G77" s="239"/>
      <c r="H77" s="239"/>
      <c r="I77" s="240"/>
      <c r="J77" s="75"/>
      <c r="K77" s="75"/>
      <c r="L77" s="75"/>
      <c r="M77" s="76"/>
    </row>
    <row r="78" spans="2:13" x14ac:dyDescent="0.25">
      <c r="B78" s="75"/>
      <c r="C78" s="75"/>
      <c r="D78" s="237">
        <v>43197</v>
      </c>
      <c r="E78" s="241"/>
      <c r="F78" s="239"/>
      <c r="G78" s="239"/>
      <c r="H78" s="239"/>
      <c r="I78" s="240"/>
      <c r="J78" s="75"/>
      <c r="K78" s="75"/>
      <c r="L78" s="75"/>
      <c r="M78" s="76"/>
    </row>
    <row r="79" spans="2:13" x14ac:dyDescent="0.25">
      <c r="B79" s="75"/>
      <c r="C79" s="75"/>
      <c r="D79" s="237">
        <v>43198</v>
      </c>
      <c r="E79" s="241"/>
      <c r="F79" s="239"/>
      <c r="G79" s="239"/>
      <c r="H79" s="239"/>
      <c r="I79" s="240"/>
      <c r="J79" s="75"/>
      <c r="K79" s="75"/>
      <c r="L79" s="75"/>
      <c r="M79" s="76"/>
    </row>
    <row r="80" spans="2:13" x14ac:dyDescent="0.25">
      <c r="B80" s="75"/>
      <c r="C80" s="75"/>
      <c r="D80" s="237">
        <v>43199</v>
      </c>
      <c r="E80" s="241"/>
      <c r="F80" s="239"/>
      <c r="G80" s="239"/>
      <c r="H80" s="239"/>
      <c r="I80" s="240"/>
      <c r="J80" s="75"/>
      <c r="K80" s="75"/>
      <c r="L80" s="75"/>
      <c r="M80" s="76"/>
    </row>
    <row r="81" spans="2:13" x14ac:dyDescent="0.25">
      <c r="B81" s="75"/>
      <c r="C81" s="75"/>
      <c r="D81" s="237">
        <v>43200</v>
      </c>
      <c r="E81" s="241"/>
      <c r="F81" s="239"/>
      <c r="G81" s="239"/>
      <c r="H81" s="239"/>
      <c r="I81" s="240"/>
      <c r="J81" s="75"/>
      <c r="K81" s="75"/>
      <c r="L81" s="75"/>
      <c r="M81" s="76"/>
    </row>
    <row r="82" spans="2:13" x14ac:dyDescent="0.25">
      <c r="B82" s="75"/>
      <c r="C82" s="75"/>
      <c r="D82" s="237">
        <v>43201</v>
      </c>
      <c r="E82" s="241"/>
      <c r="F82" s="239"/>
      <c r="G82" s="239"/>
      <c r="H82" s="239"/>
      <c r="I82" s="240"/>
      <c r="J82" s="75"/>
      <c r="K82" s="75"/>
      <c r="L82" s="75"/>
      <c r="M82" s="76"/>
    </row>
    <row r="83" spans="2:13" x14ac:dyDescent="0.25">
      <c r="B83" s="75"/>
      <c r="C83" s="75"/>
      <c r="D83" s="237">
        <v>43202</v>
      </c>
      <c r="E83" s="241"/>
      <c r="F83" s="239"/>
      <c r="G83" s="239"/>
      <c r="H83" s="239"/>
      <c r="I83" s="240"/>
      <c r="J83" s="75"/>
      <c r="K83" s="75"/>
      <c r="L83" s="75"/>
      <c r="M83" s="76"/>
    </row>
    <row r="84" spans="2:13" x14ac:dyDescent="0.25">
      <c r="B84" s="75"/>
      <c r="C84" s="75"/>
      <c r="D84" s="237">
        <v>43203</v>
      </c>
      <c r="E84" s="241"/>
      <c r="F84" s="239"/>
      <c r="G84" s="239"/>
      <c r="H84" s="239"/>
      <c r="I84" s="240"/>
      <c r="J84" s="75"/>
      <c r="K84" s="75"/>
      <c r="L84" s="75"/>
      <c r="M84" s="76"/>
    </row>
    <row r="85" spans="2:13" x14ac:dyDescent="0.25">
      <c r="B85" s="75"/>
      <c r="C85" s="75"/>
      <c r="D85" s="237">
        <v>43204</v>
      </c>
      <c r="E85" s="241"/>
      <c r="F85" s="239"/>
      <c r="G85" s="239"/>
      <c r="H85" s="239"/>
      <c r="I85" s="240"/>
      <c r="J85" s="75"/>
      <c r="K85" s="75"/>
      <c r="L85" s="75"/>
      <c r="M85" s="76"/>
    </row>
    <row r="86" spans="2:13" x14ac:dyDescent="0.25">
      <c r="B86" s="75"/>
      <c r="C86" s="75"/>
      <c r="D86" s="237">
        <v>43205</v>
      </c>
      <c r="E86" s="241"/>
      <c r="F86" s="239"/>
      <c r="G86" s="239"/>
      <c r="H86" s="239"/>
      <c r="I86" s="240"/>
      <c r="J86" s="75"/>
      <c r="K86" s="75"/>
      <c r="L86" s="75"/>
      <c r="M86" s="76"/>
    </row>
    <row r="87" spans="2:13" x14ac:dyDescent="0.25">
      <c r="B87" s="75"/>
      <c r="C87" s="75"/>
      <c r="D87" s="237">
        <v>43206</v>
      </c>
      <c r="E87" s="241"/>
      <c r="F87" s="239"/>
      <c r="G87" s="239"/>
      <c r="H87" s="239"/>
      <c r="I87" s="240"/>
      <c r="J87" s="75"/>
      <c r="K87" s="75"/>
      <c r="L87" s="75"/>
      <c r="M87" s="76"/>
    </row>
    <row r="88" spans="2:13" x14ac:dyDescent="0.25">
      <c r="B88" s="75"/>
      <c r="C88" s="75"/>
      <c r="D88" s="237">
        <v>43207</v>
      </c>
      <c r="E88" s="241"/>
      <c r="F88" s="239"/>
      <c r="G88" s="239"/>
      <c r="H88" s="239"/>
      <c r="I88" s="240"/>
      <c r="J88" s="75"/>
      <c r="K88" s="75"/>
      <c r="L88" s="75"/>
      <c r="M88" s="76"/>
    </row>
    <row r="89" spans="2:13" x14ac:dyDescent="0.25">
      <c r="B89" s="75"/>
      <c r="C89" s="75"/>
      <c r="D89" s="237">
        <v>43208</v>
      </c>
      <c r="E89" s="241"/>
      <c r="F89" s="239"/>
      <c r="G89" s="239"/>
      <c r="H89" s="239"/>
      <c r="I89" s="240"/>
      <c r="J89" s="75"/>
      <c r="K89" s="75"/>
      <c r="L89" s="75"/>
      <c r="M89" s="76"/>
    </row>
    <row r="90" spans="2:13" x14ac:dyDescent="0.25">
      <c r="B90" s="75"/>
      <c r="C90" s="75"/>
      <c r="D90" s="237">
        <v>43209</v>
      </c>
      <c r="E90" s="241"/>
      <c r="F90" s="239"/>
      <c r="G90" s="239"/>
      <c r="H90" s="239"/>
      <c r="I90" s="240"/>
      <c r="J90" s="75"/>
      <c r="K90" s="75"/>
      <c r="L90" s="75"/>
      <c r="M90" s="76"/>
    </row>
    <row r="91" spans="2:13" x14ac:dyDescent="0.25">
      <c r="B91" s="75"/>
      <c r="C91" s="75"/>
      <c r="D91" s="237">
        <v>43210</v>
      </c>
      <c r="E91" s="241"/>
      <c r="F91" s="239"/>
      <c r="G91" s="239"/>
      <c r="H91" s="239"/>
      <c r="I91" s="240"/>
      <c r="J91" s="75"/>
      <c r="K91" s="75"/>
      <c r="L91" s="75"/>
      <c r="M91" s="76"/>
    </row>
    <row r="92" spans="2:13" x14ac:dyDescent="0.25">
      <c r="B92" s="75"/>
      <c r="C92" s="75"/>
      <c r="D92" s="237">
        <v>43211</v>
      </c>
      <c r="E92" s="241"/>
      <c r="F92" s="239"/>
      <c r="G92" s="239"/>
      <c r="H92" s="239"/>
      <c r="I92" s="240"/>
      <c r="J92" s="75"/>
      <c r="K92" s="75"/>
      <c r="L92" s="75"/>
      <c r="M92" s="76"/>
    </row>
    <row r="93" spans="2:13" x14ac:dyDescent="0.25">
      <c r="B93" s="75"/>
      <c r="C93" s="75"/>
      <c r="D93" s="237">
        <v>43212</v>
      </c>
      <c r="E93" s="241"/>
      <c r="F93" s="239"/>
      <c r="G93" s="239"/>
      <c r="H93" s="239"/>
      <c r="I93" s="240"/>
      <c r="J93" s="75"/>
      <c r="K93" s="75"/>
      <c r="L93" s="75"/>
      <c r="M93" s="76"/>
    </row>
    <row r="94" spans="2:13" x14ac:dyDescent="0.25">
      <c r="B94" s="75"/>
      <c r="C94" s="75"/>
      <c r="D94" s="237">
        <v>43213</v>
      </c>
      <c r="E94" s="241"/>
      <c r="F94" s="239"/>
      <c r="G94" s="239"/>
      <c r="H94" s="239"/>
      <c r="I94" s="240"/>
      <c r="J94" s="75"/>
      <c r="K94" s="75"/>
      <c r="L94" s="75"/>
      <c r="M94" s="76"/>
    </row>
    <row r="95" spans="2:13" x14ac:dyDescent="0.25">
      <c r="B95" s="75"/>
      <c r="C95" s="75"/>
      <c r="D95" s="237">
        <v>43214</v>
      </c>
      <c r="E95" s="241"/>
      <c r="F95" s="239"/>
      <c r="G95" s="239"/>
      <c r="H95" s="239"/>
      <c r="I95" s="240"/>
      <c r="J95" s="75"/>
      <c r="K95" s="75"/>
      <c r="L95" s="75"/>
      <c r="M95" s="76"/>
    </row>
    <row r="96" spans="2:13" x14ac:dyDescent="0.25">
      <c r="B96" s="75"/>
      <c r="C96" s="75"/>
      <c r="D96" s="237">
        <v>43215</v>
      </c>
      <c r="E96" s="241"/>
      <c r="F96" s="239"/>
      <c r="G96" s="239"/>
      <c r="H96" s="239"/>
      <c r="I96" s="240"/>
      <c r="J96" s="75"/>
      <c r="K96" s="75"/>
      <c r="L96" s="75"/>
      <c r="M96" s="76"/>
    </row>
    <row r="97" spans="2:13" x14ac:dyDescent="0.25">
      <c r="B97" s="75"/>
      <c r="C97" s="75"/>
      <c r="D97" s="237">
        <v>43216</v>
      </c>
      <c r="E97" s="241"/>
      <c r="F97" s="239"/>
      <c r="G97" s="239"/>
      <c r="H97" s="239"/>
      <c r="I97" s="240"/>
      <c r="J97" s="75"/>
      <c r="K97" s="75"/>
      <c r="L97" s="75"/>
      <c r="M97" s="76"/>
    </row>
    <row r="98" spans="2:13" x14ac:dyDescent="0.25">
      <c r="B98" s="75"/>
      <c r="C98" s="75"/>
      <c r="D98" s="237">
        <v>43217</v>
      </c>
      <c r="E98" s="241"/>
      <c r="F98" s="239"/>
      <c r="G98" s="239"/>
      <c r="H98" s="239"/>
      <c r="I98" s="240"/>
      <c r="J98" s="75"/>
      <c r="K98" s="75"/>
      <c r="L98" s="75"/>
      <c r="M98" s="76"/>
    </row>
    <row r="99" spans="2:13" x14ac:dyDescent="0.25">
      <c r="B99" s="75"/>
      <c r="C99" s="75"/>
      <c r="D99" s="237">
        <v>43218</v>
      </c>
      <c r="E99" s="241"/>
      <c r="F99" s="239"/>
      <c r="G99" s="239"/>
      <c r="H99" s="239"/>
      <c r="I99" s="240"/>
      <c r="J99" s="75"/>
      <c r="K99" s="75"/>
      <c r="L99" s="75"/>
      <c r="M99" s="76"/>
    </row>
    <row r="100" spans="2:13" x14ac:dyDescent="0.25">
      <c r="B100" s="75"/>
      <c r="C100" s="75"/>
      <c r="D100" s="237">
        <v>43219</v>
      </c>
      <c r="E100" s="241"/>
      <c r="F100" s="239"/>
      <c r="G100" s="239"/>
      <c r="H100" s="239"/>
      <c r="I100" s="240"/>
      <c r="J100" s="75"/>
      <c r="K100" s="75"/>
      <c r="L100" s="75"/>
      <c r="M100" s="76"/>
    </row>
    <row r="101" spans="2:13" x14ac:dyDescent="0.25">
      <c r="B101" s="75"/>
      <c r="C101" s="75"/>
      <c r="D101" s="237">
        <v>43220</v>
      </c>
      <c r="E101" s="241"/>
      <c r="F101" s="239"/>
      <c r="G101" s="239"/>
      <c r="H101" s="239"/>
      <c r="I101" s="240"/>
      <c r="J101" s="75"/>
      <c r="K101" s="75"/>
      <c r="L101" s="75"/>
      <c r="M101" s="76"/>
    </row>
    <row r="102" spans="2:13" x14ac:dyDescent="0.25">
      <c r="B102" s="75"/>
      <c r="C102" s="75"/>
      <c r="D102" s="237">
        <v>43221</v>
      </c>
      <c r="E102" s="241"/>
      <c r="F102" s="239"/>
      <c r="G102" s="239"/>
      <c r="H102" s="239"/>
      <c r="I102" s="240"/>
      <c r="J102" s="75"/>
      <c r="K102" s="75"/>
      <c r="L102" s="75"/>
      <c r="M102" s="76"/>
    </row>
    <row r="103" spans="2:13" x14ac:dyDescent="0.25">
      <c r="B103" s="75"/>
      <c r="C103" s="75"/>
      <c r="D103" s="237">
        <v>43222</v>
      </c>
      <c r="E103" s="241"/>
      <c r="F103" s="239"/>
      <c r="G103" s="239"/>
      <c r="H103" s="239"/>
      <c r="I103" s="240"/>
      <c r="J103" s="75"/>
      <c r="K103" s="75"/>
      <c r="L103" s="75"/>
      <c r="M103" s="76"/>
    </row>
    <row r="104" spans="2:13" x14ac:dyDescent="0.25">
      <c r="B104" s="75"/>
      <c r="C104" s="75"/>
      <c r="D104" s="237">
        <v>43223</v>
      </c>
      <c r="E104" s="241"/>
      <c r="F104" s="239"/>
      <c r="G104" s="239"/>
      <c r="H104" s="239"/>
      <c r="I104" s="240"/>
      <c r="J104" s="75"/>
      <c r="K104" s="75"/>
      <c r="L104" s="75"/>
      <c r="M104" s="76"/>
    </row>
    <row r="105" spans="2:13" x14ac:dyDescent="0.25">
      <c r="B105" s="75"/>
      <c r="C105" s="75"/>
      <c r="D105" s="237">
        <v>43224</v>
      </c>
      <c r="E105" s="241"/>
      <c r="F105" s="239"/>
      <c r="G105" s="239"/>
      <c r="H105" s="239"/>
      <c r="I105" s="240"/>
      <c r="J105" s="75"/>
      <c r="K105" s="75"/>
      <c r="L105" s="75"/>
      <c r="M105" s="76"/>
    </row>
    <row r="106" spans="2:13" x14ac:dyDescent="0.25">
      <c r="B106" s="75"/>
      <c r="C106" s="75"/>
      <c r="D106" s="237">
        <v>43225</v>
      </c>
      <c r="E106" s="241"/>
      <c r="F106" s="239"/>
      <c r="G106" s="239"/>
      <c r="H106" s="239"/>
      <c r="I106" s="240"/>
      <c r="J106" s="75"/>
      <c r="K106" s="75"/>
      <c r="L106" s="75"/>
      <c r="M106" s="76"/>
    </row>
    <row r="107" spans="2:13" x14ac:dyDescent="0.25">
      <c r="B107" s="75"/>
      <c r="C107" s="75"/>
      <c r="D107" s="237">
        <v>43226</v>
      </c>
      <c r="E107" s="241"/>
      <c r="F107" s="239"/>
      <c r="G107" s="239"/>
      <c r="H107" s="239"/>
      <c r="I107" s="240"/>
      <c r="J107" s="75"/>
      <c r="K107" s="75"/>
      <c r="L107" s="75"/>
      <c r="M107" s="76"/>
    </row>
    <row r="108" spans="2:13" x14ac:dyDescent="0.25">
      <c r="B108" s="75"/>
      <c r="C108" s="75"/>
      <c r="D108" s="237">
        <v>43227</v>
      </c>
      <c r="E108" s="241"/>
      <c r="F108" s="239"/>
      <c r="G108" s="239"/>
      <c r="H108" s="239"/>
      <c r="I108" s="240"/>
      <c r="J108" s="75"/>
      <c r="K108" s="75"/>
      <c r="L108" s="75"/>
      <c r="M108" s="76"/>
    </row>
    <row r="109" spans="2:13" x14ac:dyDescent="0.25">
      <c r="B109" s="75"/>
      <c r="C109" s="75"/>
      <c r="D109" s="237">
        <v>43228</v>
      </c>
      <c r="E109" s="241"/>
      <c r="F109" s="239"/>
      <c r="G109" s="239"/>
      <c r="H109" s="239"/>
      <c r="I109" s="240"/>
      <c r="J109" s="75"/>
      <c r="K109" s="75"/>
      <c r="L109" s="75"/>
      <c r="M109" s="76"/>
    </row>
    <row r="110" spans="2:13" x14ac:dyDescent="0.25">
      <c r="B110" s="75"/>
      <c r="C110" s="75"/>
      <c r="D110" s="237">
        <v>43229</v>
      </c>
      <c r="E110" s="241"/>
      <c r="F110" s="239"/>
      <c r="G110" s="239"/>
      <c r="H110" s="239"/>
      <c r="I110" s="240"/>
      <c r="J110" s="75"/>
      <c r="K110" s="75"/>
      <c r="L110" s="75"/>
      <c r="M110" s="76"/>
    </row>
    <row r="111" spans="2:13" x14ac:dyDescent="0.25">
      <c r="B111" s="75"/>
      <c r="C111" s="75"/>
      <c r="D111" s="237">
        <v>43230</v>
      </c>
      <c r="E111" s="241"/>
      <c r="F111" s="239"/>
      <c r="G111" s="239"/>
      <c r="H111" s="239"/>
      <c r="I111" s="240"/>
      <c r="J111" s="75"/>
      <c r="K111" s="75"/>
      <c r="L111" s="75"/>
      <c r="M111" s="76"/>
    </row>
    <row r="112" spans="2:13" x14ac:dyDescent="0.25">
      <c r="B112" s="75"/>
      <c r="C112" s="75"/>
      <c r="D112" s="237">
        <v>43231</v>
      </c>
      <c r="E112" s="241"/>
      <c r="F112" s="239"/>
      <c r="G112" s="239"/>
      <c r="H112" s="239"/>
      <c r="I112" s="240"/>
      <c r="J112" s="75"/>
      <c r="K112" s="75"/>
      <c r="L112" s="75"/>
      <c r="M112" s="76"/>
    </row>
    <row r="113" spans="2:13" x14ac:dyDescent="0.25">
      <c r="B113" s="75"/>
      <c r="C113" s="75"/>
      <c r="D113" s="237">
        <v>43232</v>
      </c>
      <c r="E113" s="241"/>
      <c r="F113" s="239"/>
      <c r="G113" s="239"/>
      <c r="H113" s="239"/>
      <c r="I113" s="240"/>
      <c r="J113" s="75"/>
      <c r="K113" s="75"/>
      <c r="L113" s="75"/>
      <c r="M113" s="76"/>
    </row>
    <row r="114" spans="2:13" x14ac:dyDescent="0.25">
      <c r="B114" s="75"/>
      <c r="C114" s="75"/>
      <c r="D114" s="237">
        <v>43233</v>
      </c>
      <c r="E114" s="241"/>
      <c r="F114" s="239"/>
      <c r="G114" s="239"/>
      <c r="H114" s="239"/>
      <c r="I114" s="240"/>
      <c r="J114" s="75"/>
      <c r="K114" s="75"/>
      <c r="L114" s="75"/>
      <c r="M114" s="76"/>
    </row>
    <row r="115" spans="2:13" x14ac:dyDescent="0.25">
      <c r="B115" s="75"/>
      <c r="C115" s="75"/>
      <c r="D115" s="237">
        <v>43234</v>
      </c>
      <c r="E115" s="241"/>
      <c r="F115" s="239"/>
      <c r="G115" s="239"/>
      <c r="H115" s="239"/>
      <c r="I115" s="240"/>
      <c r="J115" s="75"/>
      <c r="K115" s="75"/>
      <c r="L115" s="75"/>
      <c r="M115" s="76"/>
    </row>
    <row r="116" spans="2:13" x14ac:dyDescent="0.25">
      <c r="B116" s="75"/>
      <c r="C116" s="75"/>
      <c r="D116" s="237">
        <v>43235</v>
      </c>
      <c r="E116" s="241"/>
      <c r="F116" s="239"/>
      <c r="G116" s="239"/>
      <c r="H116" s="239"/>
      <c r="I116" s="240"/>
      <c r="J116" s="75"/>
      <c r="K116" s="75"/>
      <c r="L116" s="75"/>
      <c r="M116" s="76"/>
    </row>
    <row r="117" spans="2:13" x14ac:dyDescent="0.25">
      <c r="B117" s="75"/>
      <c r="C117" s="75"/>
      <c r="D117" s="237">
        <v>43236</v>
      </c>
      <c r="E117" s="241"/>
      <c r="F117" s="239"/>
      <c r="G117" s="239"/>
      <c r="H117" s="239"/>
      <c r="I117" s="240"/>
      <c r="J117" s="75"/>
      <c r="K117" s="75"/>
      <c r="L117" s="75"/>
      <c r="M117" s="76"/>
    </row>
    <row r="118" spans="2:13" x14ac:dyDescent="0.25">
      <c r="B118" s="75"/>
      <c r="C118" s="75"/>
      <c r="D118" s="237">
        <v>43237</v>
      </c>
      <c r="E118" s="241"/>
      <c r="F118" s="239"/>
      <c r="G118" s="239"/>
      <c r="H118" s="239"/>
      <c r="I118" s="240"/>
      <c r="J118" s="75"/>
      <c r="K118" s="75"/>
      <c r="L118" s="75"/>
      <c r="M118" s="76"/>
    </row>
    <row r="119" spans="2:13" x14ac:dyDescent="0.25">
      <c r="B119" s="75"/>
      <c r="C119" s="75"/>
      <c r="D119" s="237">
        <v>43238</v>
      </c>
      <c r="E119" s="241"/>
      <c r="F119" s="239"/>
      <c r="G119" s="239"/>
      <c r="H119" s="239"/>
      <c r="I119" s="240"/>
      <c r="J119" s="75"/>
      <c r="K119" s="75"/>
      <c r="L119" s="75"/>
      <c r="M119" s="76"/>
    </row>
    <row r="120" spans="2:13" x14ac:dyDescent="0.25">
      <c r="B120" s="75"/>
      <c r="C120" s="75"/>
      <c r="D120" s="237">
        <v>43239</v>
      </c>
      <c r="E120" s="241"/>
      <c r="F120" s="239"/>
      <c r="G120" s="239"/>
      <c r="H120" s="239"/>
      <c r="I120" s="240"/>
      <c r="J120" s="75"/>
      <c r="K120" s="75"/>
      <c r="L120" s="75"/>
      <c r="M120" s="76"/>
    </row>
    <row r="121" spans="2:13" x14ac:dyDescent="0.25">
      <c r="B121" s="75"/>
      <c r="C121" s="75"/>
      <c r="D121" s="237">
        <v>43240</v>
      </c>
      <c r="E121" s="241"/>
      <c r="F121" s="239"/>
      <c r="G121" s="239"/>
      <c r="H121" s="239"/>
      <c r="I121" s="240"/>
      <c r="J121" s="75"/>
      <c r="K121" s="75"/>
      <c r="L121" s="75"/>
      <c r="M121" s="76"/>
    </row>
    <row r="122" spans="2:13" x14ac:dyDescent="0.25">
      <c r="B122" s="75"/>
      <c r="C122" s="75"/>
      <c r="D122" s="237">
        <v>43241</v>
      </c>
      <c r="E122" s="241"/>
      <c r="F122" s="239"/>
      <c r="G122" s="239"/>
      <c r="H122" s="239"/>
      <c r="I122" s="240"/>
      <c r="J122" s="75"/>
      <c r="K122" s="75"/>
      <c r="L122" s="75"/>
      <c r="M122" s="76"/>
    </row>
    <row r="123" spans="2:13" x14ac:dyDescent="0.25">
      <c r="B123" s="75"/>
      <c r="C123" s="75"/>
      <c r="D123" s="237">
        <v>43242</v>
      </c>
      <c r="E123" s="241"/>
      <c r="F123" s="239"/>
      <c r="G123" s="239"/>
      <c r="H123" s="239"/>
      <c r="I123" s="240"/>
      <c r="J123" s="75"/>
      <c r="K123" s="75"/>
      <c r="L123" s="75"/>
      <c r="M123" s="76"/>
    </row>
    <row r="124" spans="2:13" x14ac:dyDescent="0.25">
      <c r="B124" s="75"/>
      <c r="C124" s="75"/>
      <c r="D124" s="237">
        <v>43243</v>
      </c>
      <c r="E124" s="241"/>
      <c r="F124" s="239"/>
      <c r="G124" s="239"/>
      <c r="H124" s="239"/>
      <c r="I124" s="240"/>
      <c r="J124" s="75"/>
      <c r="K124" s="75"/>
      <c r="L124" s="75"/>
      <c r="M124" s="76"/>
    </row>
    <row r="125" spans="2:13" x14ac:dyDescent="0.25">
      <c r="B125" s="75"/>
      <c r="C125" s="75"/>
      <c r="D125" s="237">
        <v>43244</v>
      </c>
      <c r="E125" s="241"/>
      <c r="F125" s="239"/>
      <c r="G125" s="239"/>
      <c r="H125" s="239"/>
      <c r="I125" s="240"/>
      <c r="J125" s="75"/>
      <c r="K125" s="75"/>
      <c r="L125" s="75"/>
      <c r="M125" s="76"/>
    </row>
    <row r="126" spans="2:13" x14ac:dyDescent="0.25">
      <c r="B126" s="75"/>
      <c r="C126" s="75"/>
      <c r="D126" s="237">
        <v>43245</v>
      </c>
      <c r="E126" s="241"/>
      <c r="F126" s="239"/>
      <c r="G126" s="239"/>
      <c r="H126" s="239"/>
      <c r="I126" s="240"/>
      <c r="J126" s="75"/>
      <c r="K126" s="75"/>
      <c r="L126" s="75"/>
      <c r="M126" s="76"/>
    </row>
    <row r="127" spans="2:13" x14ac:dyDescent="0.25">
      <c r="B127" s="75"/>
      <c r="C127" s="75"/>
      <c r="D127" s="237">
        <v>43246</v>
      </c>
      <c r="E127" s="241"/>
      <c r="F127" s="239"/>
      <c r="G127" s="239"/>
      <c r="H127" s="239"/>
      <c r="I127" s="240"/>
      <c r="J127" s="75"/>
      <c r="K127" s="75"/>
      <c r="L127" s="75"/>
      <c r="M127" s="76"/>
    </row>
    <row r="128" spans="2:13" x14ac:dyDescent="0.25">
      <c r="B128" s="75"/>
      <c r="C128" s="75"/>
      <c r="D128" s="237">
        <v>43247</v>
      </c>
      <c r="E128" s="241"/>
      <c r="F128" s="239"/>
      <c r="G128" s="239"/>
      <c r="H128" s="239"/>
      <c r="I128" s="240"/>
      <c r="J128" s="75"/>
      <c r="K128" s="75"/>
      <c r="L128" s="75"/>
      <c r="M128" s="76"/>
    </row>
    <row r="129" spans="2:13" x14ac:dyDescent="0.25">
      <c r="B129" s="75"/>
      <c r="C129" s="75"/>
      <c r="D129" s="237">
        <v>43248</v>
      </c>
      <c r="E129" s="241"/>
      <c r="F129" s="239"/>
      <c r="G129" s="239"/>
      <c r="H129" s="239"/>
      <c r="I129" s="240"/>
      <c r="J129" s="75"/>
      <c r="K129" s="75"/>
      <c r="L129" s="75"/>
      <c r="M129" s="76"/>
    </row>
    <row r="130" spans="2:13" x14ac:dyDescent="0.25">
      <c r="B130" s="75"/>
      <c r="C130" s="75"/>
      <c r="D130" s="237">
        <v>43249</v>
      </c>
      <c r="E130" s="241"/>
      <c r="F130" s="239"/>
      <c r="G130" s="239"/>
      <c r="H130" s="239"/>
      <c r="I130" s="240"/>
      <c r="J130" s="75"/>
      <c r="K130" s="75"/>
      <c r="L130" s="75"/>
      <c r="M130" s="76"/>
    </row>
    <row r="131" spans="2:13" x14ac:dyDescent="0.25">
      <c r="B131" s="75"/>
      <c r="C131" s="75"/>
      <c r="D131" s="237">
        <v>43250</v>
      </c>
      <c r="E131" s="241"/>
      <c r="F131" s="239"/>
      <c r="G131" s="239"/>
      <c r="H131" s="239"/>
      <c r="I131" s="240"/>
      <c r="J131" s="75"/>
      <c r="K131" s="75"/>
      <c r="L131" s="75"/>
      <c r="M131" s="76"/>
    </row>
    <row r="132" spans="2:13" x14ac:dyDescent="0.25">
      <c r="B132" s="75"/>
      <c r="C132" s="75"/>
      <c r="D132" s="237">
        <v>43251</v>
      </c>
      <c r="E132" s="241"/>
      <c r="F132" s="239"/>
      <c r="G132" s="239"/>
      <c r="H132" s="239"/>
      <c r="I132" s="240"/>
      <c r="J132" s="75"/>
      <c r="K132" s="75"/>
      <c r="L132" s="75"/>
      <c r="M132" s="76"/>
    </row>
    <row r="133" spans="2:13" x14ac:dyDescent="0.25">
      <c r="B133" s="75"/>
      <c r="C133" s="75"/>
      <c r="D133" s="237">
        <v>43252</v>
      </c>
      <c r="E133" s="241"/>
      <c r="F133" s="239"/>
      <c r="G133" s="239"/>
      <c r="H133" s="239"/>
      <c r="I133" s="240"/>
      <c r="J133" s="75"/>
      <c r="K133" s="75"/>
      <c r="L133" s="75"/>
      <c r="M133" s="76"/>
    </row>
    <row r="134" spans="2:13" x14ac:dyDescent="0.25">
      <c r="B134" s="75"/>
      <c r="C134" s="75"/>
      <c r="D134" s="237">
        <v>43253</v>
      </c>
      <c r="E134" s="241"/>
      <c r="F134" s="239"/>
      <c r="G134" s="239"/>
      <c r="H134" s="239"/>
      <c r="I134" s="240"/>
      <c r="J134" s="75"/>
      <c r="K134" s="75"/>
      <c r="L134" s="75"/>
      <c r="M134" s="76"/>
    </row>
    <row r="135" spans="2:13" x14ac:dyDescent="0.25">
      <c r="B135" s="75"/>
      <c r="C135" s="75"/>
      <c r="D135" s="237">
        <v>43254</v>
      </c>
      <c r="E135" s="241"/>
      <c r="F135" s="239"/>
      <c r="G135" s="239"/>
      <c r="H135" s="239"/>
      <c r="I135" s="240"/>
      <c r="J135" s="75"/>
      <c r="K135" s="75"/>
      <c r="L135" s="75"/>
      <c r="M135" s="76"/>
    </row>
    <row r="136" spans="2:13" x14ac:dyDescent="0.25">
      <c r="B136" s="75"/>
      <c r="C136" s="75"/>
      <c r="D136" s="237">
        <v>43255</v>
      </c>
      <c r="E136" s="241"/>
      <c r="F136" s="239"/>
      <c r="G136" s="239"/>
      <c r="H136" s="239"/>
      <c r="I136" s="240"/>
      <c r="J136" s="75"/>
      <c r="K136" s="75"/>
      <c r="L136" s="75"/>
      <c r="M136" s="76"/>
    </row>
    <row r="137" spans="2:13" x14ac:dyDescent="0.25">
      <c r="B137" s="75"/>
      <c r="C137" s="75"/>
      <c r="D137" s="237">
        <v>43256</v>
      </c>
      <c r="E137" s="241"/>
      <c r="F137" s="239"/>
      <c r="G137" s="239"/>
      <c r="H137" s="239"/>
      <c r="I137" s="240"/>
      <c r="J137" s="75"/>
      <c r="K137" s="75"/>
      <c r="L137" s="75"/>
      <c r="M137" s="76"/>
    </row>
    <row r="138" spans="2:13" x14ac:dyDescent="0.25">
      <c r="B138" s="75"/>
      <c r="C138" s="75"/>
      <c r="D138" s="237">
        <v>43257</v>
      </c>
      <c r="E138" s="241"/>
      <c r="F138" s="239"/>
      <c r="G138" s="239"/>
      <c r="H138" s="239"/>
      <c r="I138" s="240"/>
      <c r="J138" s="75"/>
      <c r="K138" s="75"/>
      <c r="L138" s="75"/>
      <c r="M138" s="76"/>
    </row>
    <row r="139" spans="2:13" x14ac:dyDescent="0.25">
      <c r="B139" s="75"/>
      <c r="C139" s="75"/>
      <c r="D139" s="237">
        <v>43258</v>
      </c>
      <c r="E139" s="243"/>
      <c r="F139" s="244"/>
      <c r="G139" s="244"/>
      <c r="H139" s="244"/>
      <c r="I139" s="245"/>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RowHeight="15" x14ac:dyDescent="0.25"/>
  <cols>
    <col min="1" max="1" width="9.14062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43142</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43142</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99</v>
      </c>
      <c r="G14" s="76"/>
      <c r="H14" s="59"/>
      <c r="I14" s="71"/>
      <c r="J14" s="71"/>
      <c r="K14" s="71"/>
      <c r="L14" s="64"/>
      <c r="M14" s="64"/>
    </row>
    <row r="15" spans="1:20" x14ac:dyDescent="0.25">
      <c r="B15" s="64"/>
      <c r="C15" s="59"/>
      <c r="D15" s="116">
        <v>0.16666666666666699</v>
      </c>
      <c r="E15" s="44">
        <v>0</v>
      </c>
      <c r="F15" s="44" t="s">
        <v>105</v>
      </c>
      <c r="G15" s="76"/>
      <c r="H15" s="59"/>
      <c r="I15" s="71"/>
      <c r="J15" s="71"/>
      <c r="K15" s="71"/>
      <c r="L15" s="64"/>
      <c r="M15" s="64"/>
    </row>
    <row r="16" spans="1:20" x14ac:dyDescent="0.25">
      <c r="B16" s="64"/>
      <c r="C16" s="59"/>
      <c r="D16" s="116">
        <v>0.20833333333333301</v>
      </c>
      <c r="E16" s="44">
        <v>1</v>
      </c>
      <c r="F16" s="44" t="s">
        <v>105</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9"/>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30"/>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102</v>
      </c>
      <c r="G27" s="76"/>
      <c r="H27" s="59"/>
      <c r="I27" s="71"/>
      <c r="J27" s="71"/>
      <c r="K27" s="71"/>
      <c r="L27" s="64"/>
      <c r="M27" s="64"/>
    </row>
    <row r="28" spans="2:13" x14ac:dyDescent="0.25">
      <c r="B28" s="64"/>
      <c r="C28" s="59"/>
      <c r="D28" s="116">
        <v>0.70833333333333304</v>
      </c>
      <c r="E28" s="44">
        <v>1</v>
      </c>
      <c r="F28" s="44" t="s">
        <v>103</v>
      </c>
      <c r="G28" s="76"/>
      <c r="H28" s="59"/>
      <c r="I28" s="71"/>
      <c r="J28" s="71"/>
      <c r="K28" s="71"/>
      <c r="L28" s="64"/>
      <c r="M28" s="64"/>
    </row>
    <row r="29" spans="2:13" x14ac:dyDescent="0.25">
      <c r="B29" s="64"/>
      <c r="C29" s="59"/>
      <c r="D29" s="116">
        <v>0.75</v>
      </c>
      <c r="E29" s="44">
        <v>1</v>
      </c>
      <c r="F29" s="44" t="s">
        <v>105</v>
      </c>
      <c r="G29" s="76"/>
      <c r="H29" s="59"/>
      <c r="I29" s="71"/>
      <c r="J29" s="71"/>
      <c r="K29" s="71"/>
      <c r="L29" s="64"/>
      <c r="M29" s="64"/>
    </row>
    <row r="30" spans="2:13" x14ac:dyDescent="0.25">
      <c r="B30" s="64"/>
      <c r="C30" s="59"/>
      <c r="D30" s="116">
        <v>0.79166666666666696</v>
      </c>
      <c r="E30" s="44">
        <v>1</v>
      </c>
      <c r="F30" s="44" t="s">
        <v>104</v>
      </c>
      <c r="G30" s="76"/>
      <c r="H30" s="59"/>
      <c r="I30" s="71"/>
      <c r="J30" s="71"/>
      <c r="K30" s="71"/>
      <c r="L30" s="64"/>
      <c r="M30" s="64"/>
    </row>
    <row r="31" spans="2:13" x14ac:dyDescent="0.25">
      <c r="B31" s="64"/>
      <c r="C31" s="59"/>
      <c r="D31" s="116">
        <v>0.83333333333333304</v>
      </c>
      <c r="E31" s="44">
        <v>1</v>
      </c>
      <c r="F31" s="44" t="s">
        <v>99</v>
      </c>
      <c r="G31" s="76"/>
      <c r="H31" s="59"/>
      <c r="I31" s="71"/>
      <c r="J31" s="71"/>
      <c r="K31" s="71"/>
      <c r="L31" s="64"/>
      <c r="M31" s="64"/>
    </row>
    <row r="32" spans="2:13" x14ac:dyDescent="0.25">
      <c r="B32" s="64"/>
      <c r="C32" s="59"/>
      <c r="D32" s="116">
        <v>0.875</v>
      </c>
      <c r="E32" s="44">
        <v>1</v>
      </c>
      <c r="F32" s="44" t="s">
        <v>105</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J24"/>
  <sheetViews>
    <sheetView topLeftCell="A3" zoomScale="109" zoomScaleNormal="85" workbookViewId="0">
      <selection activeCell="C7" sqref="C7"/>
    </sheetView>
  </sheetViews>
  <sheetFormatPr defaultColWidth="9.140625" defaultRowHeight="15" x14ac:dyDescent="0.25"/>
  <cols>
    <col min="1" max="1" width="9.140625" style="120"/>
    <col min="2" max="2" width="20.140625" style="1" customWidth="1"/>
    <col min="3" max="3" width="54.7109375" style="1" customWidth="1"/>
    <col min="4" max="4" width="60.28515625" style="1" customWidth="1"/>
    <col min="5" max="5" width="22.85546875" style="1" customWidth="1"/>
    <col min="6" max="6" width="13.140625" style="109" customWidth="1"/>
    <col min="7" max="7" width="39" style="1" customWidth="1"/>
    <col min="8" max="16384" width="9.140625" style="1"/>
  </cols>
  <sheetData>
    <row r="1" spans="1:10" s="104" customFormat="1" ht="30" x14ac:dyDescent="0.25">
      <c r="A1" s="120"/>
      <c r="C1" s="105">
        <f ca="1">TODAY()</f>
        <v>43142</v>
      </c>
      <c r="D1" s="105"/>
      <c r="F1" s="107"/>
      <c r="H1" s="104" t="s">
        <v>40</v>
      </c>
      <c r="J1" s="104" t="s">
        <v>39</v>
      </c>
    </row>
    <row r="2" spans="1:10" s="104" customFormat="1" ht="29.25" customHeight="1" x14ac:dyDescent="0.25">
      <c r="A2" s="125" t="s">
        <v>72</v>
      </c>
      <c r="F2" s="107"/>
    </row>
    <row r="3" spans="1:10" s="75" customFormat="1" ht="39" customHeight="1" x14ac:dyDescent="0.25">
      <c r="A3" s="120"/>
      <c r="B3" s="75" t="s">
        <v>41</v>
      </c>
      <c r="C3" s="75" t="s">
        <v>42</v>
      </c>
      <c r="D3" s="75" t="s">
        <v>50</v>
      </c>
      <c r="E3" s="75" t="s">
        <v>43</v>
      </c>
      <c r="F3" s="126" t="s">
        <v>46</v>
      </c>
      <c r="G3" s="75" t="s">
        <v>78</v>
      </c>
    </row>
    <row r="4" spans="1:10" s="118" customFormat="1" ht="36.75" customHeight="1" x14ac:dyDescent="0.25">
      <c r="A4" s="157"/>
      <c r="B4" s="118" t="s">
        <v>44</v>
      </c>
      <c r="C4" s="118" t="s">
        <v>45</v>
      </c>
      <c r="E4" s="118" t="s">
        <v>47</v>
      </c>
      <c r="F4" s="119">
        <v>1</v>
      </c>
    </row>
    <row r="5" spans="1:10" s="106" customFormat="1" ht="106.5" customHeight="1" x14ac:dyDescent="0.25">
      <c r="A5" s="155"/>
      <c r="B5" s="106" t="s">
        <v>49</v>
      </c>
      <c r="C5" s="106" t="s">
        <v>122</v>
      </c>
      <c r="D5" s="106" t="s">
        <v>121</v>
      </c>
      <c r="E5" s="106" t="s">
        <v>87</v>
      </c>
      <c r="F5" s="108">
        <v>1</v>
      </c>
    </row>
    <row r="6" spans="1:10" s="106" customFormat="1" ht="106.5" customHeight="1" x14ac:dyDescent="0.25">
      <c r="A6" s="162"/>
      <c r="B6" s="106" t="s">
        <v>138</v>
      </c>
      <c r="C6" s="106" t="s">
        <v>137</v>
      </c>
      <c r="E6" s="106" t="s">
        <v>136</v>
      </c>
      <c r="F6" s="108"/>
    </row>
    <row r="7" spans="1:10" s="106" customFormat="1" ht="106.5" customHeight="1" x14ac:dyDescent="0.25">
      <c r="A7" s="162"/>
      <c r="B7" s="106" t="s">
        <v>139</v>
      </c>
      <c r="C7" s="106" t="s">
        <v>140</v>
      </c>
      <c r="E7" s="106" t="s">
        <v>126</v>
      </c>
      <c r="F7" s="108">
        <v>0.2</v>
      </c>
    </row>
    <row r="8" spans="1:10" s="104" customFormat="1" ht="89.25" customHeight="1" x14ac:dyDescent="0.25">
      <c r="A8" s="155"/>
      <c r="B8" s="104" t="s">
        <v>124</v>
      </c>
      <c r="C8" s="104" t="s">
        <v>120</v>
      </c>
      <c r="D8" s="104" t="s">
        <v>80</v>
      </c>
      <c r="E8" s="104" t="s">
        <v>100</v>
      </c>
      <c r="F8" s="127">
        <v>0.7</v>
      </c>
    </row>
    <row r="9" spans="1:10" s="152" customFormat="1" ht="76.5" customHeight="1" x14ac:dyDescent="0.25">
      <c r="A9" s="154"/>
      <c r="B9" s="152" t="s">
        <v>49</v>
      </c>
      <c r="C9" s="152" t="s">
        <v>76</v>
      </c>
      <c r="D9" s="152" t="s">
        <v>96</v>
      </c>
      <c r="F9" s="153">
        <v>1</v>
      </c>
      <c r="G9" s="152" t="s">
        <v>123</v>
      </c>
    </row>
    <row r="10" spans="1:10" s="74" customFormat="1" ht="76.5" customHeight="1" x14ac:dyDescent="0.25">
      <c r="A10" s="154"/>
      <c r="B10" s="74" t="s">
        <v>125</v>
      </c>
      <c r="C10" s="158" t="s">
        <v>77</v>
      </c>
      <c r="D10" s="152" t="s">
        <v>79</v>
      </c>
      <c r="F10" s="121">
        <v>0</v>
      </c>
    </row>
    <row r="11" spans="1:10" s="122" customFormat="1" ht="70.5" customHeight="1" x14ac:dyDescent="0.25">
      <c r="A11" s="156"/>
      <c r="B11" s="122" t="s">
        <v>107</v>
      </c>
      <c r="C11" s="158" t="s">
        <v>69</v>
      </c>
      <c r="D11" s="124" t="s">
        <v>73</v>
      </c>
      <c r="F11" s="123">
        <v>1</v>
      </c>
    </row>
    <row r="12" spans="1:10" x14ac:dyDescent="0.25">
      <c r="A12" s="128"/>
    </row>
    <row r="13" spans="1:10" x14ac:dyDescent="0.25">
      <c r="A13" s="128"/>
    </row>
    <row r="14" spans="1:10" x14ac:dyDescent="0.25">
      <c r="A14" s="128"/>
    </row>
    <row r="15" spans="1:10" x14ac:dyDescent="0.25">
      <c r="A15" s="128"/>
    </row>
    <row r="16" spans="1:10" x14ac:dyDescent="0.25">
      <c r="A16" s="128"/>
    </row>
    <row r="17" spans="1:1" x14ac:dyDescent="0.25">
      <c r="A17" s="128"/>
    </row>
    <row r="18" spans="1:1" x14ac:dyDescent="0.25">
      <c r="A18" s="128"/>
    </row>
    <row r="19" spans="1:1" x14ac:dyDescent="0.25">
      <c r="A19" s="128"/>
    </row>
    <row r="20" spans="1:1" x14ac:dyDescent="0.25">
      <c r="A20" s="128"/>
    </row>
    <row r="21" spans="1:1" x14ac:dyDescent="0.25">
      <c r="A21" s="128"/>
    </row>
    <row r="22" spans="1:1" x14ac:dyDescent="0.25">
      <c r="A22" s="128"/>
    </row>
    <row r="23" spans="1:1" x14ac:dyDescent="0.25">
      <c r="A23" s="128"/>
    </row>
    <row r="24" spans="1:1" x14ac:dyDescent="0.25">
      <c r="A24" s="128"/>
    </row>
  </sheetData>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9" customWidth="1"/>
    <col min="3" max="3" width="9.140625" style="36"/>
    <col min="4" max="4" width="29.85546875" style="36" customWidth="1"/>
    <col min="5" max="5" width="15.85546875" style="37" customWidth="1"/>
    <col min="6" max="6" width="16.5703125" style="37" customWidth="1"/>
    <col min="7" max="7" width="28" style="26" customWidth="1"/>
    <col min="8" max="8" width="2.42578125" style="15" customWidth="1"/>
    <col min="9" max="10" width="15" style="1" customWidth="1" outlineLevel="1"/>
    <col min="11" max="11" width="12.28515625" style="1" customWidth="1" outlineLevel="1"/>
    <col min="12" max="12" width="15.5703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9"/>
      <c r="C1" s="27"/>
      <c r="D1" s="27"/>
      <c r="E1" s="28"/>
      <c r="F1" s="28"/>
      <c r="G1" s="21"/>
      <c r="H1" s="11"/>
    </row>
    <row r="2" spans="1:367" s="7" customFormat="1" x14ac:dyDescent="0.25">
      <c r="A2" s="9"/>
      <c r="B2" s="140"/>
      <c r="C2" s="29"/>
      <c r="D2" s="29"/>
      <c r="E2" s="30"/>
      <c r="F2" s="30"/>
      <c r="G2" s="22"/>
      <c r="H2" s="12"/>
    </row>
    <row r="3" spans="1:367" s="5" customFormat="1" ht="16.5" customHeight="1" x14ac:dyDescent="0.25">
      <c r="A3" s="8"/>
      <c r="B3" s="141"/>
      <c r="C3" s="137"/>
      <c r="D3" s="31" t="s">
        <v>5</v>
      </c>
      <c r="E3" s="32" t="s">
        <v>6</v>
      </c>
      <c r="F3" s="32"/>
      <c r="G3" s="23"/>
      <c r="H3" s="13"/>
    </row>
    <row r="4" spans="1:367" s="6" customFormat="1" ht="24" customHeight="1" x14ac:dyDescent="0.25">
      <c r="A4" s="10"/>
      <c r="B4" s="142"/>
      <c r="C4" s="138"/>
      <c r="D4" s="41">
        <f ca="1">TODAY()</f>
        <v>43142</v>
      </c>
      <c r="E4" s="42" t="s">
        <v>7</v>
      </c>
      <c r="F4" s="34"/>
      <c r="G4" s="24"/>
      <c r="H4" s="14"/>
      <c r="L4" s="68" t="s">
        <v>20</v>
      </c>
    </row>
    <row r="5" spans="1:367" s="6" customFormat="1" x14ac:dyDescent="0.25">
      <c r="A5" s="10"/>
      <c r="B5" s="139"/>
      <c r="C5" s="33"/>
      <c r="D5" s="33"/>
      <c r="E5" s="34"/>
      <c r="F5" s="34"/>
      <c r="G5" s="24"/>
      <c r="H5" s="14"/>
    </row>
    <row r="6" spans="1:367" s="16" customFormat="1" ht="62.25" customHeight="1" x14ac:dyDescent="0.25">
      <c r="A6" s="18"/>
      <c r="B6" s="143"/>
      <c r="C6" s="25"/>
      <c r="D6" s="25"/>
      <c r="E6" s="25"/>
      <c r="F6" s="25"/>
      <c r="G6" s="25"/>
      <c r="H6" s="17"/>
      <c r="I6" s="136">
        <v>43127</v>
      </c>
      <c r="J6" s="136">
        <v>43128</v>
      </c>
      <c r="K6" s="136">
        <v>43129</v>
      </c>
      <c r="L6" s="136">
        <v>43130</v>
      </c>
      <c r="M6" s="136">
        <v>43131</v>
      </c>
      <c r="N6" s="136">
        <v>43132</v>
      </c>
      <c r="O6" s="136">
        <v>43133</v>
      </c>
      <c r="P6" s="136">
        <v>43134</v>
      </c>
      <c r="Q6" s="136">
        <v>43135</v>
      </c>
      <c r="R6" s="136">
        <v>43136</v>
      </c>
      <c r="S6" s="136">
        <v>43137</v>
      </c>
      <c r="T6" s="136">
        <v>43138</v>
      </c>
      <c r="U6" s="136">
        <v>43139</v>
      </c>
      <c r="V6" s="136">
        <v>43140</v>
      </c>
      <c r="W6" s="136">
        <v>43141</v>
      </c>
      <c r="X6" s="136">
        <v>43142</v>
      </c>
      <c r="Y6" s="136">
        <v>43143</v>
      </c>
      <c r="Z6" s="136">
        <v>43144</v>
      </c>
      <c r="AA6" s="136">
        <v>43145</v>
      </c>
      <c r="AB6" s="136">
        <v>43146</v>
      </c>
      <c r="AC6" s="136">
        <v>43147</v>
      </c>
      <c r="AD6" s="136">
        <v>43148</v>
      </c>
      <c r="AE6" s="136">
        <v>43149</v>
      </c>
      <c r="AF6" s="136">
        <v>43150</v>
      </c>
      <c r="AG6" s="136">
        <v>43151</v>
      </c>
      <c r="AH6" s="136">
        <v>43152</v>
      </c>
      <c r="AI6" s="136">
        <v>43153</v>
      </c>
      <c r="AJ6" s="136">
        <v>43154</v>
      </c>
      <c r="AK6" s="136">
        <v>43155</v>
      </c>
      <c r="AL6" s="136">
        <v>43156</v>
      </c>
      <c r="AM6" s="136">
        <v>43157</v>
      </c>
      <c r="AN6" s="136">
        <v>43158</v>
      </c>
      <c r="AO6" s="136">
        <v>43159</v>
      </c>
      <c r="AP6" s="136">
        <v>43160</v>
      </c>
      <c r="AQ6" s="136">
        <v>43161</v>
      </c>
      <c r="AR6" s="136">
        <v>43162</v>
      </c>
      <c r="AS6" s="136">
        <v>43163</v>
      </c>
      <c r="AT6" s="136">
        <v>43164</v>
      </c>
      <c r="AU6" s="136">
        <v>43165</v>
      </c>
      <c r="AV6" s="136">
        <v>43166</v>
      </c>
      <c r="AW6" s="136">
        <v>43167</v>
      </c>
      <c r="AX6" s="136">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9" customFormat="1" ht="24" customHeight="1" x14ac:dyDescent="0.25">
      <c r="A7" s="10"/>
      <c r="B7" s="144" t="s">
        <v>90</v>
      </c>
      <c r="C7" s="145" t="s">
        <v>4</v>
      </c>
      <c r="D7" s="145" t="s">
        <v>0</v>
      </c>
      <c r="E7" s="146" t="s">
        <v>1</v>
      </c>
      <c r="F7" s="146" t="s">
        <v>2</v>
      </c>
      <c r="G7" s="147" t="s">
        <v>3</v>
      </c>
      <c r="H7" s="148"/>
    </row>
    <row r="8" spans="1:367" s="2" customFormat="1" ht="20.100000000000001" customHeight="1" x14ac:dyDescent="0.25">
      <c r="A8" s="10"/>
      <c r="B8" s="139" t="s">
        <v>111</v>
      </c>
      <c r="C8" s="35" t="s">
        <v>88</v>
      </c>
      <c r="D8" s="19" t="s">
        <v>89</v>
      </c>
      <c r="E8" s="19">
        <v>43131</v>
      </c>
      <c r="F8" s="20">
        <v>43133</v>
      </c>
      <c r="G8" s="4">
        <v>1</v>
      </c>
      <c r="H8" s="15"/>
      <c r="I8" s="150"/>
      <c r="J8" s="150"/>
      <c r="K8" s="150"/>
      <c r="L8" s="150"/>
      <c r="M8" s="43"/>
      <c r="N8" s="43"/>
      <c r="O8" s="43"/>
      <c r="P8" s="134" t="s">
        <v>88</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9" t="s">
        <v>111</v>
      </c>
      <c r="C9" s="35" t="s">
        <v>88</v>
      </c>
      <c r="D9" s="19" t="s">
        <v>91</v>
      </c>
      <c r="E9" s="19">
        <v>43133</v>
      </c>
      <c r="F9" s="20">
        <v>43135</v>
      </c>
      <c r="G9" s="4">
        <v>1</v>
      </c>
      <c r="I9" s="150"/>
      <c r="J9" s="150"/>
      <c r="K9" s="150"/>
      <c r="L9" s="150"/>
      <c r="M9" s="150"/>
      <c r="N9" s="150"/>
      <c r="O9" s="103"/>
      <c r="P9" s="103"/>
      <c r="Q9" s="103"/>
      <c r="R9" s="45" t="s">
        <v>94</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9" t="s">
        <v>111</v>
      </c>
      <c r="C10" s="35" t="s">
        <v>88</v>
      </c>
      <c r="D10" s="19" t="s">
        <v>93</v>
      </c>
      <c r="E10" s="19">
        <v>43133</v>
      </c>
      <c r="F10" s="20">
        <v>43135</v>
      </c>
      <c r="G10" s="4">
        <v>1</v>
      </c>
      <c r="I10" s="150"/>
      <c r="J10" s="150"/>
      <c r="K10" s="150"/>
      <c r="L10" s="150"/>
      <c r="M10" s="150"/>
      <c r="N10" s="150"/>
      <c r="O10" s="43"/>
      <c r="P10" s="43"/>
      <c r="Q10" s="43"/>
      <c r="R10" s="45" t="s">
        <v>95</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9" t="s">
        <v>111</v>
      </c>
      <c r="C11" s="35" t="s">
        <v>88</v>
      </c>
      <c r="D11" s="19" t="s">
        <v>92</v>
      </c>
      <c r="E11" s="19">
        <v>43135</v>
      </c>
      <c r="F11" s="20">
        <v>43140</v>
      </c>
      <c r="G11" s="4">
        <v>0.2</v>
      </c>
      <c r="I11" s="150"/>
      <c r="J11" s="150"/>
      <c r="K11" s="150"/>
      <c r="L11" s="150"/>
      <c r="M11" s="151"/>
      <c r="N11" s="150"/>
      <c r="O11" s="150"/>
      <c r="P11" s="150"/>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9" t="s">
        <v>111</v>
      </c>
      <c r="C12" s="35" t="s">
        <v>88</v>
      </c>
      <c r="D12" s="19" t="s">
        <v>110</v>
      </c>
      <c r="E12" s="19">
        <v>43136</v>
      </c>
      <c r="F12" s="20">
        <v>43138</v>
      </c>
      <c r="G12" s="4">
        <v>1</v>
      </c>
      <c r="I12" s="45"/>
      <c r="J12" s="45"/>
      <c r="K12" s="45"/>
      <c r="L12" s="45"/>
      <c r="M12" s="45"/>
      <c r="N12" s="45"/>
      <c r="O12" s="45"/>
      <c r="P12" s="133"/>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9" t="s">
        <v>111</v>
      </c>
      <c r="C13" s="35" t="s">
        <v>88</v>
      </c>
      <c r="D13" s="19" t="s">
        <v>117</v>
      </c>
      <c r="E13" s="19">
        <v>43136</v>
      </c>
      <c r="F13" s="20">
        <v>43139</v>
      </c>
      <c r="G13" s="4">
        <v>1</v>
      </c>
      <c r="I13" s="45"/>
      <c r="J13" s="45"/>
      <c r="K13" s="45"/>
      <c r="L13" s="45"/>
      <c r="M13" s="45"/>
      <c r="N13" s="45"/>
      <c r="O13" s="45"/>
      <c r="P13" s="133"/>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9" t="s">
        <v>112</v>
      </c>
      <c r="C14" s="35" t="s">
        <v>88</v>
      </c>
      <c r="D14" s="19" t="s">
        <v>118</v>
      </c>
      <c r="E14" s="19"/>
      <c r="F14" s="20" t="s">
        <v>134</v>
      </c>
      <c r="G14" s="4">
        <v>0</v>
      </c>
      <c r="I14" s="45"/>
      <c r="J14" s="45"/>
      <c r="K14" s="45"/>
      <c r="L14" s="45"/>
      <c r="M14" s="132"/>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9" t="s">
        <v>113</v>
      </c>
      <c r="C15" s="35" t="s">
        <v>88</v>
      </c>
      <c r="D15" s="19" t="s">
        <v>119</v>
      </c>
      <c r="E15" s="19"/>
      <c r="F15" s="20" t="s">
        <v>134</v>
      </c>
      <c r="G15" s="4">
        <v>0</v>
      </c>
      <c r="I15" s="45"/>
      <c r="J15" s="45"/>
      <c r="K15" s="45"/>
      <c r="L15" s="135"/>
      <c r="M15" s="45"/>
      <c r="N15" s="45"/>
      <c r="O15" s="45"/>
      <c r="P15" s="45"/>
      <c r="Q15" s="45"/>
      <c r="R15" s="45"/>
      <c r="S15" s="45"/>
      <c r="T15" s="45"/>
      <c r="U15" s="45"/>
      <c r="V15" s="131"/>
      <c r="W15" s="131"/>
      <c r="X15" s="131"/>
      <c r="Y15" s="131"/>
      <c r="Z15" s="131"/>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9" t="s">
        <v>114</v>
      </c>
      <c r="C16" s="35" t="s">
        <v>88</v>
      </c>
      <c r="D16" s="19" t="s">
        <v>133</v>
      </c>
      <c r="E16" s="19"/>
      <c r="F16" s="20" t="s">
        <v>134</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9" t="s">
        <v>115</v>
      </c>
      <c r="C17" s="35"/>
      <c r="D17" s="19"/>
      <c r="E17" s="19"/>
      <c r="F17" s="20" t="s">
        <v>134</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9" t="s">
        <v>116</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Study Planner</vt:lpstr>
      <vt:lpstr>Project Scheduler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2018-02-11T01:16:14Z</dcterms:modified>
</cp:coreProperties>
</file>